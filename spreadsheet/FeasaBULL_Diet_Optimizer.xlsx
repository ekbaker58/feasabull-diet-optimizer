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lanner" sheetId="1" state="visible" r:id="rId3"/>
    <sheet name="DRI Tables" sheetId="2" state="visible" r:id="rId4"/>
    <sheet name="Food Data" sheetId="3" state="visible" r:id="rId5"/>
    <sheet name="Diets" sheetId="4" state="visible" r:id="rId6"/>
    <sheet name="Matrix Model" sheetId="5" state="visible" r:id="rId7"/>
    <sheet name="Diet Comparison" sheetId="6" state="visible" r:id="rId8"/>
    <sheet name="Optimality Proof" sheetId="7" state="visible" r:id="rId9"/>
    <sheet name="Notes &amp; Sources" sheetId="8" state="visible" r:id="rId10"/>
  </sheets>
  <definedNames>
    <definedName function="false" hidden="true" localSheetId="2" name="_xlnm._FilterDatabase" vbProcedure="false">'Food Data'!$A$5:$BF$76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T5" authorId="0">
      <text>
        <r>
          <rPr>
            <sz val="10"/>
            <rFont val="Arial"/>
            <family val="2"/>
          </rPr>
          <t xml:space="preserve">Team assumption: realistic most-per-day. Becomes the upper bound u in the model.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49</xdr:colOff>
                <xdr:row>0</xdr:row>
                <xdr:rowOff>5</xdr:rowOff>
              </xdr:from>
              <xdr:to>
                <xdr:col>2</xdr:col>
                <xdr:colOff>90</xdr:colOff>
                <xdr:row>4</xdr:row>
                <xdr:rowOff>1</xdr:rowOff>
              </xdr:to>
            </anchor>
          </commentPr>
        </mc:Choice>
        <mc:Fallback/>
      </mc:AlternateContent>
    </comment>
    <comment ref="AD5" authorId="0">
      <text>
        <r>
          <rPr>
            <sz val="10"/>
            <rFont val="Arial"/>
            <family val="2"/>
          </rPr>
          <t xml:space="preserve">= (food attribute row) · (selected diet's forbidden-attribute row) + 1 if the food # is in the diet's "Also excluded" list. &gt; 0 means the diet excludes the food.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49</xdr:colOff>
                <xdr:row>0</xdr:row>
                <xdr:rowOff>5</xdr:rowOff>
              </xdr:from>
              <xdr:to>
                <xdr:col>2</xdr:col>
                <xdr:colOff>90</xdr:colOff>
                <xdr:row>4</xdr:row>
                <xdr:rowOff>49</xdr:rowOff>
              </xdr:to>
            </anchor>
          </commentPr>
        </mc:Choice>
        <mc:Fallback/>
      </mc:AlternateContent>
    </comment>
    <comment ref="AJ5" authorId="0">
      <text>
        <r>
          <rPr>
            <sz val="10"/>
            <rFont val="Arial"/>
            <family val="2"/>
          </rPr>
          <t xml:space="preserve">USDA MyPlate cup-equivalent: 1 cup raw/cooked veg or fruit, 2 cups leafy greens, 1/2 cup dried fruit, 1 cup 100% juice.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49</xdr:colOff>
                <xdr:row>0</xdr:row>
                <xdr:rowOff>5</xdr:rowOff>
              </xdr:from>
              <xdr:to>
                <xdr:col>2</xdr:col>
                <xdr:colOff>90</xdr:colOff>
                <xdr:row>4</xdr:row>
                <xdr:rowOff>19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<sst xmlns="http://schemas.openxmlformats.org/spreadsheetml/2006/main" count="1540" uniqueCount="947">
  <si>
    <t xml:space="preserve">FeasaBULL Diet Planner — person in, realistic budget-aware day out</t>
  </si>
  <si>
    <t xml:space="preserve">Step 1: enter the person (same inputs as FeasaBULL Calories). Step 2: targets are calculated with the site's equations. Step 3: pick a diet and re-solve (box at right). Blue = inputs.</t>
  </si>
  <si>
    <t xml:space="preserve">1. PERSON  (same inputs as the FeasaBULL Calories site)</t>
  </si>
  <si>
    <t xml:space="preserve">4. RESULT</t>
  </si>
  <si>
    <t xml:space="preserve">HOW TO RE-SOLVE FOR A NEW PERSON OR DIET</t>
  </si>
  <si>
    <t xml:space="preserve">Sex</t>
  </si>
  <si>
    <t xml:space="preserve">Male</t>
  </si>
  <si>
    <t xml:space="preserve">Cost per day</t>
  </si>
  <si>
    <t xml:space="preserve">1. Change the blue inputs on this sheet (and Food Data if needed).</t>
  </si>
  <si>
    <t xml:space="preserve">Age (years)</t>
  </si>
  <si>
    <t xml:space="preserve">Cost per week</t>
  </si>
  <si>
    <t xml:space="preserve">2. Data → Solver (Excel: File → Options → Add-ins → enable Solver Add-in).</t>
  </si>
  <si>
    <t xml:space="preserve">Height (ft, in)</t>
  </si>
  <si>
    <t xml:space="preserve">Rules violated</t>
  </si>
  <si>
    <t xml:space="preserve">3. Set Objective: 'Matrix Model'!$C$193   To: Min</t>
  </si>
  <si>
    <t xml:space="preserve">Weight (lb)</t>
  </si>
  <si>
    <t xml:space="preserve">Status</t>
  </si>
  <si>
    <t xml:space="preserve">4. By Changing Variable Cells: 'Matrix Model'!$C$121:$C$191</t>
  </si>
  <si>
    <t xml:space="preserve">Activity level</t>
  </si>
  <si>
    <t xml:space="preserve">Active</t>
  </si>
  <si>
    <t xml:space="preserve">Weekly budget</t>
  </si>
  <si>
    <t xml:space="preserve">5. Subject to the Constraints (Add each):</t>
  </si>
  <si>
    <t xml:space="preserve">Goal</t>
  </si>
  <si>
    <t xml:space="preserve">Maintain</t>
  </si>
  <si>
    <t xml:space="preserve">Daily totals vs targets</t>
  </si>
  <si>
    <t xml:space="preserve">     'Matrix Model'!$D$40:$D$64 &gt;= 'Matrix Model'!$C$40:$C$64</t>
  </si>
  <si>
    <t xml:space="preserve">Activity coefficients</t>
  </si>
  <si>
    <t xml:space="preserve">IOM 2005 (corrected)</t>
  </si>
  <si>
    <t xml:space="preserve">or "Same as current site" to reproduce the live site exactly</t>
  </si>
  <si>
    <t xml:space="preserve">Nutrient</t>
  </si>
  <si>
    <t xml:space="preserve">Plan</t>
  </si>
  <si>
    <t xml:space="preserve">Min</t>
  </si>
  <si>
    <t xml:space="preserve">Max</t>
  </si>
  <si>
    <t xml:space="preserve">     'Matrix Model'!$D$65:$D$116 &lt;= 'Matrix Model'!$C$65:$C$116</t>
  </si>
  <si>
    <t xml:space="preserve">Example: the site's own placeholder person (male, 21, 5'8", 155 lb, active, maintain).</t>
  </si>
  <si>
    <t xml:space="preserve">Calories (kcal)</t>
  </si>
  <si>
    <t xml:space="preserve">     'Matrix Model'!$C$121:$C$191 &lt;= 'Matrix Model'!$D$121:$D$191</t>
  </si>
  <si>
    <t xml:space="preserve">Protein (g)</t>
  </si>
  <si>
    <t xml:space="preserve">     'Matrix Model'!$C$121:$C$191 &gt;= 'Matrix Model'!$E$121:$E$191</t>
  </si>
  <si>
    <t xml:space="preserve">2. DAILY TARGETS  (calculated with the site's equations — type in Override to change one)</t>
  </si>
  <si>
    <t xml:space="preserve">Carbohydrate (g)</t>
  </si>
  <si>
    <t xml:space="preserve">6. Tick "Make Unconstrained Variables Non-Negative", choose "Simplex LP", click Solve.</t>
  </si>
  <si>
    <t xml:space="preserve">Target</t>
  </si>
  <si>
    <t xml:space="preserve">Calculated</t>
  </si>
  <si>
    <t xml:space="preserve">Override</t>
  </si>
  <si>
    <t xml:space="preserve">Used by the model</t>
  </si>
  <si>
    <t xml:space="preserve">Fat (g)</t>
  </si>
  <si>
    <t xml:space="preserve">   (77 constraint cells — inside Excel Solver's 100-cell limit; bounds on x do not count.)</t>
  </si>
  <si>
    <t xml:space="preserve">Calories (kcal/day)</t>
  </si>
  <si>
    <t xml:space="preserve">Fiber (g)</t>
  </si>
  <si>
    <t xml:space="preserve">7. Status above turns ✓. The website runs the same model instantly (src/lib/dietOptimizer.js).</t>
  </si>
  <si>
    <t xml:space="preserve">Protein at least (g) — 1.6 g/kg, kept in 10–30% of kcal</t>
  </si>
  <si>
    <t xml:space="preserve">Total sugars (g)</t>
  </si>
  <si>
    <t xml:space="preserve">Fiber at least (g) — 14 g per 1,000 kcal</t>
  </si>
  <si>
    <t xml:space="preserve">Calcium (mg)</t>
  </si>
  <si>
    <t xml:space="preserve">Calcium at least (mg)</t>
  </si>
  <si>
    <t xml:space="preserve">Iron (mg)</t>
  </si>
  <si>
    <t xml:space="preserve">Iron at least (mg)</t>
  </si>
  <si>
    <t xml:space="preserve">Potassium (mg)</t>
  </si>
  <si>
    <t xml:space="preserve">Potassium at least (mg)</t>
  </si>
  <si>
    <t xml:space="preserve">Sodium (mg)</t>
  </si>
  <si>
    <t xml:space="preserve">Vitamin C at least (mg)</t>
  </si>
  <si>
    <t xml:space="preserve">Vitamin C (mg)</t>
  </si>
  <si>
    <t xml:space="preserve">Sodium under (mg)</t>
  </si>
  <si>
    <t xml:space="preserve">Total sugars under (g, optional)</t>
  </si>
  <si>
    <t xml:space="preserve">Food group (servings)</t>
  </si>
  <si>
    <t xml:space="preserve">Protein foods</t>
  </si>
  <si>
    <t xml:space="preserve">How the targets were calculated</t>
  </si>
  <si>
    <t xml:space="preserve">Dairy</t>
  </si>
  <si>
    <t xml:space="preserve">Height (cm)</t>
  </si>
  <si>
    <t xml:space="preserve">Vegetables</t>
  </si>
  <si>
    <t xml:space="preserve">Weight (kg)</t>
  </si>
  <si>
    <t xml:space="preserve">Fruits</t>
  </si>
  <si>
    <t xml:space="preserve">Age bracket</t>
  </si>
  <si>
    <t xml:space="preserve">Whole grains</t>
  </si>
  <si>
    <t xml:space="preserve">Activity coefficient (PA)</t>
  </si>
  <si>
    <t xml:space="preserve">Healthy fats</t>
  </si>
  <si>
    <t xml:space="preserve">Maintenance calories (IOM EER, rounded to 10)</t>
  </si>
  <si>
    <t xml:space="preserve">Goal adjustment (kcal)</t>
  </si>
  <si>
    <t xml:space="preserve">Your day, by meal  (lunch and dinner share a batch-cooked base — cook once, eat twice)</t>
  </si>
  <si>
    <t xml:space="preserve">BMI</t>
  </si>
  <si>
    <t xml:space="preserve">Breakfast</t>
  </si>
  <si>
    <t xml:space="preserve">grams</t>
  </si>
  <si>
    <t xml:space="preserve">servings</t>
  </si>
  <si>
    <t xml:space="preserve">kcal</t>
  </si>
  <si>
    <t xml:space="preserve">protein (g)</t>
  </si>
  <si>
    <t xml:space="preserve">3. DIET &amp; PRICES</t>
  </si>
  <si>
    <t xml:space="preserve">Diet</t>
  </si>
  <si>
    <t xml:space="preserve">Balanced</t>
  </si>
  <si>
    <t xml:space="preserve">What it means</t>
  </si>
  <si>
    <t xml:space="preserve">Macro split (% of calories)</t>
  </si>
  <si>
    <t xml:space="preserve">Price source</t>
  </si>
  <si>
    <t xml:space="preserve">Walmart (Oct 2026)</t>
  </si>
  <si>
    <t xml:space="preserve">or "BLS U.S. average (Sep 2026)" — sensitivity check</t>
  </si>
  <si>
    <t xml:space="preserve">4. BALANCE RULES  (keep amounts realistic)</t>
  </si>
  <si>
    <t xml:space="preserve">Calorie tolerance (±)</t>
  </si>
  <si>
    <t xml:space="preserve">Max share of the day's protein from ONE food</t>
  </si>
  <si>
    <t xml:space="preserve">applies to foods with ≥ 8.5 g protein / 100 g as eaten</t>
  </si>
  <si>
    <t xml:space="preserve">Breakfast total</t>
  </si>
  <si>
    <t xml:space="preserve">Min share of protein at breakfast, lunch AND dinner</t>
  </si>
  <si>
    <t xml:space="preserve">Breakfast: share of calories (min / max)</t>
  </si>
  <si>
    <t xml:space="preserve">Lunch</t>
  </si>
  <si>
    <t xml:space="preserve">Lunch: share of calories (min / max)</t>
  </si>
  <si>
    <t xml:space="preserve">Dinner: share of calories (min / max)</t>
  </si>
  <si>
    <t xml:space="preserve">Snacks: share of calories (min / max)</t>
  </si>
  <si>
    <t xml:space="preserve">Vegetables minimum (cup-equivalents)</t>
  </si>
  <si>
    <t xml:space="preserve">Fruit minimum (cup-equivalents)</t>
  </si>
  <si>
    <t xml:space="preserve">Max meat, poultry &amp; fish (grams/day)</t>
  </si>
  <si>
    <t xml:space="preserve">9 oz cooked (about 12 oz raw) per day</t>
  </si>
  <si>
    <t xml:space="preserve">Max beans &amp; lentils (servings/day)</t>
  </si>
  <si>
    <t xml:space="preserve">2 cups cooked per day</t>
  </si>
  <si>
    <t xml:space="preserve">Max cheese (servings/day)</t>
  </si>
  <si>
    <t xml:space="preserve">slices / oz / sticks / half-cups</t>
  </si>
  <si>
    <t xml:space="preserve">Max grains &amp; bread (servings/day)</t>
  </si>
  <si>
    <t xml:space="preserve">1/2 cup cooked, 1 slice, 1 tortilla</t>
  </si>
  <si>
    <t xml:space="preserve">Max oils &amp; butter (servings/day)</t>
  </si>
  <si>
    <t xml:space="preserve">tablespoons</t>
  </si>
  <si>
    <t xml:space="preserve">Lunch total</t>
  </si>
  <si>
    <t xml:space="preserve">Max snacks &amp; sweets (servings/day)</t>
  </si>
  <si>
    <t xml:space="preserve">Per-food limits (max servings, exclusions, must-include) are on Food Data.</t>
  </si>
  <si>
    <t xml:space="preserve">Dinner</t>
  </si>
  <si>
    <t xml:space="preserve">5. REALISTIC PLAN &amp; WEEKLY BUDGET</t>
  </si>
  <si>
    <t xml:space="preserve">Plan type</t>
  </si>
  <si>
    <t xml:space="preserve">Realistic</t>
  </si>
  <si>
    <t xml:space="preserve">"Realistic" = Dietary Guidelines servings, variety, waste.  "Textbook" = cheapest on paper.</t>
  </si>
  <si>
    <t xml:space="preserve">Variety: max share of a food group from ONE food</t>
  </si>
  <si>
    <t xml:space="preserve">50% = at least 2 foods per group; 33% = 3; 25% = 4; 20% = 5. Lower = more variety, higher cost.</t>
  </si>
  <si>
    <t xml:space="preserve">Include typical household food waste in the cost</t>
  </si>
  <si>
    <t xml:space="preserve">Yes</t>
  </si>
  <si>
    <t xml:space="preserve">USDA ERS consumer-level loss rates by food group (Food Data column "Household waste")</t>
  </si>
  <si>
    <t xml:space="preserve">Saturated fat: max share of calories</t>
  </si>
  <si>
    <t xml:space="preserve">Weekly food budget ($, optional)</t>
  </si>
  <si>
    <t xml:space="preserve">The website tries every variety level and picks the most varied plan that fits.</t>
  </si>
  <si>
    <t xml:space="preserve">Dietary Guidelines calorie level used</t>
  </si>
  <si>
    <t xml:space="preserve">USDA Thrifty Food Plan for this person ($/week)</t>
  </si>
  <si>
    <t xml:space="preserve">Dinner total</t>
  </si>
  <si>
    <t xml:space="preserve">Snacks</t>
  </si>
  <si>
    <t xml:space="preserve">Snacks total</t>
  </si>
  <si>
    <t xml:space="preserve">DRI Tables — the numbers behind the person calculator</t>
  </si>
  <si>
    <t xml:space="preserve">Same values as the FeasaBULL Calories site. Activity coefficients: IOM (2005) EER equations, healthy-weight version.</t>
  </si>
  <si>
    <t xml:space="preserve">Group</t>
  </si>
  <si>
    <t xml:space="preserve">Inactive</t>
  </si>
  <si>
    <t xml:space="preserve">Low active</t>
  </si>
  <si>
    <t xml:space="preserve">Very active</t>
  </si>
  <si>
    <t xml:space="preserve">Men 19+</t>
  </si>
  <si>
    <t xml:space="preserve">Women 19+</t>
  </si>
  <si>
    <t xml:space="preserve">Boys 14–18</t>
  </si>
  <si>
    <t xml:space="preserve">Girls 14–18</t>
  </si>
  <si>
    <t xml:space="preserve">IOM 2005 values (used by default). Below: what the live FeasaBULL site uses today (men's values for everyone).</t>
  </si>
  <si>
    <t xml:space="preserve">Group (site)</t>
  </si>
  <si>
    <t xml:space="preserve">kcal change</t>
  </si>
  <si>
    <t xml:space="preserve">Calorie floor</t>
  </si>
  <si>
    <t xml:space="preserve">Lose fat</t>
  </si>
  <si>
    <t xml:space="preserve">Female</t>
  </si>
  <si>
    <t xml:space="preserve">Build muscle</t>
  </si>
  <si>
    <t xml:space="preserve">Ages</t>
  </si>
  <si>
    <t xml:space="preserve">Vit C (M)</t>
  </si>
  <si>
    <t xml:space="preserve">Vit C (F)</t>
  </si>
  <si>
    <t xml:space="preserve">Calcium (M)</t>
  </si>
  <si>
    <t xml:space="preserve">Calcium (F)</t>
  </si>
  <si>
    <t xml:space="preserve">Iron (M)</t>
  </si>
  <si>
    <t xml:space="preserve">Iron (F)</t>
  </si>
  <si>
    <t xml:space="preserve">Potassium (M)</t>
  </si>
  <si>
    <t xml:space="preserve">Potassium (F)</t>
  </si>
  <si>
    <t xml:space="preserve">teen</t>
  </si>
  <si>
    <t xml:space="preserve">14–18</t>
  </si>
  <si>
    <t xml:space="preserve">young</t>
  </si>
  <si>
    <t xml:space="preserve">19–30</t>
  </si>
  <si>
    <t xml:space="preserve">mid</t>
  </si>
  <si>
    <t xml:space="preserve">31–50</t>
  </si>
  <si>
    <t xml:space="preserve">older</t>
  </si>
  <si>
    <t xml:space="preserve">51–70</t>
  </si>
  <si>
    <t xml:space="preserve">oldest</t>
  </si>
  <si>
    <t xml:space="preserve">71+</t>
  </si>
  <si>
    <t xml:space="preserve">Units: vitamin C, calcium, potassium in mg; iron in mg. Fiber = 14 g per 1,000 kcal. Sodium: keep under 2,300 mg.</t>
  </si>
  <si>
    <t xml:space="preserve">Dietary Guidelines for Americans 2025–2030: daily servings by calorie level (realistic model). Ranges are low–high.</t>
  </si>
  <si>
    <t xml:space="preserve">Calories</t>
  </si>
  <si>
    <t xml:space="preserve">Protein foods (low)</t>
  </si>
  <si>
    <t xml:space="preserve">Protein foods (high)</t>
  </si>
  <si>
    <t xml:space="preserve">Vegetables (cups)</t>
  </si>
  <si>
    <t xml:space="preserve">Fruits (cups)</t>
  </si>
  <si>
    <t xml:space="preserve">Whole grains (low)</t>
  </si>
  <si>
    <t xml:space="preserve">Whole grains (high)</t>
  </si>
  <si>
    <t xml:space="preserve">Healthy fats (tsp)</t>
  </si>
  <si>
    <t xml:space="preserve">One serving: 3 oz cooked meat/poultry/seafood, 1 egg, ½ cup cooked beans, 1 oz nuts, 2 tbsp nut butter; 1 cup milk, ¾ cup yogurt, 1 oz cheese; 1 cup vegetables or fruit (2 cups leafy greens); ½ cup cooked whole grain or 1 slice bread; 1 tsp oil or butter.</t>
  </si>
  <si>
    <t xml:space="preserve">USDA Food Plans: Cost of Food at Home, U.S. average, May 2026 ($ per week, one person in a 4-person household; +20% living alone)</t>
  </si>
  <si>
    <t xml:space="preserve">Age group</t>
  </si>
  <si>
    <t xml:space="preserve">Thrifty</t>
  </si>
  <si>
    <t xml:space="preserve">Low-Cost</t>
  </si>
  <si>
    <t xml:space="preserve">Moderate-Cost</t>
  </si>
  <si>
    <t xml:space="preserve">Liberal</t>
  </si>
  <si>
    <t xml:space="preserve">14-18</t>
  </si>
  <si>
    <t xml:space="preserve">19-50</t>
  </si>
  <si>
    <t xml:space="preserve">51-70</t>
  </si>
  <si>
    <t xml:space="preserve">Thrifty uses ages 14–19 and 20–50; the other three plans use 14–18 and 19–50 (rows are matched by the closer bracket).</t>
  </si>
  <si>
    <t xml:space="preserve">Food Data — 71 common foods, sorted by group and type, in grams AS EATEN (cooked rice, roasted chicken)</t>
  </si>
  <si>
    <t xml:space="preserve">Prices: Walmart (Oct 2026, regular price) with BLS U.S. average (Sep 2026). Nutrients: USDA SR28 per 100 g as eaten (cooked entries for foods you cook). Cook yield converts grams bought to grams eaten.</t>
  </si>
  <si>
    <t xml:space="preserve">Blue = data you can edit (prices, servings, caps, exclusions).  Black = formulas.  Yellow = check this price.  Edible yield removes bone, peel, shells (USDA refuse %).</t>
  </si>
  <si>
    <t xml:space="preserve">#</t>
  </si>
  <si>
    <t xml:space="preserve">Type</t>
  </si>
  <si>
    <t xml:space="preserve">Food (as eaten)</t>
  </si>
  <si>
    <t xml:space="preserve">Bought as</t>
  </si>
  <si>
    <t xml:space="preserve">Store product (Walmart)</t>
  </si>
  <si>
    <t xml:space="preserve">Price ($)</t>
  </si>
  <si>
    <t xml:space="preserve">Package as bought (g)</t>
  </si>
  <si>
    <t xml:space="preserve">Edible yield</t>
  </si>
  <si>
    <t xml:space="preserve">Cook yield (g eaten per g bought)</t>
  </si>
  <si>
    <t xml:space="preserve">Household waste</t>
  </si>
  <si>
    <t xml:space="preserve">Walmart $ per 100 g as eaten</t>
  </si>
  <si>
    <t xml:space="preserve">Walmart $ per 100 g incl. waste</t>
  </si>
  <si>
    <t xml:space="preserve">BLS U.S. avg price ($)</t>
  </si>
  <si>
    <t xml:space="preserve">BLS unit (g)</t>
  </si>
  <si>
    <t xml:space="preserve">BLS $ per 100 g as eaten</t>
  </si>
  <si>
    <t xml:space="preserve">$ per 100 g USED</t>
  </si>
  <si>
    <t xml:space="preserve">Serving (g)</t>
  </si>
  <si>
    <t xml:space="preserve">Serving</t>
  </si>
  <si>
    <t xml:space="preserve">Max servings / day</t>
  </si>
  <si>
    <t xml:space="preserve">Exclude? (Y)</t>
  </si>
  <si>
    <t xml:space="preserve">Must include (servings)</t>
  </si>
  <si>
    <t xml:space="preserve">Red meat</t>
  </si>
  <si>
    <t xml:space="preserve">Pork</t>
  </si>
  <si>
    <t xml:space="preserve">Poultry</t>
  </si>
  <si>
    <t xml:space="preserve">Fish</t>
  </si>
  <si>
    <t xml:space="preserve">Eggs</t>
  </si>
  <si>
    <t xml:space="preserve">Gluten</t>
  </si>
  <si>
    <t xml:space="preserve">Blocked by diet</t>
  </si>
  <si>
    <t xml:space="preserve">Allowed (1/0)</t>
  </si>
  <si>
    <t xml:space="preserve">Meal share: Breakfast</t>
  </si>
  <si>
    <t xml:space="preserve">Meal share: Lunch</t>
  </si>
  <si>
    <t xml:space="preserve">Meal share: Dinner</t>
  </si>
  <si>
    <t xml:space="preserve">Meal share: Snacks</t>
  </si>
  <si>
    <t xml:space="preserve">Grams per cup-equivalent</t>
  </si>
  <si>
    <t xml:space="preserve">Group cap</t>
  </si>
  <si>
    <t xml:space="preserve">Dietary Guidelines group</t>
  </si>
  <si>
    <t xml:space="preserve">Grams per DGA serving</t>
  </si>
  <si>
    <t xml:space="preserve">Refined grain: grams per serving</t>
  </si>
  <si>
    <t xml:space="preserve">Variety slot</t>
  </si>
  <si>
    <t xml:space="preserve">Saturated fat (g/100 g)</t>
  </si>
  <si>
    <t xml:space="preserve">Calories (kcal/100 g)</t>
  </si>
  <si>
    <t xml:space="preserve">Protein (g/100 g)</t>
  </si>
  <si>
    <t xml:space="preserve">Carbohydrate (g/100 g)</t>
  </si>
  <si>
    <t xml:space="preserve">Fat (g/100 g)</t>
  </si>
  <si>
    <t xml:space="preserve">Fiber (g/100 g)</t>
  </si>
  <si>
    <t xml:space="preserve">Total sugars (g/100 g)</t>
  </si>
  <si>
    <t xml:space="preserve">Calcium (mg/100 g)</t>
  </si>
  <si>
    <t xml:space="preserve">Iron (mg/100 g)</t>
  </si>
  <si>
    <t xml:space="preserve">Potassium (mg/100 g)</t>
  </si>
  <si>
    <t xml:space="preserve">Sodium (mg/100 g)</t>
  </si>
  <si>
    <t xml:space="preserve">Vitamin C (mg/100 g)</t>
  </si>
  <si>
    <t xml:space="preserve">Protein per $ (g)</t>
  </si>
  <si>
    <t xml:space="preserve">Calories per $</t>
  </si>
  <si>
    <t xml:space="preserve">USDA NDB #</t>
  </si>
  <si>
    <t xml:space="preserve">USDA SR28 food</t>
  </si>
  <si>
    <t xml:space="preserve">Price / data note</t>
  </si>
  <si>
    <t xml:space="preserve">Proteins</t>
  </si>
  <si>
    <t xml:space="preserve">Chicken breast, roasted</t>
  </si>
  <si>
    <t xml:space="preserve">Chicken breast (boneless, skinless)</t>
  </si>
  <si>
    <t xml:space="preserve">Great Value frozen, 3 lb</t>
  </si>
  <si>
    <t xml:space="preserve">3 oz cooked</t>
  </si>
  <si>
    <t xml:space="preserve">Meat, poultry &amp; fish</t>
  </si>
  <si>
    <t xml:space="preserve">protein</t>
  </si>
  <si>
    <t xml:space="preserve">05064</t>
  </si>
  <si>
    <t xml:space="preserve">Chicken, broilers or fryers, breast, meat only, cooked, roasted</t>
  </si>
  <si>
    <t xml:space="preserve">Chicken drumsticks, roasted (meat &amp; skin)</t>
  </si>
  <si>
    <t xml:space="preserve">Chicken drumsticks (bone-in)</t>
  </si>
  <si>
    <t xml:space="preserve">Great Value frozen, 4 lb</t>
  </si>
  <si>
    <t xml:space="preserve">3 oz cooked (about 1 drumstick)</t>
  </si>
  <si>
    <t xml:space="preserve">05069</t>
  </si>
  <si>
    <t xml:space="preserve">Chicken, broilers or fryers, drumstick, meat and skin, cooked, roasted</t>
  </si>
  <si>
    <t xml:space="preserve">Edible yield 67%: USDA lists bone twice (66%); 33% used; USDA refuse 66% (Bone and cartilage 33%, Bone and coonective tissue 33%) not applied: bought trimmed</t>
  </si>
  <si>
    <t xml:space="preserve">Chicken thighs, roasted</t>
  </si>
  <si>
    <t xml:space="preserve">Chicken thighs (boneless, skinless)</t>
  </si>
  <si>
    <t xml:space="preserve">05098</t>
  </si>
  <si>
    <t xml:space="preserve">Chicken, broilers or fryers, thigh, meat only, cooked, roasted</t>
  </si>
  <si>
    <t xml:space="preserve">USDA refuse 25% ( Skin and separable fat 25%) not applied: bought trimmed</t>
  </si>
  <si>
    <t xml:space="preserve">Deli turkey breast (sliced)</t>
  </si>
  <si>
    <t xml:space="preserve">Great Value thin sliced, 16 oz</t>
  </si>
  <si>
    <t xml:space="preserve">2 oz (about 4 slices)</t>
  </si>
  <si>
    <t xml:space="preserve">07081</t>
  </si>
  <si>
    <t xml:space="preserve">Turkey breast, sliced, prepackaged</t>
  </si>
  <si>
    <t xml:space="preserve">Ground turkey 93/7, cooked</t>
  </si>
  <si>
    <t xml:space="preserve">Ground turkey 93/7</t>
  </si>
  <si>
    <t xml:space="preserve">Jennie-O, 16 oz</t>
  </si>
  <si>
    <t xml:space="preserve">05666</t>
  </si>
  <si>
    <t xml:space="preserve">Ground turkey, 93% lean, 7% fat, pan-broiled crumbles</t>
  </si>
  <si>
    <t xml:space="preserve">Red Meat &amp; Pork</t>
  </si>
  <si>
    <t xml:space="preserve">Bacon, cooked</t>
  </si>
  <si>
    <t xml:space="preserve">Bacon</t>
  </si>
  <si>
    <t xml:space="preserve">Great Value hickory smoked, 16 oz</t>
  </si>
  <si>
    <t xml:space="preserve">1 slice cooked</t>
  </si>
  <si>
    <t xml:space="preserve">10862</t>
  </si>
  <si>
    <t xml:space="preserve">Pork, cured, bacon, pre-sliced, cooked, pan-fried</t>
  </si>
  <si>
    <t xml:space="preserve">Ground beef 80/20, cooked</t>
  </si>
  <si>
    <t xml:space="preserve">Ground beef 80/20</t>
  </si>
  <si>
    <t xml:space="preserve">80/20 ground chuck, 1 lb roll</t>
  </si>
  <si>
    <t xml:space="preserve">ground beef</t>
  </si>
  <si>
    <t xml:space="preserve">23575</t>
  </si>
  <si>
    <t xml:space="preserve">Beef, ground, 80% lean meat / 20% fat, crumbles, cooked, pan-browned</t>
  </si>
  <si>
    <t xml:space="preserve">Ground beef 93/7, cooked</t>
  </si>
  <si>
    <t xml:space="preserve">Ground beef 93/7 (lean)</t>
  </si>
  <si>
    <t xml:space="preserve">93/7 lean ground beef, 1 lb</t>
  </si>
  <si>
    <t xml:space="preserve">23476</t>
  </si>
  <si>
    <t xml:space="preserve">Beef, ground, 93% lean meat / 7% fat, crumbles, cooked, pan-browned</t>
  </si>
  <si>
    <t xml:space="preserve">Ham (sliced, cooked)</t>
  </si>
  <si>
    <t xml:space="preserve">Great Value cooked ham, 16 oz</t>
  </si>
  <si>
    <t xml:space="preserve">2 oz (2 slices)</t>
  </si>
  <si>
    <t xml:space="preserve">07029</t>
  </si>
  <si>
    <t xml:space="preserve">Ham, sliced, regular (approximately 11% fat)</t>
  </si>
  <si>
    <t xml:space="preserve">Regular price; was on Rollback at $4.47</t>
  </si>
  <si>
    <t xml:space="preserve">Pork loin chops, pan-cooked</t>
  </si>
  <si>
    <t xml:space="preserve">Pork loin chops (boneless)</t>
  </si>
  <si>
    <t xml:space="preserve">Family pack, per lb</t>
  </si>
  <si>
    <t xml:space="preserve">10189</t>
  </si>
  <si>
    <t xml:space="preserve">Pork, fresh, loin, center loin (chops), boneless, separable lean and fat, cooked, pan-broiled</t>
  </si>
  <si>
    <t xml:space="preserve">Top sirloin steak, broiled</t>
  </si>
  <si>
    <t xml:space="preserve">Top sirloin steak</t>
  </si>
  <si>
    <t xml:space="preserve">Choice Angus top sirloin, per lb</t>
  </si>
  <si>
    <t xml:space="preserve">13932</t>
  </si>
  <si>
    <t xml:space="preserve">Beef, top sirloin, steak, separable lean and fat, trimmed to 1/8" fat, choice, cooked, broiled</t>
  </si>
  <si>
    <t xml:space="preserve">Fish &amp; Seafood</t>
  </si>
  <si>
    <t xml:space="preserve">Canned light tuna (in water)</t>
  </si>
  <si>
    <t xml:space="preserve">Great Value chunk light, 5 oz can</t>
  </si>
  <si>
    <t xml:space="preserve">3 oz drained</t>
  </si>
  <si>
    <t xml:space="preserve">15121</t>
  </si>
  <si>
    <t xml:space="preserve">Fish, tuna, light, canned in water, drained solids</t>
  </si>
  <si>
    <t xml:space="preserve">Drained solids ~79% of can weight</t>
  </si>
  <si>
    <t xml:space="preserve">Salmon, baked</t>
  </si>
  <si>
    <t xml:space="preserve">Salmon (Atlantic, fillet)</t>
  </si>
  <si>
    <t xml:space="preserve">Marketside frozen portions, 2 lb</t>
  </si>
  <si>
    <t xml:space="preserve">15237</t>
  </si>
  <si>
    <t xml:space="preserve">Fish, salmon, Atlantic, farmed, cooked, dry heat</t>
  </si>
  <si>
    <t xml:space="preserve">Shrimp, cooked</t>
  </si>
  <si>
    <t xml:space="preserve">Shrimp (raw, peeled)</t>
  </si>
  <si>
    <t xml:space="preserve">Great Value frozen, 2 lb</t>
  </si>
  <si>
    <t xml:space="preserve">15151</t>
  </si>
  <si>
    <t xml:space="preserve">Crustaceans, shrimp, mixed species, cooked, moist heat (may have been previously frozen)</t>
  </si>
  <si>
    <t xml:space="preserve">Tilapia, baked</t>
  </si>
  <si>
    <t xml:space="preserve">Tilapia (fillet)</t>
  </si>
  <si>
    <t xml:space="preserve">15262</t>
  </si>
  <si>
    <t xml:space="preserve">Fish, tilapia, cooked, dry heat</t>
  </si>
  <si>
    <t xml:space="preserve">Eggs (large)</t>
  </si>
  <si>
    <t xml:space="preserve">Great Value large, 12 ct</t>
  </si>
  <si>
    <t xml:space="preserve">1 large egg</t>
  </si>
  <si>
    <t xml:space="preserve">01123</t>
  </si>
  <si>
    <t xml:space="preserve">Egg, whole, raw, fresh</t>
  </si>
  <si>
    <t xml:space="preserve">Dozen = 12 x 50 g edible; shell is 12% of weight</t>
  </si>
  <si>
    <t xml:space="preserve">Plant Proteins</t>
  </si>
  <si>
    <t xml:space="preserve">Black beans (canned)</t>
  </si>
  <si>
    <t xml:space="preserve">Great Value no salt added, 15 oz</t>
  </si>
  <si>
    <t xml:space="preserve">1/2 cup</t>
  </si>
  <si>
    <t xml:space="preserve">Beans &amp; lentils</t>
  </si>
  <si>
    <t xml:space="preserve">16316</t>
  </si>
  <si>
    <t xml:space="preserve">Beans, black, mature seeds, canned, low sodium</t>
  </si>
  <si>
    <t xml:space="preserve">Nutrients for solids + liquid</t>
  </si>
  <si>
    <t xml:space="preserve">Chickpeas (canned)</t>
  </si>
  <si>
    <t xml:space="preserve">Great Value, 15.5 oz</t>
  </si>
  <si>
    <t xml:space="preserve">16058</t>
  </si>
  <si>
    <t xml:space="preserve">Chickpeas (garbanzo beans, bengal gram), mature seeds, canned, solids and liquids</t>
  </si>
  <si>
    <t xml:space="preserve">Lentils, cooked</t>
  </si>
  <si>
    <t xml:space="preserve">Lentils (dry)</t>
  </si>
  <si>
    <t xml:space="preserve">Great Value, 1 lb</t>
  </si>
  <si>
    <t xml:space="preserve">1/2 cup cooked</t>
  </si>
  <si>
    <t xml:space="preserve">16070</t>
  </si>
  <si>
    <t xml:space="preserve">Lentils, mature seeds, cooked, boiled, without salt</t>
  </si>
  <si>
    <t xml:space="preserve">Peanut butter</t>
  </si>
  <si>
    <t xml:space="preserve">Great Value creamy, 40 oz</t>
  </si>
  <si>
    <t xml:space="preserve">2 tbsp</t>
  </si>
  <si>
    <t xml:space="preserve">16098</t>
  </si>
  <si>
    <t xml:space="preserve">Peanut butter, smooth style, with salt</t>
  </si>
  <si>
    <t xml:space="preserve">Pinto beans, cooked</t>
  </si>
  <si>
    <t xml:space="preserve">Pinto beans (dry)</t>
  </si>
  <si>
    <t xml:space="preserve">Great Value, 2 lb</t>
  </si>
  <si>
    <t xml:space="preserve">16043</t>
  </si>
  <si>
    <t xml:space="preserve">Beans, pinto, mature seeds, cooked, boiled, without salt</t>
  </si>
  <si>
    <t xml:space="preserve">Tofu (extra firm)</t>
  </si>
  <si>
    <t xml:space="preserve">Nasoya extra firm, 14 oz</t>
  </si>
  <si>
    <t xml:space="preserve">3 oz</t>
  </si>
  <si>
    <t xml:space="preserve">16212</t>
  </si>
  <si>
    <t xml:space="preserve">Vitasoy USA, Organic Nasoya Extra Firm Tofu</t>
  </si>
  <si>
    <t xml:space="preserve">Price undated (Walmart Business listing)</t>
  </si>
  <si>
    <t xml:space="preserve">Dairy &amp; Alternatives</t>
  </si>
  <si>
    <t xml:space="preserve">Milk &amp; Yogurt</t>
  </si>
  <si>
    <t xml:space="preserve">2% milk</t>
  </si>
  <si>
    <t xml:space="preserve">Great Value, 1 gal</t>
  </si>
  <si>
    <t xml:space="preserve">1 cup</t>
  </si>
  <si>
    <t xml:space="preserve">dairy</t>
  </si>
  <si>
    <t xml:space="preserve">milk</t>
  </si>
  <si>
    <t xml:space="preserve">01079</t>
  </si>
  <si>
    <t xml:space="preserve">Milk, reduced fat, fluid, 2% milkfat, with added vitamin A and vitamin D</t>
  </si>
  <si>
    <t xml:space="preserve">Gallon = 16 cups x 244 g</t>
  </si>
  <si>
    <t xml:space="preserve">Greek yogurt (plain, nonfat)</t>
  </si>
  <si>
    <t xml:space="preserve">Great Value, 32 oz</t>
  </si>
  <si>
    <t xml:space="preserve">1 container (6 oz)</t>
  </si>
  <si>
    <t xml:space="preserve">01256</t>
  </si>
  <si>
    <t xml:space="preserve">Yogurt, Greek, plain, nonfat</t>
  </si>
  <si>
    <t xml:space="preserve">Soy milk (calcium-fortified)</t>
  </si>
  <si>
    <t xml:space="preserve">Silk original, 64 fl oz</t>
  </si>
  <si>
    <t xml:space="preserve">16139</t>
  </si>
  <si>
    <t xml:space="preserve">Soymilk, original and vanilla, with added calcium, vitamins A and D</t>
  </si>
  <si>
    <t xml:space="preserve">Half gallon = 8 cups x 243 g</t>
  </si>
  <si>
    <t xml:space="preserve">Whole milk</t>
  </si>
  <si>
    <t xml:space="preserve">01077</t>
  </si>
  <si>
    <t xml:space="preserve">Milk, whole, 3.25% milkfat, with added vitamin D</t>
  </si>
  <si>
    <t xml:space="preserve">Cheese</t>
  </si>
  <si>
    <t xml:space="preserve">American cheese (singles)</t>
  </si>
  <si>
    <t xml:space="preserve">Great Value, 16 oz / 24 slices</t>
  </si>
  <si>
    <t xml:space="preserve">1 slice</t>
  </si>
  <si>
    <t xml:space="preserve">01042</t>
  </si>
  <si>
    <t xml:space="preserve">Cheese, pasteurized process, American, fortified with vitamin D</t>
  </si>
  <si>
    <t xml:space="preserve">Cheddar cheese</t>
  </si>
  <si>
    <t xml:space="preserve">Great Value medium block, 8 oz</t>
  </si>
  <si>
    <t xml:space="preserve">1 oz</t>
  </si>
  <si>
    <t xml:space="preserve">01009</t>
  </si>
  <si>
    <t xml:space="preserve">Cheese, cheddar</t>
  </si>
  <si>
    <t xml:space="preserve">Cottage cheese (2%)</t>
  </si>
  <si>
    <t xml:space="preserve">Great Value small curd, 24 oz</t>
  </si>
  <si>
    <t xml:space="preserve">01015</t>
  </si>
  <si>
    <t xml:space="preserve">Cheese, cottage, lowfat, 2% milkfat</t>
  </si>
  <si>
    <t xml:space="preserve">Mozzarella string cheese</t>
  </si>
  <si>
    <t xml:space="preserve">Great Value part-skim, 12 ct</t>
  </si>
  <si>
    <t xml:space="preserve">1 stick</t>
  </si>
  <si>
    <t xml:space="preserve">01029</t>
  </si>
  <si>
    <t xml:space="preserve">Cheese, mozzarella, low moisture, part-skim</t>
  </si>
  <si>
    <t xml:space="preserve">Price undated (Walmart.com listing)</t>
  </si>
  <si>
    <t xml:space="preserve">Carbohydrates</t>
  </si>
  <si>
    <t xml:space="preserve">Grains &amp; Bread</t>
  </si>
  <si>
    <t xml:space="preserve">Bagels (plain)</t>
  </si>
  <si>
    <t xml:space="preserve">Great Value, 6 ct / 20 oz</t>
  </si>
  <si>
    <t xml:space="preserve">1 bagel</t>
  </si>
  <si>
    <t xml:space="preserve">Grains &amp; bread</t>
  </si>
  <si>
    <t xml:space="preserve">18001</t>
  </si>
  <si>
    <t xml:space="preserve">Bagels, plain, enriched, with calcium propionate (includes onion, poppy, sesame)</t>
  </si>
  <si>
    <t xml:space="preserve">Brown rice, cooked</t>
  </si>
  <si>
    <t xml:space="preserve">Brown rice (dry)</t>
  </si>
  <si>
    <t xml:space="preserve">Great Value long grain, 32 oz</t>
  </si>
  <si>
    <t xml:space="preserve">wgrain</t>
  </si>
  <si>
    <t xml:space="preserve">20037</t>
  </si>
  <si>
    <t xml:space="preserve">Rice, brown, long-grain, cooked</t>
  </si>
  <si>
    <t xml:space="preserve">Cheerios</t>
  </si>
  <si>
    <t xml:space="preserve">Cheerios family size, 18 oz</t>
  </si>
  <si>
    <t xml:space="preserve">08013</t>
  </si>
  <si>
    <t xml:space="preserve">Cereals ready-to-eat, GENERAL MILLS, CHEERIOS</t>
  </si>
  <si>
    <t xml:space="preserve">Regular price; was on Rollback at $4.50</t>
  </si>
  <si>
    <t xml:space="preserve">Corn tortillas</t>
  </si>
  <si>
    <t xml:space="preserve">Mission yellow corn, 30 ct</t>
  </si>
  <si>
    <t xml:space="preserve">1 tortilla</t>
  </si>
  <si>
    <t xml:space="preserve">18363</t>
  </si>
  <si>
    <t xml:space="preserve">Tortillas, ready-to-bake or -fry, corn</t>
  </si>
  <si>
    <t xml:space="preserve">Weight from listed unit price (8.9 cents/oz)</t>
  </si>
  <si>
    <t xml:space="preserve">Flour tortillas</t>
  </si>
  <si>
    <t xml:space="preserve">Great Value medium, 10 ct / 16 oz</t>
  </si>
  <si>
    <t xml:space="preserve">18970</t>
  </si>
  <si>
    <t xml:space="preserve">Tortillas, ready-to-bake or -fry, flour, shelf stable</t>
  </si>
  <si>
    <t xml:space="preserve">Oatmeal (made with water)</t>
  </si>
  <si>
    <t xml:space="preserve">Rolled oats (dry)</t>
  </si>
  <si>
    <t xml:space="preserve">Great Value old fashioned, 42 oz</t>
  </si>
  <si>
    <t xml:space="preserve">08121</t>
  </si>
  <si>
    <t xml:space="preserve">Cereals, oats, regular and quick, unenriched, cooked with water (includes boiling and microwaving), without salt</t>
  </si>
  <si>
    <t xml:space="preserve">Not certified gluten-free</t>
  </si>
  <si>
    <t xml:space="preserve">Quinoa, cooked</t>
  </si>
  <si>
    <t xml:space="preserve">Quinoa (dry)</t>
  </si>
  <si>
    <t xml:space="preserve">Great Value organic, 16 oz</t>
  </si>
  <si>
    <t xml:space="preserve">20137</t>
  </si>
  <si>
    <t xml:space="preserve">Spaghetti, cooked</t>
  </si>
  <si>
    <t xml:space="preserve">Spaghetti (dry)</t>
  </si>
  <si>
    <t xml:space="preserve">Great Value, 16 oz</t>
  </si>
  <si>
    <t xml:space="preserve">20121</t>
  </si>
  <si>
    <t xml:space="preserve">Pasta, cooked, enriched, without added salt</t>
  </si>
  <si>
    <t xml:space="preserve">White bread</t>
  </si>
  <si>
    <t xml:space="preserve">Great Value, 20 oz loaf</t>
  </si>
  <si>
    <t xml:space="preserve">18069</t>
  </si>
  <si>
    <t xml:space="preserve">Bread, white, commercially prepared (includes soft bread crumbs)</t>
  </si>
  <si>
    <t xml:space="preserve">White rice, cooked</t>
  </si>
  <si>
    <t xml:space="preserve">White rice (dry)</t>
  </si>
  <si>
    <t xml:space="preserve">Great Value long grain, 5 lb</t>
  </si>
  <si>
    <t xml:space="preserve">20045</t>
  </si>
  <si>
    <t xml:space="preserve">Rice, white, long-grain, regular, enriched, cooked</t>
  </si>
  <si>
    <t xml:space="preserve">Whole-wheat bread</t>
  </si>
  <si>
    <t xml:space="preserve">Great Value 100% whole wheat, 20 oz</t>
  </si>
  <si>
    <t xml:space="preserve">18075</t>
  </si>
  <si>
    <t xml:space="preserve">Bread, whole-wheat, commercially prepared</t>
  </si>
  <si>
    <t xml:space="preserve">Whole-wheat spaghetti, cooked</t>
  </si>
  <si>
    <t xml:space="preserve">Whole-wheat spaghetti (dry)</t>
  </si>
  <si>
    <t xml:space="preserve">20125</t>
  </si>
  <si>
    <t xml:space="preserve">Pasta, whole-wheat, cooked</t>
  </si>
  <si>
    <t xml:space="preserve">Starchy Vegetables</t>
  </si>
  <si>
    <t xml:space="preserve">Baked potato (with skin)</t>
  </si>
  <si>
    <t xml:space="preserve">Potatoes (russet)</t>
  </si>
  <si>
    <t xml:space="preserve">Russet, 5 lb bag</t>
  </si>
  <si>
    <t xml:space="preserve">1 medium potato</t>
  </si>
  <si>
    <t xml:space="preserve">veg</t>
  </si>
  <si>
    <t xml:space="preserve">11674</t>
  </si>
  <si>
    <t xml:space="preserve">Potatoes, baked, flesh and skin, without salt</t>
  </si>
  <si>
    <t xml:space="preserve">Regular price; was on Rollback at $2.47</t>
  </si>
  <si>
    <t xml:space="preserve">Baked sweet potato</t>
  </si>
  <si>
    <t xml:space="preserve">Sweet potatoes</t>
  </si>
  <si>
    <t xml:space="preserve">3 lb bag</t>
  </si>
  <si>
    <t xml:space="preserve">11508</t>
  </si>
  <si>
    <t xml:space="preserve">Sweet potato, cooked, baked in skin, flesh, without salt</t>
  </si>
  <si>
    <t xml:space="preserve">Corn, cooked (from frozen)</t>
  </si>
  <si>
    <t xml:space="preserve">Corn (frozen)</t>
  </si>
  <si>
    <t xml:space="preserve">Great Value whole kernel, 12 oz</t>
  </si>
  <si>
    <t xml:space="preserve">11179</t>
  </si>
  <si>
    <t xml:space="preserve">Corn, sweet, yellow, frozen, kernels cut off cob, boiled, drained, without salt</t>
  </si>
  <si>
    <t xml:space="preserve">Fruit</t>
  </si>
  <si>
    <t xml:space="preserve">Apples (Gala)</t>
  </si>
  <si>
    <t xml:space="preserve">Fresh Gala, 3 lb bag</t>
  </si>
  <si>
    <t xml:space="preserve">1 small apple</t>
  </si>
  <si>
    <t xml:space="preserve">fruit</t>
  </si>
  <si>
    <t xml:space="preserve">09003</t>
  </si>
  <si>
    <t xml:space="preserve">Apples, raw, with skin</t>
  </si>
  <si>
    <t xml:space="preserve">Older listing (Jun 2025) — verify</t>
  </si>
  <si>
    <t xml:space="preserve">Bananas</t>
  </si>
  <si>
    <t xml:space="preserve">Fresh, per lb</t>
  </si>
  <si>
    <t xml:space="preserve">1 medium</t>
  </si>
  <si>
    <t xml:space="preserve">09040</t>
  </si>
  <si>
    <t xml:space="preserve">Bananas, raw</t>
  </si>
  <si>
    <t xml:space="preserve">Blueberries (frozen)</t>
  </si>
  <si>
    <t xml:space="preserve">Great Value, 48 oz</t>
  </si>
  <si>
    <t xml:space="preserve">09054</t>
  </si>
  <si>
    <t xml:space="preserve">Blueberries, frozen, unsweetened</t>
  </si>
  <si>
    <t xml:space="preserve">Grapes (red seedless)</t>
  </si>
  <si>
    <t xml:space="preserve">09132</t>
  </si>
  <si>
    <t xml:space="preserve">Grapes, red or green (European type, such as Thompson seedless), raw</t>
  </si>
  <si>
    <t xml:space="preserve">Orange juice (100%)</t>
  </si>
  <si>
    <t xml:space="preserve">Great Value not-from-concentrate, 52 fl oz</t>
  </si>
  <si>
    <t xml:space="preserve">09209</t>
  </si>
  <si>
    <t xml:space="preserve">Orange juice, chilled, includes from concentrate</t>
  </si>
  <si>
    <t xml:space="preserve">52 fl oz = 6.5 cups x 249 g</t>
  </si>
  <si>
    <t xml:space="preserve">Oranges (navel)</t>
  </si>
  <si>
    <t xml:space="preserve">Fresh navel, 4 lb bag</t>
  </si>
  <si>
    <t xml:space="preserve">1 orange</t>
  </si>
  <si>
    <t xml:space="preserve">09202</t>
  </si>
  <si>
    <t xml:space="preserve">Oranges, raw, navels</t>
  </si>
  <si>
    <t xml:space="preserve">Raisins</t>
  </si>
  <si>
    <t xml:space="preserve">Great Value, 20 oz</t>
  </si>
  <si>
    <t xml:space="preserve">1/4 cup</t>
  </si>
  <si>
    <t xml:space="preserve">09298</t>
  </si>
  <si>
    <t xml:space="preserve">Raisins, seedless</t>
  </si>
  <si>
    <t xml:space="preserve">Strawberries</t>
  </si>
  <si>
    <t xml:space="preserve">Fresh, 1 lb</t>
  </si>
  <si>
    <t xml:space="preserve">1 cup halves</t>
  </si>
  <si>
    <t xml:space="preserve">09316</t>
  </si>
  <si>
    <t xml:space="preserve">Strawberries, raw</t>
  </si>
  <si>
    <t xml:space="preserve">Broccoli, cooked (from frozen)</t>
  </si>
  <si>
    <t xml:space="preserve">Broccoli (frozen)</t>
  </si>
  <si>
    <t xml:space="preserve">Great Value florets, 12 oz</t>
  </si>
  <si>
    <t xml:space="preserve">11095</t>
  </si>
  <si>
    <t xml:space="preserve">Broccoli, frozen, spears, cooked, boiled, drained, without salt</t>
  </si>
  <si>
    <t xml:space="preserve">Carrots</t>
  </si>
  <si>
    <t xml:space="preserve">Fresh whole, 2 lb bag</t>
  </si>
  <si>
    <t xml:space="preserve">1 cup chopped</t>
  </si>
  <si>
    <t xml:space="preserve">11124</t>
  </si>
  <si>
    <t xml:space="preserve">Carrots, raw</t>
  </si>
  <si>
    <t xml:space="preserve">Green beans (canned, drained)</t>
  </si>
  <si>
    <t xml:space="preserve">Green beans (canned)</t>
  </si>
  <si>
    <t xml:space="preserve">Great Value cut, 14.5 oz</t>
  </si>
  <si>
    <t xml:space="preserve">1 cup drained</t>
  </si>
  <si>
    <t xml:space="preserve">11056</t>
  </si>
  <si>
    <t xml:space="preserve">Beans, snap, green, canned, regular pack, drained solids</t>
  </si>
  <si>
    <t xml:space="preserve">Regular price; was on Rollback at $0.50</t>
  </si>
  <si>
    <t xml:space="preserve">Green bell pepper</t>
  </si>
  <si>
    <t xml:space="preserve">Fresh, each (~145 g)</t>
  </si>
  <si>
    <t xml:space="preserve">11333</t>
  </si>
  <si>
    <t xml:space="preserve">Peppers, sweet, green, raw</t>
  </si>
  <si>
    <t xml:space="preserve">Each ~145 g as bought (119 g edible, USDA)</t>
  </si>
  <si>
    <t xml:space="preserve">Mixed vegetables, cooked (from frozen)</t>
  </si>
  <si>
    <t xml:space="preserve">Mixed vegetables (frozen)</t>
  </si>
  <si>
    <t xml:space="preserve">11584</t>
  </si>
  <si>
    <t xml:space="preserve">Vegetables, mixed, frozen, cooked, boiled, drained, without salt</t>
  </si>
  <si>
    <t xml:space="preserve">Onions (yellow)</t>
  </si>
  <si>
    <t xml:space="preserve">Fresh yellow, 3 lb bag</t>
  </si>
  <si>
    <t xml:space="preserve">1/2 cup chopped</t>
  </si>
  <si>
    <t xml:space="preserve">11282</t>
  </si>
  <si>
    <t xml:space="preserve">Onions, raw</t>
  </si>
  <si>
    <t xml:space="preserve">Romaine lettuce</t>
  </si>
  <si>
    <t xml:space="preserve">Romaine, per lb (BLS U.S. average)</t>
  </si>
  <si>
    <t xml:space="preserve">2 cups shredded</t>
  </si>
  <si>
    <t xml:space="preserve">11251</t>
  </si>
  <si>
    <t xml:space="preserve">Lettuce, cos or romaine, raw</t>
  </si>
  <si>
    <t xml:space="preserve">BLS Sep 2026 price (Walmart sells by count)</t>
  </si>
  <si>
    <t xml:space="preserve">Spinach (fresh)</t>
  </si>
  <si>
    <t xml:space="preserve">Marketside, 10 oz bag</t>
  </si>
  <si>
    <t xml:space="preserve">2 cups raw</t>
  </si>
  <si>
    <t xml:space="preserve">11457</t>
  </si>
  <si>
    <t xml:space="preserve">Spinach, raw</t>
  </si>
  <si>
    <t xml:space="preserve">Bagged and washed: no refuse; USDA refuse 28% (Large stems and roots) not applied: bought trimmed</t>
  </si>
  <si>
    <t xml:space="preserve">Tomatoes (roma)</t>
  </si>
  <si>
    <t xml:space="preserve">Fresh roma, per lb</t>
  </si>
  <si>
    <t xml:space="preserve">11529</t>
  </si>
  <si>
    <t xml:space="preserve">Tomatoes, red, ripe, raw, year round average</t>
  </si>
  <si>
    <t xml:space="preserve">Fats, Oils &amp; Nuts</t>
  </si>
  <si>
    <t xml:space="preserve">Oils &amp; Fats</t>
  </si>
  <si>
    <t xml:space="preserve">Butter (salted)</t>
  </si>
  <si>
    <t xml:space="preserve">Great Value, 2 x 16 oz</t>
  </si>
  <si>
    <t xml:space="preserve">1 tbsp</t>
  </si>
  <si>
    <t xml:space="preserve">Oils &amp; butter</t>
  </si>
  <si>
    <t xml:space="preserve">fat</t>
  </si>
  <si>
    <t xml:space="preserve">01001</t>
  </si>
  <si>
    <t xml:space="preserve">Butter, salted</t>
  </si>
  <si>
    <t xml:space="preserve">Canola oil</t>
  </si>
  <si>
    <t xml:space="preserve">Great Value, 48 fl oz</t>
  </si>
  <si>
    <t xml:space="preserve">04582</t>
  </si>
  <si>
    <t xml:space="preserve">Oil, canola</t>
  </si>
  <si>
    <t xml:space="preserve">48 fl oz = 6 cups x 218 g</t>
  </si>
  <si>
    <t xml:space="preserve">Olive oil (extra virgin)</t>
  </si>
  <si>
    <t xml:space="preserve">Great Value, 51 fl oz</t>
  </si>
  <si>
    <t xml:space="preserve">04053</t>
  </si>
  <si>
    <t xml:space="preserve">Oil, olive, salad or cooking</t>
  </si>
  <si>
    <t xml:space="preserve">51 fl oz = 6.375 cups x 216 g</t>
  </si>
  <si>
    <t xml:space="preserve">Nuts &amp; Seeds</t>
  </si>
  <si>
    <t xml:space="preserve">Almonds</t>
  </si>
  <si>
    <t xml:space="preserve">Great Value whole, 16 oz</t>
  </si>
  <si>
    <t xml:space="preserve">1 oz (~23 almonds)</t>
  </si>
  <si>
    <t xml:space="preserve">12061</t>
  </si>
  <si>
    <t xml:space="preserve">Nuts, almonds</t>
  </si>
  <si>
    <t xml:space="preserve">Price undated (Walmart.com listing); USDA refuse 60% (Shells) not applied: bought trimmed</t>
  </si>
  <si>
    <t xml:space="preserve">Avocado (Hass)</t>
  </si>
  <si>
    <t xml:space="preserve">Fresh, each (~203 g)</t>
  </si>
  <si>
    <t xml:space="preserve">1/2 avocado</t>
  </si>
  <si>
    <t xml:space="preserve">09038</t>
  </si>
  <si>
    <t xml:space="preserve">Avocados, raw, California</t>
  </si>
  <si>
    <t xml:space="preserve">Each ~203 g as bought (136 g edible, USDA)</t>
  </si>
  <si>
    <t xml:space="preserve">Snacks &amp; Sweets</t>
  </si>
  <si>
    <t xml:space="preserve">Chocolate chip cookies</t>
  </si>
  <si>
    <t xml:space="preserve">Great Value chewy, 13 oz</t>
  </si>
  <si>
    <t xml:space="preserve">2 cookies</t>
  </si>
  <si>
    <t xml:space="preserve">Snacks &amp; sweets</t>
  </si>
  <si>
    <t xml:space="preserve">18159</t>
  </si>
  <si>
    <t xml:space="preserve">Cookies, chocolate chip, commercially prepared, regular, higher fat, enriched</t>
  </si>
  <si>
    <t xml:space="preserve">Older listing (Jul 2025) — verify</t>
  </si>
  <si>
    <t xml:space="preserve">Granola bars (chocolate chip)</t>
  </si>
  <si>
    <t xml:space="preserve">Great Value chewy, 10 ct</t>
  </si>
  <si>
    <t xml:space="preserve">1 bar</t>
  </si>
  <si>
    <t xml:space="preserve">19404</t>
  </si>
  <si>
    <t xml:space="preserve">Snacks, granola bars, soft, uncoated, chocolate chip</t>
  </si>
  <si>
    <t xml:space="preserve">Potato chips</t>
  </si>
  <si>
    <t xml:space="preserve">Great Value original, 8 oz</t>
  </si>
  <si>
    <t xml:space="preserve">19411</t>
  </si>
  <si>
    <t xml:space="preserve">Snacks, potato chips, plain, salted</t>
  </si>
  <si>
    <t xml:space="preserve">From 10-pack price $18.70</t>
  </si>
  <si>
    <t xml:space="preserve">Vanilla ice cream</t>
  </si>
  <si>
    <t xml:space="preserve">19095</t>
  </si>
  <si>
    <t xml:space="preserve">Ice creams, vanilla</t>
  </si>
  <si>
    <t xml:space="preserve">48 fl oz = 6 cups x 132 g</t>
  </si>
  <si>
    <t xml:space="preserve">Diets — macro split and which food attributes each diet forbids</t>
  </si>
  <si>
    <t xml:space="preserve">Food j is allowed when (attribute row of food j) · (forbidden row of the diet) = 0 and j is not in "Also excluded". Source: config/diets.json (edit there; this sheet is rebuilt from it).</t>
  </si>
  <si>
    <t xml:space="preserve">Description</t>
  </si>
  <si>
    <t xml:space="preserve">Protein min</t>
  </si>
  <si>
    <t xml:space="preserve">Protein max</t>
  </si>
  <si>
    <t xml:space="preserve">Carbs min</t>
  </si>
  <si>
    <t xml:space="preserve">Carbs max</t>
  </si>
  <si>
    <t xml:space="preserve">Fat min</t>
  </si>
  <si>
    <t xml:space="preserve">Fat max</t>
  </si>
  <si>
    <t xml:space="preserve">Forbid Red meat</t>
  </si>
  <si>
    <t xml:space="preserve">Forbid Pork</t>
  </si>
  <si>
    <t xml:space="preserve">Forbid Poultry</t>
  </si>
  <si>
    <t xml:space="preserve">Forbid Fish</t>
  </si>
  <si>
    <t xml:space="preserve">Forbid Eggs</t>
  </si>
  <si>
    <t xml:space="preserve">Forbid Dairy</t>
  </si>
  <si>
    <t xml:space="preserve">Forbid Gluten</t>
  </si>
  <si>
    <t xml:space="preserve">Also excluded (food # on Food Data)</t>
  </si>
  <si>
    <t xml:space="preserve">Also excluded (names)</t>
  </si>
  <si>
    <t xml:space="preserve">USDA Acceptable Macronutrient Distribution Ranges; all foods allowed</t>
  </si>
  <si>
    <t xml:space="preserve">High-Protein</t>
  </si>
  <si>
    <t xml:space="preserve">For muscle gain: protein 25-35% of calories</t>
  </si>
  <si>
    <t xml:space="preserve">Low-Carb</t>
  </si>
  <si>
    <t xml:space="preserve">Moderate low-carb: carbs 20-35%, fat 35-50% (below the AMDR carb range)</t>
  </si>
  <si>
    <t xml:space="preserve">Vegetarian</t>
  </si>
  <si>
    <t xml:space="preserve">Lacto-ovo: no meat, poultry or fish</t>
  </si>
  <si>
    <t xml:space="preserve">Vegan</t>
  </si>
  <si>
    <t xml:space="preserve">No animal products</t>
  </si>
  <si>
    <t xml:space="preserve">Pescatarian</t>
  </si>
  <si>
    <t xml:space="preserve">Fish and seafood, no meat or poultry</t>
  </si>
  <si>
    <t xml:space="preserve">Gluten-Free</t>
  </si>
  <si>
    <t xml:space="preserve">No wheat, barley, rye or non-certified oats</t>
  </si>
  <si>
    <t xml:space="preserve">No Pork</t>
  </si>
  <si>
    <t xml:space="preserve">All foods except pork</t>
  </si>
  <si>
    <t xml:space="preserve">Low-Carb sets carbohydrate below the AMDR range (45–65%) on purpose; High-Protein sits at the top of the AMDR protein range.</t>
  </si>
  <si>
    <t xml:space="preserve">Diets change two things in the model: the macro rows of b_min/b_max, and the upper bounds u (a forbidden food gets u = 0).</t>
  </si>
  <si>
    <t xml:space="preserve">Matrix Model — minimize cᵀx subject to G·x (≥ or ≤) b,  0 ≤ x ≤ u</t>
  </si>
  <si>
    <t xml:space="preserve">x = food amounts in 100 g units (column C below). A = nutrient matrix, M = meal matrix, G = every constraint row stacked. Solve with Data → Solver (see Planner).</t>
  </si>
  <si>
    <t xml:space="preserve">Dietary Guidelines servings at this calorie level (realistic model)</t>
  </si>
  <si>
    <t xml:space="preserve">Selected diet</t>
  </si>
  <si>
    <t xml:space="preserve">key</t>
  </si>
  <si>
    <t xml:space="preserve">low</t>
  </si>
  <si>
    <t xml:space="preserve">high</t>
  </si>
  <si>
    <t xml:space="preserve">n (distinct foods allowed)</t>
  </si>
  <si>
    <t xml:space="preserve">variety share used</t>
  </si>
  <si>
    <t xml:space="preserve">Macro (% of kcal)</t>
  </si>
  <si>
    <t xml:space="preserve">min</t>
  </si>
  <si>
    <t xml:space="preserve">max</t>
  </si>
  <si>
    <t xml:space="preserve">Protein</t>
  </si>
  <si>
    <t xml:space="preserve">Carbohydrate</t>
  </si>
  <si>
    <t xml:space="preserve">Fat</t>
  </si>
  <si>
    <t xml:space="preserve">FOOD PARAMETERS  (one column per food)</t>
  </si>
  <si>
    <t xml:space="preserve">Food</t>
  </si>
  <si>
    <t xml:space="preserve">c — $ per 100 g as eaten</t>
  </si>
  <si>
    <t xml:space="preserve">u — upper bound (portion cap, variety)</t>
  </si>
  <si>
    <t xml:space="preserve">l — lower bound (must-include)</t>
  </si>
  <si>
    <t xml:space="preserve">allowed by diet</t>
  </si>
  <si>
    <t xml:space="preserve">NUTRIENT MATRIX A  (rows = nutrients, columns = foods, per 100 g edible — USDA SR28)</t>
  </si>
  <si>
    <t xml:space="preserve">MEAL MATRIX Mᵀ  (share of each food eaten at each meal; columns sum to 1)</t>
  </si>
  <si>
    <t xml:space="preserve">CONSTRAINT MATRIX G  (every rule is one row: coefficients across the food columns)</t>
  </si>
  <si>
    <t xml:space="preserve">Rule</t>
  </si>
  <si>
    <t xml:space="preserve">Kind</t>
  </si>
  <si>
    <t xml:space="preserve">b (right side)</t>
  </si>
  <si>
    <t xml:space="preserve">G·x (plan)</t>
  </si>
  <si>
    <t xml:space="preserve">Calories ≥ target − tolerance</t>
  </si>
  <si>
    <t xml:space="preserve">nutrient ≥</t>
  </si>
  <si>
    <t xml:space="preserve">Protein ≥ floor (g, optional)</t>
  </si>
  <si>
    <t xml:space="preserve">Protein ≥ min % of calories  (4·P − s·kcal ≥ 0)</t>
  </si>
  <si>
    <t xml:space="preserve">macro ≥</t>
  </si>
  <si>
    <t xml:space="preserve">Carbs ≥ min % of calories  (4·C − s·kcal ≥ 0)</t>
  </si>
  <si>
    <t xml:space="preserve">Fat ≥ min % of calories  (9·F − s·kcal ≥ 0)</t>
  </si>
  <si>
    <t xml:space="preserve">Fiber ≥ minimum</t>
  </si>
  <si>
    <t xml:space="preserve">Calcium ≥ minimum</t>
  </si>
  <si>
    <t xml:space="preserve">Iron ≥ minimum</t>
  </si>
  <si>
    <t xml:space="preserve">Potassium ≥ minimum</t>
  </si>
  <si>
    <t xml:space="preserve">Vitamin C ≥ minimum</t>
  </si>
  <si>
    <t xml:space="preserve">Breakfast calories ≥ min share</t>
  </si>
  <si>
    <t xml:space="preserve">meal ≥</t>
  </si>
  <si>
    <t xml:space="preserve">Lunch calories ≥ min share</t>
  </si>
  <si>
    <t xml:space="preserve">Dinner calories ≥ min share</t>
  </si>
  <si>
    <t xml:space="preserve">Snacks calories ≥ min share</t>
  </si>
  <si>
    <t xml:space="preserve">Breakfast protein ≥ min share of day</t>
  </si>
  <si>
    <t xml:space="preserve">Lunch protein ≥ min share of day</t>
  </si>
  <si>
    <t xml:space="preserve">Dinner protein ≥ min share of day</t>
  </si>
  <si>
    <t xml:space="preserve">Vegetables ≥ min cup-equivalents (textbook model)</t>
  </si>
  <si>
    <t xml:space="preserve">group ≥</t>
  </si>
  <si>
    <t xml:space="preserve">Fruit ≥ min cup-equivalents (textbook model)</t>
  </si>
  <si>
    <t xml:space="preserve">Protein foods ≥ Dietary Guidelines servings</t>
  </si>
  <si>
    <t xml:space="preserve">guideline ≥</t>
  </si>
  <si>
    <t xml:space="preserve">Dairy ≥ Dietary Guidelines servings</t>
  </si>
  <si>
    <t xml:space="preserve">Vegetables ≥ Dietary Guidelines servings</t>
  </si>
  <si>
    <t xml:space="preserve">Fruits ≥ Dietary Guidelines servings</t>
  </si>
  <si>
    <t xml:space="preserve">Whole grains ≥ Dietary Guidelines servings</t>
  </si>
  <si>
    <t xml:space="preserve">Healthy fats ≥ Dietary Guidelines servings</t>
  </si>
  <si>
    <t xml:space="preserve">Calories ≤ target + tolerance</t>
  </si>
  <si>
    <t xml:space="preserve">nutrient ≤</t>
  </si>
  <si>
    <t xml:space="preserve">Protein ≤ max % of calories</t>
  </si>
  <si>
    <t xml:space="preserve">macro ≤</t>
  </si>
  <si>
    <t xml:space="preserve">Carbs ≤ max % of calories</t>
  </si>
  <si>
    <t xml:space="preserve">Fat ≤ max % of calories</t>
  </si>
  <si>
    <t xml:space="preserve">Sodium ≤ maximum</t>
  </si>
  <si>
    <t xml:space="preserve">Total sugars ≤ maximum (blank = none)</t>
  </si>
  <si>
    <t xml:space="preserve">Breakfast calories ≤ max share</t>
  </si>
  <si>
    <t xml:space="preserve">meal ≤</t>
  </si>
  <si>
    <t xml:space="preserve">Lunch calories ≤ max share</t>
  </si>
  <si>
    <t xml:space="preserve">Dinner calories ≤ max share</t>
  </si>
  <si>
    <t xml:space="preserve">Snacks calories ≤ max share</t>
  </si>
  <si>
    <t xml:space="preserve">Meat, poultry &amp; fish ≤ max grams</t>
  </si>
  <si>
    <t xml:space="preserve">group ≤</t>
  </si>
  <si>
    <t xml:space="preserve">Beans &amp; lentils ≤ max servings</t>
  </si>
  <si>
    <t xml:space="preserve">Cheese ≤ max servings</t>
  </si>
  <si>
    <t xml:space="preserve">Grains &amp; bread ≤ max servings</t>
  </si>
  <si>
    <t xml:space="preserve">Oils &amp; butter ≤ max servings</t>
  </si>
  <si>
    <t xml:space="preserve">Snacks &amp; sweets ≤ max servings</t>
  </si>
  <si>
    <t xml:space="preserve">Protein foods ≤ Dietary Guidelines servings</t>
  </si>
  <si>
    <t xml:space="preserve">guideline ≤</t>
  </si>
  <si>
    <t xml:space="preserve">Whole grains ≤ Dietary Guidelines servings</t>
  </si>
  <si>
    <t xml:space="preserve">Refined grains ≤ whole grains (servings)</t>
  </si>
  <si>
    <t xml:space="preserve">Saturated fat ≤ max % of calories  (9·SF − s·kcal ≤ 0)</t>
  </si>
  <si>
    <t xml:space="preserve">Variety: all kinds of milk together ≤ variety share of dairy</t>
  </si>
  <si>
    <t xml:space="preserve">variety ≤</t>
  </si>
  <si>
    <t xml:space="preserve">Variety: all kinds of ground beef together ≤ variety share of protein foods</t>
  </si>
  <si>
    <t xml:space="preserve">Chicken breast, roasted ≤ max share of protein</t>
  </si>
  <si>
    <t xml:space="preserve">share ≤</t>
  </si>
  <si>
    <t xml:space="preserve">Chicken drumsticks, roasted (meat &amp; skin) ≤ max share of protein</t>
  </si>
  <si>
    <t xml:space="preserve">Chicken thighs, roasted ≤ max share of protein</t>
  </si>
  <si>
    <t xml:space="preserve">Deli turkey breast (sliced) ≤ max share of protein</t>
  </si>
  <si>
    <t xml:space="preserve">Ground turkey 93/7, cooked ≤ max share of protein</t>
  </si>
  <si>
    <t xml:space="preserve">Bacon, cooked ≤ max share of protein</t>
  </si>
  <si>
    <t xml:space="preserve">Ground beef 80/20, cooked ≤ max share of protein</t>
  </si>
  <si>
    <t xml:space="preserve">Ground beef 93/7, cooked ≤ max share of protein</t>
  </si>
  <si>
    <t xml:space="preserve">Ham (sliced, cooked) ≤ max share of protein</t>
  </si>
  <si>
    <t xml:space="preserve">Pork loin chops, pan-cooked ≤ max share of protein</t>
  </si>
  <si>
    <t xml:space="preserve">Top sirloin steak, broiled ≤ max share of protein</t>
  </si>
  <si>
    <t xml:space="preserve">Canned light tuna (in water) ≤ max share of protein</t>
  </si>
  <si>
    <t xml:space="preserve">Salmon, baked ≤ max share of protein</t>
  </si>
  <si>
    <t xml:space="preserve">Shrimp, cooked ≤ max share of protein</t>
  </si>
  <si>
    <t xml:space="preserve">Tilapia, baked ≤ max share of protein</t>
  </si>
  <si>
    <t xml:space="preserve">Eggs (large) ≤ max share of protein</t>
  </si>
  <si>
    <t xml:space="preserve">Lentils, cooked ≤ max share of protein</t>
  </si>
  <si>
    <t xml:space="preserve">Peanut butter ≤ max share of protein</t>
  </si>
  <si>
    <t xml:space="preserve">Pinto beans, cooked ≤ max share of protein</t>
  </si>
  <si>
    <t xml:space="preserve">Tofu (extra firm) ≤ max share of protein</t>
  </si>
  <si>
    <t xml:space="preserve">Greek yogurt (plain, nonfat) ≤ max share of protein</t>
  </si>
  <si>
    <t xml:space="preserve">American cheese (singles) ≤ max share of protein</t>
  </si>
  <si>
    <t xml:space="preserve">Cheddar cheese ≤ max share of protein</t>
  </si>
  <si>
    <t xml:space="preserve">Cottage cheese (2%) ≤ max share of protein</t>
  </si>
  <si>
    <t xml:space="preserve">Mozzarella string cheese ≤ max share of protein</t>
  </si>
  <si>
    <t xml:space="preserve">Bagels (plain) ≤ max share of protein</t>
  </si>
  <si>
    <t xml:space="preserve">Cheerios ≤ max share of protein</t>
  </si>
  <si>
    <t xml:space="preserve">White bread ≤ max share of protein</t>
  </si>
  <si>
    <t xml:space="preserve">Whole-wheat bread ≤ max share of protein</t>
  </si>
  <si>
    <t xml:space="preserve">Almonds ≤ max share of protein</t>
  </si>
  <si>
    <t xml:space="preserve">DIET VECTOR x  (Solver changes column C;  pre-filled with the Simplex answer for the Balanced example)</t>
  </si>
  <si>
    <t xml:space="preserve">x (100 g units)</t>
  </si>
  <si>
    <t xml:space="preserve">u</t>
  </si>
  <si>
    <t xml:space="preserve">l</t>
  </si>
  <si>
    <t xml:space="preserve">grams/day</t>
  </si>
  <si>
    <t xml:space="preserve">cost ($)</t>
  </si>
  <si>
    <t xml:space="preserve">at cap?</t>
  </si>
  <si>
    <t xml:space="preserve">Breakfast (g)</t>
  </si>
  <si>
    <t xml:space="preserve">Lunch (g)</t>
  </si>
  <si>
    <t xml:space="preserve">Dinner (g)</t>
  </si>
  <si>
    <t xml:space="preserve">Snacks (g)</t>
  </si>
  <si>
    <t xml:space="preserve">Breakfast list #</t>
  </si>
  <si>
    <t xml:space="preserve">Lunch list #</t>
  </si>
  <si>
    <t xml:space="preserve">Dinner list #</t>
  </si>
  <si>
    <t xml:space="preserve">Snacks list #</t>
  </si>
  <si>
    <t xml:space="preserve">cᵀx  — cost per day ($)</t>
  </si>
  <si>
    <t xml:space="preserve">NUTRIENTS:  A·x (whole day)  and  N = A·(x ∘ M) (per meal, one matrix product)</t>
  </si>
  <si>
    <t xml:space="preserve">A·x (day)</t>
  </si>
  <si>
    <t xml:space="preserve">Diet Comparison — the example person under every diet (A·X computes all nutrients in one matrix product)</t>
  </si>
  <si>
    <t xml:space="preserve">Columns of X are optimal Simplex solutions (realistic model: Dietary Guidelines servings, 50% variety, household waste; Walmart prices) plus a hand-built typical day. Values in 100 g units as eaten.</t>
  </si>
  <si>
    <t xml:space="preserve">Typical day (not optimized)</t>
  </si>
  <si>
    <t xml:space="preserve">Cost per day  (cᵀX, Walmart $ incl. household waste)</t>
  </si>
  <si>
    <t xml:space="preserve">A·X  (nutrients × diets)</t>
  </si>
  <si>
    <t xml:space="preserve">Targets the plan misses (example person, each diet's own macro split)</t>
  </si>
  <si>
    <t xml:space="preserve">Calories in ±5%</t>
  </si>
  <si>
    <t xml:space="preserve">Protein ≥ 112 g</t>
  </si>
  <si>
    <t xml:space="preserve">Fiber ≥ 42 g</t>
  </si>
  <si>
    <t xml:space="preserve">Calcium ≥ 1,000 mg</t>
  </si>
  <si>
    <t xml:space="preserve">Potassium ≥ 3,400 mg</t>
  </si>
  <si>
    <t xml:space="preserve">Vitamin C ≥ 90 mg</t>
  </si>
  <si>
    <t xml:space="preserve">Sodium ≤ 2,300 mg</t>
  </si>
  <si>
    <t xml:space="preserve">Fat ≤ 35% of calories (AMDR; Low-Carb allows 50%)</t>
  </si>
  <si>
    <t xml:space="preserve">What this shows</t>
  </si>
  <si>
    <t xml:space="preserve">• Example person (from the calculator): male, 21, 173 cm, 70.3 kg, active, maintain -&gt; 3,030 kcal, protein ≥ 112 g, fiber ≥ 42 g.</t>
  </si>
  <si>
    <t xml:space="preserve">• The optimized Balanced day costs $6.14 (incl. waste) and meets every target and the Dietary Guidelines servings; the typical day costs more and misses several targets (red cells).</t>
  </si>
  <si>
    <t xml:space="preserve">• Balanced, No Pork give the same cost: excluding a food the cheapest plan barely uses costs nothing (its shadow price is zero).</t>
  </si>
  <si>
    <t xml:space="preserve">• High-Protein and Low-Carb cost more because they force more protein (or fat) per calorie, which pulls in pricier foods.</t>
  </si>
  <si>
    <t xml:space="preserve">• The textbook model (no Dietary Guidelines servings, no variety, no waste) is about half the realistic cost for this person: that gap is the price of a diet people actually eat.</t>
  </si>
  <si>
    <t xml:space="preserve">• Each column of X is a separate Simplex solve; A·X then evaluates every diet against every nutrient in one matrix multiplication.</t>
  </si>
  <si>
    <t xml:space="preserve">Optimality Proof — why the Balanced plan is the cheapest possible (example person)</t>
  </si>
  <si>
    <t xml:space="preserve">At a Simplex corner, the tight rules form a SQUARE linear system B·x_B = r. Solving it with B⁻¹ reproduces the answer; the same B⁻¹ gives shadow prices that certify no cheaper plan exists.</t>
  </si>
  <si>
    <t xml:space="preserve">Tight rules: 11.  Foods strictly inside their bounds (basic): 11.  Foods held at their cap: 10.  The rows and columns come from the exact basis the Simplex method finishes on. At a degenerate corner a basic food can sit exactly at its cap (it is still basic) — that is how the square system stays square.</t>
  </si>
  <si>
    <t xml:space="preserve">Built for the example person and the Balanced diet with default rules; it reads prices and nutrients live from Food Data. If you edit prices so the plan is no longer optimal, the certificate below will say so.</t>
  </si>
  <si>
    <t xml:space="preserve">G_T = the tight rows of the constraint matrix (example values fixed so the proof does not move when the Planner changes)</t>
  </si>
  <si>
    <t xml:space="preserve">Tight rule</t>
  </si>
  <si>
    <t xml:space="preserve">sense</t>
  </si>
  <si>
    <t xml:space="preserve">b_T</t>
  </si>
  <si>
    <t xml:space="preserve">protein &gt;= min</t>
  </si>
  <si>
    <t xml:space="preserve">≥</t>
  </si>
  <si>
    <t xml:space="preserve">vitc &gt;= min</t>
  </si>
  <si>
    <t xml:space="preserve">Lunch kcal &lt;= 35%</t>
  </si>
  <si>
    <t xml:space="preserve">≤</t>
  </si>
  <si>
    <t xml:space="preserve">protein servings &lt;= 5</t>
  </si>
  <si>
    <t xml:space="preserve">dairy servings &gt;= 3</t>
  </si>
  <si>
    <t xml:space="preserve">veg servings &gt;= 4.75</t>
  </si>
  <si>
    <t xml:space="preserve">fruit servings &gt;= 2.5</t>
  </si>
  <si>
    <t xml:space="preserve">fat servings &gt;= 7</t>
  </si>
  <si>
    <t xml:space="preserve">refined grains &lt;= whole grains</t>
  </si>
  <si>
    <t xml:space="preserve">saturated fat &lt;= 10% of kcal</t>
  </si>
  <si>
    <t xml:space="preserve">milk (all kinds) &lt;= 50% of dairy</t>
  </si>
  <si>
    <t xml:space="preserve">c (Walmart $ / 100 g as eaten, incl. waste)</t>
  </si>
  <si>
    <t xml:space="preserve">x* (Simplex, Balanced)</t>
  </si>
  <si>
    <t xml:space="preserve">u (cap, 100 g units)</t>
  </si>
  <si>
    <t xml:space="preserve">STEP 1 — square system:  B (11×11) = G_T restricted to the basic foods;  N = G_T on foods held at cap</t>
  </si>
  <si>
    <t xml:space="preserve">B: Chicken drumsticks, roasted (meat &amp; skin)</t>
  </si>
  <si>
    <t xml:space="preserve">B: Lentils, cooked</t>
  </si>
  <si>
    <t xml:space="preserve">B: Greek yogurt (plain, nonfat)</t>
  </si>
  <si>
    <t xml:space="preserve">B: Whole milk</t>
  </si>
  <si>
    <t xml:space="preserve">B: American cheese (singles)</t>
  </si>
  <si>
    <t xml:space="preserve">B: Brown rice, cooked</t>
  </si>
  <si>
    <t xml:space="preserve">B: White rice, cooked</t>
  </si>
  <si>
    <t xml:space="preserve">B: Apples (Gala)</t>
  </si>
  <si>
    <t xml:space="preserve">B: Orange juice (100%)</t>
  </si>
  <si>
    <t xml:space="preserve">B: Green beans (canned, drained)</t>
  </si>
  <si>
    <t xml:space="preserve">B: Butter (salted)</t>
  </si>
  <si>
    <t xml:space="preserve">N: Peanut butter</t>
  </si>
  <si>
    <t xml:space="preserve">N: Pinto beans, cooked</t>
  </si>
  <si>
    <t xml:space="preserve">N: 2% milk</t>
  </si>
  <si>
    <t xml:space="preserve">N: Oatmeal (made with water)</t>
  </si>
  <si>
    <t xml:space="preserve">N: Whole-wheat bread</t>
  </si>
  <si>
    <t xml:space="preserve">N: Whole-wheat spaghetti, cooked</t>
  </si>
  <si>
    <t xml:space="preserve">N: Bananas</t>
  </si>
  <si>
    <t xml:space="preserve">N: Carrots</t>
  </si>
  <si>
    <t xml:space="preserve">N: Tomatoes (roma)</t>
  </si>
  <si>
    <t xml:space="preserve">N: Canola oil</t>
  </si>
  <si>
    <t xml:space="preserve">r = b_T − N·u_N</t>
  </si>
  <si>
    <t xml:space="preserve">u_N (caps of foods held at cap)</t>
  </si>
  <si>
    <t xml:space="preserve">STEP 2 — B⁻¹ (MINVERSE) and det(B) (MDETERM); then x_B = B⁻¹·r</t>
  </si>
  <si>
    <t xml:space="preserve">det(B)</t>
  </si>
  <si>
    <t xml:space="preserve">Basic food</t>
  </si>
  <si>
    <t xml:space="preserve">x_B = B⁻¹·r</t>
  </si>
  <si>
    <t xml:space="preserve">x* (Simplex)</t>
  </si>
  <si>
    <t xml:space="preserve">difference</t>
  </si>
  <si>
    <t xml:space="preserve">Check</t>
  </si>
  <si>
    <t xml:space="preserve">STEP 3 — shadow prices  yᵀ = c_Bᵀ·B⁻¹  (extra $/day if a tight rule is tightened by one unit)</t>
  </si>
  <si>
    <t xml:space="preserve">y</t>
  </si>
  <si>
    <t xml:space="preserve">sign OK?</t>
  </si>
  <si>
    <t xml:space="preserve">meaning</t>
  </si>
  <si>
    <t xml:space="preserve">c_B (row)</t>
  </si>
  <si>
    <t xml:space="preserve">yᵀ (row)</t>
  </si>
  <si>
    <t xml:space="preserve">STEP 4 — optimality certificate:  reduced cost d = c − yᵀ·G_T  for every food</t>
  </si>
  <si>
    <t xml:space="preserve">d ($ per 100 g)</t>
  </si>
  <si>
    <t xml:space="preserve">role</t>
  </si>
  <si>
    <t xml:space="preserve">zero</t>
  </si>
  <si>
    <t xml:space="preserve">basic</t>
  </si>
  <si>
    <t xml:space="preserve">at cap</t>
  </si>
  <si>
    <t xml:space="preserve">condition met?</t>
  </si>
  <si>
    <t xml:space="preserve">Rules: basic food → d = 0;  food at cap → d ≤ 0 (would add more if allowed);  food not eaten → d ≥ 0 (adding it raises cost).</t>
  </si>
  <si>
    <t xml:space="preserve">Verdict</t>
  </si>
  <si>
    <t xml:space="preserve">How the workbook maps to the project</t>
  </si>
  <si>
    <t xml:space="preserve">Planner = inputs and the answer.  Food Data = the data (sorted by group/type).  Diets = presets.  Matrix Model = the linear algebra (A, M, G, c, u, x; G·x and cᵀx by MMULT).  Diet Comparison = A·X for every diet at once.  Optimality Proof = B⁻¹, det(B), shadow prices.</t>
  </si>
  <si>
    <t xml:space="preserve">The website optimizer (src/lib/dietOptimizer.js) builds exactly the same G, b, c, u and solves them with a two-phase Simplex (Gauss-Jordan row operations).</t>
  </si>
  <si>
    <t xml:space="preserve">Two models (Planner → Plan type)</t>
  </si>
  <si>
    <t xml:space="preserve">Realistic (default): everything below.  Textbook: only rules 1–4 plus vegetables ≥ 2.5 and fruit ≥ 2 cups — the classic Stigler/Dantzig diet problem, cheapest on paper.</t>
  </si>
  <si>
    <t xml:space="preserve">Rules that keep the plan realistic</t>
  </si>
  <si>
    <t xml:space="preserve">1. Portion caps per food (max servings/day on Food Data) — upper bounds u.</t>
  </si>
  <si>
    <t xml:space="preserve">2. Protein diversity: no single food supplies more than 35% of the day's protein:  p_j·x_j − α·(pᵀx) ≤ 0  (a linear row for each high-protein food).</t>
  </si>
  <si>
    <t xml:space="preserve">3. Meal balance: breakfast, lunch and dinner each carry ≥ 20% of the protein; each meal stays inside its calorie share. Uses the meal matrix M:  meal calories = (A_kcal ∘ M_k)ᵀ·x.</t>
  </si>
  <si>
    <t xml:space="preserve">4. Group caps: meat/poultry/fish ≤ 9 oz cooked, beans &amp; lentils ≤ 4 servings, cheese ≤ 3, grains ≤ 12, oils &amp; butter ≤ 4 tbsp, snacks ≤ 2.</t>
  </si>
  <si>
    <t xml:space="preserve">5. Dietary Guidelines for Americans 2025–2030 daily servings for the plan's calorie level (DRI Tables): protein foods, dairy, vegetables, fruits, whole grains (low–high) and healthy fats. Rows D·x ≥ d_min (and ≤ d_max), D_gj = servings of group g in 100 g of food j.</t>
  </si>
  <si>
    <t xml:space="preserve">6. At least half the grains whole (refined-grain servings ≤ whole-grain servings) and saturated fat under 10% of calories.</t>
  </si>
  <si>
    <t xml:space="preserve">7. Variety: one food may give at most v of its group's servings (default 50%, so at least 2 foods per group). Whole and 2% milk, and the two ground beefs, count as one choice. The website lowers v as far as the weekly budget allows (a parametric LP: one Simplex solve per level).</t>
  </si>
  <si>
    <t xml:space="preserve">8. Household food waste: cost per 100 g eaten = price ÷ (package × edible yield × cook yield × (1 − waste)), with USDA ERS consumer-level loss rates by food group.</t>
  </si>
  <si>
    <t xml:space="preserve">Assumptions and limits to state in the presentation</t>
  </si>
  <si>
    <t xml:space="preserve">• Prices are one retailer (Walmart online, Oct 26 2026, regular non-sale prices) and vary by store. BLS U.S. averages (Sep 2026) are a sensitivity check (Planner → Price source).</t>
  </si>
  <si>
    <t xml:space="preserve">• Yellow prices on Food Data are older or undated listings — verify them before final numbers.</t>
  </si>
  <si>
    <t xml:space="preserve">• Amounts are AS EATEN. Foods you cook use the USDA entry for the cooked form (e.g. rice, cooked; chicken breast, roasted). Cook yield = grams eaten per gram bought, from a mass balance between the raw and cooked USDA entries (the smaller of the energy and protein ratios, which is conservative), or USDA's measured package yield for frozen vegetables.</t>
  </si>
  <si>
    <t xml:space="preserve">• Why not $3/day: the textbook LP really does cost about $3.28/day here (in line with published least-cost diets, e.g. $1.98/day at 2009–10 prices, Chungchunlam et al., 2020), but it is rice, beans and milk with no variety and no waste. USDA's Thrifty Food Plan for this person is $73.20/week, about $10.46/day (May 2026), because it is built from what people actually eat.</t>
  </si>
  <si>
    <t xml:space="preserve">• Edible yield converts price to $ per 100 g EDIBLE: bone-in chicken, peels and shells would otherwise look cheaper than they are.</t>
  </si>
  <si>
    <t xml:space="preserve">• Each food has a fixed meal pattern (matrix M), so lunch and dinner share the same batch-cooked base — realistic for meal prep, but not varied.</t>
  </si>
  <si>
    <t xml:space="preserve">• A linear program cannot force "use at least a normal portion if you use a food at all" (that needs integer variables), so plans can include small amounts (e.g. 15 g of milk).</t>
  </si>
  <si>
    <t xml:space="preserve">• Variety across days, taste and cooking time are not in the model. Vitamin B12, vitamin D and others are not tracked.</t>
  </si>
  <si>
    <t xml:space="preserve">• Removed from v1: flour and sugar (ingredients, not foods eaten alone — the v1 optimizer chose raw flour).</t>
  </si>
  <si>
    <t xml:space="preserve">References (APA 7)</t>
  </si>
  <si>
    <t xml:space="preserve">U.S. Department of Agriculture, Agricultural Research Service, Nutrient Data Laboratory. (2015). USDA National Nutrient Database for Standard Reference, Release 28 [Data set]. http://www.ars.usda.gov/nea/bhnrc/ndl</t>
  </si>
  <si>
    <t xml:space="preserve">U.S. Department of Agriculture, Agricultural Research Service. (2019). FoodData Central: SR Legacy [Data set]. https://fdc.nal.usda.gov/</t>
  </si>
  <si>
    <t xml:space="preserve">U.S. Bureau of Labor Statistics. (2026). Average retail food and energy prices, U.S. and Midwest region [Data table]. https://www.bls.gov/regions/mid-atlantic/data/averageretailfoodandenergyprices_usandmidwest_table.htm</t>
  </si>
  <si>
    <t xml:space="preserve">Walmart Inc. (2026, October 26). Product listings for the foods in Food Data [Retail prices]. https://www.walmart.com/ and https://business.walmart.com/</t>
  </si>
  <si>
    <t xml:space="preserve">U.S. Department of Agriculture &amp; U.S. Department of Health and Human Services. (2020). Dietary guidelines for Americans, 2020–2025 (9th ed.). https://www.dietaryguidelines.gov/</t>
  </si>
  <si>
    <t xml:space="preserve">U.S. Department of Agriculture &amp; U.S. Department of Health and Human Services. (2026). Dietary guidelines for Americans, 2025–2030: Daily servings by calorie level. https://realfood.gov/</t>
  </si>
  <si>
    <t xml:space="preserve">U.S. Department of Agriculture, Food and Nutrition Service. (2026). USDA food plans: Cost of food at home, U.S. average, May 2026. https://www.fns.usda.gov/research/cnpp/usda-food-plans/cost-food-monthly-reports</t>
  </si>
  <si>
    <t xml:space="preserve">U.S. Department of Agriculture, Food and Nutrition Service. (2021). Thrifty Food Plan, 2021 (FNS-916). https://fns-prod.azureedge.us/sites/default/files/resource-files/TFP2021.pdf</t>
  </si>
  <si>
    <t xml:space="preserve">Buzby, J. C., Wells, H. F., &amp; Hyman, J. (2014). The estimated amount, value, and calories of postharvest food losses at the retail and consumer levels in the United States (EIB-121). USDA Economic Research Service.</t>
  </si>
  <si>
    <t xml:space="preserve">Chungchunlam, S. M. S., Moughan, P. J., Garrick, D. P., &amp; Drewnowski, A. (2020). Animal-sourced foods are required for minimum-cost nutritionally adequate food patterns for the United States. Nature Food, 1(6), 376–381. https://doi.org/10.1038/s43016-020-0096-8</t>
  </si>
  <si>
    <t xml:space="preserve">Institute of Medicine. (2005). Dietary reference intakes for energy, carbohydrate, fiber, fat, fatty acids, cholesterol, protein, and amino acids. The National Academies Press. https://doi.org/10.17226/10490</t>
  </si>
  <si>
    <t xml:space="preserve">National Academies of Sciences, Engineering, and Medicine. (2019). Dietary reference intakes for sodium and potassium. The National Academies Press. https://doi.org/10.17226/25353</t>
  </si>
  <si>
    <t xml:space="preserve">Dantzig, G. B. (1990). The diet problem. Interfaces, 20(4), 43–47. https://doi.org/10.1287/inte.20.4.43</t>
  </si>
  <si>
    <t xml:space="preserve">Stigler, G. J. (1945). The cost of subsistence. Journal of Farm Economics, 27(2), 303–314. https://doi.org/10.2307/1231810</t>
  </si>
  <si>
    <t xml:space="preserve">Color legend</t>
  </si>
  <si>
    <t xml:space="preserve">Blue = inputs you can edit.  Black = formulas.  Green = links to another sheet.  Yellow = price to verify / Solver variable cells.  Grey = matrix-product results.</t>
  </si>
</sst>
</file>

<file path=xl/styles.xml><?xml version="1.0" encoding="utf-8"?>
<styleSheet xmlns="http://schemas.openxmlformats.org/spreadsheetml/2006/main">
  <numFmts count="24">
    <numFmt numFmtId="164" formatCode="General"/>
    <numFmt numFmtId="165" formatCode="\$0.00"/>
    <numFmt numFmtId="166" formatCode="0"/>
    <numFmt numFmtId="167" formatCode="0&quot; ft&quot;"/>
    <numFmt numFmtId="168" formatCode="0&quot; in&quot;"/>
    <numFmt numFmtId="169" formatCode="General"/>
    <numFmt numFmtId="170" formatCode="0.0"/>
    <numFmt numFmtId="171" formatCode="#,##0"/>
    <numFmt numFmtId="172" formatCode="0.00"/>
    <numFmt numFmtId="173" formatCode="\+0;\-0;0"/>
    <numFmt numFmtId="174" formatCode="@"/>
    <numFmt numFmtId="175" formatCode="0%"/>
    <numFmt numFmtId="176" formatCode="\$#,##0.00"/>
    <numFmt numFmtId="177" formatCode="0.000"/>
    <numFmt numFmtId="178" formatCode="\$0.000"/>
    <numFmt numFmtId="179" formatCode="#,##0.00"/>
    <numFmt numFmtId="180" formatCode="0.0000"/>
    <numFmt numFmtId="181" formatCode="#,##0.0"/>
    <numFmt numFmtId="182" formatCode="0.000;\-0.000;&quot;&quot;"/>
    <numFmt numFmtId="183" formatCode="#,##0.000"/>
    <numFmt numFmtId="184" formatCode="0.000000"/>
    <numFmt numFmtId="185" formatCode="0.000E+00"/>
    <numFmt numFmtId="186" formatCode="0.0E+00"/>
    <numFmt numFmtId="187" formatCode="\$0.0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D9E1F2"/>
        <bgColor rgb="FFDDEBF7"/>
      </patternFill>
    </fill>
    <fill>
      <patternFill patternType="solid">
        <fgColor rgb="FFF8CBAD"/>
        <bgColor rgb="FFFCE4D6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E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7F6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7F7F7F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E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strike val="1"/>
        <color rgb="FFA6A6A6"/>
      </font>
    </dxf>
    <dxf>
      <font>
        <b val="1"/>
        <color rgb="FFC00000"/>
      </font>
      <fill>
        <patternFill>
          <bgColor rgb="FFFCE4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EDEDED"/>
      <rgbColor rgb="FF993366"/>
      <rgbColor rgb="FFFFFDE7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EDE7F6"/>
      <rgbColor rgb="FFFCE4D6"/>
      <rgbColor rgb="FFFCE4EC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4" min="4" style="0" width="40"/>
    <col collapsed="false" customWidth="true" hidden="false" outlineLevel="0" max="5" min="5" style="0" width="3"/>
    <col collapsed="false" customWidth="true" hidden="false" outlineLevel="0" max="6" min="6" style="0" width="36"/>
    <col collapsed="false" customWidth="true" hidden="false" outlineLevel="0" max="10" min="7" style="0" width="11"/>
    <col collapsed="false" customWidth="true" hidden="false" outlineLevel="0" max="11" min="11" style="0" width="3"/>
    <col collapsed="false" customWidth="true" hidden="false" outlineLevel="0" max="12" min="12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F4" s="3" t="s">
        <v>3</v>
      </c>
      <c r="L4" s="3" t="s">
        <v>4</v>
      </c>
    </row>
    <row r="5" customFormat="false" ht="15" hidden="false" customHeight="false" outlineLevel="0" collapsed="false">
      <c r="B5" s="4" t="s">
        <v>5</v>
      </c>
      <c r="C5" s="5" t="s">
        <v>6</v>
      </c>
      <c r="F5" s="4" t="s">
        <v>7</v>
      </c>
      <c r="G5" s="6" t="n">
        <f aca="false">'Matrix Model'!C193</f>
        <v>6.14483213188731</v>
      </c>
      <c r="L5" s="7" t="s">
        <v>8</v>
      </c>
    </row>
    <row r="6" customFormat="false" ht="15" hidden="false" customHeight="false" outlineLevel="0" collapsed="false">
      <c r="B6" s="4" t="s">
        <v>9</v>
      </c>
      <c r="C6" s="8" t="n">
        <v>21</v>
      </c>
      <c r="F6" s="4" t="s">
        <v>10</v>
      </c>
      <c r="G6" s="9" t="n">
        <f aca="false">G5*7</f>
        <v>43.0138249232112</v>
      </c>
      <c r="L6" s="7" t="s">
        <v>11</v>
      </c>
    </row>
    <row r="7" customFormat="false" ht="15" hidden="false" customHeight="false" outlineLevel="0" collapsed="false">
      <c r="B7" s="4" t="s">
        <v>12</v>
      </c>
      <c r="C7" s="10" t="n">
        <v>5</v>
      </c>
      <c r="D7" s="11" t="n">
        <v>8</v>
      </c>
      <c r="F7" s="4" t="s">
        <v>13</v>
      </c>
      <c r="G7" s="12" t="n">
        <f aca="false">'Matrix Model'!C194</f>
        <v>0</v>
      </c>
      <c r="L7" s="7" t="s">
        <v>14</v>
      </c>
    </row>
    <row r="8" customFormat="false" ht="15" hidden="false" customHeight="false" outlineLevel="0" collapsed="false">
      <c r="B8" s="4" t="s">
        <v>15</v>
      </c>
      <c r="C8" s="13" t="n">
        <v>155</v>
      </c>
      <c r="F8" s="4" t="s">
        <v>16</v>
      </c>
      <c r="G8" s="14" t="str">
        <f aca="false">IF(G7=0,"✓ Plan meets every rule","✗ Re-run Solver: the plan does not fit these inputs")</f>
        <v>✓ Plan meets every rule</v>
      </c>
      <c r="H8" s="14"/>
      <c r="I8" s="14"/>
      <c r="J8" s="14"/>
      <c r="L8" s="7" t="s">
        <v>17</v>
      </c>
    </row>
    <row r="9" customFormat="false" ht="15" hidden="false" customHeight="false" outlineLevel="0" collapsed="false">
      <c r="B9" s="4" t="s">
        <v>18</v>
      </c>
      <c r="C9" s="5" t="s">
        <v>19</v>
      </c>
      <c r="F9" s="4" t="s">
        <v>20</v>
      </c>
      <c r="G9" s="14" t="str">
        <f aca="false">IF(Planner!$C$64="","(no budget entered)",IF(G6&lt;=Planner!$C$64+0.005,"✓ Fits: $"&amp;TEXT(Planner!$C$64-G6,"0.00")&amp;" a week left over","✗ $"&amp;TEXT(G6-Planner!$C$64,"0.00")&amp;" over budget: lower Variety, allow more foods, or use Textbook"))</f>
        <v>(no budget entered)</v>
      </c>
      <c r="H9" s="14"/>
      <c r="I9" s="14"/>
      <c r="J9" s="14"/>
      <c r="L9" s="7" t="s">
        <v>21</v>
      </c>
    </row>
    <row r="10" customFormat="false" ht="15" hidden="false" customHeight="false" outlineLevel="0" collapsed="false">
      <c r="B10" s="4" t="s">
        <v>22</v>
      </c>
      <c r="C10" s="5" t="s">
        <v>23</v>
      </c>
      <c r="F10" s="15" t="s">
        <v>24</v>
      </c>
      <c r="L10" s="2" t="s">
        <v>25</v>
      </c>
    </row>
    <row r="11" customFormat="false" ht="15" hidden="false" customHeight="false" outlineLevel="0" collapsed="false">
      <c r="B11" s="4" t="s">
        <v>26</v>
      </c>
      <c r="C11" s="5" t="s">
        <v>27</v>
      </c>
      <c r="D11" s="2" t="s">
        <v>28</v>
      </c>
      <c r="F11" s="16" t="s">
        <v>29</v>
      </c>
      <c r="G11" s="16" t="s">
        <v>30</v>
      </c>
      <c r="H11" s="16" t="s">
        <v>31</v>
      </c>
      <c r="I11" s="16" t="s">
        <v>32</v>
      </c>
      <c r="L11" s="2" t="s">
        <v>33</v>
      </c>
    </row>
    <row r="12" customFormat="false" ht="15" hidden="false" customHeight="false" outlineLevel="0" collapsed="false">
      <c r="B12" s="2" t="s">
        <v>34</v>
      </c>
      <c r="F12" s="4" t="s">
        <v>35</v>
      </c>
      <c r="G12" s="17" t="n">
        <f aca="false">'Matrix Model'!C198</f>
        <v>2945.578089719</v>
      </c>
      <c r="H12" s="18" t="n">
        <f aca="false">Planner!$E$16*(1-Planner!$C$42)</f>
        <v>2878.5</v>
      </c>
      <c r="I12" s="18" t="n">
        <f aca="false">Planner!$E$16*(1+Planner!$C$42)</f>
        <v>3181.5</v>
      </c>
      <c r="L12" s="2" t="s">
        <v>36</v>
      </c>
    </row>
    <row r="13" customFormat="false" ht="15" hidden="false" customHeight="false" outlineLevel="0" collapsed="false">
      <c r="F13" s="4" t="s">
        <v>37</v>
      </c>
      <c r="G13" s="17" t="n">
        <f aca="false">'Matrix Model'!C199</f>
        <v>111.99999997945</v>
      </c>
      <c r="H13" s="18" t="n">
        <f aca="false">MAX(N(Planner!$E$17),'Matrix Model'!$C$8*$G$12/4)</f>
        <v>112</v>
      </c>
      <c r="I13" s="18" t="n">
        <f aca="false">'Matrix Model'!$D$8*$G$12/4</f>
        <v>257.738082850413</v>
      </c>
      <c r="L13" s="2" t="s">
        <v>38</v>
      </c>
    </row>
    <row r="14" customFormat="false" ht="15" hidden="false" customHeight="false" outlineLevel="0" collapsed="false">
      <c r="B14" s="3" t="s">
        <v>39</v>
      </c>
      <c r="F14" s="4" t="s">
        <v>40</v>
      </c>
      <c r="G14" s="17" t="n">
        <f aca="false">'Matrix Model'!C200</f>
        <v>411.83914741781</v>
      </c>
      <c r="H14" s="18" t="n">
        <f aca="false">'Matrix Model'!$C$9*$G$12/4</f>
        <v>331.377535093388</v>
      </c>
      <c r="I14" s="18" t="n">
        <f aca="false">'Matrix Model'!$D$9*$G$12/4</f>
        <v>478.656439579338</v>
      </c>
      <c r="L14" s="7" t="s">
        <v>41</v>
      </c>
    </row>
    <row r="15" customFormat="false" ht="91" hidden="false" customHeight="false" outlineLevel="0" collapsed="false">
      <c r="B15" s="16" t="s">
        <v>42</v>
      </c>
      <c r="C15" s="16" t="s">
        <v>43</v>
      </c>
      <c r="D15" s="16" t="s">
        <v>44</v>
      </c>
      <c r="E15" s="16" t="s">
        <v>45</v>
      </c>
      <c r="F15" s="4" t="s">
        <v>46</v>
      </c>
      <c r="G15" s="17" t="n">
        <f aca="false">'Matrix Model'!C201</f>
        <v>102.56336388446</v>
      </c>
      <c r="H15" s="18" t="n">
        <f aca="false">'Matrix Model'!$C$10*$G$12/9</f>
        <v>65.4572908826445</v>
      </c>
      <c r="I15" s="18" t="n">
        <f aca="false">'Matrix Model'!$D$10*$G$12/9</f>
        <v>114.550259044628</v>
      </c>
      <c r="L15" s="7" t="s">
        <v>47</v>
      </c>
    </row>
    <row r="16" customFormat="false" ht="15" hidden="false" customHeight="false" outlineLevel="0" collapsed="false">
      <c r="B16" s="4" t="s">
        <v>48</v>
      </c>
      <c r="C16" s="18" t="n">
        <f aca="false">MAX(IF(Planner!$C$5="Male",'DRI Tables'!$E$17,'DRI Tables'!$E$18),ROUND(($C$31+$C$32)/10,0)*10)</f>
        <v>3030</v>
      </c>
      <c r="D16" s="19"/>
      <c r="E16" s="20" t="n">
        <f aca="false">IF(AND(D16="",C16=""),"",IF(D16="",C16,D16))</f>
        <v>3030</v>
      </c>
      <c r="F16" s="4" t="s">
        <v>49</v>
      </c>
      <c r="G16" s="17" t="n">
        <f aca="false">'Matrix Model'!C202</f>
        <v>53.4172112457</v>
      </c>
      <c r="H16" s="18" t="n">
        <f aca="false">Planner!$E$18</f>
        <v>42</v>
      </c>
      <c r="I16" s="18"/>
      <c r="L16" s="7" t="s">
        <v>50</v>
      </c>
    </row>
    <row r="17" customFormat="false" ht="15" hidden="false" customHeight="false" outlineLevel="0" collapsed="false">
      <c r="B17" s="4" t="s">
        <v>51</v>
      </c>
      <c r="C17" s="18" t="n">
        <f aca="false">MIN(MAX(ROUND(1.6*$C$28,0),ROUND(0.1*$C$16/4,0)),ROUND(0.3*$C$16/4,0))</f>
        <v>112</v>
      </c>
      <c r="D17" s="19"/>
      <c r="E17" s="20" t="n">
        <f aca="false">IF(AND(D17="",C17=""),"",IF(D17="",C17,D17))</f>
        <v>112</v>
      </c>
      <c r="F17" s="4" t="s">
        <v>52</v>
      </c>
      <c r="G17" s="17" t="n">
        <f aca="false">'Matrix Model'!C203</f>
        <v>88.15515225964</v>
      </c>
      <c r="H17" s="18"/>
      <c r="I17" s="18" t="str">
        <f aca="false">IF(Planner!$E$24="","",Planner!$E$24)</f>
        <v/>
      </c>
    </row>
    <row r="18" customFormat="false" ht="15" hidden="false" customHeight="false" outlineLevel="0" collapsed="false">
      <c r="B18" s="4" t="s">
        <v>53</v>
      </c>
      <c r="C18" s="18" t="n">
        <f aca="false">ROUND(14*$C$16/1000,0)</f>
        <v>42</v>
      </c>
      <c r="D18" s="19"/>
      <c r="E18" s="20" t="n">
        <f aca="false">IF(AND(D18="",C18=""),"",IF(D18="",C18,D18))</f>
        <v>42</v>
      </c>
      <c r="F18" s="4" t="s">
        <v>54</v>
      </c>
      <c r="G18" s="17" t="n">
        <f aca="false">'Matrix Model'!C204</f>
        <v>1327.102298212</v>
      </c>
      <c r="H18" s="18" t="n">
        <f aca="false">Planner!$E$19</f>
        <v>1000</v>
      </c>
      <c r="I18" s="18"/>
    </row>
    <row r="19" customFormat="false" ht="15" hidden="false" customHeight="false" outlineLevel="0" collapsed="false">
      <c r="B19" s="4" t="s">
        <v>55</v>
      </c>
      <c r="C19" s="18" t="n">
        <f aca="false">IF(Planner!$C$5="Male",INDEX('DRI Tables'!$E$23:$E$27,MATCH($C$29,'DRI Tables'!$A$23:$A$27,0)),INDEX('DRI Tables'!$F$23:$F$27,MATCH($C$29,'DRI Tables'!$A$23:$A$27,0)))</f>
        <v>1000</v>
      </c>
      <c r="D19" s="19"/>
      <c r="E19" s="20" t="n">
        <f aca="false">IF(AND(D19="",C19=""),"",IF(D19="",C19,D19))</f>
        <v>1000</v>
      </c>
      <c r="F19" s="4" t="s">
        <v>56</v>
      </c>
      <c r="G19" s="17" t="n">
        <f aca="false">'Matrix Model'!C205</f>
        <v>20.28119106197</v>
      </c>
      <c r="H19" s="18" t="n">
        <f aca="false">Planner!$E$20</f>
        <v>8</v>
      </c>
      <c r="I19" s="18"/>
    </row>
    <row r="20" customFormat="false" ht="15" hidden="false" customHeight="false" outlineLevel="0" collapsed="false">
      <c r="B20" s="4" t="s">
        <v>57</v>
      </c>
      <c r="C20" s="18" t="n">
        <f aca="false">IF(Planner!$C$5="Male",INDEX('DRI Tables'!$G$23:$G$27,MATCH($C$29,'DRI Tables'!$A$23:$A$27,0)),INDEX('DRI Tables'!$H$23:$H$27,MATCH($C$29,'DRI Tables'!$A$23:$A$27,0)))</f>
        <v>8</v>
      </c>
      <c r="D20" s="19"/>
      <c r="E20" s="20" t="n">
        <f aca="false">IF(AND(D20="",C20=""),"",IF(D20="",C20,D20))</f>
        <v>8</v>
      </c>
      <c r="F20" s="4" t="s">
        <v>58</v>
      </c>
      <c r="G20" s="17" t="n">
        <f aca="false">'Matrix Model'!C206</f>
        <v>4995.983882091</v>
      </c>
      <c r="H20" s="18" t="n">
        <f aca="false">Planner!$E$21</f>
        <v>3400</v>
      </c>
      <c r="I20" s="18"/>
    </row>
    <row r="21" customFormat="false" ht="15" hidden="false" customHeight="false" outlineLevel="0" collapsed="false">
      <c r="B21" s="4" t="s">
        <v>59</v>
      </c>
      <c r="C21" s="18" t="n">
        <f aca="false">IF(Planner!$C$5="Male",INDEX('DRI Tables'!$I$23:$I$27,MATCH($C$29,'DRI Tables'!$A$23:$A$27,0)),INDEX('DRI Tables'!$J$23:$J$27,MATCH($C$29,'DRI Tables'!$A$23:$A$27,0)))</f>
        <v>3400</v>
      </c>
      <c r="D21" s="19"/>
      <c r="E21" s="20" t="n">
        <f aca="false">IF(AND(D21="",C21=""),"",IF(D21="",C21,D21))</f>
        <v>3400</v>
      </c>
      <c r="F21" s="4" t="s">
        <v>60</v>
      </c>
      <c r="G21" s="17" t="n">
        <f aca="false">'Matrix Model'!C207</f>
        <v>1991.286074716</v>
      </c>
      <c r="H21" s="18"/>
      <c r="I21" s="18" t="n">
        <f aca="false">Planner!$E$23</f>
        <v>2300</v>
      </c>
    </row>
    <row r="22" customFormat="false" ht="15" hidden="false" customHeight="false" outlineLevel="0" collapsed="false">
      <c r="B22" s="4" t="s">
        <v>61</v>
      </c>
      <c r="C22" s="18" t="n">
        <f aca="false">IF(Planner!$C$5="Male",INDEX('DRI Tables'!$C$23:$C$27,MATCH($C$29,'DRI Tables'!$A$23:$A$27,0)),INDEX('DRI Tables'!$D$23:$D$27,MATCH($C$29,'DRI Tables'!$A$23:$A$27,0)))</f>
        <v>90</v>
      </c>
      <c r="D22" s="19"/>
      <c r="E22" s="20" t="n">
        <f aca="false">IF(AND(D22="",C22=""),"",IF(D22="",C22,D22))</f>
        <v>90</v>
      </c>
      <c r="F22" s="4" t="s">
        <v>62</v>
      </c>
      <c r="G22" s="17" t="n">
        <f aca="false">'Matrix Model'!C208</f>
        <v>89.9999999906</v>
      </c>
      <c r="H22" s="18" t="n">
        <f aca="false">Planner!$E$22</f>
        <v>90</v>
      </c>
      <c r="I22" s="18"/>
    </row>
    <row r="23" customFormat="false" ht="15" hidden="false" customHeight="false" outlineLevel="0" collapsed="false">
      <c r="B23" s="4" t="s">
        <v>63</v>
      </c>
      <c r="C23" s="21" t="n">
        <v>2300</v>
      </c>
      <c r="D23" s="19"/>
      <c r="E23" s="20" t="n">
        <f aca="false">IF(AND(D23="",C23=""),"",IF(D23="",C23,D23))</f>
        <v>2300</v>
      </c>
    </row>
    <row r="24" customFormat="false" ht="15" hidden="false" customHeight="false" outlineLevel="0" collapsed="false">
      <c r="B24" s="4" t="s">
        <v>64</v>
      </c>
      <c r="C24" s="18"/>
      <c r="D24" s="19"/>
      <c r="E24" s="20" t="str">
        <f aca="false">IF(AND(D24="",C24=""),"",IF(D24="",C24,D24))</f>
        <v/>
      </c>
      <c r="F24" s="16" t="s">
        <v>65</v>
      </c>
      <c r="G24" s="16" t="s">
        <v>30</v>
      </c>
      <c r="H24" s="16" t="s">
        <v>31</v>
      </c>
      <c r="I24" s="16" t="s">
        <v>32</v>
      </c>
    </row>
    <row r="25" customFormat="false" ht="15" hidden="false" customHeight="false" outlineLevel="0" collapsed="false">
      <c r="F25" s="4" t="s">
        <v>66</v>
      </c>
      <c r="G25" s="22" t="n">
        <f aca="false">'Matrix Model'!D59</f>
        <v>4.99999999903743</v>
      </c>
      <c r="H25" s="23" t="n">
        <f aca="false">IF((Planner!$C$60="Realistic"),'Matrix Model'!$H$5,"—")</f>
        <v>4</v>
      </c>
      <c r="I25" s="23" t="n">
        <f aca="false">IF(AND((Planner!$C$60="Realistic"),'Matrix Model'!$I$5&lt;&gt;""),'Matrix Model'!$I$5,"")</f>
        <v>5</v>
      </c>
    </row>
    <row r="26" customFormat="false" ht="15" hidden="false" customHeight="false" outlineLevel="0" collapsed="false">
      <c r="B26" s="15" t="s">
        <v>67</v>
      </c>
      <c r="F26" s="4" t="s">
        <v>68</v>
      </c>
      <c r="G26" s="22" t="n">
        <f aca="false">'Matrix Model'!D60</f>
        <v>2.9999999997479</v>
      </c>
      <c r="H26" s="23" t="n">
        <f aca="false">IF((Planner!$C$60="Realistic"),'Matrix Model'!$H$6,"—")</f>
        <v>3</v>
      </c>
      <c r="I26" s="23" t="str">
        <f aca="false">IF(AND((Planner!$C$60="Realistic"),'Matrix Model'!$I$6&lt;&gt;""),'Matrix Model'!$I$6,"")</f>
        <v/>
      </c>
    </row>
    <row r="27" customFormat="false" ht="15" hidden="false" customHeight="false" outlineLevel="0" collapsed="false">
      <c r="B27" s="4" t="s">
        <v>69</v>
      </c>
      <c r="C27" s="24" t="n">
        <f aca="false">ROUND((Planner!$C$7*12+N(Planner!$D$7))*2.54,0)</f>
        <v>173</v>
      </c>
      <c r="F27" s="4" t="s">
        <v>70</v>
      </c>
      <c r="G27" s="22" t="n">
        <f aca="false">'Matrix Model'!D61</f>
        <v>4.75</v>
      </c>
      <c r="H27" s="23" t="n">
        <f aca="false">IF((Planner!$C$60="Realistic"),'Matrix Model'!$H$7,"—")</f>
        <v>4.75</v>
      </c>
      <c r="I27" s="23" t="str">
        <f aca="false">IF(AND((Planner!$C$60="Realistic"),'Matrix Model'!$I$7&lt;&gt;""),'Matrix Model'!$I$7,"")</f>
        <v/>
      </c>
    </row>
    <row r="28" customFormat="false" ht="15" hidden="false" customHeight="false" outlineLevel="0" collapsed="false">
      <c r="B28" s="4" t="s">
        <v>71</v>
      </c>
      <c r="C28" s="25" t="n">
        <f aca="false">ROUND(Planner!$C$8*0.45359237,1)</f>
        <v>70.3</v>
      </c>
      <c r="F28" s="4" t="s">
        <v>72</v>
      </c>
      <c r="G28" s="22" t="n">
        <f aca="false">'Matrix Model'!D62</f>
        <v>2.49999999958554</v>
      </c>
      <c r="H28" s="23" t="n">
        <f aca="false">IF((Planner!$C$60="Realistic"),'Matrix Model'!$H$8,"—")</f>
        <v>2.5</v>
      </c>
      <c r="I28" s="23" t="str">
        <f aca="false">IF(AND((Planner!$C$60="Realistic"),'Matrix Model'!$I$8&lt;&gt;""),'Matrix Model'!$I$8,"")</f>
        <v/>
      </c>
    </row>
    <row r="29" customFormat="false" ht="15" hidden="false" customHeight="false" outlineLevel="0" collapsed="false">
      <c r="B29" s="4" t="s">
        <v>73</v>
      </c>
      <c r="C29" s="4" t="str">
        <f aca="false">IF(Planner!$C$6&lt;19,"teen",IF(Planner!$C$6&lt;=30,"young",IF(Planner!$C$6&lt;=50,"mid",IF(Planner!$C$6&lt;=70,"older","oldest"))))</f>
        <v>young</v>
      </c>
      <c r="F29" s="4" t="s">
        <v>74</v>
      </c>
      <c r="G29" s="22" t="n">
        <f aca="false">'Matrix Model'!D63</f>
        <v>5.95055954257426</v>
      </c>
      <c r="H29" s="23" t="n">
        <f aca="false">IF((Planner!$C$60="Realistic"),'Matrix Model'!$H$9,"—")</f>
        <v>3.25</v>
      </c>
      <c r="I29" s="23" t="n">
        <f aca="false">IF(AND((Planner!$C$60="Realistic"),'Matrix Model'!$I$9&lt;&gt;""),'Matrix Model'!$I$9,"")</f>
        <v>6.5</v>
      </c>
    </row>
    <row r="30" customFormat="false" ht="15" hidden="false" customHeight="false" outlineLevel="0" collapsed="false">
      <c r="B30" s="4" t="s">
        <v>75</v>
      </c>
      <c r="C30" s="23" t="n">
        <f aca="false">IF(Planner!$C$11="Same as current site",INDEX('DRI Tables'!$B$11:$E$14,IF(Planner!$C$6&lt;19,IF(Planner!$C$5="Male",3,4),IF(Planner!$C$5="Male",1,2)),MATCH(Planner!$C$9,'DRI Tables'!$B$4:$E$4,0)),INDEX('DRI Tables'!$B$5:$E$8,IF(Planner!$C$6&lt;19,IF(Planner!$C$5="Male",3,4),IF(Planner!$C$5="Male",1,2)),MATCH(Planner!$C$9,'DRI Tables'!$B$4:$E$4,0)))</f>
        <v>1.25</v>
      </c>
      <c r="F30" s="4" t="s">
        <v>76</v>
      </c>
      <c r="G30" s="22" t="n">
        <f aca="false">'Matrix Model'!D64</f>
        <v>7</v>
      </c>
      <c r="H30" s="23" t="n">
        <f aca="false">IF((Planner!$C$60="Realistic"),'Matrix Model'!$H$10,"—")</f>
        <v>7</v>
      </c>
      <c r="I30" s="23" t="str">
        <f aca="false">IF(AND((Planner!$C$60="Realistic"),'Matrix Model'!$I$10&lt;&gt;""),'Matrix Model'!$I$10,"")</f>
        <v/>
      </c>
    </row>
    <row r="31" customFormat="false" ht="15" hidden="false" customHeight="false" outlineLevel="0" collapsed="false">
      <c r="B31" s="4" t="s">
        <v>77</v>
      </c>
      <c r="C31" s="18" t="n">
        <f aca="false">ROUND(IF(Planner!$C$6&lt;19,IF(Planner!$C$5="Male",88.5-61.9*Planner!$C$6+$C$30*(26.7*$C$28+903*($C$27/100))+25,135.3-30.8*Planner!$C$6+$C$30*(10*$C$28+934*($C$27/100))+IF(Planner!$C$11="Same as current site",20,25)),IF(Planner!$C$5="Male",662-9.53*Planner!$C$6+$C$30*(15.91*$C$28+539.6*($C$27/100)),354-6.91*Planner!$C$6+$C$30*(9.36*$C$28+726*($C$27/100))))/10,0)*10</f>
        <v>3030</v>
      </c>
    </row>
    <row r="32" customFormat="false" ht="15" hidden="false" customHeight="false" outlineLevel="0" collapsed="false">
      <c r="B32" s="4" t="s">
        <v>78</v>
      </c>
      <c r="C32" s="26" t="n">
        <f aca="false">INDEX('DRI Tables'!$B$17:$B$19,MATCH(Planner!$C$10,'DRI Tables'!$A$17:$A$19,0))</f>
        <v>0</v>
      </c>
      <c r="F32" s="15" t="s">
        <v>79</v>
      </c>
    </row>
    <row r="33" customFormat="false" ht="15" hidden="false" customHeight="false" outlineLevel="0" collapsed="false">
      <c r="B33" s="4" t="s">
        <v>80</v>
      </c>
      <c r="C33" s="25" t="n">
        <f aca="false">ROUND($C$28/(($C$27/100))^2,1)</f>
        <v>23.5</v>
      </c>
      <c r="F33" s="27" t="s">
        <v>81</v>
      </c>
      <c r="G33" s="27" t="s">
        <v>82</v>
      </c>
      <c r="H33" s="27" t="s">
        <v>83</v>
      </c>
      <c r="I33" s="27" t="s">
        <v>84</v>
      </c>
      <c r="J33" s="27" t="s">
        <v>85</v>
      </c>
    </row>
    <row r="34" customFormat="false" ht="15" hidden="false" customHeight="false" outlineLevel="0" collapsed="false">
      <c r="F34" s="4" t="str">
        <f aca="false">IFERROR(INDEX('Matrix Model'!$B$121:$B$191,MATCH(1,'Matrix Model'!$N$121:$N$191,0)),"")</f>
        <v>Peanut butter</v>
      </c>
      <c r="G34" s="24" t="n">
        <f aca="false">IFERROR(INDEX('Matrix Model'!$J$121:$J$191,MATCH(1,'Matrix Model'!$N$121:$N$191,0)),"")</f>
        <v>32</v>
      </c>
      <c r="H34" s="25" t="n">
        <f aca="false">IFERROR(G34/INDEX('Food Data'!$R$6:$R$76,MATCH(1,'Matrix Model'!$N$121:$N$191,0)),"")</f>
        <v>1</v>
      </c>
      <c r="I34" s="24" t="n">
        <f aca="false">IFERROR(G34*INDEX('Food Data'!$AQ$6:$AQ$76,MATCH(1,'Matrix Model'!$N$121:$N$191,0))/100,"")</f>
        <v>191.36</v>
      </c>
      <c r="J34" s="24" t="n">
        <f aca="false">IFERROR(G34*INDEX('Food Data'!$AR$6:$AR$76,MATCH(1,'Matrix Model'!$N$121:$N$191,0))/100,"")</f>
        <v>7.1072</v>
      </c>
    </row>
    <row r="35" customFormat="false" ht="15" hidden="false" customHeight="false" outlineLevel="0" collapsed="false">
      <c r="B35" s="3" t="s">
        <v>86</v>
      </c>
      <c r="F35" s="4" t="str">
        <f aca="false">IFERROR(INDEX('Matrix Model'!$B$121:$B$191,MATCH(2,'Matrix Model'!$N$121:$N$191,0)),"")</f>
        <v>2% milk</v>
      </c>
      <c r="G35" s="24" t="n">
        <f aca="false">IFERROR(INDEX('Matrix Model'!$J$121:$J$191,MATCH(2,'Matrix Model'!$N$121:$N$191,0)),"")</f>
        <v>183</v>
      </c>
      <c r="H35" s="25" t="n">
        <f aca="false">IFERROR(G35/INDEX('Food Data'!$R$6:$R$76,MATCH(2,'Matrix Model'!$N$121:$N$191,0)),"")</f>
        <v>0.75</v>
      </c>
      <c r="I35" s="24" t="n">
        <f aca="false">IFERROR(G35*INDEX('Food Data'!$AQ$6:$AQ$76,MATCH(2,'Matrix Model'!$N$121:$N$191,0))/100,"")</f>
        <v>91.5</v>
      </c>
      <c r="J35" s="24" t="n">
        <f aca="false">IFERROR(G35*INDEX('Food Data'!$AR$6:$AR$76,MATCH(2,'Matrix Model'!$N$121:$N$191,0))/100,"")</f>
        <v>6.039</v>
      </c>
    </row>
    <row r="36" customFormat="false" ht="15" hidden="false" customHeight="false" outlineLevel="0" collapsed="false">
      <c r="B36" s="4" t="s">
        <v>87</v>
      </c>
      <c r="C36" s="28" t="s">
        <v>88</v>
      </c>
      <c r="F36" s="4" t="str">
        <f aca="false">IFERROR(INDEX('Matrix Model'!$B$121:$B$191,MATCH(3,'Matrix Model'!$N$121:$N$191,0)),"")</f>
        <v>Greek yogurt (plain, nonfat)</v>
      </c>
      <c r="G36" s="24" t="n">
        <f aca="false">IFERROR(INDEX('Matrix Model'!$J$121:$J$191,MATCH(3,'Matrix Model'!$N$121:$N$191,0)),"")</f>
        <v>11.15740355</v>
      </c>
      <c r="H36" s="25" t="n">
        <f aca="false">IFERROR(G36/INDEX('Food Data'!$R$6:$R$76,MATCH(3,'Matrix Model'!$N$121:$N$191,0)),"")</f>
        <v>0.0656317855882353</v>
      </c>
      <c r="I36" s="24" t="n">
        <f aca="false">IFERROR(G36*INDEX('Food Data'!$AQ$6:$AQ$76,MATCH(3,'Matrix Model'!$N$121:$N$191,0))/100,"")</f>
        <v>6.5828680945</v>
      </c>
      <c r="J36" s="24" t="n">
        <f aca="false">IFERROR(G36*INDEX('Food Data'!$AR$6:$AR$76,MATCH(3,'Matrix Model'!$N$121:$N$191,0))/100,"")</f>
        <v>1.136939421745</v>
      </c>
    </row>
    <row r="37" customFormat="false" ht="35.05" hidden="false" customHeight="false" outlineLevel="0" collapsed="false">
      <c r="B37" s="4" t="s">
        <v>89</v>
      </c>
      <c r="C37" s="29" t="str">
        <f aca="false">INDEX(Diets!$B$5:$B$12,MATCH(Planner!$C$36,Diets!$A$5:$A$12,0))</f>
        <v>USDA Acceptable Macronutrient Distribution Ranges; all foods allowed</v>
      </c>
      <c r="F37" s="4" t="str">
        <f aca="false">IFERROR(INDEX('Matrix Model'!$B$121:$B$191,MATCH(4,'Matrix Model'!$N$121:$N$191,0)),"")</f>
        <v>Oatmeal (made with water)</v>
      </c>
      <c r="G37" s="24" t="n">
        <f aca="false">IFERROR(INDEX('Matrix Model'!$J$121:$J$191,MATCH(4,'Matrix Model'!$N$121:$N$191,0)),"")</f>
        <v>190.125</v>
      </c>
      <c r="H37" s="25" t="n">
        <f aca="false">IFERROR(G37/INDEX('Food Data'!$R$6:$R$76,MATCH(4,'Matrix Model'!$N$121:$N$191,0)),"")</f>
        <v>1.625</v>
      </c>
      <c r="I37" s="24" t="n">
        <f aca="false">IFERROR(G37*INDEX('Food Data'!$AQ$6:$AQ$76,MATCH(4,'Matrix Model'!$N$121:$N$191,0))/100,"")</f>
        <v>134.98875</v>
      </c>
      <c r="J37" s="24" t="n">
        <f aca="false">IFERROR(G37*INDEX('Food Data'!$AR$6:$AR$76,MATCH(4,'Matrix Model'!$N$121:$N$191,0))/100,"")</f>
        <v>4.829175</v>
      </c>
    </row>
    <row r="38" customFormat="false" ht="15" hidden="false" customHeight="false" outlineLevel="0" collapsed="false">
      <c r="B38" s="4" t="s">
        <v>90</v>
      </c>
      <c r="C38" s="4" t="str">
        <f aca="false">"Protein "&amp;TEXT('Matrix Model'!$C$8,"0%")&amp;"–"&amp;TEXT('Matrix Model'!$D$8,"0%")&amp;", Carbs "&amp;TEXT('Matrix Model'!$C$9,"0%")&amp;"–"&amp;TEXT('Matrix Model'!$D$9,"0%")&amp;", Fat "&amp;TEXT('Matrix Model'!$C$10,"0%")&amp;"–"&amp;TEXT('Matrix Model'!$D$10,"0%")</f>
        <v>Protein 10%–35%, Carbs 45%–65%, Fat 20%–35%</v>
      </c>
      <c r="F38" s="4" t="str">
        <f aca="false">IFERROR(INDEX('Matrix Model'!$B$121:$B$191,MATCH(5,'Matrix Model'!$N$121:$N$191,0)),"")</f>
        <v>Whole-wheat bread</v>
      </c>
      <c r="G38" s="24" t="n">
        <f aca="false">IFERROR(INDEX('Matrix Model'!$J$121:$J$191,MATCH(5,'Matrix Model'!$N$121:$N$191,0)),"")</f>
        <v>26</v>
      </c>
      <c r="H38" s="25" t="n">
        <f aca="false">IFERROR(G38/INDEX('Food Data'!$R$6:$R$76,MATCH(5,'Matrix Model'!$N$121:$N$191,0)),"")</f>
        <v>0.8125</v>
      </c>
      <c r="I38" s="24" t="n">
        <f aca="false">IFERROR(G38*INDEX('Food Data'!$AQ$6:$AQ$76,MATCH(5,'Matrix Model'!$N$121:$N$191,0))/100,"")</f>
        <v>65.52</v>
      </c>
      <c r="J38" s="24" t="n">
        <f aca="false">IFERROR(G38*INDEX('Food Data'!$AR$6:$AR$76,MATCH(5,'Matrix Model'!$N$121:$N$191,0))/100,"")</f>
        <v>3.237</v>
      </c>
    </row>
    <row r="39" customFormat="false" ht="15" hidden="false" customHeight="false" outlineLevel="0" collapsed="false">
      <c r="B39" s="4" t="s">
        <v>91</v>
      </c>
      <c r="C39" s="30" t="s">
        <v>92</v>
      </c>
      <c r="D39" s="2" t="s">
        <v>93</v>
      </c>
      <c r="F39" s="4" t="str">
        <f aca="false">IFERROR(INDEX('Matrix Model'!$B$121:$B$191,MATCH(6,'Matrix Model'!$N$121:$N$191,0)),"")</f>
        <v>Bananas</v>
      </c>
      <c r="G39" s="24" t="n">
        <f aca="false">IFERROR(INDEX('Matrix Model'!$J$121:$J$191,MATCH(6,'Matrix Model'!$N$121:$N$191,0)),"")</f>
        <v>73.75</v>
      </c>
      <c r="H39" s="25" t="n">
        <f aca="false">IFERROR(G39/INDEX('Food Data'!$R$6:$R$76,MATCH(6,'Matrix Model'!$N$121:$N$191,0)),"")</f>
        <v>0.625</v>
      </c>
      <c r="I39" s="24" t="n">
        <f aca="false">IFERROR(G39*INDEX('Food Data'!$AQ$6:$AQ$76,MATCH(6,'Matrix Model'!$N$121:$N$191,0))/100,"")</f>
        <v>65.6375</v>
      </c>
      <c r="J39" s="24" t="n">
        <f aca="false">IFERROR(G39*INDEX('Food Data'!$AR$6:$AR$76,MATCH(6,'Matrix Model'!$N$121:$N$191,0))/100,"")</f>
        <v>0.803875</v>
      </c>
    </row>
    <row r="40" customFormat="false" ht="15" hidden="false" customHeight="false" outlineLevel="0" collapsed="false">
      <c r="F40" s="4" t="str">
        <f aca="false">IFERROR(INDEX('Matrix Model'!$B$121:$B$191,MATCH(7,'Matrix Model'!$N$121:$N$191,0)),"")</f>
        <v>Orange juice (100%)</v>
      </c>
      <c r="G40" s="24" t="n">
        <f aca="false">IFERROR(INDEX('Matrix Model'!$J$121:$J$191,MATCH(7,'Matrix Model'!$N$121:$N$191,0)),"")</f>
        <v>1.8817917</v>
      </c>
      <c r="H40" s="25" t="n">
        <f aca="false">IFERROR(G40/INDEX('Food Data'!$R$6:$R$76,MATCH(7,'Matrix Model'!$N$121:$N$191,0)),"")</f>
        <v>0.00755739638554217</v>
      </c>
      <c r="I40" s="24" t="n">
        <f aca="false">IFERROR(G40*INDEX('Food Data'!$AQ$6:$AQ$76,MATCH(7,'Matrix Model'!$N$121:$N$191,0))/100,"")</f>
        <v>0.922077933</v>
      </c>
      <c r="J40" s="24" t="n">
        <f aca="false">IFERROR(G40*INDEX('Food Data'!$AR$6:$AR$76,MATCH(7,'Matrix Model'!$N$121:$N$191,0))/100,"")</f>
        <v>0.01279618356</v>
      </c>
    </row>
    <row r="41" customFormat="false" ht="15" hidden="false" customHeight="false" outlineLevel="0" collapsed="false">
      <c r="B41" s="3" t="s">
        <v>94</v>
      </c>
      <c r="F41" s="4" t="str">
        <f aca="false">IFERROR(INDEX('Matrix Model'!$B$121:$B$191,MATCH(8,'Matrix Model'!$N$121:$N$191,0)),"")</f>
        <v>Butter (salted)</v>
      </c>
      <c r="G41" s="24" t="n">
        <f aca="false">IFERROR(INDEX('Matrix Model'!$J$121:$J$191,MATCH(8,'Matrix Model'!$N$121:$N$191,0)),"")</f>
        <v>8.28275</v>
      </c>
      <c r="H41" s="25" t="n">
        <f aca="false">IFERROR(G41/INDEX('Food Data'!$R$6:$R$76,MATCH(8,'Matrix Model'!$N$121:$N$191,0)),"")</f>
        <v>0.583292253521127</v>
      </c>
      <c r="I41" s="24" t="n">
        <f aca="false">IFERROR(G41*INDEX('Food Data'!$AQ$6:$AQ$76,MATCH(8,'Matrix Model'!$N$121:$N$191,0))/100,"")</f>
        <v>59.3873175</v>
      </c>
      <c r="J41" s="24" t="n">
        <f aca="false">IFERROR(G41*INDEX('Food Data'!$AR$6:$AR$76,MATCH(8,'Matrix Model'!$N$121:$N$191,0))/100,"")</f>
        <v>0.070403375</v>
      </c>
    </row>
    <row r="42" customFormat="false" ht="15" hidden="false" customHeight="false" outlineLevel="0" collapsed="false">
      <c r="B42" s="4" t="s">
        <v>95</v>
      </c>
      <c r="C42" s="31" t="n">
        <v>0.05</v>
      </c>
      <c r="F42" s="4" t="str">
        <f aca="false">IFERROR(INDEX('Matrix Model'!$B$121:$B$191,MATCH(9,'Matrix Model'!$N$121:$N$191,0)),"")</f>
        <v/>
      </c>
      <c r="G42" s="24" t="str">
        <f aca="false">IFERROR(INDEX('Matrix Model'!$J$121:$J$191,MATCH(9,'Matrix Model'!$N$121:$N$191,0)),"")</f>
        <v/>
      </c>
      <c r="H42" s="25" t="str">
        <f aca="false">IFERROR(G42/INDEX('Food Data'!$R$6:$R$76,MATCH(9,'Matrix Model'!$N$121:$N$191,0)),"")</f>
        <v/>
      </c>
      <c r="I42" s="24" t="str">
        <f aca="false">IFERROR(G42*INDEX('Food Data'!$AQ$6:$AQ$76,MATCH(9,'Matrix Model'!$N$121:$N$191,0))/100,"")</f>
        <v/>
      </c>
      <c r="J42" s="24" t="str">
        <f aca="false">IFERROR(G42*INDEX('Food Data'!$AR$6:$AR$76,MATCH(9,'Matrix Model'!$N$121:$N$191,0))/100,"")</f>
        <v/>
      </c>
    </row>
    <row r="43" customFormat="false" ht="15" hidden="false" customHeight="false" outlineLevel="0" collapsed="false">
      <c r="B43" s="4" t="s">
        <v>96</v>
      </c>
      <c r="C43" s="31" t="n">
        <v>0.35</v>
      </c>
      <c r="D43" s="2" t="s">
        <v>97</v>
      </c>
      <c r="F43" s="14" t="s">
        <v>98</v>
      </c>
      <c r="I43" s="32" t="n">
        <f aca="false">'Matrix Model'!D198</f>
        <v>615.8985135275</v>
      </c>
      <c r="J43" s="32" t="n">
        <f aca="false">'Matrix Model'!D199</f>
        <v>23.236388980305</v>
      </c>
    </row>
    <row r="44" customFormat="false" ht="15" hidden="false" customHeight="false" outlineLevel="0" collapsed="false">
      <c r="B44" s="4" t="s">
        <v>99</v>
      </c>
      <c r="C44" s="31" t="n">
        <v>0.2</v>
      </c>
    </row>
    <row r="45" customFormat="false" ht="15" hidden="false" customHeight="false" outlineLevel="0" collapsed="false">
      <c r="B45" s="4" t="s">
        <v>100</v>
      </c>
      <c r="C45" s="31" t="n">
        <v>0.2</v>
      </c>
      <c r="D45" s="31" t="n">
        <v>0.3</v>
      </c>
      <c r="F45" s="27" t="s">
        <v>101</v>
      </c>
      <c r="G45" s="27" t="s">
        <v>82</v>
      </c>
      <c r="H45" s="27" t="s">
        <v>83</v>
      </c>
      <c r="I45" s="27" t="s">
        <v>84</v>
      </c>
      <c r="J45" s="27" t="s">
        <v>85</v>
      </c>
    </row>
    <row r="46" customFormat="false" ht="15" hidden="false" customHeight="false" outlineLevel="0" collapsed="false">
      <c r="B46" s="4" t="s">
        <v>102</v>
      </c>
      <c r="C46" s="31" t="n">
        <v>0.25</v>
      </c>
      <c r="D46" s="31" t="n">
        <v>0.35</v>
      </c>
      <c r="F46" s="4" t="str">
        <f aca="false">IFERROR(INDEX('Matrix Model'!$B$121:$B$191,MATCH(1,'Matrix Model'!$O$121:$O$191,0)),"")</f>
        <v>Chicken drumsticks, roasted (meat &amp; skin)</v>
      </c>
      <c r="G46" s="24" t="n">
        <f aca="false">IFERROR(INDEX('Matrix Model'!$K$121:$K$191,MATCH(1,'Matrix Model'!$O$121:$O$191,0)),"")</f>
        <v>41.57922355</v>
      </c>
      <c r="H46" s="25" t="n">
        <f aca="false">IFERROR(G46/INDEX('Food Data'!$R$6:$R$76,MATCH(1,'Matrix Model'!$O$121:$O$191,0)),"")</f>
        <v>0.489167335882353</v>
      </c>
      <c r="I46" s="24" t="n">
        <f aca="false">IFERROR(G46*INDEX('Food Data'!$AQ$6:$AQ$76,MATCH(1,'Matrix Model'!$O$121:$O$191,0))/100,"")</f>
        <v>79.4163169805</v>
      </c>
      <c r="J46" s="24" t="n">
        <f aca="false">IFERROR(G46*INDEX('Food Data'!$AR$6:$AR$76,MATCH(1,'Matrix Model'!$O$121:$O$191,0))/100,"")</f>
        <v>9.708748698925</v>
      </c>
    </row>
    <row r="47" customFormat="false" ht="15" hidden="false" customHeight="false" outlineLevel="0" collapsed="false">
      <c r="B47" s="4" t="s">
        <v>103</v>
      </c>
      <c r="C47" s="31" t="n">
        <v>0.25</v>
      </c>
      <c r="D47" s="31" t="n">
        <v>0.4</v>
      </c>
      <c r="F47" s="4" t="str">
        <f aca="false">IFERROR(INDEX('Matrix Model'!$B$121:$B$191,MATCH(2,'Matrix Model'!$O$121:$O$191,0)),"")</f>
        <v>Lentils, cooked</v>
      </c>
      <c r="G47" s="24" t="n">
        <f aca="false">IFERROR(INDEX('Matrix Model'!$K$121:$K$191,MATCH(2,'Matrix Model'!$O$121:$O$191,0)),"")</f>
        <v>1.0724337</v>
      </c>
      <c r="H47" s="25" t="n">
        <f aca="false">IFERROR(G47/INDEX('Food Data'!$R$6:$R$76,MATCH(2,'Matrix Model'!$O$121:$O$191,0)),"")</f>
        <v>0.0108326636363636</v>
      </c>
      <c r="I47" s="24" t="n">
        <f aca="false">IFERROR(G47*INDEX('Food Data'!$AQ$6:$AQ$76,MATCH(2,'Matrix Model'!$O$121:$O$191,0))/100,"")</f>
        <v>1.244023092</v>
      </c>
      <c r="J47" s="24" t="n">
        <f aca="false">IFERROR(G47*INDEX('Food Data'!$AR$6:$AR$76,MATCH(2,'Matrix Model'!$O$121:$O$191,0))/100,"")</f>
        <v>0.09673351974</v>
      </c>
    </row>
    <row r="48" customFormat="false" ht="15" hidden="false" customHeight="false" outlineLevel="0" collapsed="false">
      <c r="B48" s="4" t="s">
        <v>104</v>
      </c>
      <c r="C48" s="31" t="n">
        <v>0.05</v>
      </c>
      <c r="D48" s="31" t="n">
        <v>0.2</v>
      </c>
      <c r="F48" s="4" t="str">
        <f aca="false">IFERROR(INDEX('Matrix Model'!$B$121:$B$191,MATCH(3,'Matrix Model'!$O$121:$O$191,0)),"")</f>
        <v>Pinto beans, cooked</v>
      </c>
      <c r="G48" s="24" t="n">
        <f aca="false">IFERROR(INDEX('Matrix Model'!$K$121:$K$191,MATCH(3,'Matrix Model'!$O$121:$O$191,0)),"")</f>
        <v>85.5</v>
      </c>
      <c r="H48" s="25" t="n">
        <f aca="false">IFERROR(G48/INDEX('Food Data'!$R$6:$R$76,MATCH(3,'Matrix Model'!$O$121:$O$191,0)),"")</f>
        <v>1</v>
      </c>
      <c r="I48" s="24" t="n">
        <f aca="false">IFERROR(G48*INDEX('Food Data'!$AQ$6:$AQ$76,MATCH(3,'Matrix Model'!$O$121:$O$191,0))/100,"")</f>
        <v>122.265</v>
      </c>
      <c r="J48" s="24" t="n">
        <f aca="false">IFERROR(G48*INDEX('Food Data'!$AR$6:$AR$76,MATCH(3,'Matrix Model'!$O$121:$O$191,0))/100,"")</f>
        <v>7.70355</v>
      </c>
    </row>
    <row r="49" customFormat="false" ht="15" hidden="false" customHeight="false" outlineLevel="0" collapsed="false">
      <c r="B49" s="4" t="s">
        <v>105</v>
      </c>
      <c r="C49" s="13" t="n">
        <v>2.5</v>
      </c>
      <c r="F49" s="4" t="str">
        <f aca="false">IFERROR(INDEX('Matrix Model'!$B$121:$B$191,MATCH(4,'Matrix Model'!$O$121:$O$191,0)),"")</f>
        <v>American cheese (singles)</v>
      </c>
      <c r="G49" s="24" t="n">
        <f aca="false">IFERROR(INDEX('Matrix Model'!$K$121:$K$191,MATCH(4,'Matrix Model'!$O$121:$O$191,0)),"")</f>
        <v>38.32462</v>
      </c>
      <c r="H49" s="25" t="n">
        <f aca="false">IFERROR(G49/INDEX('Food Data'!$R$6:$R$76,MATCH(4,'Matrix Model'!$O$121:$O$191,0)),"")</f>
        <v>2.01708526315789</v>
      </c>
      <c r="I49" s="24" t="n">
        <f aca="false">IFERROR(G49*INDEX('Food Data'!$AQ$6:$AQ$76,MATCH(4,'Matrix Model'!$O$121:$O$191,0))/100,"")</f>
        <v>140.2681092</v>
      </c>
      <c r="J49" s="24" t="n">
        <f aca="false">IFERROR(G49*INDEX('Food Data'!$AR$6:$AR$76,MATCH(4,'Matrix Model'!$O$121:$O$191,0))/100,"")</f>
        <v>6.948253606</v>
      </c>
    </row>
    <row r="50" customFormat="false" ht="15" hidden="false" customHeight="false" outlineLevel="0" collapsed="false">
      <c r="B50" s="4" t="s">
        <v>106</v>
      </c>
      <c r="C50" s="13" t="n">
        <v>2</v>
      </c>
      <c r="F50" s="4" t="str">
        <f aca="false">IFERROR(INDEX('Matrix Model'!$B$121:$B$191,MATCH(5,'Matrix Model'!$O$121:$O$191,0)),"")</f>
        <v>Brown rice, cooked</v>
      </c>
      <c r="G50" s="24" t="n">
        <f aca="false">IFERROR(INDEX('Matrix Model'!$K$121:$K$191,MATCH(5,'Matrix Model'!$O$121:$O$191,0)),"")</f>
        <v>54.3157569</v>
      </c>
      <c r="H50" s="25" t="n">
        <f aca="false">IFERROR(G50/INDEX('Food Data'!$R$6:$R$76,MATCH(5,'Matrix Model'!$O$121:$O$191,0)),"")</f>
        <v>0.537779771287129</v>
      </c>
      <c r="I50" s="24" t="n">
        <f aca="false">IFERROR(G50*INDEX('Food Data'!$AQ$6:$AQ$76,MATCH(5,'Matrix Model'!$O$121:$O$191,0))/100,"")</f>
        <v>66.808380987</v>
      </c>
      <c r="J50" s="24" t="n">
        <f aca="false">IFERROR(G50*INDEX('Food Data'!$AR$6:$AR$76,MATCH(5,'Matrix Model'!$O$121:$O$191,0))/100,"")</f>
        <v>1.48825173906</v>
      </c>
    </row>
    <row r="51" customFormat="false" ht="15" hidden="false" customHeight="false" outlineLevel="0" collapsed="false">
      <c r="B51" s="4" t="s">
        <v>107</v>
      </c>
      <c r="C51" s="8" t="n">
        <v>255</v>
      </c>
      <c r="D51" s="2" t="s">
        <v>108</v>
      </c>
      <c r="F51" s="4" t="str">
        <f aca="false">IFERROR(INDEX('Matrix Model'!$B$121:$B$191,MATCH(6,'Matrix Model'!$O$121:$O$191,0)),"")</f>
        <v>White rice, cooked</v>
      </c>
      <c r="G51" s="24" t="n">
        <f aca="false">IFERROR(INDEX('Matrix Model'!$K$121:$K$191,MATCH(6,'Matrix Model'!$O$121:$O$191,0)),"")</f>
        <v>235.04710195</v>
      </c>
      <c r="H51" s="25" t="n">
        <f aca="false">IFERROR(G51/INDEX('Food Data'!$R$6:$R$76,MATCH(6,'Matrix Model'!$O$121:$O$191,0)),"")</f>
        <v>2.97527977151899</v>
      </c>
      <c r="I51" s="24" t="n">
        <f aca="false">IFERROR(G51*INDEX('Food Data'!$AQ$6:$AQ$76,MATCH(6,'Matrix Model'!$O$121:$O$191,0))/100,"")</f>
        <v>305.561232535</v>
      </c>
      <c r="J51" s="24" t="n">
        <f aca="false">IFERROR(G51*INDEX('Food Data'!$AR$6:$AR$76,MATCH(6,'Matrix Model'!$O$121:$O$191,0))/100,"")</f>
        <v>6.322767042455</v>
      </c>
    </row>
    <row r="52" customFormat="false" ht="15" hidden="false" customHeight="false" outlineLevel="0" collapsed="false">
      <c r="B52" s="4" t="s">
        <v>109</v>
      </c>
      <c r="C52" s="8" t="n">
        <v>4</v>
      </c>
      <c r="D52" s="2" t="s">
        <v>110</v>
      </c>
      <c r="F52" s="4" t="str">
        <f aca="false">IFERROR(INDEX('Matrix Model'!$B$121:$B$191,MATCH(7,'Matrix Model'!$O$121:$O$191,0)),"")</f>
        <v>Whole-wheat bread</v>
      </c>
      <c r="G52" s="24" t="n">
        <f aca="false">IFERROR(INDEX('Matrix Model'!$K$121:$K$191,MATCH(7,'Matrix Model'!$O$121:$O$191,0)),"")</f>
        <v>26</v>
      </c>
      <c r="H52" s="25" t="n">
        <f aca="false">IFERROR(G52/INDEX('Food Data'!$R$6:$R$76,MATCH(7,'Matrix Model'!$O$121:$O$191,0)),"")</f>
        <v>0.8125</v>
      </c>
      <c r="I52" s="24" t="n">
        <f aca="false">IFERROR(G52*INDEX('Food Data'!$AQ$6:$AQ$76,MATCH(7,'Matrix Model'!$O$121:$O$191,0))/100,"")</f>
        <v>65.52</v>
      </c>
      <c r="J52" s="24" t="n">
        <f aca="false">IFERROR(G52*INDEX('Food Data'!$AR$6:$AR$76,MATCH(7,'Matrix Model'!$O$121:$O$191,0))/100,"")</f>
        <v>3.237</v>
      </c>
    </row>
    <row r="53" customFormat="false" ht="15" hidden="false" customHeight="false" outlineLevel="0" collapsed="false">
      <c r="B53" s="4" t="s">
        <v>111</v>
      </c>
      <c r="C53" s="8" t="n">
        <v>3</v>
      </c>
      <c r="D53" s="2" t="s">
        <v>112</v>
      </c>
      <c r="F53" s="4" t="str">
        <f aca="false">IFERROR(INDEX('Matrix Model'!$B$121:$B$191,MATCH(8,'Matrix Model'!$O$121:$O$191,0)),"")</f>
        <v>Whole-wheat spaghetti, cooked</v>
      </c>
      <c r="G53" s="24" t="n">
        <f aca="false">IFERROR(INDEX('Matrix Model'!$K$121:$K$191,MATCH(8,'Matrix Model'!$O$121:$O$191,0)),"")</f>
        <v>47.53125</v>
      </c>
      <c r="H53" s="25" t="n">
        <f aca="false">IFERROR(G53/INDEX('Food Data'!$R$6:$R$76,MATCH(8,'Matrix Model'!$O$121:$O$191,0)),"")</f>
        <v>0.8125</v>
      </c>
      <c r="I53" s="24" t="n">
        <f aca="false">IFERROR(G53*INDEX('Food Data'!$AQ$6:$AQ$76,MATCH(8,'Matrix Model'!$O$121:$O$191,0))/100,"")</f>
        <v>70.8215625</v>
      </c>
      <c r="J53" s="24" t="n">
        <f aca="false">IFERROR(G53*INDEX('Food Data'!$AR$6:$AR$76,MATCH(8,'Matrix Model'!$O$121:$O$191,0))/100,"")</f>
        <v>2.847121875</v>
      </c>
    </row>
    <row r="54" customFormat="false" ht="15" hidden="false" customHeight="false" outlineLevel="0" collapsed="false">
      <c r="B54" s="4" t="s">
        <v>113</v>
      </c>
      <c r="C54" s="8" t="n">
        <v>12</v>
      </c>
      <c r="D54" s="2" t="s">
        <v>114</v>
      </c>
      <c r="F54" s="4" t="str">
        <f aca="false">IFERROR(INDEX('Matrix Model'!$B$121:$B$191,MATCH(9,'Matrix Model'!$O$121:$O$191,0)),"")</f>
        <v>Apples (Gala)</v>
      </c>
      <c r="G54" s="24" t="n">
        <f aca="false">IFERROR(INDEX('Matrix Model'!$K$121:$K$191,MATCH(9,'Matrix Model'!$O$121:$O$191,0)),"")</f>
        <v>77.6526627</v>
      </c>
      <c r="H54" s="25" t="n">
        <f aca="false">IFERROR(G54/INDEX('Food Data'!$R$6:$R$76,MATCH(9,'Matrix Model'!$O$121:$O$191,0)),"")</f>
        <v>0.6212213016</v>
      </c>
      <c r="I54" s="24" t="n">
        <f aca="false">IFERROR(G54*INDEX('Food Data'!$AQ$6:$AQ$76,MATCH(9,'Matrix Model'!$O$121:$O$191,0))/100,"")</f>
        <v>40.379384604</v>
      </c>
      <c r="J54" s="24" t="n">
        <f aca="false">IFERROR(G54*INDEX('Food Data'!$AR$6:$AR$76,MATCH(9,'Matrix Model'!$O$121:$O$191,0))/100,"")</f>
        <v>0.20189692302</v>
      </c>
    </row>
    <row r="55" customFormat="false" ht="15" hidden="false" customHeight="false" outlineLevel="0" collapsed="false">
      <c r="B55" s="4" t="s">
        <v>115</v>
      </c>
      <c r="C55" s="8" t="n">
        <v>4</v>
      </c>
      <c r="D55" s="2" t="s">
        <v>116</v>
      </c>
      <c r="F55" s="14" t="s">
        <v>117</v>
      </c>
      <c r="I55" s="32" t="n">
        <f aca="false">'Matrix Model'!E198</f>
        <v>1060.4999998985</v>
      </c>
      <c r="J55" s="32" t="n">
        <f aca="false">'Matrix Model'!E199</f>
        <v>41.8957234042</v>
      </c>
    </row>
    <row r="56" customFormat="false" ht="15" hidden="false" customHeight="false" outlineLevel="0" collapsed="false">
      <c r="B56" s="4" t="s">
        <v>118</v>
      </c>
      <c r="C56" s="8" t="n">
        <v>2</v>
      </c>
    </row>
    <row r="57" customFormat="false" ht="15" hidden="false" customHeight="false" outlineLevel="0" collapsed="false">
      <c r="B57" s="2" t="s">
        <v>119</v>
      </c>
      <c r="F57" s="27" t="s">
        <v>120</v>
      </c>
      <c r="G57" s="27" t="s">
        <v>82</v>
      </c>
      <c r="H57" s="27" t="s">
        <v>83</v>
      </c>
      <c r="I57" s="27" t="s">
        <v>84</v>
      </c>
      <c r="J57" s="27" t="s">
        <v>85</v>
      </c>
    </row>
    <row r="58" customFormat="false" ht="15" hidden="false" customHeight="false" outlineLevel="0" collapsed="false">
      <c r="F58" s="4" t="str">
        <f aca="false">IFERROR(INDEX('Matrix Model'!$B$121:$B$191,MATCH(1,'Matrix Model'!$P$121:$P$191,0)),"")</f>
        <v>Chicken drumsticks, roasted (meat &amp; skin)</v>
      </c>
      <c r="G58" s="24" t="n">
        <f aca="false">IFERROR(INDEX('Matrix Model'!$L$121:$L$191,MATCH(1,'Matrix Model'!$P$121:$P$191,0)),"")</f>
        <v>41.57922355</v>
      </c>
      <c r="H58" s="25" t="n">
        <f aca="false">IFERROR(G58/INDEX('Food Data'!$R$6:$R$76,MATCH(1,'Matrix Model'!$P$121:$P$191,0)),"")</f>
        <v>0.489167335882353</v>
      </c>
      <c r="I58" s="24" t="n">
        <f aca="false">IFERROR(G58*INDEX('Food Data'!$AQ$6:$AQ$76,MATCH(1,'Matrix Model'!$P$121:$P$191,0))/100,"")</f>
        <v>79.4163169805</v>
      </c>
      <c r="J58" s="24" t="n">
        <f aca="false">IFERROR(G58*INDEX('Food Data'!$AR$6:$AR$76,MATCH(1,'Matrix Model'!$P$121:$P$191,0))/100,"")</f>
        <v>9.708748698925</v>
      </c>
    </row>
    <row r="59" customFormat="false" ht="15" hidden="false" customHeight="false" outlineLevel="0" collapsed="false">
      <c r="B59" s="3" t="s">
        <v>121</v>
      </c>
      <c r="F59" s="4" t="str">
        <f aca="false">IFERROR(INDEX('Matrix Model'!$B$121:$B$191,MATCH(2,'Matrix Model'!$P$121:$P$191,0)),"")</f>
        <v>Lentils, cooked</v>
      </c>
      <c r="G59" s="24" t="n">
        <f aca="false">IFERROR(INDEX('Matrix Model'!$L$121:$L$191,MATCH(2,'Matrix Model'!$P$121:$P$191,0)),"")</f>
        <v>1.0724337</v>
      </c>
      <c r="H59" s="25" t="n">
        <f aca="false">IFERROR(G59/INDEX('Food Data'!$R$6:$R$76,MATCH(2,'Matrix Model'!$P$121:$P$191,0)),"")</f>
        <v>0.0108326636363636</v>
      </c>
      <c r="I59" s="24" t="n">
        <f aca="false">IFERROR(G59*INDEX('Food Data'!$AQ$6:$AQ$76,MATCH(2,'Matrix Model'!$P$121:$P$191,0))/100,"")</f>
        <v>1.244023092</v>
      </c>
      <c r="J59" s="24" t="n">
        <f aca="false">IFERROR(G59*INDEX('Food Data'!$AR$6:$AR$76,MATCH(2,'Matrix Model'!$P$121:$P$191,0))/100,"")</f>
        <v>0.09673351974</v>
      </c>
    </row>
    <row r="60" customFormat="false" ht="15" hidden="false" customHeight="false" outlineLevel="0" collapsed="false">
      <c r="B60" s="4" t="s">
        <v>122</v>
      </c>
      <c r="C60" s="28" t="s">
        <v>123</v>
      </c>
      <c r="D60" s="2" t="s">
        <v>124</v>
      </c>
      <c r="F60" s="4" t="str">
        <f aca="false">IFERROR(INDEX('Matrix Model'!$B$121:$B$191,MATCH(3,'Matrix Model'!$P$121:$P$191,0)),"")</f>
        <v>Pinto beans, cooked</v>
      </c>
      <c r="G60" s="24" t="n">
        <f aca="false">IFERROR(INDEX('Matrix Model'!$L$121:$L$191,MATCH(3,'Matrix Model'!$P$121:$P$191,0)),"")</f>
        <v>85.5</v>
      </c>
      <c r="H60" s="25" t="n">
        <f aca="false">IFERROR(G60/INDEX('Food Data'!$R$6:$R$76,MATCH(3,'Matrix Model'!$P$121:$P$191,0)),"")</f>
        <v>1</v>
      </c>
      <c r="I60" s="24" t="n">
        <f aca="false">IFERROR(G60*INDEX('Food Data'!$AQ$6:$AQ$76,MATCH(3,'Matrix Model'!$P$121:$P$191,0))/100,"")</f>
        <v>122.265</v>
      </c>
      <c r="J60" s="24" t="n">
        <f aca="false">IFERROR(G60*INDEX('Food Data'!$AR$6:$AR$76,MATCH(3,'Matrix Model'!$P$121:$P$191,0))/100,"")</f>
        <v>7.70355</v>
      </c>
    </row>
    <row r="61" customFormat="false" ht="15" hidden="false" customHeight="false" outlineLevel="0" collapsed="false">
      <c r="B61" s="4" t="s">
        <v>125</v>
      </c>
      <c r="C61" s="31" t="n">
        <v>0.5</v>
      </c>
      <c r="D61" s="2" t="s">
        <v>126</v>
      </c>
      <c r="F61" s="4" t="str">
        <f aca="false">IFERROR(INDEX('Matrix Model'!$B$121:$B$191,MATCH(4,'Matrix Model'!$P$121:$P$191,0)),"")</f>
        <v>Brown rice, cooked</v>
      </c>
      <c r="G61" s="24" t="n">
        <f aca="false">IFERROR(INDEX('Matrix Model'!$L$121:$L$191,MATCH(4,'Matrix Model'!$P$121:$P$191,0)),"")</f>
        <v>54.3157569</v>
      </c>
      <c r="H61" s="25" t="n">
        <f aca="false">IFERROR(G61/INDEX('Food Data'!$R$6:$R$76,MATCH(4,'Matrix Model'!$P$121:$P$191,0)),"")</f>
        <v>0.537779771287129</v>
      </c>
      <c r="I61" s="24" t="n">
        <f aca="false">IFERROR(G61*INDEX('Food Data'!$AQ$6:$AQ$76,MATCH(4,'Matrix Model'!$P$121:$P$191,0))/100,"")</f>
        <v>66.808380987</v>
      </c>
      <c r="J61" s="24" t="n">
        <f aca="false">IFERROR(G61*INDEX('Food Data'!$AR$6:$AR$76,MATCH(4,'Matrix Model'!$P$121:$P$191,0))/100,"")</f>
        <v>1.48825173906</v>
      </c>
    </row>
    <row r="62" customFormat="false" ht="15" hidden="false" customHeight="false" outlineLevel="0" collapsed="false">
      <c r="B62" s="4" t="s">
        <v>127</v>
      </c>
      <c r="C62" s="30" t="s">
        <v>128</v>
      </c>
      <c r="D62" s="2" t="s">
        <v>129</v>
      </c>
      <c r="F62" s="4" t="str">
        <f aca="false">IFERROR(INDEX('Matrix Model'!$B$121:$B$191,MATCH(5,'Matrix Model'!$P$121:$P$191,0)),"")</f>
        <v>White rice, cooked</v>
      </c>
      <c r="G62" s="24" t="n">
        <f aca="false">IFERROR(INDEX('Matrix Model'!$L$121:$L$191,MATCH(5,'Matrix Model'!$P$121:$P$191,0)),"")</f>
        <v>235.04710195</v>
      </c>
      <c r="H62" s="25" t="n">
        <f aca="false">IFERROR(G62/INDEX('Food Data'!$R$6:$R$76,MATCH(5,'Matrix Model'!$P$121:$P$191,0)),"")</f>
        <v>2.97527977151899</v>
      </c>
      <c r="I62" s="24" t="n">
        <f aca="false">IFERROR(G62*INDEX('Food Data'!$AQ$6:$AQ$76,MATCH(5,'Matrix Model'!$P$121:$P$191,0))/100,"")</f>
        <v>305.561232535</v>
      </c>
      <c r="J62" s="24" t="n">
        <f aca="false">IFERROR(G62*INDEX('Food Data'!$AR$6:$AR$76,MATCH(5,'Matrix Model'!$P$121:$P$191,0))/100,"")</f>
        <v>6.322767042455</v>
      </c>
    </row>
    <row r="63" customFormat="false" ht="15" hidden="false" customHeight="false" outlineLevel="0" collapsed="false">
      <c r="B63" s="4" t="s">
        <v>130</v>
      </c>
      <c r="C63" s="31" t="n">
        <v>0.1</v>
      </c>
      <c r="F63" s="4" t="str">
        <f aca="false">IFERROR(INDEX('Matrix Model'!$B$121:$B$191,MATCH(6,'Matrix Model'!$P$121:$P$191,0)),"")</f>
        <v>Whole-wheat spaghetti, cooked</v>
      </c>
      <c r="G63" s="24" t="n">
        <f aca="false">IFERROR(INDEX('Matrix Model'!$L$121:$L$191,MATCH(6,'Matrix Model'!$P$121:$P$191,0)),"")</f>
        <v>47.53125</v>
      </c>
      <c r="H63" s="25" t="n">
        <f aca="false">IFERROR(G63/INDEX('Food Data'!$R$6:$R$76,MATCH(6,'Matrix Model'!$P$121:$P$191,0)),"")</f>
        <v>0.8125</v>
      </c>
      <c r="I63" s="24" t="n">
        <f aca="false">IFERROR(G63*INDEX('Food Data'!$AQ$6:$AQ$76,MATCH(6,'Matrix Model'!$P$121:$P$191,0))/100,"")</f>
        <v>70.8215625</v>
      </c>
      <c r="J63" s="24" t="n">
        <f aca="false">IFERROR(G63*INDEX('Food Data'!$AR$6:$AR$76,MATCH(6,'Matrix Model'!$P$121:$P$191,0))/100,"")</f>
        <v>2.847121875</v>
      </c>
    </row>
    <row r="64" customFormat="false" ht="15" hidden="false" customHeight="false" outlineLevel="0" collapsed="false">
      <c r="B64" s="4" t="s">
        <v>131</v>
      </c>
      <c r="C64" s="33"/>
      <c r="D64" s="2" t="s">
        <v>132</v>
      </c>
      <c r="F64" s="4" t="str">
        <f aca="false">IFERROR(INDEX('Matrix Model'!$B$121:$B$191,MATCH(7,'Matrix Model'!$P$121:$P$191,0)),"")</f>
        <v>Green beans (canned, drained)</v>
      </c>
      <c r="G64" s="24" t="n">
        <f aca="false">IFERROR(INDEX('Matrix Model'!$L$121:$L$191,MATCH(7,'Matrix Model'!$P$121:$P$191,0)),"")</f>
        <v>50.625</v>
      </c>
      <c r="H64" s="25" t="n">
        <f aca="false">IFERROR(G64/INDEX('Food Data'!$R$6:$R$76,MATCH(7,'Matrix Model'!$P$121:$P$191,0)),"")</f>
        <v>0.375</v>
      </c>
      <c r="I64" s="24" t="n">
        <f aca="false">IFERROR(G64*INDEX('Food Data'!$AQ$6:$AQ$76,MATCH(7,'Matrix Model'!$P$121:$P$191,0))/100,"")</f>
        <v>11.1375</v>
      </c>
      <c r="J64" s="24" t="n">
        <f aca="false">IFERROR(G64*INDEX('Food Data'!$AR$6:$AR$76,MATCH(7,'Matrix Model'!$P$121:$P$191,0))/100,"")</f>
        <v>0.567</v>
      </c>
    </row>
    <row r="65" customFormat="false" ht="15" hidden="false" customHeight="false" outlineLevel="0" collapsed="false">
      <c r="B65" s="4" t="s">
        <v>133</v>
      </c>
      <c r="C65" s="18" t="n">
        <f aca="false">MIN(3200,MAX(1000,ROUND(Planner!$E$16/200,0)*200))</f>
        <v>3000</v>
      </c>
      <c r="F65" s="4" t="str">
        <f aca="false">IFERROR(INDEX('Matrix Model'!$B$121:$B$191,MATCH(8,'Matrix Model'!$P$121:$P$191,0)),"")</f>
        <v>Tomatoes (roma)</v>
      </c>
      <c r="G65" s="24" t="n">
        <f aca="false">IFERROR(INDEX('Matrix Model'!$L$121:$L$191,MATCH(8,'Matrix Model'!$P$121:$P$191,0)),"")</f>
        <v>180</v>
      </c>
      <c r="H65" s="25" t="n">
        <f aca="false">IFERROR(G65/INDEX('Food Data'!$R$6:$R$76,MATCH(8,'Matrix Model'!$P$121:$P$191,0)),"")</f>
        <v>1</v>
      </c>
      <c r="I65" s="24" t="n">
        <f aca="false">IFERROR(G65*INDEX('Food Data'!$AQ$6:$AQ$76,MATCH(8,'Matrix Model'!$P$121:$P$191,0))/100,"")</f>
        <v>32.4</v>
      </c>
      <c r="J65" s="24" t="n">
        <f aca="false">IFERROR(G65*INDEX('Food Data'!$AR$6:$AR$76,MATCH(8,'Matrix Model'!$P$121:$P$191,0))/100,"")</f>
        <v>1.584</v>
      </c>
    </row>
    <row r="66" customFormat="false" ht="15" hidden="false" customHeight="false" outlineLevel="0" collapsed="false">
      <c r="B66" s="4" t="s">
        <v>134</v>
      </c>
      <c r="C66" s="34" t="n">
        <f aca="false">INDEX('DRI Tables'!$C$49:$C$56,IF(Planner!$C$5="Male",0,4)+IF(Planner!$C$6&lt;=19,1,IF(Planner!$C$6&lt;=50,2,IF(Planner!$C$6&lt;=70,3,4))))</f>
        <v>73.2</v>
      </c>
      <c r="D66" s="2" t="str">
        <f aca="false">"Moderate-Cost: "&amp;TEXT(INDEX('DRI Tables'!$E$49:$E$56,IF(Planner!$C$5="Male",0,4)+IF(Planner!$C$6&lt;=18,1,IF(Planner!$C$6&lt;=50,2,IF(Planner!$C$6&lt;=70,3,4)))),"$0.00")&amp;" (May 2026; +20% living alone)"</f>
        <v>Moderate-Cost: $91.60 (May 2026; +20% living alone)</v>
      </c>
      <c r="F66" s="4" t="str">
        <f aca="false">IFERROR(INDEX('Matrix Model'!$B$121:$B$191,MATCH(9,'Matrix Model'!$P$121:$P$191,0)),"")</f>
        <v>Butter (salted)</v>
      </c>
      <c r="G66" s="24" t="n">
        <f aca="false">IFERROR(INDEX('Matrix Model'!$L$121:$L$191,MATCH(9,'Matrix Model'!$P$121:$P$191,0)),"")</f>
        <v>8.28275</v>
      </c>
      <c r="H66" s="25" t="n">
        <f aca="false">IFERROR(G66/INDEX('Food Data'!$R$6:$R$76,MATCH(9,'Matrix Model'!$P$121:$P$191,0)),"")</f>
        <v>0.583292253521127</v>
      </c>
      <c r="I66" s="24" t="n">
        <f aca="false">IFERROR(G66*INDEX('Food Data'!$AQ$6:$AQ$76,MATCH(9,'Matrix Model'!$P$121:$P$191,0))/100,"")</f>
        <v>59.3873175</v>
      </c>
      <c r="J66" s="24" t="n">
        <f aca="false">IFERROR(G66*INDEX('Food Data'!$AR$6:$AR$76,MATCH(9,'Matrix Model'!$P$121:$P$191,0))/100,"")</f>
        <v>0.070403375</v>
      </c>
    </row>
    <row r="67" customFormat="false" ht="15" hidden="false" customHeight="false" outlineLevel="0" collapsed="false">
      <c r="F67" s="14" t="s">
        <v>135</v>
      </c>
      <c r="I67" s="32" t="n">
        <f aca="false">'Matrix Model'!F198</f>
        <v>821.2398235945</v>
      </c>
      <c r="J67" s="32" t="n">
        <f aca="false">'Matrix Model'!F199</f>
        <v>30.38857625018</v>
      </c>
    </row>
    <row r="69" customFormat="false" ht="15" hidden="false" customHeight="false" outlineLevel="0" collapsed="false">
      <c r="F69" s="27" t="s">
        <v>136</v>
      </c>
      <c r="G69" s="27" t="s">
        <v>82</v>
      </c>
      <c r="H69" s="27" t="s">
        <v>83</v>
      </c>
      <c r="I69" s="27" t="s">
        <v>84</v>
      </c>
      <c r="J69" s="27" t="s">
        <v>85</v>
      </c>
    </row>
    <row r="70" customFormat="false" ht="15" hidden="false" customHeight="false" outlineLevel="0" collapsed="false">
      <c r="F70" s="4" t="str">
        <f aca="false">IFERROR(INDEX('Matrix Model'!$B$121:$B$191,MATCH(1,'Matrix Model'!$Q$121:$Q$191,0)),"")</f>
        <v>Peanut butter</v>
      </c>
      <c r="G70" s="24" t="n">
        <f aca="false">IFERROR(INDEX('Matrix Model'!$M$121:$M$191,MATCH(1,'Matrix Model'!$Q$121:$Q$191,0)),"")</f>
        <v>32</v>
      </c>
      <c r="H70" s="25" t="n">
        <f aca="false">IFERROR(G70/INDEX('Food Data'!$R$6:$R$76,MATCH(1,'Matrix Model'!$Q$121:$Q$191,0)),"")</f>
        <v>1</v>
      </c>
      <c r="I70" s="24" t="n">
        <f aca="false">IFERROR(G70*INDEX('Food Data'!$AQ$6:$AQ$76,MATCH(1,'Matrix Model'!$Q$121:$Q$191,0))/100,"")</f>
        <v>191.36</v>
      </c>
      <c r="J70" s="24" t="n">
        <f aca="false">IFERROR(G70*INDEX('Food Data'!$AR$6:$AR$76,MATCH(1,'Matrix Model'!$Q$121:$Q$191,0))/100,"")</f>
        <v>7.1072</v>
      </c>
    </row>
    <row r="71" customFormat="false" ht="15" hidden="false" customHeight="false" outlineLevel="0" collapsed="false">
      <c r="F71" s="4" t="str">
        <f aca="false">IFERROR(INDEX('Matrix Model'!$B$121:$B$191,MATCH(2,'Matrix Model'!$Q$121:$Q$191,0)),"")</f>
        <v>2% milk</v>
      </c>
      <c r="G71" s="24" t="n">
        <f aca="false">IFERROR(INDEX('Matrix Model'!$M$121:$M$191,MATCH(2,'Matrix Model'!$Q$121:$Q$191,0)),"")</f>
        <v>183</v>
      </c>
      <c r="H71" s="25" t="n">
        <f aca="false">IFERROR(G71/INDEX('Food Data'!$R$6:$R$76,MATCH(2,'Matrix Model'!$Q$121:$Q$191,0)),"")</f>
        <v>0.75</v>
      </c>
      <c r="I71" s="24" t="n">
        <f aca="false">IFERROR(G71*INDEX('Food Data'!$AQ$6:$AQ$76,MATCH(2,'Matrix Model'!$Q$121:$Q$191,0))/100,"")</f>
        <v>91.5</v>
      </c>
      <c r="J71" s="24" t="n">
        <f aca="false">IFERROR(G71*INDEX('Food Data'!$AR$6:$AR$76,MATCH(2,'Matrix Model'!$Q$121:$Q$191,0))/100,"")</f>
        <v>6.039</v>
      </c>
    </row>
    <row r="72" customFormat="false" ht="15" hidden="false" customHeight="false" outlineLevel="0" collapsed="false">
      <c r="F72" s="4" t="str">
        <f aca="false">IFERROR(INDEX('Matrix Model'!$B$121:$B$191,MATCH(3,'Matrix Model'!$Q$121:$Q$191,0)),"")</f>
        <v>Greek yogurt (plain, nonfat)</v>
      </c>
      <c r="G72" s="24" t="n">
        <f aca="false">IFERROR(INDEX('Matrix Model'!$M$121:$M$191,MATCH(3,'Matrix Model'!$Q$121:$Q$191,0)),"")</f>
        <v>11.15740355</v>
      </c>
      <c r="H72" s="25" t="n">
        <f aca="false">IFERROR(G72/INDEX('Food Data'!$R$6:$R$76,MATCH(3,'Matrix Model'!$Q$121:$Q$191,0)),"")</f>
        <v>0.0656317855882353</v>
      </c>
      <c r="I72" s="24" t="n">
        <f aca="false">IFERROR(G72*INDEX('Food Data'!$AQ$6:$AQ$76,MATCH(3,'Matrix Model'!$Q$121:$Q$191,0))/100,"")</f>
        <v>6.5828680945</v>
      </c>
      <c r="J72" s="24" t="n">
        <f aca="false">IFERROR(G72*INDEX('Food Data'!$AR$6:$AR$76,MATCH(3,'Matrix Model'!$Q$121:$Q$191,0))/100,"")</f>
        <v>1.136939421745</v>
      </c>
    </row>
    <row r="73" customFormat="false" ht="15" hidden="false" customHeight="false" outlineLevel="0" collapsed="false">
      <c r="F73" s="4" t="str">
        <f aca="false">IFERROR(INDEX('Matrix Model'!$B$121:$B$191,MATCH(4,'Matrix Model'!$Q$121:$Q$191,0)),"")</f>
        <v>Apples (Gala)</v>
      </c>
      <c r="G73" s="24" t="n">
        <f aca="false">IFERROR(INDEX('Matrix Model'!$M$121:$M$191,MATCH(4,'Matrix Model'!$Q$121:$Q$191,0)),"")</f>
        <v>77.6526627</v>
      </c>
      <c r="H73" s="25" t="n">
        <f aca="false">IFERROR(G73/INDEX('Food Data'!$R$6:$R$76,MATCH(4,'Matrix Model'!$Q$121:$Q$191,0)),"")</f>
        <v>0.6212213016</v>
      </c>
      <c r="I73" s="24" t="n">
        <f aca="false">IFERROR(G73*INDEX('Food Data'!$AQ$6:$AQ$76,MATCH(4,'Matrix Model'!$Q$121:$Q$191,0))/100,"")</f>
        <v>40.379384604</v>
      </c>
      <c r="J73" s="24" t="n">
        <f aca="false">IFERROR(G73*INDEX('Food Data'!$AR$6:$AR$76,MATCH(4,'Matrix Model'!$Q$121:$Q$191,0))/100,"")</f>
        <v>0.20189692302</v>
      </c>
    </row>
    <row r="74" customFormat="false" ht="15" hidden="false" customHeight="false" outlineLevel="0" collapsed="false">
      <c r="F74" s="4" t="str">
        <f aca="false">IFERROR(INDEX('Matrix Model'!$B$121:$B$191,MATCH(5,'Matrix Model'!$Q$121:$Q$191,0)),"")</f>
        <v>Bananas</v>
      </c>
      <c r="G74" s="24" t="n">
        <f aca="false">IFERROR(INDEX('Matrix Model'!$M$121:$M$191,MATCH(5,'Matrix Model'!$Q$121:$Q$191,0)),"")</f>
        <v>73.75</v>
      </c>
      <c r="H74" s="25" t="n">
        <f aca="false">IFERROR(G74/INDEX('Food Data'!$R$6:$R$76,MATCH(5,'Matrix Model'!$Q$121:$Q$191,0)),"")</f>
        <v>0.625</v>
      </c>
      <c r="I74" s="24" t="n">
        <f aca="false">IFERROR(G74*INDEX('Food Data'!$AQ$6:$AQ$76,MATCH(5,'Matrix Model'!$Q$121:$Q$191,0))/100,"")</f>
        <v>65.6375</v>
      </c>
      <c r="J74" s="24" t="n">
        <f aca="false">IFERROR(G74*INDEX('Food Data'!$AR$6:$AR$76,MATCH(5,'Matrix Model'!$Q$121:$Q$191,0))/100,"")</f>
        <v>0.803875</v>
      </c>
    </row>
    <row r="75" customFormat="false" ht="15" hidden="false" customHeight="false" outlineLevel="0" collapsed="false">
      <c r="F75" s="4" t="str">
        <f aca="false">IFERROR(INDEX('Matrix Model'!$B$121:$B$191,MATCH(6,'Matrix Model'!$Q$121:$Q$191,0)),"")</f>
        <v>Carrots</v>
      </c>
      <c r="G75" s="24" t="n">
        <f aca="false">IFERROR(INDEX('Matrix Model'!$M$121:$M$191,MATCH(6,'Matrix Model'!$Q$121:$Q$191,0)),"")</f>
        <v>128</v>
      </c>
      <c r="H75" s="25" t="n">
        <f aca="false">IFERROR(G75/INDEX('Food Data'!$R$6:$R$76,MATCH(6,'Matrix Model'!$Q$121:$Q$191,0)),"")</f>
        <v>1</v>
      </c>
      <c r="I75" s="24" t="n">
        <f aca="false">IFERROR(G75*INDEX('Food Data'!$AQ$6:$AQ$76,MATCH(6,'Matrix Model'!$Q$121:$Q$191,0))/100,"")</f>
        <v>52.48</v>
      </c>
      <c r="J75" s="24" t="n">
        <f aca="false">IFERROR(G75*INDEX('Food Data'!$AR$6:$AR$76,MATCH(6,'Matrix Model'!$Q$121:$Q$191,0))/100,"")</f>
        <v>1.1904</v>
      </c>
    </row>
    <row r="76" customFormat="false" ht="15" hidden="false" customHeight="false" outlineLevel="0" collapsed="false">
      <c r="F76" s="4" t="str">
        <f aca="false">IFERROR(INDEX('Matrix Model'!$B$121:$B$191,MATCH(7,'Matrix Model'!$Q$121:$Q$191,0)),"")</f>
        <v/>
      </c>
      <c r="G76" s="24" t="str">
        <f aca="false">IFERROR(INDEX('Matrix Model'!$M$121:$M$191,MATCH(7,'Matrix Model'!$Q$121:$Q$191,0)),"")</f>
        <v/>
      </c>
      <c r="H76" s="25" t="str">
        <f aca="false">IFERROR(G76/INDEX('Food Data'!$R$6:$R$76,MATCH(7,'Matrix Model'!$Q$121:$Q$191,0)),"")</f>
        <v/>
      </c>
      <c r="I76" s="24" t="str">
        <f aca="false">IFERROR(G76*INDEX('Food Data'!$AQ$6:$AQ$76,MATCH(7,'Matrix Model'!$Q$121:$Q$191,0))/100,"")</f>
        <v/>
      </c>
      <c r="J76" s="24" t="str">
        <f aca="false">IFERROR(G76*INDEX('Food Data'!$AR$6:$AR$76,MATCH(7,'Matrix Model'!$Q$121:$Q$191,0))/100,"")</f>
        <v/>
      </c>
    </row>
    <row r="77" customFormat="false" ht="15" hidden="false" customHeight="false" outlineLevel="0" collapsed="false">
      <c r="F77" s="4" t="str">
        <f aca="false">IFERROR(INDEX('Matrix Model'!$B$121:$B$191,MATCH(8,'Matrix Model'!$Q$121:$Q$191,0)),"")</f>
        <v/>
      </c>
      <c r="G77" s="24" t="str">
        <f aca="false">IFERROR(INDEX('Matrix Model'!$M$121:$M$191,MATCH(8,'Matrix Model'!$Q$121:$Q$191,0)),"")</f>
        <v/>
      </c>
      <c r="H77" s="25" t="str">
        <f aca="false">IFERROR(G77/INDEX('Food Data'!$R$6:$R$76,MATCH(8,'Matrix Model'!$Q$121:$Q$191,0)),"")</f>
        <v/>
      </c>
      <c r="I77" s="24" t="str">
        <f aca="false">IFERROR(G77*INDEX('Food Data'!$AQ$6:$AQ$76,MATCH(8,'Matrix Model'!$Q$121:$Q$191,0))/100,"")</f>
        <v/>
      </c>
      <c r="J77" s="24" t="str">
        <f aca="false">IFERROR(G77*INDEX('Food Data'!$AR$6:$AR$76,MATCH(8,'Matrix Model'!$Q$121:$Q$191,0))/100,"")</f>
        <v/>
      </c>
    </row>
    <row r="78" customFormat="false" ht="15" hidden="false" customHeight="false" outlineLevel="0" collapsed="false">
      <c r="F78" s="4" t="str">
        <f aca="false">IFERROR(INDEX('Matrix Model'!$B$121:$B$191,MATCH(9,'Matrix Model'!$Q$121:$Q$191,0)),"")</f>
        <v/>
      </c>
      <c r="G78" s="24" t="str">
        <f aca="false">IFERROR(INDEX('Matrix Model'!$M$121:$M$191,MATCH(9,'Matrix Model'!$Q$121:$Q$191,0)),"")</f>
        <v/>
      </c>
      <c r="H78" s="25" t="str">
        <f aca="false">IFERROR(G78/INDEX('Food Data'!$R$6:$R$76,MATCH(9,'Matrix Model'!$Q$121:$Q$191,0)),"")</f>
        <v/>
      </c>
      <c r="I78" s="24" t="str">
        <f aca="false">IFERROR(G78*INDEX('Food Data'!$AQ$6:$AQ$76,MATCH(9,'Matrix Model'!$Q$121:$Q$191,0))/100,"")</f>
        <v/>
      </c>
      <c r="J78" s="24" t="str">
        <f aca="false">IFERROR(G78*INDEX('Food Data'!$AR$6:$AR$76,MATCH(9,'Matrix Model'!$Q$121:$Q$191,0))/100,"")</f>
        <v/>
      </c>
    </row>
    <row r="79" customFormat="false" ht="15" hidden="false" customHeight="false" outlineLevel="0" collapsed="false">
      <c r="F79" s="14" t="s">
        <v>137</v>
      </c>
      <c r="I79" s="32" t="n">
        <f aca="false">'Matrix Model'!G198</f>
        <v>447.9397526985</v>
      </c>
      <c r="J79" s="32" t="n">
        <f aca="false">'Matrix Model'!G199</f>
        <v>16.479311344765</v>
      </c>
    </row>
  </sheetData>
  <mergeCells count="2">
    <mergeCell ref="G8:J8"/>
    <mergeCell ref="G9:J9"/>
  </mergeCells>
  <conditionalFormatting sqref="G8">
    <cfRule type="expression" priority="2" aboveAverage="0" equalAverage="0" bottom="0" percent="0" rank="0" text="" dxfId="0">
      <formula>$G$7=0</formula>
    </cfRule>
    <cfRule type="expression" priority="3" aboveAverage="0" equalAverage="0" bottom="0" percent="0" rank="0" text="" dxfId="1">
      <formula>$G$7&gt;0</formula>
    </cfRule>
  </conditionalFormatting>
  <dataValidations count="8">
    <dataValidation allowBlank="false" errorStyle="stop" operator="between" showDropDown="false" showErrorMessage="false" showInputMessage="false" sqref="C5" type="list">
      <formula1>"Male,Female"</formula1>
      <formula2>0</formula2>
    </dataValidation>
    <dataValidation allowBlank="false" errorStyle="stop" operator="between" showDropDown="false" showErrorMessage="false" showInputMessage="false" sqref="C9" type="list">
      <formula1>"Inactive,Low active,Active,Very active"</formula1>
      <formula2>0</formula2>
    </dataValidation>
    <dataValidation allowBlank="false" errorStyle="stop" operator="between" showDropDown="false" showErrorMessage="false" showInputMessage="false" sqref="C10" type="list">
      <formula1>"Lose fat,Maintain,Build muscle"</formula1>
      <formula2>0</formula2>
    </dataValidation>
    <dataValidation allowBlank="false" errorStyle="stop" operator="between" showDropDown="false" showErrorMessage="false" showInputMessage="false" sqref="C11" type="list">
      <formula1>"IOM 2005 (corrected),Same as current site"</formula1>
      <formula2>0</formula2>
    </dataValidation>
    <dataValidation allowBlank="false" errorStyle="stop" operator="between" showDropDown="false" showErrorMessage="false" showInputMessage="false" sqref="C36" type="list">
      <formula1>Diets!$A$5:$A$12</formula1>
      <formula2>0</formula2>
    </dataValidation>
    <dataValidation allowBlank="false" errorStyle="stop" operator="between" showDropDown="false" showErrorMessage="false" showInputMessage="false" sqref="C39" type="list">
      <formula1>"Walmart (Oct 2026),BLS U.S. average (Sep 2026)"</formula1>
      <formula2>0</formula2>
    </dataValidation>
    <dataValidation allowBlank="false" errorStyle="stop" operator="between" showDropDown="false" showErrorMessage="false" showInputMessage="false" sqref="C60" type="list">
      <formula1>"Realistic,Textbook"</formula1>
      <formula2>0</formula2>
    </dataValidation>
    <dataValidation allowBlank="false" errorStyle="stop" operator="between" showDropDown="false" showErrorMessage="false" showInputMessage="false" sqref="C62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0" min="2" style="0" width="12"/>
  </cols>
  <sheetData>
    <row r="1" customFormat="false" ht="17.35" hidden="false" customHeight="false" outlineLevel="0" collapsed="false">
      <c r="A1" s="1" t="s">
        <v>138</v>
      </c>
    </row>
    <row r="2" customFormat="false" ht="15" hidden="false" customHeight="false" outlineLevel="0" collapsed="false">
      <c r="A2" s="2" t="s">
        <v>139</v>
      </c>
    </row>
    <row r="4" customFormat="false" ht="15" hidden="false" customHeight="false" outlineLevel="0" collapsed="false">
      <c r="A4" s="16" t="s">
        <v>140</v>
      </c>
      <c r="B4" s="16" t="s">
        <v>141</v>
      </c>
      <c r="C4" s="16" t="s">
        <v>142</v>
      </c>
      <c r="D4" s="16" t="s">
        <v>19</v>
      </c>
      <c r="E4" s="16" t="s">
        <v>143</v>
      </c>
    </row>
    <row r="5" customFormat="false" ht="15" hidden="false" customHeight="false" outlineLevel="0" collapsed="false">
      <c r="A5" s="14" t="s">
        <v>144</v>
      </c>
      <c r="B5" s="35" t="n">
        <v>1</v>
      </c>
      <c r="C5" s="35" t="n">
        <v>1.11</v>
      </c>
      <c r="D5" s="35" t="n">
        <v>1.25</v>
      </c>
      <c r="E5" s="35" t="n">
        <v>1.48</v>
      </c>
    </row>
    <row r="6" customFormat="false" ht="15" hidden="false" customHeight="false" outlineLevel="0" collapsed="false">
      <c r="A6" s="14" t="s">
        <v>145</v>
      </c>
      <c r="B6" s="35" t="n">
        <v>1</v>
      </c>
      <c r="C6" s="35" t="n">
        <v>1.12</v>
      </c>
      <c r="D6" s="35" t="n">
        <v>1.27</v>
      </c>
      <c r="E6" s="35" t="n">
        <v>1.45</v>
      </c>
    </row>
    <row r="7" customFormat="false" ht="15" hidden="false" customHeight="false" outlineLevel="0" collapsed="false">
      <c r="A7" s="14" t="s">
        <v>146</v>
      </c>
      <c r="B7" s="35" t="n">
        <v>1</v>
      </c>
      <c r="C7" s="35" t="n">
        <v>1.13</v>
      </c>
      <c r="D7" s="35" t="n">
        <v>1.26</v>
      </c>
      <c r="E7" s="35" t="n">
        <v>1.42</v>
      </c>
    </row>
    <row r="8" customFormat="false" ht="15" hidden="false" customHeight="false" outlineLevel="0" collapsed="false">
      <c r="A8" s="14" t="s">
        <v>147</v>
      </c>
      <c r="B8" s="35" t="n">
        <v>1</v>
      </c>
      <c r="C8" s="35" t="n">
        <v>1.16</v>
      </c>
      <c r="D8" s="35" t="n">
        <v>1.31</v>
      </c>
      <c r="E8" s="35" t="n">
        <v>1.56</v>
      </c>
    </row>
    <row r="9" customFormat="false" ht="15" hidden="false" customHeight="false" outlineLevel="0" collapsed="false">
      <c r="A9" s="2" t="s">
        <v>148</v>
      </c>
    </row>
    <row r="10" customFormat="false" ht="15" hidden="false" customHeight="false" outlineLevel="0" collapsed="false">
      <c r="A10" s="16" t="s">
        <v>149</v>
      </c>
      <c r="B10" s="16" t="s">
        <v>141</v>
      </c>
      <c r="C10" s="16" t="s">
        <v>142</v>
      </c>
      <c r="D10" s="16" t="s">
        <v>19</v>
      </c>
      <c r="E10" s="16" t="s">
        <v>143</v>
      </c>
    </row>
    <row r="11" customFormat="false" ht="15" hidden="false" customHeight="false" outlineLevel="0" collapsed="false">
      <c r="A11" s="14" t="s">
        <v>144</v>
      </c>
      <c r="B11" s="35" t="n">
        <v>1</v>
      </c>
      <c r="C11" s="35" t="n">
        <v>1.11</v>
      </c>
      <c r="D11" s="35" t="n">
        <v>1.25</v>
      </c>
      <c r="E11" s="35" t="n">
        <v>1.48</v>
      </c>
    </row>
    <row r="12" customFormat="false" ht="15" hidden="false" customHeight="false" outlineLevel="0" collapsed="false">
      <c r="A12" s="14" t="s">
        <v>145</v>
      </c>
      <c r="B12" s="35" t="n">
        <v>1</v>
      </c>
      <c r="C12" s="35" t="n">
        <v>1.11</v>
      </c>
      <c r="D12" s="35" t="n">
        <v>1.25</v>
      </c>
      <c r="E12" s="35" t="n">
        <v>1.48</v>
      </c>
    </row>
    <row r="13" customFormat="false" ht="15" hidden="false" customHeight="false" outlineLevel="0" collapsed="false">
      <c r="A13" s="14" t="s">
        <v>146</v>
      </c>
      <c r="B13" s="35" t="n">
        <v>1</v>
      </c>
      <c r="C13" s="35" t="n">
        <v>1.13</v>
      </c>
      <c r="D13" s="35" t="n">
        <v>1.26</v>
      </c>
      <c r="E13" s="35" t="n">
        <v>1.42</v>
      </c>
    </row>
    <row r="14" customFormat="false" ht="15" hidden="false" customHeight="false" outlineLevel="0" collapsed="false">
      <c r="A14" s="14" t="s">
        <v>147</v>
      </c>
      <c r="B14" s="35" t="n">
        <v>1</v>
      </c>
      <c r="C14" s="35" t="n">
        <v>1.13</v>
      </c>
      <c r="D14" s="35" t="n">
        <v>1.26</v>
      </c>
      <c r="E14" s="35" t="n">
        <v>1.42</v>
      </c>
    </row>
    <row r="16" customFormat="false" ht="15" hidden="false" customHeight="false" outlineLevel="0" collapsed="false">
      <c r="A16" s="16" t="s">
        <v>22</v>
      </c>
      <c r="B16" s="16" t="s">
        <v>150</v>
      </c>
      <c r="D16" s="15" t="s">
        <v>151</v>
      </c>
    </row>
    <row r="17" customFormat="false" ht="15" hidden="false" customHeight="false" outlineLevel="0" collapsed="false">
      <c r="A17" s="14" t="s">
        <v>152</v>
      </c>
      <c r="B17" s="36" t="n">
        <v>-500</v>
      </c>
      <c r="D17" s="7" t="s">
        <v>6</v>
      </c>
      <c r="E17" s="37" t="n">
        <v>1500</v>
      </c>
    </row>
    <row r="18" customFormat="false" ht="15" hidden="false" customHeight="false" outlineLevel="0" collapsed="false">
      <c r="A18" s="14" t="s">
        <v>23</v>
      </c>
      <c r="B18" s="36" t="n">
        <v>0</v>
      </c>
      <c r="D18" s="7" t="s">
        <v>153</v>
      </c>
      <c r="E18" s="37" t="n">
        <v>1200</v>
      </c>
    </row>
    <row r="19" customFormat="false" ht="15" hidden="false" customHeight="false" outlineLevel="0" collapsed="false">
      <c r="A19" s="14" t="s">
        <v>154</v>
      </c>
      <c r="B19" s="36" t="n">
        <v>350</v>
      </c>
    </row>
    <row r="22" customFormat="false" ht="23.85" hidden="false" customHeight="false" outlineLevel="0" collapsed="false">
      <c r="A22" s="16" t="s">
        <v>73</v>
      </c>
      <c r="B22" s="16" t="s">
        <v>155</v>
      </c>
      <c r="C22" s="16" t="s">
        <v>156</v>
      </c>
      <c r="D22" s="16" t="s">
        <v>157</v>
      </c>
      <c r="E22" s="16" t="s">
        <v>158</v>
      </c>
      <c r="F22" s="16" t="s">
        <v>159</v>
      </c>
      <c r="G22" s="16" t="s">
        <v>160</v>
      </c>
      <c r="H22" s="16" t="s">
        <v>161</v>
      </c>
      <c r="I22" s="16" t="s">
        <v>162</v>
      </c>
      <c r="J22" s="16" t="s">
        <v>163</v>
      </c>
    </row>
    <row r="23" customFormat="false" ht="15" hidden="false" customHeight="false" outlineLevel="0" collapsed="false">
      <c r="A23" s="14" t="s">
        <v>164</v>
      </c>
      <c r="B23" s="4" t="s">
        <v>165</v>
      </c>
      <c r="C23" s="21" t="n">
        <v>75</v>
      </c>
      <c r="D23" s="21" t="n">
        <v>65</v>
      </c>
      <c r="E23" s="21" t="n">
        <v>1300</v>
      </c>
      <c r="F23" s="21" t="n">
        <v>1300</v>
      </c>
      <c r="G23" s="21" t="n">
        <v>11</v>
      </c>
      <c r="H23" s="21" t="n">
        <v>15</v>
      </c>
      <c r="I23" s="21" t="n">
        <v>3000</v>
      </c>
      <c r="J23" s="21" t="n">
        <v>2300</v>
      </c>
    </row>
    <row r="24" customFormat="false" ht="15" hidden="false" customHeight="false" outlineLevel="0" collapsed="false">
      <c r="A24" s="14" t="s">
        <v>166</v>
      </c>
      <c r="B24" s="4" t="s">
        <v>167</v>
      </c>
      <c r="C24" s="21" t="n">
        <v>90</v>
      </c>
      <c r="D24" s="21" t="n">
        <v>75</v>
      </c>
      <c r="E24" s="21" t="n">
        <v>1000</v>
      </c>
      <c r="F24" s="21" t="n">
        <v>1000</v>
      </c>
      <c r="G24" s="21" t="n">
        <v>8</v>
      </c>
      <c r="H24" s="21" t="n">
        <v>18</v>
      </c>
      <c r="I24" s="21" t="n">
        <v>3400</v>
      </c>
      <c r="J24" s="21" t="n">
        <v>2600</v>
      </c>
    </row>
    <row r="25" customFormat="false" ht="15" hidden="false" customHeight="false" outlineLevel="0" collapsed="false">
      <c r="A25" s="14" t="s">
        <v>168</v>
      </c>
      <c r="B25" s="4" t="s">
        <v>169</v>
      </c>
      <c r="C25" s="21" t="n">
        <v>90</v>
      </c>
      <c r="D25" s="21" t="n">
        <v>75</v>
      </c>
      <c r="E25" s="21" t="n">
        <v>1000</v>
      </c>
      <c r="F25" s="21" t="n">
        <v>1000</v>
      </c>
      <c r="G25" s="21" t="n">
        <v>8</v>
      </c>
      <c r="H25" s="21" t="n">
        <v>18</v>
      </c>
      <c r="I25" s="21" t="n">
        <v>3400</v>
      </c>
      <c r="J25" s="21" t="n">
        <v>2600</v>
      </c>
    </row>
    <row r="26" customFormat="false" ht="15" hidden="false" customHeight="false" outlineLevel="0" collapsed="false">
      <c r="A26" s="14" t="s">
        <v>170</v>
      </c>
      <c r="B26" s="4" t="s">
        <v>171</v>
      </c>
      <c r="C26" s="21" t="n">
        <v>90</v>
      </c>
      <c r="D26" s="21" t="n">
        <v>75</v>
      </c>
      <c r="E26" s="21" t="n">
        <v>1000</v>
      </c>
      <c r="F26" s="21" t="n">
        <v>1200</v>
      </c>
      <c r="G26" s="21" t="n">
        <v>8</v>
      </c>
      <c r="H26" s="21" t="n">
        <v>8</v>
      </c>
      <c r="I26" s="21" t="n">
        <v>3400</v>
      </c>
      <c r="J26" s="21" t="n">
        <v>2600</v>
      </c>
    </row>
    <row r="27" customFormat="false" ht="15" hidden="false" customHeight="false" outlineLevel="0" collapsed="false">
      <c r="A27" s="14" t="s">
        <v>172</v>
      </c>
      <c r="B27" s="4" t="s">
        <v>173</v>
      </c>
      <c r="C27" s="21" t="n">
        <v>90</v>
      </c>
      <c r="D27" s="21" t="n">
        <v>75</v>
      </c>
      <c r="E27" s="21" t="n">
        <v>1200</v>
      </c>
      <c r="F27" s="21" t="n">
        <v>1200</v>
      </c>
      <c r="G27" s="21" t="n">
        <v>8</v>
      </c>
      <c r="H27" s="21" t="n">
        <v>8</v>
      </c>
      <c r="I27" s="21" t="n">
        <v>3400</v>
      </c>
      <c r="J27" s="21" t="n">
        <v>2600</v>
      </c>
    </row>
    <row r="29" customFormat="false" ht="15" hidden="false" customHeight="false" outlineLevel="0" collapsed="false">
      <c r="A29" s="2" t="s">
        <v>174</v>
      </c>
    </row>
    <row r="31" customFormat="false" ht="15" hidden="false" customHeight="false" outlineLevel="0" collapsed="false">
      <c r="A31" s="15" t="s">
        <v>175</v>
      </c>
    </row>
    <row r="32" customFormat="false" ht="23.85" hidden="false" customHeight="false" outlineLevel="0" collapsed="false">
      <c r="A32" s="16" t="s">
        <v>176</v>
      </c>
      <c r="B32" s="16" t="s">
        <v>177</v>
      </c>
      <c r="C32" s="16" t="s">
        <v>178</v>
      </c>
      <c r="D32" s="16" t="s">
        <v>68</v>
      </c>
      <c r="E32" s="16" t="s">
        <v>179</v>
      </c>
      <c r="F32" s="16" t="s">
        <v>180</v>
      </c>
      <c r="G32" s="16" t="s">
        <v>181</v>
      </c>
      <c r="H32" s="16" t="s">
        <v>182</v>
      </c>
      <c r="I32" s="16" t="s">
        <v>183</v>
      </c>
    </row>
    <row r="33" customFormat="false" ht="15" hidden="false" customHeight="false" outlineLevel="0" collapsed="false">
      <c r="A33" s="20" t="n">
        <v>1000</v>
      </c>
      <c r="B33" s="35" t="n">
        <v>1</v>
      </c>
      <c r="C33" s="35" t="n">
        <v>1.5</v>
      </c>
      <c r="D33" s="35" t="n">
        <v>2</v>
      </c>
      <c r="E33" s="35" t="n">
        <v>1.25</v>
      </c>
      <c r="F33" s="35" t="n">
        <v>1</v>
      </c>
      <c r="G33" s="35" t="n">
        <v>1</v>
      </c>
      <c r="H33" s="35" t="n">
        <v>2</v>
      </c>
      <c r="I33" s="35" t="n">
        <v>2</v>
      </c>
    </row>
    <row r="34" customFormat="false" ht="15" hidden="false" customHeight="false" outlineLevel="0" collapsed="false">
      <c r="A34" s="20" t="n">
        <v>1200</v>
      </c>
      <c r="B34" s="35" t="n">
        <v>1.5</v>
      </c>
      <c r="C34" s="35" t="n">
        <v>2</v>
      </c>
      <c r="D34" s="35" t="n">
        <v>2.5</v>
      </c>
      <c r="E34" s="35" t="n">
        <v>1.75</v>
      </c>
      <c r="F34" s="35" t="n">
        <v>1</v>
      </c>
      <c r="G34" s="35" t="n">
        <v>1.5</v>
      </c>
      <c r="H34" s="35" t="n">
        <v>2.75</v>
      </c>
      <c r="I34" s="35" t="n">
        <v>2.5</v>
      </c>
    </row>
    <row r="35" customFormat="false" ht="15" hidden="false" customHeight="false" outlineLevel="0" collapsed="false">
      <c r="A35" s="20" t="n">
        <v>1400</v>
      </c>
      <c r="B35" s="35" t="n">
        <v>2</v>
      </c>
      <c r="C35" s="35" t="n">
        <v>2.5</v>
      </c>
      <c r="D35" s="35" t="n">
        <v>2.5</v>
      </c>
      <c r="E35" s="35" t="n">
        <v>1.75</v>
      </c>
      <c r="F35" s="35" t="n">
        <v>1.5</v>
      </c>
      <c r="G35" s="35" t="n">
        <v>1.75</v>
      </c>
      <c r="H35" s="35" t="n">
        <v>3.25</v>
      </c>
      <c r="I35" s="35" t="n">
        <v>2.5</v>
      </c>
    </row>
    <row r="36" customFormat="false" ht="15" hidden="false" customHeight="false" outlineLevel="0" collapsed="false">
      <c r="A36" s="20" t="n">
        <v>1600</v>
      </c>
      <c r="B36" s="35" t="n">
        <v>2.5</v>
      </c>
      <c r="C36" s="35" t="n">
        <v>3.5</v>
      </c>
      <c r="D36" s="35" t="n">
        <v>3</v>
      </c>
      <c r="E36" s="35" t="n">
        <v>2.5</v>
      </c>
      <c r="F36" s="35" t="n">
        <v>1.5</v>
      </c>
      <c r="G36" s="35" t="n">
        <v>1.75</v>
      </c>
      <c r="H36" s="35" t="n">
        <v>3.25</v>
      </c>
      <c r="I36" s="35" t="n">
        <v>3.5</v>
      </c>
    </row>
    <row r="37" customFormat="false" ht="15" hidden="false" customHeight="false" outlineLevel="0" collapsed="false">
      <c r="A37" s="20" t="n">
        <v>1800</v>
      </c>
      <c r="B37" s="35" t="n">
        <v>2.5</v>
      </c>
      <c r="C37" s="35" t="n">
        <v>3.5</v>
      </c>
      <c r="D37" s="35" t="n">
        <v>3</v>
      </c>
      <c r="E37" s="35" t="n">
        <v>3</v>
      </c>
      <c r="F37" s="35" t="n">
        <v>1.5</v>
      </c>
      <c r="G37" s="35" t="n">
        <v>2</v>
      </c>
      <c r="H37" s="35" t="n">
        <v>4</v>
      </c>
      <c r="I37" s="35" t="n">
        <v>4</v>
      </c>
    </row>
    <row r="38" customFormat="false" ht="15" hidden="false" customHeight="false" outlineLevel="0" collapsed="false">
      <c r="A38" s="20" t="n">
        <v>2000</v>
      </c>
      <c r="B38" s="35" t="n">
        <v>3</v>
      </c>
      <c r="C38" s="35" t="n">
        <v>4</v>
      </c>
      <c r="D38" s="35" t="n">
        <v>3</v>
      </c>
      <c r="E38" s="35" t="n">
        <v>3</v>
      </c>
      <c r="F38" s="35" t="n">
        <v>2</v>
      </c>
      <c r="G38" s="35" t="n">
        <v>2</v>
      </c>
      <c r="H38" s="35" t="n">
        <v>4</v>
      </c>
      <c r="I38" s="35" t="n">
        <v>4.5</v>
      </c>
    </row>
    <row r="39" customFormat="false" ht="15" hidden="false" customHeight="false" outlineLevel="0" collapsed="false">
      <c r="A39" s="20" t="n">
        <v>2200</v>
      </c>
      <c r="B39" s="35" t="n">
        <v>3.5</v>
      </c>
      <c r="C39" s="35" t="n">
        <v>4.5</v>
      </c>
      <c r="D39" s="35" t="n">
        <v>3</v>
      </c>
      <c r="E39" s="35" t="n">
        <v>3.5</v>
      </c>
      <c r="F39" s="35" t="n">
        <v>2</v>
      </c>
      <c r="G39" s="35" t="n">
        <v>2.25</v>
      </c>
      <c r="H39" s="35" t="n">
        <v>4.5</v>
      </c>
      <c r="I39" s="35" t="n">
        <v>4.5</v>
      </c>
    </row>
    <row r="40" customFormat="false" ht="15" hidden="false" customHeight="false" outlineLevel="0" collapsed="false">
      <c r="A40" s="20" t="n">
        <v>2400</v>
      </c>
      <c r="B40" s="35" t="n">
        <v>3.5</v>
      </c>
      <c r="C40" s="35" t="n">
        <v>4.5</v>
      </c>
      <c r="D40" s="35" t="n">
        <v>3</v>
      </c>
      <c r="E40" s="35" t="n">
        <v>3.5</v>
      </c>
      <c r="F40" s="35" t="n">
        <v>2</v>
      </c>
      <c r="G40" s="35" t="n">
        <v>2.75</v>
      </c>
      <c r="H40" s="35" t="n">
        <v>5.25</v>
      </c>
      <c r="I40" s="35" t="n">
        <v>5</v>
      </c>
    </row>
    <row r="41" customFormat="false" ht="15" hidden="false" customHeight="false" outlineLevel="0" collapsed="false">
      <c r="A41" s="20" t="n">
        <v>2600</v>
      </c>
      <c r="B41" s="35" t="n">
        <v>3.5</v>
      </c>
      <c r="C41" s="35" t="n">
        <v>4.5</v>
      </c>
      <c r="D41" s="35" t="n">
        <v>3</v>
      </c>
      <c r="E41" s="35" t="n">
        <v>4.25</v>
      </c>
      <c r="F41" s="35" t="n">
        <v>2</v>
      </c>
      <c r="G41" s="35" t="n">
        <v>3</v>
      </c>
      <c r="H41" s="35" t="n">
        <v>6</v>
      </c>
      <c r="I41" s="35" t="n">
        <v>5.5</v>
      </c>
    </row>
    <row r="42" customFormat="false" ht="15" hidden="false" customHeight="false" outlineLevel="0" collapsed="false">
      <c r="A42" s="20" t="n">
        <v>2800</v>
      </c>
      <c r="B42" s="35" t="n">
        <v>4</v>
      </c>
      <c r="C42" s="35" t="n">
        <v>5</v>
      </c>
      <c r="D42" s="35" t="n">
        <v>3</v>
      </c>
      <c r="E42" s="35" t="n">
        <v>4.25</v>
      </c>
      <c r="F42" s="35" t="n">
        <v>2.5</v>
      </c>
      <c r="G42" s="35" t="n">
        <v>3.25</v>
      </c>
      <c r="H42" s="35" t="n">
        <v>6.5</v>
      </c>
      <c r="I42" s="35" t="n">
        <v>6</v>
      </c>
    </row>
    <row r="43" customFormat="false" ht="15" hidden="false" customHeight="false" outlineLevel="0" collapsed="false">
      <c r="A43" s="20" t="n">
        <v>3000</v>
      </c>
      <c r="B43" s="35" t="n">
        <v>4</v>
      </c>
      <c r="C43" s="35" t="n">
        <v>5</v>
      </c>
      <c r="D43" s="35" t="n">
        <v>3</v>
      </c>
      <c r="E43" s="35" t="n">
        <v>4.75</v>
      </c>
      <c r="F43" s="35" t="n">
        <v>2.5</v>
      </c>
      <c r="G43" s="35" t="n">
        <v>3.25</v>
      </c>
      <c r="H43" s="35" t="n">
        <v>6.5</v>
      </c>
      <c r="I43" s="35" t="n">
        <v>7</v>
      </c>
    </row>
    <row r="44" customFormat="false" ht="15" hidden="false" customHeight="false" outlineLevel="0" collapsed="false">
      <c r="A44" s="20" t="n">
        <v>3200</v>
      </c>
      <c r="B44" s="35" t="n">
        <v>4</v>
      </c>
      <c r="C44" s="35" t="n">
        <v>5</v>
      </c>
      <c r="D44" s="35" t="n">
        <v>3</v>
      </c>
      <c r="E44" s="35" t="n">
        <v>4.75</v>
      </c>
      <c r="F44" s="35" t="n">
        <v>2.5</v>
      </c>
      <c r="G44" s="35" t="n">
        <v>3.25</v>
      </c>
      <c r="H44" s="35" t="n">
        <v>6.5</v>
      </c>
      <c r="I44" s="35" t="n">
        <v>8</v>
      </c>
    </row>
    <row r="45" customFormat="false" ht="15" hidden="false" customHeight="false" outlineLevel="0" collapsed="false">
      <c r="A45" s="2" t="s">
        <v>184</v>
      </c>
    </row>
    <row r="47" customFormat="false" ht="15" hidden="false" customHeight="false" outlineLevel="0" collapsed="false">
      <c r="A47" s="15" t="s">
        <v>185</v>
      </c>
    </row>
    <row r="48" customFormat="false" ht="23.85" hidden="false" customHeight="false" outlineLevel="0" collapsed="false">
      <c r="A48" s="16" t="s">
        <v>5</v>
      </c>
      <c r="B48" s="16" t="s">
        <v>186</v>
      </c>
      <c r="C48" s="16" t="s">
        <v>187</v>
      </c>
      <c r="D48" s="16" t="s">
        <v>188</v>
      </c>
      <c r="E48" s="16" t="s">
        <v>189</v>
      </c>
      <c r="F48" s="16" t="s">
        <v>190</v>
      </c>
    </row>
    <row r="49" customFormat="false" ht="15" hidden="false" customHeight="false" outlineLevel="0" collapsed="false">
      <c r="A49" s="4" t="s">
        <v>6</v>
      </c>
      <c r="B49" s="4" t="s">
        <v>191</v>
      </c>
      <c r="C49" s="38" t="n">
        <v>74.9</v>
      </c>
      <c r="D49" s="38" t="n">
        <v>73.9</v>
      </c>
      <c r="E49" s="38" t="n">
        <v>92.6</v>
      </c>
      <c r="F49" s="38" t="n">
        <v>109</v>
      </c>
    </row>
    <row r="50" customFormat="false" ht="15" hidden="false" customHeight="false" outlineLevel="0" collapsed="false">
      <c r="A50" s="4" t="s">
        <v>6</v>
      </c>
      <c r="B50" s="4" t="s">
        <v>192</v>
      </c>
      <c r="C50" s="38" t="n">
        <v>73.2</v>
      </c>
      <c r="D50" s="38" t="n">
        <v>72.9</v>
      </c>
      <c r="E50" s="38" t="n">
        <v>91.6</v>
      </c>
      <c r="F50" s="38" t="n">
        <v>111.8</v>
      </c>
    </row>
    <row r="51" customFormat="false" ht="15" hidden="false" customHeight="false" outlineLevel="0" collapsed="false">
      <c r="A51" s="4" t="s">
        <v>6</v>
      </c>
      <c r="B51" s="4" t="s">
        <v>193</v>
      </c>
      <c r="C51" s="38" t="n">
        <v>64.6</v>
      </c>
      <c r="D51" s="38" t="n">
        <v>68.8</v>
      </c>
      <c r="E51" s="38" t="n">
        <v>86.4</v>
      </c>
      <c r="F51" s="38" t="n">
        <v>103.4</v>
      </c>
    </row>
    <row r="52" customFormat="false" ht="15" hidden="false" customHeight="false" outlineLevel="0" collapsed="false">
      <c r="A52" s="4" t="s">
        <v>6</v>
      </c>
      <c r="B52" s="4" t="s">
        <v>173</v>
      </c>
      <c r="C52" s="38" t="n">
        <v>61.6</v>
      </c>
      <c r="D52" s="38" t="n">
        <v>68</v>
      </c>
      <c r="E52" s="38" t="n">
        <v>84</v>
      </c>
      <c r="F52" s="38" t="n">
        <v>103.3</v>
      </c>
    </row>
    <row r="53" customFormat="false" ht="15" hidden="false" customHeight="false" outlineLevel="0" collapsed="false">
      <c r="A53" s="4" t="s">
        <v>153</v>
      </c>
      <c r="B53" s="4" t="s">
        <v>191</v>
      </c>
      <c r="C53" s="38" t="n">
        <v>59.8</v>
      </c>
      <c r="D53" s="38" t="n">
        <v>62.3</v>
      </c>
      <c r="E53" s="38" t="n">
        <v>74.4</v>
      </c>
      <c r="F53" s="38" t="n">
        <v>91.8</v>
      </c>
    </row>
    <row r="54" customFormat="false" ht="15" hidden="false" customHeight="false" outlineLevel="0" collapsed="false">
      <c r="A54" s="4" t="s">
        <v>153</v>
      </c>
      <c r="B54" s="4" t="s">
        <v>192</v>
      </c>
      <c r="C54" s="38" t="n">
        <v>58.2</v>
      </c>
      <c r="D54" s="38" t="n">
        <v>63.4</v>
      </c>
      <c r="E54" s="38" t="n">
        <v>77.5</v>
      </c>
      <c r="F54" s="38" t="n">
        <v>98.8</v>
      </c>
    </row>
    <row r="55" customFormat="false" ht="15" hidden="false" customHeight="false" outlineLevel="0" collapsed="false">
      <c r="A55" s="4" t="s">
        <v>153</v>
      </c>
      <c r="B55" s="4" t="s">
        <v>193</v>
      </c>
      <c r="C55" s="38" t="n">
        <v>54.2</v>
      </c>
      <c r="D55" s="38" t="n">
        <v>61.7</v>
      </c>
      <c r="E55" s="38" t="n">
        <v>76.2</v>
      </c>
      <c r="F55" s="38" t="n">
        <v>91.8</v>
      </c>
    </row>
    <row r="56" customFormat="false" ht="15" hidden="false" customHeight="false" outlineLevel="0" collapsed="false">
      <c r="A56" s="4" t="s">
        <v>153</v>
      </c>
      <c r="B56" s="4" t="s">
        <v>173</v>
      </c>
      <c r="C56" s="38" t="n">
        <v>60</v>
      </c>
      <c r="D56" s="38" t="n">
        <v>61.7</v>
      </c>
      <c r="E56" s="38" t="n">
        <v>76.1</v>
      </c>
      <c r="F56" s="38" t="n">
        <v>91</v>
      </c>
    </row>
    <row r="57" customFormat="false" ht="15" hidden="false" customHeight="false" outlineLevel="0" collapsed="false">
      <c r="A57" s="2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30"/>
    <col collapsed="false" customWidth="true" hidden="false" outlineLevel="0" max="5" min="5" style="0" width="24"/>
    <col collapsed="false" customWidth="true" hidden="false" outlineLevel="0" max="6" min="6" style="0" width="30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11"/>
    <col collapsed="false" customWidth="true" hidden="false" outlineLevel="0" max="18" min="18" style="0" width="8"/>
    <col collapsed="false" customWidth="true" hidden="false" outlineLevel="0" max="19" min="19" style="0" width="24"/>
    <col collapsed="false" customWidth="true" hidden="false" outlineLevel="0" max="20" min="20" style="0" width="9"/>
    <col collapsed="false" customWidth="true" hidden="false" outlineLevel="0" max="21" min="21" style="0" width="8"/>
    <col collapsed="false" customWidth="true" hidden="false" outlineLevel="0" max="22" min="22" style="0" width="9"/>
    <col collapsed="false" customWidth="true" hidden="false" outlineLevel="0" max="29" min="23" style="0" width="7"/>
    <col collapsed="false" customWidth="true" hidden="false" outlineLevel="0" max="35" min="30" style="0" width="8"/>
    <col collapsed="false" customWidth="true" hidden="false" outlineLevel="0" max="36" min="36" style="0" width="9"/>
    <col collapsed="false" customWidth="true" hidden="false" outlineLevel="0" max="37" min="37" style="0" width="12"/>
    <col collapsed="false" customWidth="true" hidden="false" outlineLevel="0" max="38" min="38" style="0" width="10"/>
    <col collapsed="false" customWidth="true" hidden="false" outlineLevel="0" max="40" min="39" style="0" width="9"/>
    <col collapsed="false" customWidth="true" hidden="false" outlineLevel="0" max="41" min="41" style="0" width="11"/>
    <col collapsed="false" customWidth="true" hidden="false" outlineLevel="0" max="55" min="42" style="0" width="9"/>
    <col collapsed="false" customWidth="true" hidden="false" outlineLevel="0" max="56" min="56" style="0" width="8"/>
    <col collapsed="false" customWidth="true" hidden="false" outlineLevel="0" max="57" min="57" style="0" width="46"/>
    <col collapsed="false" customWidth="true" hidden="false" outlineLevel="0" max="58" min="58" style="0" width="44"/>
  </cols>
  <sheetData>
    <row r="1" customFormat="false" ht="17.35" hidden="false" customHeight="false" outlineLevel="0" collapsed="false">
      <c r="A1" s="1" t="s">
        <v>195</v>
      </c>
    </row>
    <row r="2" customFormat="false" ht="15" hidden="false" customHeight="false" outlineLevel="0" collapsed="false">
      <c r="A2" s="2" t="s">
        <v>196</v>
      </c>
    </row>
    <row r="3" customFormat="false" ht="15" hidden="false" customHeight="false" outlineLevel="0" collapsed="false">
      <c r="A3" s="2" t="s">
        <v>197</v>
      </c>
    </row>
    <row r="5" customFormat="false" ht="66" hidden="false" customHeight="true" outlineLevel="0" collapsed="false">
      <c r="A5" s="16" t="s">
        <v>198</v>
      </c>
      <c r="B5" s="16" t="s">
        <v>140</v>
      </c>
      <c r="C5" s="16" t="s">
        <v>199</v>
      </c>
      <c r="D5" s="16" t="s">
        <v>200</v>
      </c>
      <c r="E5" s="16" t="s">
        <v>201</v>
      </c>
      <c r="F5" s="16" t="s">
        <v>202</v>
      </c>
      <c r="G5" s="16" t="s">
        <v>203</v>
      </c>
      <c r="H5" s="16" t="s">
        <v>204</v>
      </c>
      <c r="I5" s="16" t="s">
        <v>205</v>
      </c>
      <c r="J5" s="16" t="s">
        <v>206</v>
      </c>
      <c r="K5" s="16" t="s">
        <v>207</v>
      </c>
      <c r="L5" s="16" t="s">
        <v>208</v>
      </c>
      <c r="M5" s="16" t="s">
        <v>209</v>
      </c>
      <c r="N5" s="16" t="s">
        <v>210</v>
      </c>
      <c r="O5" s="16" t="s">
        <v>211</v>
      </c>
      <c r="P5" s="16" t="s">
        <v>212</v>
      </c>
      <c r="Q5" s="16" t="s">
        <v>213</v>
      </c>
      <c r="R5" s="16" t="s">
        <v>214</v>
      </c>
      <c r="S5" s="16" t="s">
        <v>215</v>
      </c>
      <c r="T5" s="16" t="s">
        <v>216</v>
      </c>
      <c r="U5" s="16" t="s">
        <v>217</v>
      </c>
      <c r="V5" s="16" t="s">
        <v>218</v>
      </c>
      <c r="W5" s="16" t="s">
        <v>219</v>
      </c>
      <c r="X5" s="16" t="s">
        <v>220</v>
      </c>
      <c r="Y5" s="16" t="s">
        <v>221</v>
      </c>
      <c r="Z5" s="16" t="s">
        <v>222</v>
      </c>
      <c r="AA5" s="16" t="s">
        <v>223</v>
      </c>
      <c r="AB5" s="16" t="s">
        <v>68</v>
      </c>
      <c r="AC5" s="16" t="s">
        <v>224</v>
      </c>
      <c r="AD5" s="16" t="s">
        <v>225</v>
      </c>
      <c r="AE5" s="16" t="s">
        <v>226</v>
      </c>
      <c r="AF5" s="16" t="s">
        <v>227</v>
      </c>
      <c r="AG5" s="16" t="s">
        <v>228</v>
      </c>
      <c r="AH5" s="16" t="s">
        <v>229</v>
      </c>
      <c r="AI5" s="16" t="s">
        <v>230</v>
      </c>
      <c r="AJ5" s="16" t="s">
        <v>231</v>
      </c>
      <c r="AK5" s="16" t="s">
        <v>232</v>
      </c>
      <c r="AL5" s="16" t="s">
        <v>233</v>
      </c>
      <c r="AM5" s="16" t="s">
        <v>234</v>
      </c>
      <c r="AN5" s="16" t="s">
        <v>235</v>
      </c>
      <c r="AO5" s="16" t="s">
        <v>236</v>
      </c>
      <c r="AP5" s="16" t="s">
        <v>237</v>
      </c>
      <c r="AQ5" s="16" t="s">
        <v>238</v>
      </c>
      <c r="AR5" s="16" t="s">
        <v>239</v>
      </c>
      <c r="AS5" s="16" t="s">
        <v>240</v>
      </c>
      <c r="AT5" s="16" t="s">
        <v>241</v>
      </c>
      <c r="AU5" s="16" t="s">
        <v>242</v>
      </c>
      <c r="AV5" s="16" t="s">
        <v>243</v>
      </c>
      <c r="AW5" s="16" t="s">
        <v>244</v>
      </c>
      <c r="AX5" s="16" t="s">
        <v>245</v>
      </c>
      <c r="AY5" s="16" t="s">
        <v>246</v>
      </c>
      <c r="AZ5" s="16" t="s">
        <v>247</v>
      </c>
      <c r="BA5" s="16" t="s">
        <v>248</v>
      </c>
      <c r="BB5" s="16" t="s">
        <v>249</v>
      </c>
      <c r="BC5" s="16" t="s">
        <v>250</v>
      </c>
      <c r="BD5" s="16" t="s">
        <v>251</v>
      </c>
      <c r="BE5" s="16" t="s">
        <v>252</v>
      </c>
      <c r="BF5" s="16" t="s">
        <v>253</v>
      </c>
    </row>
    <row r="6" customFormat="false" ht="15" hidden="false" customHeight="false" outlineLevel="0" collapsed="false">
      <c r="A6" s="4" t="n">
        <v>1</v>
      </c>
      <c r="B6" s="39" t="s">
        <v>254</v>
      </c>
      <c r="C6" s="40" t="s">
        <v>221</v>
      </c>
      <c r="D6" s="14" t="s">
        <v>255</v>
      </c>
      <c r="E6" s="4" t="s">
        <v>256</v>
      </c>
      <c r="F6" s="4" t="s">
        <v>257</v>
      </c>
      <c r="G6" s="38" t="n">
        <v>9.84</v>
      </c>
      <c r="H6" s="21" t="n">
        <v>1360.8</v>
      </c>
      <c r="I6" s="31" t="n">
        <v>1</v>
      </c>
      <c r="J6" s="41" t="n">
        <v>0.7253</v>
      </c>
      <c r="K6" s="31" t="n">
        <v>0.22</v>
      </c>
      <c r="L6" s="42" t="n">
        <f aca="false">G6/(H6*I6*J6)*100</f>
        <v>0.996972365141858</v>
      </c>
      <c r="M6" s="42" t="n">
        <f aca="false">L6/(1-K6)</f>
        <v>1.27816969889982</v>
      </c>
      <c r="N6" s="43" t="n">
        <v>4.203</v>
      </c>
      <c r="O6" s="21" t="n">
        <v>453.6</v>
      </c>
      <c r="P6" s="42" t="n">
        <f aca="false">N6/(O6*I6*J6)*100</f>
        <v>1.27752282033269</v>
      </c>
      <c r="Q6" s="44" t="n">
        <f aca="false">IF(AND(IF(Planner!$C$39="BLS U.S. average (Sep 2026)",1,0)=1,P6&lt;&gt;""),P6,L6)/(1-IF(AND((Planner!$C$60="Realistic"),Planner!$C$62="Yes"),K6,0))</f>
        <v>1.27816969889982</v>
      </c>
      <c r="R6" s="13" t="n">
        <v>85</v>
      </c>
      <c r="S6" s="4" t="s">
        <v>258</v>
      </c>
      <c r="T6" s="8" t="n">
        <v>2</v>
      </c>
      <c r="U6" s="45"/>
      <c r="V6" s="13"/>
      <c r="W6" s="46" t="n">
        <v>0</v>
      </c>
      <c r="X6" s="46" t="n">
        <v>0</v>
      </c>
      <c r="Y6" s="46" t="n">
        <v>1</v>
      </c>
      <c r="Z6" s="46" t="n">
        <v>0</v>
      </c>
      <c r="AA6" s="46" t="n">
        <v>0</v>
      </c>
      <c r="AB6" s="46" t="n">
        <v>0</v>
      </c>
      <c r="AC6" s="46" t="n">
        <v>0</v>
      </c>
      <c r="AD6" s="47" t="n">
        <f aca="false">SUMPRODUCT(W6:AC6,INDEX(Diets!$I$5:$O$12,MATCH(Planner!$C$36,Diets!$A$5:$A$12,0),0))+ISNUMBER(SEARCH(","&amp;A6&amp;",",","&amp;SUBSTITUTE(INDEX(Diets!$P$5:$P$12,MATCH(Planner!$C$36,Diets!$A$5:$A$12,0))," ","")&amp;","))*1</f>
        <v>0</v>
      </c>
      <c r="AE6" s="48" t="n">
        <f aca="false">IF(OR(UPPER(U6)="Y",AD6&gt;0),0,1)</f>
        <v>1</v>
      </c>
      <c r="AF6" s="49" t="n">
        <v>0</v>
      </c>
      <c r="AG6" s="49" t="n">
        <v>0.5</v>
      </c>
      <c r="AH6" s="49" t="n">
        <v>0.5</v>
      </c>
      <c r="AI6" s="49" t="n">
        <v>0</v>
      </c>
      <c r="AJ6" s="8"/>
      <c r="AK6" s="4" t="s">
        <v>259</v>
      </c>
      <c r="AL6" s="50" t="s">
        <v>260</v>
      </c>
      <c r="AM6" s="13" t="n">
        <v>85</v>
      </c>
      <c r="AN6" s="13"/>
      <c r="AO6" s="50"/>
      <c r="AP6" s="35" t="n">
        <v>1.01</v>
      </c>
      <c r="AQ6" s="35" t="n">
        <v>165</v>
      </c>
      <c r="AR6" s="35" t="n">
        <v>31.02</v>
      </c>
      <c r="AS6" s="35" t="n">
        <v>0</v>
      </c>
      <c r="AT6" s="35" t="n">
        <v>3.57</v>
      </c>
      <c r="AU6" s="35" t="n">
        <v>0</v>
      </c>
      <c r="AV6" s="35" t="n">
        <v>0</v>
      </c>
      <c r="AW6" s="35" t="n">
        <v>15</v>
      </c>
      <c r="AX6" s="35" t="n">
        <v>1.04</v>
      </c>
      <c r="AY6" s="35" t="n">
        <v>256</v>
      </c>
      <c r="AZ6" s="35" t="n">
        <v>74</v>
      </c>
      <c r="BA6" s="35" t="n">
        <v>0</v>
      </c>
      <c r="BB6" s="25" t="n">
        <f aca="false">AR6/Q6</f>
        <v>24.2690779062439</v>
      </c>
      <c r="BC6" s="18" t="n">
        <f aca="false">AQ6/Q6</f>
        <v>129.090839926829</v>
      </c>
      <c r="BD6" s="4" t="s">
        <v>261</v>
      </c>
      <c r="BE6" s="4" t="s">
        <v>262</v>
      </c>
      <c r="BF6" s="4"/>
    </row>
    <row r="7" customFormat="false" ht="15" hidden="false" customHeight="false" outlineLevel="0" collapsed="false">
      <c r="A7" s="4" t="n">
        <v>2</v>
      </c>
      <c r="B7" s="39" t="s">
        <v>254</v>
      </c>
      <c r="C7" s="40" t="s">
        <v>221</v>
      </c>
      <c r="D7" s="14" t="s">
        <v>263</v>
      </c>
      <c r="E7" s="4" t="s">
        <v>264</v>
      </c>
      <c r="F7" s="4" t="s">
        <v>265</v>
      </c>
      <c r="G7" s="38" t="n">
        <v>4.83</v>
      </c>
      <c r="H7" s="21" t="n">
        <v>1814.4</v>
      </c>
      <c r="I7" s="31" t="n">
        <v>0.67</v>
      </c>
      <c r="J7" s="41" t="n">
        <v>0.7743</v>
      </c>
      <c r="K7" s="31" t="n">
        <v>0.22</v>
      </c>
      <c r="L7" s="42" t="n">
        <f aca="false">G7/(H7*I7*J7)*100</f>
        <v>0.513133101836235</v>
      </c>
      <c r="M7" s="42" t="n">
        <f aca="false">L7/(1-K7)</f>
        <v>0.657862951072096</v>
      </c>
      <c r="N7" s="43" t="n">
        <v>1.739</v>
      </c>
      <c r="O7" s="21" t="n">
        <v>453.6</v>
      </c>
      <c r="P7" s="42" t="n">
        <f aca="false">N7/(O7*I7*J7)*100</f>
        <v>0.73899665763413</v>
      </c>
      <c r="Q7" s="44" t="n">
        <f aca="false">IF(AND(IF(Planner!$C$39="BLS U.S. average (Sep 2026)",1,0)=1,P7&lt;&gt;""),P7,L7)/(1-IF(AND((Planner!$C$60="Realistic"),Planner!$C$62="Yes"),K7,0))</f>
        <v>0.657862951072096</v>
      </c>
      <c r="R7" s="13" t="n">
        <v>85</v>
      </c>
      <c r="S7" s="4" t="s">
        <v>266</v>
      </c>
      <c r="T7" s="8" t="n">
        <v>2</v>
      </c>
      <c r="U7" s="45"/>
      <c r="V7" s="13"/>
      <c r="W7" s="46" t="n">
        <v>0</v>
      </c>
      <c r="X7" s="46" t="n">
        <v>0</v>
      </c>
      <c r="Y7" s="46" t="n">
        <v>1</v>
      </c>
      <c r="Z7" s="46" t="n">
        <v>0</v>
      </c>
      <c r="AA7" s="46" t="n">
        <v>0</v>
      </c>
      <c r="AB7" s="46" t="n">
        <v>0</v>
      </c>
      <c r="AC7" s="46" t="n">
        <v>0</v>
      </c>
      <c r="AD7" s="47" t="n">
        <f aca="false">SUMPRODUCT(W7:AC7,INDEX(Diets!$I$5:$O$12,MATCH(Planner!$C$36,Diets!$A$5:$A$12,0),0))+ISNUMBER(SEARCH(","&amp;A7&amp;",",","&amp;SUBSTITUTE(INDEX(Diets!$P$5:$P$12,MATCH(Planner!$C$36,Diets!$A$5:$A$12,0))," ","")&amp;","))*1</f>
        <v>0</v>
      </c>
      <c r="AE7" s="48" t="n">
        <f aca="false">IF(OR(UPPER(U7)="Y",AD7&gt;0),0,1)</f>
        <v>1</v>
      </c>
      <c r="AF7" s="49" t="n">
        <v>0</v>
      </c>
      <c r="AG7" s="49" t="n">
        <v>0.5</v>
      </c>
      <c r="AH7" s="49" t="n">
        <v>0.5</v>
      </c>
      <c r="AI7" s="49" t="n">
        <v>0</v>
      </c>
      <c r="AJ7" s="8"/>
      <c r="AK7" s="4" t="s">
        <v>259</v>
      </c>
      <c r="AL7" s="50" t="s">
        <v>260</v>
      </c>
      <c r="AM7" s="13" t="n">
        <v>85</v>
      </c>
      <c r="AN7" s="13"/>
      <c r="AO7" s="50"/>
      <c r="AP7" s="35" t="n">
        <v>2.74</v>
      </c>
      <c r="AQ7" s="35" t="n">
        <v>191</v>
      </c>
      <c r="AR7" s="35" t="n">
        <v>23.35</v>
      </c>
      <c r="AS7" s="35" t="n">
        <v>0</v>
      </c>
      <c r="AT7" s="35" t="n">
        <v>10.15</v>
      </c>
      <c r="AU7" s="35" t="n">
        <v>0</v>
      </c>
      <c r="AV7" s="35" t="n">
        <v>0</v>
      </c>
      <c r="AW7" s="35" t="n">
        <v>11</v>
      </c>
      <c r="AX7" s="35" t="n">
        <v>1.11</v>
      </c>
      <c r="AY7" s="35" t="n">
        <v>247</v>
      </c>
      <c r="AZ7" s="35" t="n">
        <v>123</v>
      </c>
      <c r="BA7" s="35" t="n">
        <v>0</v>
      </c>
      <c r="BB7" s="25" t="n">
        <f aca="false">AR7/Q7</f>
        <v>35.493714856487</v>
      </c>
      <c r="BC7" s="18" t="n">
        <f aca="false">AQ7/Q7</f>
        <v>290.334027305739</v>
      </c>
      <c r="BD7" s="4" t="s">
        <v>267</v>
      </c>
      <c r="BE7" s="4" t="s">
        <v>268</v>
      </c>
      <c r="BF7" s="4" t="s">
        <v>269</v>
      </c>
    </row>
    <row r="8" customFormat="false" ht="15" hidden="false" customHeight="false" outlineLevel="0" collapsed="false">
      <c r="A8" s="4" t="n">
        <v>3</v>
      </c>
      <c r="B8" s="39" t="s">
        <v>254</v>
      </c>
      <c r="C8" s="40" t="s">
        <v>221</v>
      </c>
      <c r="D8" s="14" t="s">
        <v>270</v>
      </c>
      <c r="E8" s="4" t="s">
        <v>271</v>
      </c>
      <c r="F8" s="4" t="s">
        <v>257</v>
      </c>
      <c r="G8" s="38" t="n">
        <v>9.87</v>
      </c>
      <c r="H8" s="21" t="n">
        <v>1360.8</v>
      </c>
      <c r="I8" s="31" t="n">
        <v>1</v>
      </c>
      <c r="J8" s="41" t="n">
        <v>0.676</v>
      </c>
      <c r="K8" s="31" t="n">
        <v>0.22</v>
      </c>
      <c r="L8" s="42" t="n">
        <f aca="false">G8/(H8*I8*J8)*100</f>
        <v>1.07294177806998</v>
      </c>
      <c r="M8" s="42" t="n">
        <f aca="false">L8/(1-K8)</f>
        <v>1.375566382141</v>
      </c>
      <c r="N8" s="4"/>
      <c r="O8" s="4"/>
      <c r="P8" s="4"/>
      <c r="Q8" s="44" t="n">
        <f aca="false">IF(AND(IF(Planner!$C$39="BLS U.S. average (Sep 2026)",1,0)=1,P8&lt;&gt;""),P8,L8)/(1-IF(AND((Planner!$C$60="Realistic"),Planner!$C$62="Yes"),K8,0))</f>
        <v>1.375566382141</v>
      </c>
      <c r="R8" s="13" t="n">
        <v>85</v>
      </c>
      <c r="S8" s="4" t="s">
        <v>258</v>
      </c>
      <c r="T8" s="8" t="n">
        <v>2</v>
      </c>
      <c r="U8" s="45"/>
      <c r="V8" s="13"/>
      <c r="W8" s="46" t="n">
        <v>0</v>
      </c>
      <c r="X8" s="46" t="n">
        <v>0</v>
      </c>
      <c r="Y8" s="46" t="n">
        <v>1</v>
      </c>
      <c r="Z8" s="46" t="n">
        <v>0</v>
      </c>
      <c r="AA8" s="46" t="n">
        <v>0</v>
      </c>
      <c r="AB8" s="46" t="n">
        <v>0</v>
      </c>
      <c r="AC8" s="46" t="n">
        <v>0</v>
      </c>
      <c r="AD8" s="47" t="n">
        <f aca="false">SUMPRODUCT(W8:AC8,INDEX(Diets!$I$5:$O$12,MATCH(Planner!$C$36,Diets!$A$5:$A$12,0),0))+ISNUMBER(SEARCH(","&amp;A8&amp;",",","&amp;SUBSTITUTE(INDEX(Diets!$P$5:$P$12,MATCH(Planner!$C$36,Diets!$A$5:$A$12,0))," ","")&amp;","))*1</f>
        <v>0</v>
      </c>
      <c r="AE8" s="48" t="n">
        <f aca="false">IF(OR(UPPER(U8)="Y",AD8&gt;0),0,1)</f>
        <v>1</v>
      </c>
      <c r="AF8" s="49" t="n">
        <v>0</v>
      </c>
      <c r="AG8" s="49" t="n">
        <v>0.5</v>
      </c>
      <c r="AH8" s="49" t="n">
        <v>0.5</v>
      </c>
      <c r="AI8" s="49" t="n">
        <v>0</v>
      </c>
      <c r="AJ8" s="8"/>
      <c r="AK8" s="4" t="s">
        <v>259</v>
      </c>
      <c r="AL8" s="50" t="s">
        <v>260</v>
      </c>
      <c r="AM8" s="13" t="n">
        <v>85</v>
      </c>
      <c r="AN8" s="13"/>
      <c r="AO8" s="50"/>
      <c r="AP8" s="35" t="n">
        <v>2.311</v>
      </c>
      <c r="AQ8" s="35" t="n">
        <v>179</v>
      </c>
      <c r="AR8" s="35" t="n">
        <v>24.76</v>
      </c>
      <c r="AS8" s="35" t="n">
        <v>0</v>
      </c>
      <c r="AT8" s="35" t="n">
        <v>8.15</v>
      </c>
      <c r="AU8" s="35" t="n">
        <v>0</v>
      </c>
      <c r="AV8" s="35" t="n">
        <v>0</v>
      </c>
      <c r="AW8" s="35" t="n">
        <v>9</v>
      </c>
      <c r="AX8" s="35" t="n">
        <v>1.13</v>
      </c>
      <c r="AY8" s="35" t="n">
        <v>269</v>
      </c>
      <c r="AZ8" s="35" t="n">
        <v>106</v>
      </c>
      <c r="BA8" s="35" t="n">
        <v>0</v>
      </c>
      <c r="BB8" s="25" t="n">
        <f aca="false">AR8/Q8</f>
        <v>17.9998583285106</v>
      </c>
      <c r="BC8" s="18" t="n">
        <f aca="false">AQ8/Q8</f>
        <v>130.128216510638</v>
      </c>
      <c r="BD8" s="4" t="s">
        <v>272</v>
      </c>
      <c r="BE8" s="4" t="s">
        <v>273</v>
      </c>
      <c r="BF8" s="4" t="s">
        <v>274</v>
      </c>
    </row>
    <row r="9" customFormat="false" ht="15" hidden="false" customHeight="false" outlineLevel="0" collapsed="false">
      <c r="A9" s="4" t="n">
        <v>4</v>
      </c>
      <c r="B9" s="39" t="s">
        <v>254</v>
      </c>
      <c r="C9" s="40" t="s">
        <v>221</v>
      </c>
      <c r="D9" s="14" t="s">
        <v>275</v>
      </c>
      <c r="E9" s="4" t="s">
        <v>275</v>
      </c>
      <c r="F9" s="4" t="s">
        <v>276</v>
      </c>
      <c r="G9" s="38" t="n">
        <v>5.97</v>
      </c>
      <c r="H9" s="21" t="n">
        <v>453.6</v>
      </c>
      <c r="I9" s="31" t="n">
        <v>1</v>
      </c>
      <c r="J9" s="41" t="n">
        <v>1</v>
      </c>
      <c r="K9" s="31" t="n">
        <v>0.22</v>
      </c>
      <c r="L9" s="42" t="n">
        <f aca="false">G9/(H9*I9*J9)*100</f>
        <v>1.31613756613757</v>
      </c>
      <c r="M9" s="42" t="n">
        <f aca="false">L9/(1-K9)</f>
        <v>1.68735585402252</v>
      </c>
      <c r="N9" s="4"/>
      <c r="O9" s="4"/>
      <c r="P9" s="4"/>
      <c r="Q9" s="44" t="n">
        <f aca="false">IF(AND(IF(Planner!$C$39="BLS U.S. average (Sep 2026)",1,0)=1,P9&lt;&gt;""),P9,L9)/(1-IF(AND((Planner!$C$60="Realistic"),Planner!$C$62="Yes"),K9,0))</f>
        <v>1.68735585402252</v>
      </c>
      <c r="R9" s="13" t="n">
        <v>56</v>
      </c>
      <c r="S9" s="4" t="s">
        <v>277</v>
      </c>
      <c r="T9" s="8" t="n">
        <v>2</v>
      </c>
      <c r="U9" s="45"/>
      <c r="V9" s="13"/>
      <c r="W9" s="46" t="n">
        <v>0</v>
      </c>
      <c r="X9" s="46" t="n">
        <v>0</v>
      </c>
      <c r="Y9" s="46" t="n">
        <v>1</v>
      </c>
      <c r="Z9" s="46" t="n">
        <v>0</v>
      </c>
      <c r="AA9" s="46" t="n">
        <v>0</v>
      </c>
      <c r="AB9" s="46" t="n">
        <v>0</v>
      </c>
      <c r="AC9" s="46" t="n">
        <v>0</v>
      </c>
      <c r="AD9" s="47" t="n">
        <f aca="false">SUMPRODUCT(W9:AC9,INDEX(Diets!$I$5:$O$12,MATCH(Planner!$C$36,Diets!$A$5:$A$12,0),0))+ISNUMBER(SEARCH(","&amp;A9&amp;",",","&amp;SUBSTITUTE(INDEX(Diets!$P$5:$P$12,MATCH(Planner!$C$36,Diets!$A$5:$A$12,0))," ","")&amp;","))*1</f>
        <v>0</v>
      </c>
      <c r="AE9" s="48" t="n">
        <f aca="false">IF(OR(UPPER(U9)="Y",AD9&gt;0),0,1)</f>
        <v>1</v>
      </c>
      <c r="AF9" s="49" t="n">
        <v>0</v>
      </c>
      <c r="AG9" s="49" t="n">
        <v>1</v>
      </c>
      <c r="AH9" s="49" t="n">
        <v>0</v>
      </c>
      <c r="AI9" s="49" t="n">
        <v>0</v>
      </c>
      <c r="AJ9" s="8"/>
      <c r="AK9" s="4" t="s">
        <v>259</v>
      </c>
      <c r="AL9" s="50" t="s">
        <v>260</v>
      </c>
      <c r="AM9" s="13" t="n">
        <v>85</v>
      </c>
      <c r="AN9" s="13"/>
      <c r="AO9" s="50"/>
      <c r="AP9" s="35" t="n">
        <v>0.318</v>
      </c>
      <c r="AQ9" s="35" t="n">
        <v>100</v>
      </c>
      <c r="AR9" s="35" t="n">
        <v>16.33</v>
      </c>
      <c r="AS9" s="35" t="n">
        <v>2.34</v>
      </c>
      <c r="AT9" s="35" t="n">
        <v>2.37</v>
      </c>
      <c r="AU9" s="35" t="n">
        <v>0</v>
      </c>
      <c r="AV9" s="35" t="n">
        <v>3.28</v>
      </c>
      <c r="AW9" s="35" t="n">
        <v>7</v>
      </c>
      <c r="AX9" s="35" t="n">
        <v>0.34</v>
      </c>
      <c r="AY9" s="35" t="n">
        <v>401</v>
      </c>
      <c r="AZ9" s="35" t="n">
        <v>922</v>
      </c>
      <c r="BA9" s="35" t="n">
        <v>0</v>
      </c>
      <c r="BB9" s="25" t="n">
        <f aca="false">AR9/Q9</f>
        <v>9.67786371859297</v>
      </c>
      <c r="BC9" s="18" t="n">
        <f aca="false">AQ9/Q9</f>
        <v>59.2643216080402</v>
      </c>
      <c r="BD9" s="4" t="s">
        <v>278</v>
      </c>
      <c r="BE9" s="4" t="s">
        <v>279</v>
      </c>
      <c r="BF9" s="4"/>
    </row>
    <row r="10" customFormat="false" ht="15" hidden="false" customHeight="false" outlineLevel="0" collapsed="false">
      <c r="A10" s="4" t="n">
        <v>5</v>
      </c>
      <c r="B10" s="39" t="s">
        <v>254</v>
      </c>
      <c r="C10" s="40" t="s">
        <v>221</v>
      </c>
      <c r="D10" s="14" t="s">
        <v>280</v>
      </c>
      <c r="E10" s="4" t="s">
        <v>281</v>
      </c>
      <c r="F10" s="4" t="s">
        <v>282</v>
      </c>
      <c r="G10" s="38" t="n">
        <v>5.56</v>
      </c>
      <c r="H10" s="21" t="n">
        <v>453.6</v>
      </c>
      <c r="I10" s="31" t="n">
        <v>1</v>
      </c>
      <c r="J10" s="41" t="n">
        <v>0.6911</v>
      </c>
      <c r="K10" s="31" t="n">
        <v>0.22</v>
      </c>
      <c r="L10" s="42" t="n">
        <f aca="false">G10/(H10*I10*J10)*100</f>
        <v>1.77362112441455</v>
      </c>
      <c r="M10" s="42" t="n">
        <f aca="false">L10/(1-K10)</f>
        <v>2.2738732364289</v>
      </c>
      <c r="N10" s="4"/>
      <c r="O10" s="4"/>
      <c r="P10" s="4"/>
      <c r="Q10" s="44" t="n">
        <f aca="false">IF(AND(IF(Planner!$C$39="BLS U.S. average (Sep 2026)",1,0)=1,P10&lt;&gt;""),P10,L10)/(1-IF(AND((Planner!$C$60="Realistic"),Planner!$C$62="Yes"),K10,0))</f>
        <v>2.2738732364289</v>
      </c>
      <c r="R10" s="13" t="n">
        <v>85</v>
      </c>
      <c r="S10" s="4" t="s">
        <v>258</v>
      </c>
      <c r="T10" s="8" t="n">
        <v>2</v>
      </c>
      <c r="U10" s="45"/>
      <c r="V10" s="13"/>
      <c r="W10" s="46" t="n">
        <v>0</v>
      </c>
      <c r="X10" s="46" t="n">
        <v>0</v>
      </c>
      <c r="Y10" s="46" t="n">
        <v>1</v>
      </c>
      <c r="Z10" s="46" t="n">
        <v>0</v>
      </c>
      <c r="AA10" s="46" t="n">
        <v>0</v>
      </c>
      <c r="AB10" s="46" t="n">
        <v>0</v>
      </c>
      <c r="AC10" s="46" t="n">
        <v>0</v>
      </c>
      <c r="AD10" s="47" t="n">
        <f aca="false">SUMPRODUCT(W10:AC10,INDEX(Diets!$I$5:$O$12,MATCH(Planner!$C$36,Diets!$A$5:$A$12,0),0))+ISNUMBER(SEARCH(","&amp;A10&amp;",",","&amp;SUBSTITUTE(INDEX(Diets!$P$5:$P$12,MATCH(Planner!$C$36,Diets!$A$5:$A$12,0))," ","")&amp;","))*1</f>
        <v>0</v>
      </c>
      <c r="AE10" s="48" t="n">
        <f aca="false">IF(OR(UPPER(U10)="Y",AD10&gt;0),0,1)</f>
        <v>1</v>
      </c>
      <c r="AF10" s="49" t="n">
        <v>0</v>
      </c>
      <c r="AG10" s="49" t="n">
        <v>0.5</v>
      </c>
      <c r="AH10" s="49" t="n">
        <v>0.5</v>
      </c>
      <c r="AI10" s="49" t="n">
        <v>0</v>
      </c>
      <c r="AJ10" s="8"/>
      <c r="AK10" s="4" t="s">
        <v>259</v>
      </c>
      <c r="AL10" s="50" t="s">
        <v>260</v>
      </c>
      <c r="AM10" s="13" t="n">
        <v>85</v>
      </c>
      <c r="AN10" s="13"/>
      <c r="AO10" s="50"/>
      <c r="AP10" s="35" t="n">
        <v>2.966</v>
      </c>
      <c r="AQ10" s="35" t="n">
        <v>213</v>
      </c>
      <c r="AR10" s="35" t="n">
        <v>27.1</v>
      </c>
      <c r="AS10" s="35" t="n">
        <v>0</v>
      </c>
      <c r="AT10" s="35" t="n">
        <v>11.6</v>
      </c>
      <c r="AU10" s="35" t="n">
        <v>0</v>
      </c>
      <c r="AV10" s="35" t="n">
        <v>0</v>
      </c>
      <c r="AW10" s="35" t="n">
        <v>31</v>
      </c>
      <c r="AX10" s="35" t="n">
        <v>1.56</v>
      </c>
      <c r="AY10" s="35" t="n">
        <v>304</v>
      </c>
      <c r="AZ10" s="35" t="n">
        <v>90</v>
      </c>
      <c r="BA10" s="35" t="n">
        <v>0</v>
      </c>
      <c r="BB10" s="25" t="n">
        <f aca="false">AR10/Q10</f>
        <v>11.9179906627338</v>
      </c>
      <c r="BC10" s="18" t="n">
        <f aca="false">AQ10/Q10</f>
        <v>93.6727679395684</v>
      </c>
      <c r="BD10" s="4" t="s">
        <v>283</v>
      </c>
      <c r="BE10" s="4" t="s">
        <v>284</v>
      </c>
      <c r="BF10" s="4"/>
    </row>
    <row r="11" customFormat="false" ht="15" hidden="false" customHeight="false" outlineLevel="0" collapsed="false">
      <c r="A11" s="4" t="n">
        <v>6</v>
      </c>
      <c r="B11" s="39" t="s">
        <v>254</v>
      </c>
      <c r="C11" s="40" t="s">
        <v>285</v>
      </c>
      <c r="D11" s="14" t="s">
        <v>286</v>
      </c>
      <c r="E11" s="4" t="s">
        <v>287</v>
      </c>
      <c r="F11" s="4" t="s">
        <v>288</v>
      </c>
      <c r="G11" s="38" t="n">
        <v>4.24</v>
      </c>
      <c r="H11" s="21" t="n">
        <v>453.6</v>
      </c>
      <c r="I11" s="31" t="n">
        <v>1</v>
      </c>
      <c r="J11" s="41" t="n">
        <v>0.3721</v>
      </c>
      <c r="K11" s="31" t="n">
        <v>0.22</v>
      </c>
      <c r="L11" s="42" t="n">
        <f aca="false">G11/(H11*I11*J11)*100</f>
        <v>2.51207811899382</v>
      </c>
      <c r="M11" s="42" t="n">
        <f aca="false">L11/(1-K11)</f>
        <v>3.220612973069</v>
      </c>
      <c r="N11" s="43" t="n">
        <v>6.756</v>
      </c>
      <c r="O11" s="21" t="n">
        <v>453.6</v>
      </c>
      <c r="P11" s="42" t="n">
        <f aca="false">N11/(O11*I11*J11)*100</f>
        <v>4.00273579526469</v>
      </c>
      <c r="Q11" s="44" t="n">
        <f aca="false">IF(AND(IF(Planner!$C$39="BLS U.S. average (Sep 2026)",1,0)=1,P11&lt;&gt;""),P11,L11)/(1-IF(AND((Planner!$C$60="Realistic"),Planner!$C$62="Yes"),K11,0))</f>
        <v>3.220612973069</v>
      </c>
      <c r="R11" s="13" t="n">
        <v>11.5</v>
      </c>
      <c r="S11" s="4" t="s">
        <v>289</v>
      </c>
      <c r="T11" s="8" t="n">
        <v>2.5</v>
      </c>
      <c r="U11" s="45"/>
      <c r="V11" s="13"/>
      <c r="W11" s="46" t="n">
        <v>1</v>
      </c>
      <c r="X11" s="46" t="n">
        <v>1</v>
      </c>
      <c r="Y11" s="46" t="n">
        <v>0</v>
      </c>
      <c r="Z11" s="46" t="n">
        <v>0</v>
      </c>
      <c r="AA11" s="46" t="n">
        <v>0</v>
      </c>
      <c r="AB11" s="46" t="n">
        <v>0</v>
      </c>
      <c r="AC11" s="46" t="n">
        <v>0</v>
      </c>
      <c r="AD11" s="47" t="n">
        <f aca="false">SUMPRODUCT(W11:AC11,INDEX(Diets!$I$5:$O$12,MATCH(Planner!$C$36,Diets!$A$5:$A$12,0),0))+ISNUMBER(SEARCH(","&amp;A11&amp;",",","&amp;SUBSTITUTE(INDEX(Diets!$P$5:$P$12,MATCH(Planner!$C$36,Diets!$A$5:$A$12,0))," ","")&amp;","))*1</f>
        <v>0</v>
      </c>
      <c r="AE11" s="48" t="n">
        <f aca="false">IF(OR(UPPER(U11)="Y",AD11&gt;0),0,1)</f>
        <v>1</v>
      </c>
      <c r="AF11" s="49" t="n">
        <v>1</v>
      </c>
      <c r="AG11" s="49" t="n">
        <v>0</v>
      </c>
      <c r="AH11" s="49" t="n">
        <v>0</v>
      </c>
      <c r="AI11" s="49" t="n">
        <v>0</v>
      </c>
      <c r="AJ11" s="8"/>
      <c r="AK11" s="4" t="s">
        <v>259</v>
      </c>
      <c r="AL11" s="50" t="s">
        <v>260</v>
      </c>
      <c r="AM11" s="13" t="n">
        <v>85</v>
      </c>
      <c r="AN11" s="13"/>
      <c r="AO11" s="50"/>
      <c r="AP11" s="35" t="n">
        <v>11.964</v>
      </c>
      <c r="AQ11" s="35" t="n">
        <v>468</v>
      </c>
      <c r="AR11" s="35" t="n">
        <v>33.92</v>
      </c>
      <c r="AS11" s="35" t="n">
        <v>1.7</v>
      </c>
      <c r="AT11" s="35" t="n">
        <v>35.09</v>
      </c>
      <c r="AU11" s="35" t="n">
        <v>0</v>
      </c>
      <c r="AV11" s="35" t="n">
        <v>0</v>
      </c>
      <c r="AW11" s="35" t="n">
        <v>11</v>
      </c>
      <c r="AX11" s="35" t="n">
        <v>0.95</v>
      </c>
      <c r="AY11" s="35" t="n">
        <v>499</v>
      </c>
      <c r="AZ11" s="35" t="n">
        <v>1684</v>
      </c>
      <c r="BA11" s="35" t="n">
        <v>0</v>
      </c>
      <c r="BB11" s="25" t="n">
        <f aca="false">AR11/Q11</f>
        <v>10.532156544</v>
      </c>
      <c r="BC11" s="18" t="n">
        <f aca="false">AQ11/Q11</f>
        <v>145.313952316981</v>
      </c>
      <c r="BD11" s="4" t="s">
        <v>290</v>
      </c>
      <c r="BE11" s="4" t="s">
        <v>291</v>
      </c>
      <c r="BF11" s="4"/>
    </row>
    <row r="12" customFormat="false" ht="15" hidden="false" customHeight="false" outlineLevel="0" collapsed="false">
      <c r="A12" s="4" t="n">
        <v>7</v>
      </c>
      <c r="B12" s="39" t="s">
        <v>254</v>
      </c>
      <c r="C12" s="40" t="s">
        <v>285</v>
      </c>
      <c r="D12" s="14" t="s">
        <v>292</v>
      </c>
      <c r="E12" s="4" t="s">
        <v>293</v>
      </c>
      <c r="F12" s="4" t="s">
        <v>294</v>
      </c>
      <c r="G12" s="38" t="n">
        <v>6.43</v>
      </c>
      <c r="H12" s="21" t="n">
        <v>453.6</v>
      </c>
      <c r="I12" s="31" t="n">
        <v>1</v>
      </c>
      <c r="J12" s="41" t="n">
        <v>0.6359</v>
      </c>
      <c r="K12" s="31" t="n">
        <v>0.22</v>
      </c>
      <c r="L12" s="42" t="n">
        <f aca="false">G12/(H12*I12*J12)*100</f>
        <v>2.2292003473531</v>
      </c>
      <c r="M12" s="42" t="n">
        <f aca="false">L12/(1-K12)</f>
        <v>2.8579491632732</v>
      </c>
      <c r="N12" s="43" t="n">
        <v>6.792</v>
      </c>
      <c r="O12" s="21" t="n">
        <v>453.6</v>
      </c>
      <c r="P12" s="42" t="n">
        <f aca="false">N12/(O12*I12*J12)*100</f>
        <v>2.35470120672196</v>
      </c>
      <c r="Q12" s="44" t="n">
        <f aca="false">IF(AND(IF(Planner!$C$39="BLS U.S. average (Sep 2026)",1,0)=1,P12&lt;&gt;""),P12,L12)/(1-IF(AND((Planner!$C$60="Realistic"),Planner!$C$62="Yes"),K12,0))</f>
        <v>2.8579491632732</v>
      </c>
      <c r="R12" s="13" t="n">
        <v>85</v>
      </c>
      <c r="S12" s="4" t="s">
        <v>258</v>
      </c>
      <c r="T12" s="8" t="n">
        <v>1.5</v>
      </c>
      <c r="U12" s="45"/>
      <c r="V12" s="13"/>
      <c r="W12" s="46" t="n">
        <v>1</v>
      </c>
      <c r="X12" s="46" t="n">
        <v>0</v>
      </c>
      <c r="Y12" s="46" t="n">
        <v>0</v>
      </c>
      <c r="Z12" s="46" t="n">
        <v>0</v>
      </c>
      <c r="AA12" s="46" t="n">
        <v>0</v>
      </c>
      <c r="AB12" s="46" t="n">
        <v>0</v>
      </c>
      <c r="AC12" s="46" t="n">
        <v>0</v>
      </c>
      <c r="AD12" s="47" t="n">
        <f aca="false">SUMPRODUCT(W12:AC12,INDEX(Diets!$I$5:$O$12,MATCH(Planner!$C$36,Diets!$A$5:$A$12,0),0))+ISNUMBER(SEARCH(","&amp;A12&amp;",",","&amp;SUBSTITUTE(INDEX(Diets!$P$5:$P$12,MATCH(Planner!$C$36,Diets!$A$5:$A$12,0))," ","")&amp;","))*1</f>
        <v>0</v>
      </c>
      <c r="AE12" s="48" t="n">
        <f aca="false">IF(OR(UPPER(U12)="Y",AD12&gt;0),0,1)</f>
        <v>1</v>
      </c>
      <c r="AF12" s="49" t="n">
        <v>0</v>
      </c>
      <c r="AG12" s="49" t="n">
        <v>0.5</v>
      </c>
      <c r="AH12" s="49" t="n">
        <v>0.5</v>
      </c>
      <c r="AI12" s="49" t="n">
        <v>0</v>
      </c>
      <c r="AJ12" s="8"/>
      <c r="AK12" s="4" t="s">
        <v>259</v>
      </c>
      <c r="AL12" s="50" t="s">
        <v>260</v>
      </c>
      <c r="AM12" s="13" t="n">
        <v>85</v>
      </c>
      <c r="AN12" s="13"/>
      <c r="AO12" s="50" t="s">
        <v>295</v>
      </c>
      <c r="AP12" s="35" t="n">
        <v>6.546</v>
      </c>
      <c r="AQ12" s="35" t="n">
        <v>272</v>
      </c>
      <c r="AR12" s="35" t="n">
        <v>27</v>
      </c>
      <c r="AS12" s="35" t="n">
        <v>0</v>
      </c>
      <c r="AT12" s="35" t="n">
        <v>17.36</v>
      </c>
      <c r="AU12" s="35" t="n">
        <v>0</v>
      </c>
      <c r="AV12" s="35" t="n">
        <v>0</v>
      </c>
      <c r="AW12" s="35" t="n">
        <v>28</v>
      </c>
      <c r="AX12" s="35" t="n">
        <v>2.78</v>
      </c>
      <c r="AY12" s="35" t="n">
        <v>380</v>
      </c>
      <c r="AZ12" s="35" t="n">
        <v>91</v>
      </c>
      <c r="BA12" s="35" t="n">
        <v>0</v>
      </c>
      <c r="BB12" s="25" t="n">
        <f aca="false">AR12/Q12</f>
        <v>9.44733389486781</v>
      </c>
      <c r="BC12" s="18" t="n">
        <f aca="false">AQ12/Q12</f>
        <v>95.1731414594091</v>
      </c>
      <c r="BD12" s="4" t="s">
        <v>296</v>
      </c>
      <c r="BE12" s="4" t="s">
        <v>297</v>
      </c>
      <c r="BF12" s="4"/>
    </row>
    <row r="13" customFormat="false" ht="15" hidden="false" customHeight="false" outlineLevel="0" collapsed="false">
      <c r="A13" s="4" t="n">
        <v>8</v>
      </c>
      <c r="B13" s="39" t="s">
        <v>254</v>
      </c>
      <c r="C13" s="40" t="s">
        <v>285</v>
      </c>
      <c r="D13" s="14" t="s">
        <v>298</v>
      </c>
      <c r="E13" s="4" t="s">
        <v>299</v>
      </c>
      <c r="F13" s="4" t="s">
        <v>300</v>
      </c>
      <c r="G13" s="38" t="n">
        <v>7.87</v>
      </c>
      <c r="H13" s="21" t="n">
        <v>453.6</v>
      </c>
      <c r="I13" s="31" t="n">
        <v>1</v>
      </c>
      <c r="J13" s="41" t="n">
        <v>0.722</v>
      </c>
      <c r="K13" s="31" t="n">
        <v>0.22</v>
      </c>
      <c r="L13" s="42" t="n">
        <f aca="false">G13/(H13*I13*J13)*100</f>
        <v>2.40305930518304</v>
      </c>
      <c r="M13" s="42" t="n">
        <f aca="false">L13/(1-K13)</f>
        <v>3.08084526305517</v>
      </c>
      <c r="N13" s="43" t="n">
        <v>8.461</v>
      </c>
      <c r="O13" s="21" t="n">
        <v>453.6</v>
      </c>
      <c r="P13" s="42" t="n">
        <f aca="false">N13/(O13*I13*J13)*100</f>
        <v>2.58351776126476</v>
      </c>
      <c r="Q13" s="44" t="n">
        <f aca="false">IF(AND(IF(Planner!$C$39="BLS U.S. average (Sep 2026)",1,0)=1,P13&lt;&gt;""),P13,L13)/(1-IF(AND((Planner!$C$60="Realistic"),Planner!$C$62="Yes"),K13,0))</f>
        <v>3.08084526305517</v>
      </c>
      <c r="R13" s="13" t="n">
        <v>85</v>
      </c>
      <c r="S13" s="4" t="s">
        <v>258</v>
      </c>
      <c r="T13" s="8" t="n">
        <v>2</v>
      </c>
      <c r="U13" s="45"/>
      <c r="V13" s="13"/>
      <c r="W13" s="46" t="n">
        <v>1</v>
      </c>
      <c r="X13" s="46" t="n">
        <v>0</v>
      </c>
      <c r="Y13" s="46" t="n">
        <v>0</v>
      </c>
      <c r="Z13" s="46" t="n">
        <v>0</v>
      </c>
      <c r="AA13" s="46" t="n">
        <v>0</v>
      </c>
      <c r="AB13" s="46" t="n">
        <v>0</v>
      </c>
      <c r="AC13" s="46" t="n">
        <v>0</v>
      </c>
      <c r="AD13" s="47" t="n">
        <f aca="false">SUMPRODUCT(W13:AC13,INDEX(Diets!$I$5:$O$12,MATCH(Planner!$C$36,Diets!$A$5:$A$12,0),0))+ISNUMBER(SEARCH(","&amp;A13&amp;",",","&amp;SUBSTITUTE(INDEX(Diets!$P$5:$P$12,MATCH(Planner!$C$36,Diets!$A$5:$A$12,0))," ","")&amp;","))*1</f>
        <v>0</v>
      </c>
      <c r="AE13" s="48" t="n">
        <f aca="false">IF(OR(UPPER(U13)="Y",AD13&gt;0),0,1)</f>
        <v>1</v>
      </c>
      <c r="AF13" s="49" t="n">
        <v>0</v>
      </c>
      <c r="AG13" s="49" t="n">
        <v>0.5</v>
      </c>
      <c r="AH13" s="49" t="n">
        <v>0.5</v>
      </c>
      <c r="AI13" s="49" t="n">
        <v>0</v>
      </c>
      <c r="AJ13" s="8"/>
      <c r="AK13" s="4" t="s">
        <v>259</v>
      </c>
      <c r="AL13" s="50" t="s">
        <v>260</v>
      </c>
      <c r="AM13" s="13" t="n">
        <v>85</v>
      </c>
      <c r="AN13" s="13"/>
      <c r="AO13" s="50" t="s">
        <v>295</v>
      </c>
      <c r="AP13" s="35" t="n">
        <v>3.897</v>
      </c>
      <c r="AQ13" s="35" t="n">
        <v>209</v>
      </c>
      <c r="AR13" s="35" t="n">
        <v>28.88</v>
      </c>
      <c r="AS13" s="35" t="n">
        <v>0</v>
      </c>
      <c r="AT13" s="35" t="n">
        <v>9.51</v>
      </c>
      <c r="AU13" s="35" t="n">
        <v>0</v>
      </c>
      <c r="AV13" s="35" t="n">
        <v>0</v>
      </c>
      <c r="AW13" s="35" t="n">
        <v>12</v>
      </c>
      <c r="AX13" s="35" t="n">
        <v>3.17</v>
      </c>
      <c r="AY13" s="35" t="n">
        <v>449</v>
      </c>
      <c r="AZ13" s="35" t="n">
        <v>86</v>
      </c>
      <c r="BA13" s="35" t="n">
        <v>0</v>
      </c>
      <c r="BB13" s="25" t="n">
        <f aca="false">AR13/Q13</f>
        <v>9.37405079908513</v>
      </c>
      <c r="BC13" s="18" t="n">
        <f aca="false">AQ13/Q13</f>
        <v>67.838525519695</v>
      </c>
      <c r="BD13" s="4" t="s">
        <v>301</v>
      </c>
      <c r="BE13" s="4" t="s">
        <v>302</v>
      </c>
      <c r="BF13" s="4"/>
    </row>
    <row r="14" customFormat="false" ht="15" hidden="false" customHeight="false" outlineLevel="0" collapsed="false">
      <c r="A14" s="4" t="n">
        <v>9</v>
      </c>
      <c r="B14" s="39" t="s">
        <v>254</v>
      </c>
      <c r="C14" s="40" t="s">
        <v>285</v>
      </c>
      <c r="D14" s="14" t="s">
        <v>303</v>
      </c>
      <c r="E14" s="4" t="s">
        <v>303</v>
      </c>
      <c r="F14" s="4" t="s">
        <v>304</v>
      </c>
      <c r="G14" s="38" t="n">
        <v>4.97</v>
      </c>
      <c r="H14" s="21" t="n">
        <v>453.6</v>
      </c>
      <c r="I14" s="31" t="n">
        <v>1</v>
      </c>
      <c r="J14" s="41" t="n">
        <v>1</v>
      </c>
      <c r="K14" s="31" t="n">
        <v>0.22</v>
      </c>
      <c r="L14" s="42" t="n">
        <f aca="false">G14/(H14*I14*J14)*100</f>
        <v>1.09567901234568</v>
      </c>
      <c r="M14" s="42" t="n">
        <f aca="false">L14/(1-K14)</f>
        <v>1.40471668249446</v>
      </c>
      <c r="N14" s="43" t="n">
        <v>5.45</v>
      </c>
      <c r="O14" s="21" t="n">
        <v>453.6</v>
      </c>
      <c r="P14" s="42" t="n">
        <f aca="false">N14/(O14*I14*J14)*100</f>
        <v>1.20149911816578</v>
      </c>
      <c r="Q14" s="44" t="n">
        <f aca="false">IF(AND(IF(Planner!$C$39="BLS U.S. average (Sep 2026)",1,0)=1,P14&lt;&gt;""),P14,L14)/(1-IF(AND((Planner!$C$60="Realistic"),Planner!$C$62="Yes"),K14,0))</f>
        <v>1.40471668249446</v>
      </c>
      <c r="R14" s="13" t="n">
        <v>56</v>
      </c>
      <c r="S14" s="4" t="s">
        <v>305</v>
      </c>
      <c r="T14" s="8" t="n">
        <v>2</v>
      </c>
      <c r="U14" s="45"/>
      <c r="V14" s="13"/>
      <c r="W14" s="46" t="n">
        <v>1</v>
      </c>
      <c r="X14" s="46" t="n">
        <v>1</v>
      </c>
      <c r="Y14" s="46" t="n">
        <v>0</v>
      </c>
      <c r="Z14" s="46" t="n">
        <v>0</v>
      </c>
      <c r="AA14" s="46" t="n">
        <v>0</v>
      </c>
      <c r="AB14" s="46" t="n">
        <v>0</v>
      </c>
      <c r="AC14" s="46" t="n">
        <v>0</v>
      </c>
      <c r="AD14" s="47" t="n">
        <f aca="false">SUMPRODUCT(W14:AC14,INDEX(Diets!$I$5:$O$12,MATCH(Planner!$C$36,Diets!$A$5:$A$12,0),0))+ISNUMBER(SEARCH(","&amp;A14&amp;",",","&amp;SUBSTITUTE(INDEX(Diets!$P$5:$P$12,MATCH(Planner!$C$36,Diets!$A$5:$A$12,0))," ","")&amp;","))*1</f>
        <v>0</v>
      </c>
      <c r="AE14" s="48" t="n">
        <f aca="false">IF(OR(UPPER(U14)="Y",AD14&gt;0),0,1)</f>
        <v>1</v>
      </c>
      <c r="AF14" s="49" t="n">
        <v>0</v>
      </c>
      <c r="AG14" s="49" t="n">
        <v>1</v>
      </c>
      <c r="AH14" s="49" t="n">
        <v>0</v>
      </c>
      <c r="AI14" s="49" t="n">
        <v>0</v>
      </c>
      <c r="AJ14" s="8"/>
      <c r="AK14" s="4" t="s">
        <v>259</v>
      </c>
      <c r="AL14" s="50" t="s">
        <v>260</v>
      </c>
      <c r="AM14" s="13" t="n">
        <v>85</v>
      </c>
      <c r="AN14" s="13"/>
      <c r="AO14" s="50"/>
      <c r="AP14" s="35" t="n">
        <v>2.936</v>
      </c>
      <c r="AQ14" s="35" t="n">
        <v>163</v>
      </c>
      <c r="AR14" s="35" t="n">
        <v>16.6</v>
      </c>
      <c r="AS14" s="35" t="n">
        <v>3.83</v>
      </c>
      <c r="AT14" s="35" t="n">
        <v>8.6</v>
      </c>
      <c r="AU14" s="35" t="n">
        <v>1.3</v>
      </c>
      <c r="AV14" s="35" t="n">
        <v>0</v>
      </c>
      <c r="AW14" s="35" t="n">
        <v>24</v>
      </c>
      <c r="AX14" s="35" t="n">
        <v>1.02</v>
      </c>
      <c r="AY14" s="35" t="n">
        <v>287</v>
      </c>
      <c r="AZ14" s="35" t="n">
        <v>1143</v>
      </c>
      <c r="BA14" s="35" t="n">
        <v>4</v>
      </c>
      <c r="BB14" s="25" t="n">
        <f aca="false">AR14/Q14</f>
        <v>11.8173295774648</v>
      </c>
      <c r="BC14" s="18" t="n">
        <f aca="false">AQ14/Q14</f>
        <v>116.037633802817</v>
      </c>
      <c r="BD14" s="4" t="s">
        <v>306</v>
      </c>
      <c r="BE14" s="4" t="s">
        <v>307</v>
      </c>
      <c r="BF14" s="4" t="s">
        <v>308</v>
      </c>
    </row>
    <row r="15" customFormat="false" ht="15" hidden="false" customHeight="false" outlineLevel="0" collapsed="false">
      <c r="A15" s="4" t="n">
        <v>10</v>
      </c>
      <c r="B15" s="39" t="s">
        <v>254</v>
      </c>
      <c r="C15" s="40" t="s">
        <v>285</v>
      </c>
      <c r="D15" s="14" t="s">
        <v>309</v>
      </c>
      <c r="E15" s="4" t="s">
        <v>310</v>
      </c>
      <c r="F15" s="4" t="s">
        <v>311</v>
      </c>
      <c r="G15" s="38" t="n">
        <v>4.17</v>
      </c>
      <c r="H15" s="21" t="n">
        <v>453.6</v>
      </c>
      <c r="I15" s="31" t="n">
        <v>1</v>
      </c>
      <c r="J15" s="41" t="n">
        <v>0.7924</v>
      </c>
      <c r="K15" s="31" t="n">
        <v>0.22</v>
      </c>
      <c r="L15" s="42" t="n">
        <f aca="false">G15/(H15*I15*J15)*100</f>
        <v>1.16016174824857</v>
      </c>
      <c r="M15" s="42" t="n">
        <f aca="false">L15/(1-K15)</f>
        <v>1.48738685672894</v>
      </c>
      <c r="N15" s="43" t="n">
        <v>4.55</v>
      </c>
      <c r="O15" s="21" t="n">
        <v>453.6</v>
      </c>
      <c r="P15" s="42" t="n">
        <f aca="false">N15/(O15*I15*J15)*100</f>
        <v>1.26588392194988</v>
      </c>
      <c r="Q15" s="44" t="n">
        <f aca="false">IF(AND(IF(Planner!$C$39="BLS U.S. average (Sep 2026)",1,0)=1,P15&lt;&gt;""),P15,L15)/(1-IF(AND((Planner!$C$60="Realistic"),Planner!$C$62="Yes"),K15,0))</f>
        <v>1.48738685672894</v>
      </c>
      <c r="R15" s="13" t="n">
        <v>85</v>
      </c>
      <c r="S15" s="4" t="s">
        <v>258</v>
      </c>
      <c r="T15" s="8" t="n">
        <v>2</v>
      </c>
      <c r="U15" s="45"/>
      <c r="V15" s="13"/>
      <c r="W15" s="46" t="n">
        <v>1</v>
      </c>
      <c r="X15" s="46" t="n">
        <v>1</v>
      </c>
      <c r="Y15" s="46" t="n">
        <v>0</v>
      </c>
      <c r="Z15" s="46" t="n">
        <v>0</v>
      </c>
      <c r="AA15" s="46" t="n">
        <v>0</v>
      </c>
      <c r="AB15" s="46" t="n">
        <v>0</v>
      </c>
      <c r="AC15" s="46" t="n">
        <v>0</v>
      </c>
      <c r="AD15" s="47" t="n">
        <f aca="false">SUMPRODUCT(W15:AC15,INDEX(Diets!$I$5:$O$12,MATCH(Planner!$C$36,Diets!$A$5:$A$12,0),0))+ISNUMBER(SEARCH(","&amp;A15&amp;",",","&amp;SUBSTITUTE(INDEX(Diets!$P$5:$P$12,MATCH(Planner!$C$36,Diets!$A$5:$A$12,0))," ","")&amp;","))*1</f>
        <v>0</v>
      </c>
      <c r="AE15" s="48" t="n">
        <f aca="false">IF(OR(UPPER(U15)="Y",AD15&gt;0),0,1)</f>
        <v>1</v>
      </c>
      <c r="AF15" s="49" t="n">
        <v>0</v>
      </c>
      <c r="AG15" s="49" t="n">
        <v>0.5</v>
      </c>
      <c r="AH15" s="49" t="n">
        <v>0.5</v>
      </c>
      <c r="AI15" s="49" t="n">
        <v>0</v>
      </c>
      <c r="AJ15" s="8"/>
      <c r="AK15" s="4" t="s">
        <v>259</v>
      </c>
      <c r="AL15" s="50" t="s">
        <v>260</v>
      </c>
      <c r="AM15" s="13" t="n">
        <v>85</v>
      </c>
      <c r="AN15" s="13"/>
      <c r="AO15" s="50"/>
      <c r="AP15" s="35" t="n">
        <v>4.89</v>
      </c>
      <c r="AQ15" s="35" t="n">
        <v>229</v>
      </c>
      <c r="AR15" s="35" t="n">
        <v>26.68</v>
      </c>
      <c r="AS15" s="35" t="n">
        <v>0</v>
      </c>
      <c r="AT15" s="35" t="n">
        <v>13.6</v>
      </c>
      <c r="AU15" s="35" t="n">
        <v>0</v>
      </c>
      <c r="AV15" s="35" t="n">
        <v>0</v>
      </c>
      <c r="AW15" s="35" t="n">
        <v>9</v>
      </c>
      <c r="AX15" s="35" t="n">
        <v>0.62</v>
      </c>
      <c r="AY15" s="35" t="n">
        <v>366</v>
      </c>
      <c r="AZ15" s="35" t="n">
        <v>86</v>
      </c>
      <c r="BA15" s="35" t="n">
        <v>0</v>
      </c>
      <c r="BB15" s="25" t="n">
        <f aca="false">AR15/Q15</f>
        <v>17.9374988284317</v>
      </c>
      <c r="BC15" s="18" t="n">
        <f aca="false">AQ15/Q15</f>
        <v>153.961290543885</v>
      </c>
      <c r="BD15" s="4" t="s">
        <v>312</v>
      </c>
      <c r="BE15" s="4" t="s">
        <v>313</v>
      </c>
      <c r="BF15" s="4"/>
    </row>
    <row r="16" customFormat="false" ht="15" hidden="false" customHeight="false" outlineLevel="0" collapsed="false">
      <c r="A16" s="4" t="n">
        <v>11</v>
      </c>
      <c r="B16" s="39" t="s">
        <v>254</v>
      </c>
      <c r="C16" s="40" t="s">
        <v>285</v>
      </c>
      <c r="D16" s="14" t="s">
        <v>314</v>
      </c>
      <c r="E16" s="4" t="s">
        <v>315</v>
      </c>
      <c r="F16" s="4" t="s">
        <v>316</v>
      </c>
      <c r="G16" s="38" t="n">
        <v>12.94</v>
      </c>
      <c r="H16" s="21" t="n">
        <v>453.6</v>
      </c>
      <c r="I16" s="31" t="n">
        <v>0.97</v>
      </c>
      <c r="J16" s="41" t="n">
        <v>0.7433</v>
      </c>
      <c r="K16" s="31" t="n">
        <v>0.22</v>
      </c>
      <c r="L16" s="42" t="n">
        <f aca="false">G16/(H16*I16*J16)*100</f>
        <v>3.95662930573885</v>
      </c>
      <c r="M16" s="42" t="n">
        <f aca="false">L16/(1-K16)</f>
        <v>5.07260167402417</v>
      </c>
      <c r="N16" s="43" t="n">
        <v>14.106</v>
      </c>
      <c r="O16" s="21" t="n">
        <v>453.6</v>
      </c>
      <c r="P16" s="42" t="n">
        <f aca="false">N16/(O16*I16*J16)*100</f>
        <v>4.31315401752336</v>
      </c>
      <c r="Q16" s="44" t="n">
        <f aca="false">IF(AND(IF(Planner!$C$39="BLS U.S. average (Sep 2026)",1,0)=1,P16&lt;&gt;""),P16,L16)/(1-IF(AND((Planner!$C$60="Realistic"),Planner!$C$62="Yes"),K16,0))</f>
        <v>5.07260167402417</v>
      </c>
      <c r="R16" s="13" t="n">
        <v>85</v>
      </c>
      <c r="S16" s="4" t="s">
        <v>258</v>
      </c>
      <c r="T16" s="8" t="n">
        <v>2</v>
      </c>
      <c r="U16" s="45"/>
      <c r="V16" s="13"/>
      <c r="W16" s="46" t="n">
        <v>1</v>
      </c>
      <c r="X16" s="46" t="n">
        <v>0</v>
      </c>
      <c r="Y16" s="46" t="n">
        <v>0</v>
      </c>
      <c r="Z16" s="46" t="n">
        <v>0</v>
      </c>
      <c r="AA16" s="46" t="n">
        <v>0</v>
      </c>
      <c r="AB16" s="46" t="n">
        <v>0</v>
      </c>
      <c r="AC16" s="46" t="n">
        <v>0</v>
      </c>
      <c r="AD16" s="47" t="n">
        <f aca="false">SUMPRODUCT(W16:AC16,INDEX(Diets!$I$5:$O$12,MATCH(Planner!$C$36,Diets!$A$5:$A$12,0),0))+ISNUMBER(SEARCH(","&amp;A16&amp;",",","&amp;SUBSTITUTE(INDEX(Diets!$P$5:$P$12,MATCH(Planner!$C$36,Diets!$A$5:$A$12,0))," ","")&amp;","))*1</f>
        <v>0</v>
      </c>
      <c r="AE16" s="48" t="n">
        <f aca="false">IF(OR(UPPER(U16)="Y",AD16&gt;0),0,1)</f>
        <v>1</v>
      </c>
      <c r="AF16" s="49" t="n">
        <v>0</v>
      </c>
      <c r="AG16" s="49" t="n">
        <v>0</v>
      </c>
      <c r="AH16" s="49" t="n">
        <v>1</v>
      </c>
      <c r="AI16" s="49" t="n">
        <v>0</v>
      </c>
      <c r="AJ16" s="8"/>
      <c r="AK16" s="4" t="s">
        <v>259</v>
      </c>
      <c r="AL16" s="50" t="s">
        <v>260</v>
      </c>
      <c r="AM16" s="13" t="n">
        <v>85</v>
      </c>
      <c r="AN16" s="13"/>
      <c r="AO16" s="50"/>
      <c r="AP16" s="35" t="n">
        <v>6.202</v>
      </c>
      <c r="AQ16" s="35" t="n">
        <v>257</v>
      </c>
      <c r="AR16" s="35" t="n">
        <v>26.8</v>
      </c>
      <c r="AS16" s="35" t="n">
        <v>0</v>
      </c>
      <c r="AT16" s="35" t="n">
        <v>15.75</v>
      </c>
      <c r="AU16" s="35" t="n">
        <v>0</v>
      </c>
      <c r="AV16" s="35" t="n">
        <v>0</v>
      </c>
      <c r="AW16" s="35" t="n">
        <v>18</v>
      </c>
      <c r="AX16" s="35" t="n">
        <v>1.81</v>
      </c>
      <c r="AY16" s="35" t="n">
        <v>327</v>
      </c>
      <c r="AZ16" s="35" t="n">
        <v>54</v>
      </c>
      <c r="BA16" s="35" t="n">
        <v>0</v>
      </c>
      <c r="BB16" s="25" t="n">
        <f aca="false">AR16/Q16</f>
        <v>5.28328493389057</v>
      </c>
      <c r="BC16" s="18" t="n">
        <f aca="false">AQ16/Q16</f>
        <v>50.6643368660402</v>
      </c>
      <c r="BD16" s="4" t="s">
        <v>317</v>
      </c>
      <c r="BE16" s="4" t="s">
        <v>318</v>
      </c>
      <c r="BF16" s="4"/>
    </row>
    <row r="17" customFormat="false" ht="15" hidden="false" customHeight="false" outlineLevel="0" collapsed="false">
      <c r="A17" s="4" t="n">
        <v>12</v>
      </c>
      <c r="B17" s="39" t="s">
        <v>254</v>
      </c>
      <c r="C17" s="40" t="s">
        <v>319</v>
      </c>
      <c r="D17" s="14" t="s">
        <v>320</v>
      </c>
      <c r="E17" s="4" t="s">
        <v>320</v>
      </c>
      <c r="F17" s="4" t="s">
        <v>321</v>
      </c>
      <c r="G17" s="38" t="n">
        <v>0.96</v>
      </c>
      <c r="H17" s="21" t="n">
        <v>141.7</v>
      </c>
      <c r="I17" s="31" t="n">
        <v>0.79</v>
      </c>
      <c r="J17" s="41" t="n">
        <v>1</v>
      </c>
      <c r="K17" s="31" t="n">
        <v>0.31</v>
      </c>
      <c r="L17" s="42" t="n">
        <f aca="false">G17/(H17*I17*J17)*100</f>
        <v>0.857579303752803</v>
      </c>
      <c r="M17" s="42" t="n">
        <f aca="false">L17/(1-K17)</f>
        <v>1.24286855616348</v>
      </c>
      <c r="N17" s="4"/>
      <c r="O17" s="4"/>
      <c r="P17" s="4"/>
      <c r="Q17" s="44" t="n">
        <f aca="false">IF(AND(IF(Planner!$C$39="BLS U.S. average (Sep 2026)",1,0)=1,P17&lt;&gt;""),P17,L17)/(1-IF(AND((Planner!$C$60="Realistic"),Planner!$C$62="Yes"),K17,0))</f>
        <v>1.24286855616348</v>
      </c>
      <c r="R17" s="13" t="n">
        <v>85</v>
      </c>
      <c r="S17" s="4" t="s">
        <v>322</v>
      </c>
      <c r="T17" s="8" t="n">
        <v>2</v>
      </c>
      <c r="U17" s="45"/>
      <c r="V17" s="13"/>
      <c r="W17" s="46" t="n">
        <v>0</v>
      </c>
      <c r="X17" s="46" t="n">
        <v>0</v>
      </c>
      <c r="Y17" s="46" t="n">
        <v>0</v>
      </c>
      <c r="Z17" s="46" t="n">
        <v>1</v>
      </c>
      <c r="AA17" s="46" t="n">
        <v>0</v>
      </c>
      <c r="AB17" s="46" t="n">
        <v>0</v>
      </c>
      <c r="AC17" s="46" t="n">
        <v>0</v>
      </c>
      <c r="AD17" s="47" t="n">
        <f aca="false">SUMPRODUCT(W17:AC17,INDEX(Diets!$I$5:$O$12,MATCH(Planner!$C$36,Diets!$A$5:$A$12,0),0))+ISNUMBER(SEARCH(","&amp;A17&amp;",",","&amp;SUBSTITUTE(INDEX(Diets!$P$5:$P$12,MATCH(Planner!$C$36,Diets!$A$5:$A$12,0))," ","")&amp;","))*1</f>
        <v>0</v>
      </c>
      <c r="AE17" s="48" t="n">
        <f aca="false">IF(OR(UPPER(U17)="Y",AD17&gt;0),0,1)</f>
        <v>1</v>
      </c>
      <c r="AF17" s="49" t="n">
        <v>0</v>
      </c>
      <c r="AG17" s="49" t="n">
        <v>1</v>
      </c>
      <c r="AH17" s="49" t="n">
        <v>0</v>
      </c>
      <c r="AI17" s="49" t="n">
        <v>0</v>
      </c>
      <c r="AJ17" s="8"/>
      <c r="AK17" s="4" t="s">
        <v>259</v>
      </c>
      <c r="AL17" s="50" t="s">
        <v>260</v>
      </c>
      <c r="AM17" s="13" t="n">
        <v>85</v>
      </c>
      <c r="AN17" s="13"/>
      <c r="AO17" s="50"/>
      <c r="AP17" s="35" t="n">
        <v>0.211</v>
      </c>
      <c r="AQ17" s="35" t="n">
        <v>86</v>
      </c>
      <c r="AR17" s="35" t="n">
        <v>19.44</v>
      </c>
      <c r="AS17" s="35" t="n">
        <v>0</v>
      </c>
      <c r="AT17" s="35" t="n">
        <v>0.96</v>
      </c>
      <c r="AU17" s="35" t="n">
        <v>0</v>
      </c>
      <c r="AV17" s="35" t="n">
        <v>0</v>
      </c>
      <c r="AW17" s="35" t="n">
        <v>17</v>
      </c>
      <c r="AX17" s="35" t="n">
        <v>1.63</v>
      </c>
      <c r="AY17" s="35" t="n">
        <v>179</v>
      </c>
      <c r="AZ17" s="35" t="n">
        <v>247</v>
      </c>
      <c r="BA17" s="35" t="n">
        <v>0</v>
      </c>
      <c r="BB17" s="25" t="n">
        <f aca="false">AR17/Q17</f>
        <v>15.641235675</v>
      </c>
      <c r="BC17" s="18" t="n">
        <f aca="false">AQ17/Q17</f>
        <v>69.194766875</v>
      </c>
      <c r="BD17" s="4" t="s">
        <v>323</v>
      </c>
      <c r="BE17" s="4" t="s">
        <v>324</v>
      </c>
      <c r="BF17" s="4" t="s">
        <v>325</v>
      </c>
    </row>
    <row r="18" customFormat="false" ht="15" hidden="false" customHeight="false" outlineLevel="0" collapsed="false">
      <c r="A18" s="4" t="n">
        <v>13</v>
      </c>
      <c r="B18" s="39" t="s">
        <v>254</v>
      </c>
      <c r="C18" s="40" t="s">
        <v>319</v>
      </c>
      <c r="D18" s="14" t="s">
        <v>326</v>
      </c>
      <c r="E18" s="4" t="s">
        <v>327</v>
      </c>
      <c r="F18" s="4" t="s">
        <v>328</v>
      </c>
      <c r="G18" s="38" t="n">
        <v>21.94</v>
      </c>
      <c r="H18" s="21" t="n">
        <v>907.2</v>
      </c>
      <c r="I18" s="31" t="n">
        <v>1</v>
      </c>
      <c r="J18" s="41" t="n">
        <v>0.924</v>
      </c>
      <c r="K18" s="31" t="n">
        <v>0.31</v>
      </c>
      <c r="L18" s="42" t="n">
        <f aca="false">G18/(H18*I18*J18)*100</f>
        <v>2.61734884750758</v>
      </c>
      <c r="M18" s="42" t="n">
        <f aca="false">L18/(1-K18)</f>
        <v>3.79325919928634</v>
      </c>
      <c r="N18" s="4"/>
      <c r="O18" s="4"/>
      <c r="P18" s="4"/>
      <c r="Q18" s="44" t="n">
        <f aca="false">IF(AND(IF(Planner!$C$39="BLS U.S. average (Sep 2026)",1,0)=1,P18&lt;&gt;""),P18,L18)/(1-IF(AND((Planner!$C$60="Realistic"),Planner!$C$62="Yes"),K18,0))</f>
        <v>3.79325919928634</v>
      </c>
      <c r="R18" s="13" t="n">
        <v>85</v>
      </c>
      <c r="S18" s="4" t="s">
        <v>258</v>
      </c>
      <c r="T18" s="8" t="n">
        <v>2.5</v>
      </c>
      <c r="U18" s="45"/>
      <c r="V18" s="13"/>
      <c r="W18" s="46" t="n">
        <v>0</v>
      </c>
      <c r="X18" s="46" t="n">
        <v>0</v>
      </c>
      <c r="Y18" s="46" t="n">
        <v>0</v>
      </c>
      <c r="Z18" s="46" t="n">
        <v>1</v>
      </c>
      <c r="AA18" s="46" t="n">
        <v>0</v>
      </c>
      <c r="AB18" s="46" t="n">
        <v>0</v>
      </c>
      <c r="AC18" s="46" t="n">
        <v>0</v>
      </c>
      <c r="AD18" s="47" t="n">
        <f aca="false">SUMPRODUCT(W18:AC18,INDEX(Diets!$I$5:$O$12,MATCH(Planner!$C$36,Diets!$A$5:$A$12,0),0))+ISNUMBER(SEARCH(","&amp;A18&amp;",",","&amp;SUBSTITUTE(INDEX(Diets!$P$5:$P$12,MATCH(Planner!$C$36,Diets!$A$5:$A$12,0))," ","")&amp;","))*1</f>
        <v>0</v>
      </c>
      <c r="AE18" s="48" t="n">
        <f aca="false">IF(OR(UPPER(U18)="Y",AD18&gt;0),0,1)</f>
        <v>1</v>
      </c>
      <c r="AF18" s="49" t="n">
        <v>0</v>
      </c>
      <c r="AG18" s="49" t="n">
        <v>0</v>
      </c>
      <c r="AH18" s="49" t="n">
        <v>1</v>
      </c>
      <c r="AI18" s="49" t="n">
        <v>0</v>
      </c>
      <c r="AJ18" s="8"/>
      <c r="AK18" s="4" t="s">
        <v>259</v>
      </c>
      <c r="AL18" s="50" t="s">
        <v>260</v>
      </c>
      <c r="AM18" s="13" t="n">
        <v>85</v>
      </c>
      <c r="AN18" s="13"/>
      <c r="AO18" s="50"/>
      <c r="AP18" s="35" t="n">
        <v>2.397</v>
      </c>
      <c r="AQ18" s="35" t="n">
        <v>206</v>
      </c>
      <c r="AR18" s="35" t="n">
        <v>22.1</v>
      </c>
      <c r="AS18" s="35" t="n">
        <v>0</v>
      </c>
      <c r="AT18" s="35" t="n">
        <v>12.35</v>
      </c>
      <c r="AU18" s="35" t="n">
        <v>0</v>
      </c>
      <c r="AV18" s="35" t="n">
        <v>0</v>
      </c>
      <c r="AW18" s="35" t="n">
        <v>15</v>
      </c>
      <c r="AX18" s="35" t="n">
        <v>0.34</v>
      </c>
      <c r="AY18" s="35" t="n">
        <v>384</v>
      </c>
      <c r="AZ18" s="35" t="n">
        <v>61</v>
      </c>
      <c r="BA18" s="35" t="n">
        <v>3.7</v>
      </c>
      <c r="BB18" s="25" t="n">
        <f aca="false">AR18/Q18</f>
        <v>5.82612440619872</v>
      </c>
      <c r="BC18" s="18" t="n">
        <f aca="false">AQ18/Q18</f>
        <v>54.3068609808569</v>
      </c>
      <c r="BD18" s="4" t="s">
        <v>329</v>
      </c>
      <c r="BE18" s="4" t="s">
        <v>330</v>
      </c>
      <c r="BF18" s="4"/>
    </row>
    <row r="19" customFormat="false" ht="15" hidden="false" customHeight="false" outlineLevel="0" collapsed="false">
      <c r="A19" s="4" t="n">
        <v>14</v>
      </c>
      <c r="B19" s="39" t="s">
        <v>254</v>
      </c>
      <c r="C19" s="40" t="s">
        <v>319</v>
      </c>
      <c r="D19" s="14" t="s">
        <v>331</v>
      </c>
      <c r="E19" s="4" t="s">
        <v>332</v>
      </c>
      <c r="F19" s="4" t="s">
        <v>333</v>
      </c>
      <c r="G19" s="38" t="n">
        <v>15.96</v>
      </c>
      <c r="H19" s="21" t="n">
        <v>907.2</v>
      </c>
      <c r="I19" s="31" t="n">
        <v>1</v>
      </c>
      <c r="J19" s="41" t="n">
        <v>0.5966</v>
      </c>
      <c r="K19" s="31" t="n">
        <v>0.31</v>
      </c>
      <c r="L19" s="42" t="n">
        <f aca="false">G19/(H19*I19*J19)*100</f>
        <v>2.94880868129276</v>
      </c>
      <c r="M19" s="42" t="n">
        <f aca="false">L19/(1-K19)</f>
        <v>4.2736357699895</v>
      </c>
      <c r="N19" s="4"/>
      <c r="O19" s="4"/>
      <c r="P19" s="4"/>
      <c r="Q19" s="44" t="n">
        <f aca="false">IF(AND(IF(Planner!$C$39="BLS U.S. average (Sep 2026)",1,0)=1,P19&lt;&gt;""),P19,L19)/(1-IF(AND((Planner!$C$60="Realistic"),Planner!$C$62="Yes"),K19,0))</f>
        <v>4.2736357699895</v>
      </c>
      <c r="R19" s="13" t="n">
        <v>85</v>
      </c>
      <c r="S19" s="4" t="s">
        <v>258</v>
      </c>
      <c r="T19" s="8" t="n">
        <v>1.5</v>
      </c>
      <c r="U19" s="45"/>
      <c r="V19" s="13"/>
      <c r="W19" s="46" t="n">
        <v>0</v>
      </c>
      <c r="X19" s="46" t="n">
        <v>0</v>
      </c>
      <c r="Y19" s="46" t="n">
        <v>0</v>
      </c>
      <c r="Z19" s="46" t="n">
        <v>1</v>
      </c>
      <c r="AA19" s="46" t="n">
        <v>0</v>
      </c>
      <c r="AB19" s="46" t="n">
        <v>0</v>
      </c>
      <c r="AC19" s="46" t="n">
        <v>0</v>
      </c>
      <c r="AD19" s="47" t="n">
        <f aca="false">SUMPRODUCT(W19:AC19,INDEX(Diets!$I$5:$O$12,MATCH(Planner!$C$36,Diets!$A$5:$A$12,0),0))+ISNUMBER(SEARCH(","&amp;A19&amp;",",","&amp;SUBSTITUTE(INDEX(Diets!$P$5:$P$12,MATCH(Planner!$C$36,Diets!$A$5:$A$12,0))," ","")&amp;","))*1</f>
        <v>0</v>
      </c>
      <c r="AE19" s="48" t="n">
        <f aca="false">IF(OR(UPPER(U19)="Y",AD19&gt;0),0,1)</f>
        <v>1</v>
      </c>
      <c r="AF19" s="49" t="n">
        <v>0</v>
      </c>
      <c r="AG19" s="49" t="n">
        <v>0</v>
      </c>
      <c r="AH19" s="49" t="n">
        <v>1</v>
      </c>
      <c r="AI19" s="49" t="n">
        <v>0</v>
      </c>
      <c r="AJ19" s="8"/>
      <c r="AK19" s="4" t="s">
        <v>259</v>
      </c>
      <c r="AL19" s="50" t="s">
        <v>260</v>
      </c>
      <c r="AM19" s="13" t="n">
        <v>85</v>
      </c>
      <c r="AN19" s="13"/>
      <c r="AO19" s="50"/>
      <c r="AP19" s="35" t="n">
        <v>0.521</v>
      </c>
      <c r="AQ19" s="35" t="n">
        <v>119</v>
      </c>
      <c r="AR19" s="35" t="n">
        <v>22.78</v>
      </c>
      <c r="AS19" s="35" t="n">
        <v>1.52</v>
      </c>
      <c r="AT19" s="35" t="n">
        <v>1.7</v>
      </c>
      <c r="AU19" s="35" t="n">
        <v>0</v>
      </c>
      <c r="AV19" s="35" t="n">
        <v>0</v>
      </c>
      <c r="AW19" s="35" t="n">
        <v>91</v>
      </c>
      <c r="AX19" s="35" t="n">
        <v>0.32</v>
      </c>
      <c r="AY19" s="35" t="n">
        <v>170</v>
      </c>
      <c r="AZ19" s="35" t="n">
        <v>947</v>
      </c>
      <c r="BA19" s="35" t="n">
        <v>0</v>
      </c>
      <c r="BB19" s="25" t="n">
        <f aca="false">AR19/Q19</f>
        <v>5.330355984</v>
      </c>
      <c r="BC19" s="18" t="n">
        <f aca="false">AQ19/Q19</f>
        <v>27.8451432</v>
      </c>
      <c r="BD19" s="4" t="s">
        <v>334</v>
      </c>
      <c r="BE19" s="4" t="s">
        <v>335</v>
      </c>
      <c r="BF19" s="4"/>
    </row>
    <row r="20" customFormat="false" ht="15" hidden="false" customHeight="false" outlineLevel="0" collapsed="false">
      <c r="A20" s="4" t="n">
        <v>15</v>
      </c>
      <c r="B20" s="39" t="s">
        <v>254</v>
      </c>
      <c r="C20" s="40" t="s">
        <v>319</v>
      </c>
      <c r="D20" s="14" t="s">
        <v>336</v>
      </c>
      <c r="E20" s="4" t="s">
        <v>337</v>
      </c>
      <c r="F20" s="4" t="s">
        <v>333</v>
      </c>
      <c r="G20" s="38" t="n">
        <v>8.87</v>
      </c>
      <c r="H20" s="21" t="n">
        <v>907.2</v>
      </c>
      <c r="I20" s="31" t="n">
        <v>1</v>
      </c>
      <c r="J20" s="41" t="n">
        <v>0.75</v>
      </c>
      <c r="K20" s="31" t="n">
        <v>0.31</v>
      </c>
      <c r="L20" s="42" t="n">
        <f aca="false">G20/(H20*I20*J20)*100</f>
        <v>1.30364491475603</v>
      </c>
      <c r="M20" s="42" t="n">
        <f aca="false">L20/(1-K20)</f>
        <v>1.88934045616815</v>
      </c>
      <c r="N20" s="4"/>
      <c r="O20" s="4"/>
      <c r="P20" s="4"/>
      <c r="Q20" s="44" t="n">
        <f aca="false">IF(AND(IF(Planner!$C$39="BLS U.S. average (Sep 2026)",1,0)=1,P20&lt;&gt;""),P20,L20)/(1-IF(AND((Planner!$C$60="Realistic"),Planner!$C$62="Yes"),K20,0))</f>
        <v>1.88934045616815</v>
      </c>
      <c r="R20" s="13" t="n">
        <v>85</v>
      </c>
      <c r="S20" s="4" t="s">
        <v>258</v>
      </c>
      <c r="T20" s="8" t="n">
        <v>2</v>
      </c>
      <c r="U20" s="45"/>
      <c r="V20" s="13"/>
      <c r="W20" s="46" t="n">
        <v>0</v>
      </c>
      <c r="X20" s="46" t="n">
        <v>0</v>
      </c>
      <c r="Y20" s="46" t="n">
        <v>0</v>
      </c>
      <c r="Z20" s="46" t="n">
        <v>1</v>
      </c>
      <c r="AA20" s="46" t="n">
        <v>0</v>
      </c>
      <c r="AB20" s="46" t="n">
        <v>0</v>
      </c>
      <c r="AC20" s="46" t="n">
        <v>0</v>
      </c>
      <c r="AD20" s="47" t="n">
        <f aca="false">SUMPRODUCT(W20:AC20,INDEX(Diets!$I$5:$O$12,MATCH(Planner!$C$36,Diets!$A$5:$A$12,0),0))+ISNUMBER(SEARCH(","&amp;A20&amp;",",","&amp;SUBSTITUTE(INDEX(Diets!$P$5:$P$12,MATCH(Planner!$C$36,Diets!$A$5:$A$12,0))," ","")&amp;","))*1</f>
        <v>0</v>
      </c>
      <c r="AE20" s="48" t="n">
        <f aca="false">IF(OR(UPPER(U20)="Y",AD20&gt;0),0,1)</f>
        <v>1</v>
      </c>
      <c r="AF20" s="49" t="n">
        <v>0</v>
      </c>
      <c r="AG20" s="49" t="n">
        <v>0.5</v>
      </c>
      <c r="AH20" s="49" t="n">
        <v>0.5</v>
      </c>
      <c r="AI20" s="49" t="n">
        <v>0</v>
      </c>
      <c r="AJ20" s="8"/>
      <c r="AK20" s="4" t="s">
        <v>259</v>
      </c>
      <c r="AL20" s="50" t="s">
        <v>260</v>
      </c>
      <c r="AM20" s="13" t="n">
        <v>85</v>
      </c>
      <c r="AN20" s="13"/>
      <c r="AO20" s="50"/>
      <c r="AP20" s="35" t="n">
        <v>0.94</v>
      </c>
      <c r="AQ20" s="35" t="n">
        <v>128</v>
      </c>
      <c r="AR20" s="35" t="n">
        <v>26.15</v>
      </c>
      <c r="AS20" s="35" t="n">
        <v>0</v>
      </c>
      <c r="AT20" s="35" t="n">
        <v>2.65</v>
      </c>
      <c r="AU20" s="35" t="n">
        <v>0</v>
      </c>
      <c r="AV20" s="35" t="n">
        <v>0</v>
      </c>
      <c r="AW20" s="35" t="n">
        <v>14</v>
      </c>
      <c r="AX20" s="35" t="n">
        <v>0.69</v>
      </c>
      <c r="AY20" s="35" t="n">
        <v>380</v>
      </c>
      <c r="AZ20" s="35" t="n">
        <v>56</v>
      </c>
      <c r="BA20" s="35" t="n">
        <v>0</v>
      </c>
      <c r="BB20" s="25" t="n">
        <f aca="false">AR20/Q20</f>
        <v>13.8408087936866</v>
      </c>
      <c r="BC20" s="18" t="n">
        <f aca="false">AQ20/Q20</f>
        <v>67.7485095828636</v>
      </c>
      <c r="BD20" s="4" t="s">
        <v>338</v>
      </c>
      <c r="BE20" s="4" t="s">
        <v>339</v>
      </c>
      <c r="BF20" s="4"/>
    </row>
    <row r="21" customFormat="false" ht="15" hidden="false" customHeight="false" outlineLevel="0" collapsed="false">
      <c r="A21" s="4" t="n">
        <v>16</v>
      </c>
      <c r="B21" s="39" t="s">
        <v>254</v>
      </c>
      <c r="C21" s="40" t="s">
        <v>223</v>
      </c>
      <c r="D21" s="14" t="s">
        <v>340</v>
      </c>
      <c r="E21" s="4" t="s">
        <v>340</v>
      </c>
      <c r="F21" s="4" t="s">
        <v>341</v>
      </c>
      <c r="G21" s="38" t="n">
        <v>1.67</v>
      </c>
      <c r="H21" s="21" t="n">
        <v>681.8</v>
      </c>
      <c r="I21" s="31" t="n">
        <v>0.88</v>
      </c>
      <c r="J21" s="41" t="n">
        <v>1</v>
      </c>
      <c r="K21" s="31" t="n">
        <v>0.21</v>
      </c>
      <c r="L21" s="42" t="n">
        <f aca="false">G21/(H21*I21*J21)*100</f>
        <v>0.278340755753487</v>
      </c>
      <c r="M21" s="42" t="n">
        <f aca="false">L21/(1-K21)</f>
        <v>0.352330070574034</v>
      </c>
      <c r="N21" s="43" t="n">
        <v>2.272</v>
      </c>
      <c r="O21" s="21" t="n">
        <v>681.8</v>
      </c>
      <c r="P21" s="42" t="n">
        <f aca="false">N21/(O21*I21*J21)*100</f>
        <v>0.378676764713726</v>
      </c>
      <c r="Q21" s="44" t="n">
        <f aca="false">IF(AND(IF(Planner!$C$39="BLS U.S. average (Sep 2026)",1,0)=1,P21&lt;&gt;""),P21,L21)/(1-IF(AND((Planner!$C$60="Realistic"),Planner!$C$62="Yes"),K21,0))</f>
        <v>0.352330070574034</v>
      </c>
      <c r="R21" s="13" t="n">
        <v>50</v>
      </c>
      <c r="S21" s="4" t="s">
        <v>342</v>
      </c>
      <c r="T21" s="8" t="n">
        <v>3</v>
      </c>
      <c r="U21" s="45"/>
      <c r="V21" s="13"/>
      <c r="W21" s="46" t="n">
        <v>0</v>
      </c>
      <c r="X21" s="46" t="n">
        <v>0</v>
      </c>
      <c r="Y21" s="46" t="n">
        <v>0</v>
      </c>
      <c r="Z21" s="46" t="n">
        <v>0</v>
      </c>
      <c r="AA21" s="46" t="n">
        <v>1</v>
      </c>
      <c r="AB21" s="46" t="n">
        <v>0</v>
      </c>
      <c r="AC21" s="46" t="n">
        <v>0</v>
      </c>
      <c r="AD21" s="47" t="n">
        <f aca="false">SUMPRODUCT(W21:AC21,INDEX(Diets!$I$5:$O$12,MATCH(Planner!$C$36,Diets!$A$5:$A$12,0),0))+ISNUMBER(SEARCH(","&amp;A21&amp;",",","&amp;SUBSTITUTE(INDEX(Diets!$P$5:$P$12,MATCH(Planner!$C$36,Diets!$A$5:$A$12,0))," ","")&amp;","))*1</f>
        <v>0</v>
      </c>
      <c r="AE21" s="48" t="n">
        <f aca="false">IF(OR(UPPER(U21)="Y",AD21&gt;0),0,1)</f>
        <v>1</v>
      </c>
      <c r="AF21" s="49" t="n">
        <v>1</v>
      </c>
      <c r="AG21" s="49" t="n">
        <v>0</v>
      </c>
      <c r="AH21" s="49" t="n">
        <v>0</v>
      </c>
      <c r="AI21" s="49" t="n">
        <v>0</v>
      </c>
      <c r="AJ21" s="8"/>
      <c r="AK21" s="4"/>
      <c r="AL21" s="50" t="s">
        <v>260</v>
      </c>
      <c r="AM21" s="13" t="n">
        <v>50</v>
      </c>
      <c r="AN21" s="13"/>
      <c r="AO21" s="50"/>
      <c r="AP21" s="35" t="n">
        <v>3.126</v>
      </c>
      <c r="AQ21" s="35" t="n">
        <v>143</v>
      </c>
      <c r="AR21" s="35" t="n">
        <v>12.56</v>
      </c>
      <c r="AS21" s="35" t="n">
        <v>0.72</v>
      </c>
      <c r="AT21" s="35" t="n">
        <v>9.51</v>
      </c>
      <c r="AU21" s="35" t="n">
        <v>0</v>
      </c>
      <c r="AV21" s="35" t="n">
        <v>0.37</v>
      </c>
      <c r="AW21" s="35" t="n">
        <v>56</v>
      </c>
      <c r="AX21" s="35" t="n">
        <v>1.75</v>
      </c>
      <c r="AY21" s="35" t="n">
        <v>138</v>
      </c>
      <c r="AZ21" s="35" t="n">
        <v>142</v>
      </c>
      <c r="BA21" s="35" t="n">
        <v>0</v>
      </c>
      <c r="BB21" s="25" t="n">
        <f aca="false">AR21/Q21</f>
        <v>35.6483906682635</v>
      </c>
      <c r="BC21" s="18" t="n">
        <f aca="false">AQ21/Q21</f>
        <v>405.869416047904</v>
      </c>
      <c r="BD21" s="4" t="s">
        <v>343</v>
      </c>
      <c r="BE21" s="4" t="s">
        <v>344</v>
      </c>
      <c r="BF21" s="4" t="s">
        <v>345</v>
      </c>
    </row>
    <row r="22" customFormat="false" ht="15" hidden="false" customHeight="false" outlineLevel="0" collapsed="false">
      <c r="A22" s="4" t="n">
        <v>17</v>
      </c>
      <c r="B22" s="39" t="s">
        <v>254</v>
      </c>
      <c r="C22" s="40" t="s">
        <v>346</v>
      </c>
      <c r="D22" s="14" t="s">
        <v>347</v>
      </c>
      <c r="E22" s="4" t="s">
        <v>347</v>
      </c>
      <c r="F22" s="4" t="s">
        <v>348</v>
      </c>
      <c r="G22" s="38" t="n">
        <v>0.92</v>
      </c>
      <c r="H22" s="21" t="n">
        <v>425.2</v>
      </c>
      <c r="I22" s="31" t="n">
        <v>1</v>
      </c>
      <c r="J22" s="41" t="n">
        <v>1</v>
      </c>
      <c r="K22" s="31" t="n">
        <v>0.18</v>
      </c>
      <c r="L22" s="42" t="n">
        <f aca="false">G22/(H22*I22*J22)*100</f>
        <v>0.216368767638758</v>
      </c>
      <c r="M22" s="42" t="n">
        <f aca="false">L22/(1-K22)</f>
        <v>0.263864350778973</v>
      </c>
      <c r="N22" s="4"/>
      <c r="O22" s="4"/>
      <c r="P22" s="4"/>
      <c r="Q22" s="44" t="n">
        <f aca="false">IF(AND(IF(Planner!$C$39="BLS U.S. average (Sep 2026)",1,0)=1,P22&lt;&gt;""),P22,L22)/(1-IF(AND((Planner!$C$60="Realistic"),Planner!$C$62="Yes"),K22,0))</f>
        <v>0.263864350778973</v>
      </c>
      <c r="R22" s="13" t="n">
        <v>120</v>
      </c>
      <c r="S22" s="4" t="s">
        <v>349</v>
      </c>
      <c r="T22" s="8" t="n">
        <v>3</v>
      </c>
      <c r="U22" s="45"/>
      <c r="V22" s="13"/>
      <c r="W22" s="46" t="n">
        <v>0</v>
      </c>
      <c r="X22" s="46" t="n">
        <v>0</v>
      </c>
      <c r="Y22" s="46" t="n">
        <v>0</v>
      </c>
      <c r="Z22" s="46" t="n">
        <v>0</v>
      </c>
      <c r="AA22" s="46" t="n">
        <v>0</v>
      </c>
      <c r="AB22" s="46" t="n">
        <v>0</v>
      </c>
      <c r="AC22" s="46" t="n">
        <v>0</v>
      </c>
      <c r="AD22" s="47" t="n">
        <f aca="false">SUMPRODUCT(W22:AC22,INDEX(Diets!$I$5:$O$12,MATCH(Planner!$C$36,Diets!$A$5:$A$12,0),0))+ISNUMBER(SEARCH(","&amp;A22&amp;",",","&amp;SUBSTITUTE(INDEX(Diets!$P$5:$P$12,MATCH(Planner!$C$36,Diets!$A$5:$A$12,0))," ","")&amp;","))*1</f>
        <v>0</v>
      </c>
      <c r="AE22" s="48" t="n">
        <f aca="false">IF(OR(UPPER(U22)="Y",AD22&gt;0),0,1)</f>
        <v>1</v>
      </c>
      <c r="AF22" s="49" t="n">
        <v>0</v>
      </c>
      <c r="AG22" s="49" t="n">
        <v>0.5</v>
      </c>
      <c r="AH22" s="49" t="n">
        <v>0.5</v>
      </c>
      <c r="AI22" s="49" t="n">
        <v>0</v>
      </c>
      <c r="AJ22" s="8"/>
      <c r="AK22" s="4" t="s">
        <v>350</v>
      </c>
      <c r="AL22" s="50" t="s">
        <v>260</v>
      </c>
      <c r="AM22" s="13" t="n">
        <v>120</v>
      </c>
      <c r="AN22" s="13"/>
      <c r="AO22" s="50"/>
      <c r="AP22" s="35" t="n">
        <v>0.075</v>
      </c>
      <c r="AQ22" s="35" t="n">
        <v>91</v>
      </c>
      <c r="AR22" s="35" t="n">
        <v>6.03</v>
      </c>
      <c r="AS22" s="35" t="n">
        <v>16.55</v>
      </c>
      <c r="AT22" s="35" t="n">
        <v>0.29</v>
      </c>
      <c r="AU22" s="35" t="n">
        <v>6.9</v>
      </c>
      <c r="AV22" s="35" t="n">
        <v>0.23</v>
      </c>
      <c r="AW22" s="35" t="n">
        <v>35</v>
      </c>
      <c r="AX22" s="35" t="n">
        <v>1.9</v>
      </c>
      <c r="AY22" s="35" t="n">
        <v>308</v>
      </c>
      <c r="AZ22" s="35" t="n">
        <v>138</v>
      </c>
      <c r="BA22" s="35" t="n">
        <v>2.7</v>
      </c>
      <c r="BB22" s="25" t="n">
        <f aca="false">AR22/Q22</f>
        <v>22.8526513043478</v>
      </c>
      <c r="BC22" s="18" t="n">
        <f aca="false">AQ22/Q22</f>
        <v>344.874173913044</v>
      </c>
      <c r="BD22" s="4" t="s">
        <v>351</v>
      </c>
      <c r="BE22" s="4" t="s">
        <v>352</v>
      </c>
      <c r="BF22" s="4" t="s">
        <v>353</v>
      </c>
    </row>
    <row r="23" customFormat="false" ht="15" hidden="false" customHeight="false" outlineLevel="0" collapsed="false">
      <c r="A23" s="4" t="n">
        <v>18</v>
      </c>
      <c r="B23" s="39" t="s">
        <v>254</v>
      </c>
      <c r="C23" s="40" t="s">
        <v>346</v>
      </c>
      <c r="D23" s="14" t="s">
        <v>354</v>
      </c>
      <c r="E23" s="4" t="s">
        <v>354</v>
      </c>
      <c r="F23" s="4" t="s">
        <v>355</v>
      </c>
      <c r="G23" s="38" t="n">
        <v>0.92</v>
      </c>
      <c r="H23" s="21" t="n">
        <v>439.4</v>
      </c>
      <c r="I23" s="31" t="n">
        <v>1</v>
      </c>
      <c r="J23" s="41" t="n">
        <v>1</v>
      </c>
      <c r="K23" s="31" t="n">
        <v>0.18</v>
      </c>
      <c r="L23" s="42" t="n">
        <f aca="false">G23/(H23*I23*J23)*100</f>
        <v>0.209376422394174</v>
      </c>
      <c r="M23" s="42" t="n">
        <f aca="false">L23/(1-K23)</f>
        <v>0.2553371004807</v>
      </c>
      <c r="N23" s="4"/>
      <c r="O23" s="4"/>
      <c r="P23" s="4"/>
      <c r="Q23" s="44" t="n">
        <f aca="false">IF(AND(IF(Planner!$C$39="BLS U.S. average (Sep 2026)",1,0)=1,P23&lt;&gt;""),P23,L23)/(1-IF(AND((Planner!$C$60="Realistic"),Planner!$C$62="Yes"),K23,0))</f>
        <v>0.2553371004807</v>
      </c>
      <c r="R23" s="13" t="n">
        <v>120</v>
      </c>
      <c r="S23" s="4" t="s">
        <v>349</v>
      </c>
      <c r="T23" s="8" t="n">
        <v>3</v>
      </c>
      <c r="U23" s="45"/>
      <c r="V23" s="13"/>
      <c r="W23" s="46" t="n">
        <v>0</v>
      </c>
      <c r="X23" s="46" t="n">
        <v>0</v>
      </c>
      <c r="Y23" s="46" t="n">
        <v>0</v>
      </c>
      <c r="Z23" s="46" t="n">
        <v>0</v>
      </c>
      <c r="AA23" s="46" t="n">
        <v>0</v>
      </c>
      <c r="AB23" s="46" t="n">
        <v>0</v>
      </c>
      <c r="AC23" s="46" t="n">
        <v>0</v>
      </c>
      <c r="AD23" s="47" t="n">
        <f aca="false">SUMPRODUCT(W23:AC23,INDEX(Diets!$I$5:$O$12,MATCH(Planner!$C$36,Diets!$A$5:$A$12,0),0))+ISNUMBER(SEARCH(","&amp;A23&amp;",",","&amp;SUBSTITUTE(INDEX(Diets!$P$5:$P$12,MATCH(Planner!$C$36,Diets!$A$5:$A$12,0))," ","")&amp;","))*1</f>
        <v>0</v>
      </c>
      <c r="AE23" s="48" t="n">
        <f aca="false">IF(OR(UPPER(U23)="Y",AD23&gt;0),0,1)</f>
        <v>1</v>
      </c>
      <c r="AF23" s="49" t="n">
        <v>0</v>
      </c>
      <c r="AG23" s="49" t="n">
        <v>0.5</v>
      </c>
      <c r="AH23" s="49" t="n">
        <v>0.5</v>
      </c>
      <c r="AI23" s="49" t="n">
        <v>0</v>
      </c>
      <c r="AJ23" s="8"/>
      <c r="AK23" s="4" t="s">
        <v>350</v>
      </c>
      <c r="AL23" s="50" t="s">
        <v>260</v>
      </c>
      <c r="AM23" s="13" t="n">
        <v>120</v>
      </c>
      <c r="AN23" s="13"/>
      <c r="AO23" s="50"/>
      <c r="AP23" s="35" t="n">
        <v>0.204</v>
      </c>
      <c r="AQ23" s="35" t="n">
        <v>88</v>
      </c>
      <c r="AR23" s="35" t="n">
        <v>4.92</v>
      </c>
      <c r="AS23" s="35" t="n">
        <v>13.49</v>
      </c>
      <c r="AT23" s="35" t="n">
        <v>1.95</v>
      </c>
      <c r="AU23" s="35" t="n">
        <v>4.4</v>
      </c>
      <c r="AV23" s="35" t="n">
        <v>0</v>
      </c>
      <c r="AW23" s="35" t="n">
        <v>35</v>
      </c>
      <c r="AX23" s="35" t="n">
        <v>1.23</v>
      </c>
      <c r="AY23" s="35" t="n">
        <v>144</v>
      </c>
      <c r="AZ23" s="35" t="n">
        <v>278</v>
      </c>
      <c r="BA23" s="35" t="n">
        <v>0.1</v>
      </c>
      <c r="BB23" s="25" t="n">
        <f aca="false">AR23/Q23</f>
        <v>19.2686452173913</v>
      </c>
      <c r="BC23" s="18" t="n">
        <f aca="false">AQ23/Q23</f>
        <v>344.642434782609</v>
      </c>
      <c r="BD23" s="4" t="s">
        <v>356</v>
      </c>
      <c r="BE23" s="4" t="s">
        <v>357</v>
      </c>
      <c r="BF23" s="4" t="s">
        <v>353</v>
      </c>
    </row>
    <row r="24" customFormat="false" ht="15" hidden="false" customHeight="false" outlineLevel="0" collapsed="false">
      <c r="A24" s="4" t="n">
        <v>19</v>
      </c>
      <c r="B24" s="39" t="s">
        <v>254</v>
      </c>
      <c r="C24" s="40" t="s">
        <v>346</v>
      </c>
      <c r="D24" s="14" t="s">
        <v>358</v>
      </c>
      <c r="E24" s="4" t="s">
        <v>359</v>
      </c>
      <c r="F24" s="4" t="s">
        <v>360</v>
      </c>
      <c r="G24" s="38" t="n">
        <v>1.92</v>
      </c>
      <c r="H24" s="21" t="n">
        <v>453.6</v>
      </c>
      <c r="I24" s="31" t="n">
        <v>1</v>
      </c>
      <c r="J24" s="41" t="n">
        <v>2.7306</v>
      </c>
      <c r="K24" s="31" t="n">
        <v>0.18</v>
      </c>
      <c r="L24" s="42" t="n">
        <f aca="false">G24/(H24*I24*J24)*100</f>
        <v>0.155013705149207</v>
      </c>
      <c r="M24" s="42" t="n">
        <f aca="false">L24/(1-K24)</f>
        <v>0.189041103840496</v>
      </c>
      <c r="N24" s="4"/>
      <c r="O24" s="4"/>
      <c r="P24" s="4"/>
      <c r="Q24" s="44" t="n">
        <f aca="false">IF(AND(IF(Planner!$C$39="BLS U.S. average (Sep 2026)",1,0)=1,P24&lt;&gt;""),P24,L24)/(1-IF(AND((Planner!$C$60="Realistic"),Planner!$C$62="Yes"),K24,0))</f>
        <v>0.189041103840496</v>
      </c>
      <c r="R24" s="13" t="n">
        <v>99</v>
      </c>
      <c r="S24" s="4" t="s">
        <v>361</v>
      </c>
      <c r="T24" s="8" t="n">
        <v>4</v>
      </c>
      <c r="U24" s="45"/>
      <c r="V24" s="13"/>
      <c r="W24" s="46" t="n">
        <v>0</v>
      </c>
      <c r="X24" s="46" t="n">
        <v>0</v>
      </c>
      <c r="Y24" s="46" t="n">
        <v>0</v>
      </c>
      <c r="Z24" s="46" t="n">
        <v>0</v>
      </c>
      <c r="AA24" s="46" t="n">
        <v>0</v>
      </c>
      <c r="AB24" s="46" t="n">
        <v>0</v>
      </c>
      <c r="AC24" s="46" t="n">
        <v>0</v>
      </c>
      <c r="AD24" s="47" t="n">
        <f aca="false">SUMPRODUCT(W24:AC24,INDEX(Diets!$I$5:$O$12,MATCH(Planner!$C$36,Diets!$A$5:$A$12,0),0))+ISNUMBER(SEARCH(","&amp;A24&amp;",",","&amp;SUBSTITUTE(INDEX(Diets!$P$5:$P$12,MATCH(Planner!$C$36,Diets!$A$5:$A$12,0))," ","")&amp;","))*1</f>
        <v>0</v>
      </c>
      <c r="AE24" s="48" t="n">
        <f aca="false">IF(OR(UPPER(U24)="Y",AD24&gt;0),0,1)</f>
        <v>1</v>
      </c>
      <c r="AF24" s="49" t="n">
        <v>0</v>
      </c>
      <c r="AG24" s="49" t="n">
        <v>0.5</v>
      </c>
      <c r="AH24" s="49" t="n">
        <v>0.5</v>
      </c>
      <c r="AI24" s="49" t="n">
        <v>0</v>
      </c>
      <c r="AJ24" s="8"/>
      <c r="AK24" s="4" t="s">
        <v>350</v>
      </c>
      <c r="AL24" s="50" t="s">
        <v>260</v>
      </c>
      <c r="AM24" s="13" t="n">
        <v>99</v>
      </c>
      <c r="AN24" s="13"/>
      <c r="AO24" s="50"/>
      <c r="AP24" s="35" t="n">
        <v>0.053</v>
      </c>
      <c r="AQ24" s="35" t="n">
        <v>116</v>
      </c>
      <c r="AR24" s="35" t="n">
        <v>9.02</v>
      </c>
      <c r="AS24" s="35" t="n">
        <v>20.13</v>
      </c>
      <c r="AT24" s="35" t="n">
        <v>0.38</v>
      </c>
      <c r="AU24" s="35" t="n">
        <v>7.9</v>
      </c>
      <c r="AV24" s="35" t="n">
        <v>1.8</v>
      </c>
      <c r="AW24" s="35" t="n">
        <v>19</v>
      </c>
      <c r="AX24" s="35" t="n">
        <v>3.33</v>
      </c>
      <c r="AY24" s="35" t="n">
        <v>369</v>
      </c>
      <c r="AZ24" s="35" t="n">
        <v>2</v>
      </c>
      <c r="BA24" s="35" t="n">
        <v>1.5</v>
      </c>
      <c r="BB24" s="25" t="n">
        <f aca="false">AR24/Q24</f>
        <v>47.714490747</v>
      </c>
      <c r="BC24" s="18" t="n">
        <f aca="false">AQ24/Q24</f>
        <v>613.6231626</v>
      </c>
      <c r="BD24" s="4" t="s">
        <v>362</v>
      </c>
      <c r="BE24" s="4" t="s">
        <v>363</v>
      </c>
      <c r="BF24" s="4"/>
    </row>
    <row r="25" customFormat="false" ht="15" hidden="false" customHeight="false" outlineLevel="0" collapsed="false">
      <c r="A25" s="4" t="n">
        <v>20</v>
      </c>
      <c r="B25" s="39" t="s">
        <v>254</v>
      </c>
      <c r="C25" s="40" t="s">
        <v>346</v>
      </c>
      <c r="D25" s="14" t="s">
        <v>364</v>
      </c>
      <c r="E25" s="4" t="s">
        <v>364</v>
      </c>
      <c r="F25" s="4" t="s">
        <v>365</v>
      </c>
      <c r="G25" s="38" t="n">
        <v>3.98</v>
      </c>
      <c r="H25" s="21" t="n">
        <v>1134</v>
      </c>
      <c r="I25" s="31" t="n">
        <v>1</v>
      </c>
      <c r="J25" s="41" t="n">
        <v>1</v>
      </c>
      <c r="K25" s="31" t="n">
        <v>0.09</v>
      </c>
      <c r="L25" s="42" t="n">
        <f aca="false">G25/(H25*I25*J25)*100</f>
        <v>0.350970017636684</v>
      </c>
      <c r="M25" s="42" t="n">
        <f aca="false">L25/(1-K25)</f>
        <v>0.385681338062291</v>
      </c>
      <c r="N25" s="4"/>
      <c r="O25" s="4"/>
      <c r="P25" s="4"/>
      <c r="Q25" s="44" t="n">
        <f aca="false">IF(AND(IF(Planner!$C$39="BLS U.S. average (Sep 2026)",1,0)=1,P25&lt;&gt;""),P25,L25)/(1-IF(AND((Planner!$C$60="Realistic"),Planner!$C$62="Yes"),K25,0))</f>
        <v>0.385681338062291</v>
      </c>
      <c r="R25" s="13" t="n">
        <v>32</v>
      </c>
      <c r="S25" s="4" t="s">
        <v>366</v>
      </c>
      <c r="T25" s="8" t="n">
        <v>2</v>
      </c>
      <c r="U25" s="45"/>
      <c r="V25" s="13"/>
      <c r="W25" s="46" t="n">
        <v>0</v>
      </c>
      <c r="X25" s="46" t="n">
        <v>0</v>
      </c>
      <c r="Y25" s="46" t="n">
        <v>0</v>
      </c>
      <c r="Z25" s="46" t="n">
        <v>0</v>
      </c>
      <c r="AA25" s="46" t="n">
        <v>0</v>
      </c>
      <c r="AB25" s="46" t="n">
        <v>0</v>
      </c>
      <c r="AC25" s="46" t="n">
        <v>0</v>
      </c>
      <c r="AD25" s="47" t="n">
        <f aca="false">SUMPRODUCT(W25:AC25,INDEX(Diets!$I$5:$O$12,MATCH(Planner!$C$36,Diets!$A$5:$A$12,0),0))+ISNUMBER(SEARCH(","&amp;A25&amp;",",","&amp;SUBSTITUTE(INDEX(Diets!$P$5:$P$12,MATCH(Planner!$C$36,Diets!$A$5:$A$12,0))," ","")&amp;","))*1</f>
        <v>0</v>
      </c>
      <c r="AE25" s="48" t="n">
        <f aca="false">IF(OR(UPPER(U25)="Y",AD25&gt;0),0,1)</f>
        <v>1</v>
      </c>
      <c r="AF25" s="49" t="n">
        <v>0.5</v>
      </c>
      <c r="AG25" s="49" t="n">
        <v>0</v>
      </c>
      <c r="AH25" s="49" t="n">
        <v>0</v>
      </c>
      <c r="AI25" s="49" t="n">
        <v>0.5</v>
      </c>
      <c r="AJ25" s="8"/>
      <c r="AK25" s="4"/>
      <c r="AL25" s="50" t="s">
        <v>260</v>
      </c>
      <c r="AM25" s="13" t="n">
        <v>32</v>
      </c>
      <c r="AN25" s="13"/>
      <c r="AO25" s="50"/>
      <c r="AP25" s="35" t="n">
        <v>10.325</v>
      </c>
      <c r="AQ25" s="35" t="n">
        <v>598</v>
      </c>
      <c r="AR25" s="35" t="n">
        <v>22.21</v>
      </c>
      <c r="AS25" s="35" t="n">
        <v>22.31</v>
      </c>
      <c r="AT25" s="35" t="n">
        <v>51.36</v>
      </c>
      <c r="AU25" s="35" t="n">
        <v>5</v>
      </c>
      <c r="AV25" s="35" t="n">
        <v>10.49</v>
      </c>
      <c r="AW25" s="35" t="n">
        <v>49</v>
      </c>
      <c r="AX25" s="35" t="n">
        <v>1.74</v>
      </c>
      <c r="AY25" s="35" t="n">
        <v>558</v>
      </c>
      <c r="AZ25" s="35" t="n">
        <v>426</v>
      </c>
      <c r="BA25" s="35" t="n">
        <v>0</v>
      </c>
      <c r="BB25" s="25" t="n">
        <f aca="false">AR25/Q25</f>
        <v>57.5864005025126</v>
      </c>
      <c r="BC25" s="18" t="n">
        <f aca="false">AQ25/Q25</f>
        <v>1550.50281407035</v>
      </c>
      <c r="BD25" s="4" t="s">
        <v>367</v>
      </c>
      <c r="BE25" s="4" t="s">
        <v>368</v>
      </c>
      <c r="BF25" s="4"/>
    </row>
    <row r="26" customFormat="false" ht="15" hidden="false" customHeight="false" outlineLevel="0" collapsed="false">
      <c r="A26" s="4" t="n">
        <v>21</v>
      </c>
      <c r="B26" s="39" t="s">
        <v>254</v>
      </c>
      <c r="C26" s="40" t="s">
        <v>346</v>
      </c>
      <c r="D26" s="14" t="s">
        <v>369</v>
      </c>
      <c r="E26" s="4" t="s">
        <v>370</v>
      </c>
      <c r="F26" s="4" t="s">
        <v>371</v>
      </c>
      <c r="G26" s="38" t="n">
        <v>1.98</v>
      </c>
      <c r="H26" s="21" t="n">
        <v>907.2</v>
      </c>
      <c r="I26" s="31" t="n">
        <v>1</v>
      </c>
      <c r="J26" s="41" t="n">
        <v>2.3774</v>
      </c>
      <c r="K26" s="31" t="n">
        <v>0.18</v>
      </c>
      <c r="L26" s="42" t="n">
        <f aca="false">G26/(H26*I26*J26)*100</f>
        <v>0.0918036376941063</v>
      </c>
      <c r="M26" s="42" t="n">
        <f aca="false">L26/(1-K26)</f>
        <v>0.11195565572452</v>
      </c>
      <c r="N26" s="43" t="n">
        <v>1.669</v>
      </c>
      <c r="O26" s="21" t="n">
        <v>453.6</v>
      </c>
      <c r="P26" s="42" t="n">
        <f aca="false">N26/(O26*I26*J26)*100</f>
        <v>0.15476795081966</v>
      </c>
      <c r="Q26" s="44" t="n">
        <f aca="false">IF(AND(IF(Planner!$C$39="BLS U.S. average (Sep 2026)",1,0)=1,P26&lt;&gt;""),P26,L26)/(1-IF(AND((Planner!$C$60="Realistic"),Planner!$C$62="Yes"),K26,0))</f>
        <v>0.11195565572452</v>
      </c>
      <c r="R26" s="13" t="n">
        <v>85.5</v>
      </c>
      <c r="S26" s="4" t="s">
        <v>361</v>
      </c>
      <c r="T26" s="8" t="n">
        <v>4</v>
      </c>
      <c r="U26" s="45"/>
      <c r="V26" s="13"/>
      <c r="W26" s="46" t="n">
        <v>0</v>
      </c>
      <c r="X26" s="46" t="n">
        <v>0</v>
      </c>
      <c r="Y26" s="46" t="n">
        <v>0</v>
      </c>
      <c r="Z26" s="46" t="n">
        <v>0</v>
      </c>
      <c r="AA26" s="46" t="n">
        <v>0</v>
      </c>
      <c r="AB26" s="46" t="n">
        <v>0</v>
      </c>
      <c r="AC26" s="46" t="n">
        <v>0</v>
      </c>
      <c r="AD26" s="47" t="n">
        <f aca="false">SUMPRODUCT(W26:AC26,INDEX(Diets!$I$5:$O$12,MATCH(Planner!$C$36,Diets!$A$5:$A$12,0),0))+ISNUMBER(SEARCH(","&amp;A26&amp;",",","&amp;SUBSTITUTE(INDEX(Diets!$P$5:$P$12,MATCH(Planner!$C$36,Diets!$A$5:$A$12,0))," ","")&amp;","))*1</f>
        <v>0</v>
      </c>
      <c r="AE26" s="48" t="n">
        <f aca="false">IF(OR(UPPER(U26)="Y",AD26&gt;0),0,1)</f>
        <v>1</v>
      </c>
      <c r="AF26" s="49" t="n">
        <v>0</v>
      </c>
      <c r="AG26" s="49" t="n">
        <v>0.5</v>
      </c>
      <c r="AH26" s="49" t="n">
        <v>0.5</v>
      </c>
      <c r="AI26" s="49" t="n">
        <v>0</v>
      </c>
      <c r="AJ26" s="8"/>
      <c r="AK26" s="4" t="s">
        <v>350</v>
      </c>
      <c r="AL26" s="50" t="s">
        <v>260</v>
      </c>
      <c r="AM26" s="13" t="n">
        <v>85.5</v>
      </c>
      <c r="AN26" s="13"/>
      <c r="AO26" s="50"/>
      <c r="AP26" s="35" t="n">
        <v>0.136</v>
      </c>
      <c r="AQ26" s="35" t="n">
        <v>143</v>
      </c>
      <c r="AR26" s="35" t="n">
        <v>9.01</v>
      </c>
      <c r="AS26" s="35" t="n">
        <v>26.22</v>
      </c>
      <c r="AT26" s="35" t="n">
        <v>0.65</v>
      </c>
      <c r="AU26" s="35" t="n">
        <v>9</v>
      </c>
      <c r="AV26" s="35" t="n">
        <v>0.34</v>
      </c>
      <c r="AW26" s="35" t="n">
        <v>46</v>
      </c>
      <c r="AX26" s="35" t="n">
        <v>2.09</v>
      </c>
      <c r="AY26" s="35" t="n">
        <v>436</v>
      </c>
      <c r="AZ26" s="35" t="n">
        <v>1</v>
      </c>
      <c r="BA26" s="35" t="n">
        <v>0.8</v>
      </c>
      <c r="BB26" s="25" t="n">
        <f aca="false">AR26/Q26</f>
        <v>80.4782924247273</v>
      </c>
      <c r="BC26" s="18" t="n">
        <f aca="false">AQ26/Q26</f>
        <v>1277.2914336</v>
      </c>
      <c r="BD26" s="4" t="s">
        <v>372</v>
      </c>
      <c r="BE26" s="4" t="s">
        <v>373</v>
      </c>
      <c r="BF26" s="4"/>
    </row>
    <row r="27" customFormat="false" ht="15" hidden="false" customHeight="false" outlineLevel="0" collapsed="false">
      <c r="A27" s="4" t="n">
        <v>22</v>
      </c>
      <c r="B27" s="39" t="s">
        <v>254</v>
      </c>
      <c r="C27" s="40" t="s">
        <v>346</v>
      </c>
      <c r="D27" s="14" t="s">
        <v>374</v>
      </c>
      <c r="E27" s="4" t="s">
        <v>374</v>
      </c>
      <c r="F27" s="4" t="s">
        <v>375</v>
      </c>
      <c r="G27" s="51" t="n">
        <v>2.97</v>
      </c>
      <c r="H27" s="21" t="n">
        <v>396.9</v>
      </c>
      <c r="I27" s="31" t="n">
        <v>1</v>
      </c>
      <c r="J27" s="41" t="n">
        <v>1</v>
      </c>
      <c r="K27" s="31" t="n">
        <v>0.18</v>
      </c>
      <c r="L27" s="42" t="n">
        <f aca="false">G27/(H27*I27*J27)*100</f>
        <v>0.748299319727891</v>
      </c>
      <c r="M27" s="42" t="n">
        <f aca="false">L27/(1-K27)</f>
        <v>0.912560146009623</v>
      </c>
      <c r="N27" s="4"/>
      <c r="O27" s="4"/>
      <c r="P27" s="4"/>
      <c r="Q27" s="44" t="n">
        <f aca="false">IF(AND(IF(Planner!$C$39="BLS U.S. average (Sep 2026)",1,0)=1,P27&lt;&gt;""),P27,L27)/(1-IF(AND((Planner!$C$60="Realistic"),Planner!$C$62="Yes"),K27,0))</f>
        <v>0.912560146009623</v>
      </c>
      <c r="R27" s="13" t="n">
        <v>85</v>
      </c>
      <c r="S27" s="4" t="s">
        <v>376</v>
      </c>
      <c r="T27" s="8" t="n">
        <v>3</v>
      </c>
      <c r="U27" s="45"/>
      <c r="V27" s="13"/>
      <c r="W27" s="46" t="n">
        <v>0</v>
      </c>
      <c r="X27" s="46" t="n">
        <v>0</v>
      </c>
      <c r="Y27" s="46" t="n">
        <v>0</v>
      </c>
      <c r="Z27" s="46" t="n">
        <v>0</v>
      </c>
      <c r="AA27" s="46" t="n">
        <v>0</v>
      </c>
      <c r="AB27" s="46" t="n">
        <v>0</v>
      </c>
      <c r="AC27" s="46" t="n">
        <v>0</v>
      </c>
      <c r="AD27" s="47" t="n">
        <f aca="false">SUMPRODUCT(W27:AC27,INDEX(Diets!$I$5:$O$12,MATCH(Planner!$C$36,Diets!$A$5:$A$12,0),0))+ISNUMBER(SEARCH(","&amp;A27&amp;",",","&amp;SUBSTITUTE(INDEX(Diets!$P$5:$P$12,MATCH(Planner!$C$36,Diets!$A$5:$A$12,0))," ","")&amp;","))*1</f>
        <v>0</v>
      </c>
      <c r="AE27" s="48" t="n">
        <f aca="false">IF(OR(UPPER(U27)="Y",AD27&gt;0),0,1)</f>
        <v>1</v>
      </c>
      <c r="AF27" s="49" t="n">
        <v>0</v>
      </c>
      <c r="AG27" s="49" t="n">
        <v>0.5</v>
      </c>
      <c r="AH27" s="49" t="n">
        <v>0.5</v>
      </c>
      <c r="AI27" s="49" t="n">
        <v>0</v>
      </c>
      <c r="AJ27" s="8"/>
      <c r="AK27" s="4"/>
      <c r="AL27" s="50" t="s">
        <v>260</v>
      </c>
      <c r="AM27" s="13" t="n">
        <v>85</v>
      </c>
      <c r="AN27" s="13"/>
      <c r="AO27" s="50"/>
      <c r="AP27" s="35" t="n">
        <v>0.7</v>
      </c>
      <c r="AQ27" s="35" t="n">
        <v>98</v>
      </c>
      <c r="AR27" s="35" t="n">
        <v>10.1</v>
      </c>
      <c r="AS27" s="35" t="n">
        <v>2.6</v>
      </c>
      <c r="AT27" s="35" t="n">
        <v>5.2</v>
      </c>
      <c r="AU27" s="35" t="n">
        <v>1.3</v>
      </c>
      <c r="AV27" s="35" t="n">
        <v>0.4</v>
      </c>
      <c r="AW27" s="35" t="n">
        <v>77</v>
      </c>
      <c r="AX27" s="35" t="n">
        <v>1.6</v>
      </c>
      <c r="AY27" s="35" t="n">
        <v>0</v>
      </c>
      <c r="AZ27" s="35" t="n">
        <v>4</v>
      </c>
      <c r="BA27" s="35" t="n">
        <v>0</v>
      </c>
      <c r="BB27" s="25" t="n">
        <f aca="false">AR27/Q27</f>
        <v>11.0677636363636</v>
      </c>
      <c r="BC27" s="18" t="n">
        <f aca="false">AQ27/Q27</f>
        <v>107.390181818182</v>
      </c>
      <c r="BD27" s="4" t="s">
        <v>377</v>
      </c>
      <c r="BE27" s="4" t="s">
        <v>378</v>
      </c>
      <c r="BF27" s="4" t="s">
        <v>379</v>
      </c>
    </row>
    <row r="28" customFormat="false" ht="15" hidden="false" customHeight="false" outlineLevel="0" collapsed="false">
      <c r="A28" s="4" t="n">
        <v>23</v>
      </c>
      <c r="B28" s="52" t="s">
        <v>380</v>
      </c>
      <c r="C28" s="53" t="s">
        <v>381</v>
      </c>
      <c r="D28" s="14" t="s">
        <v>382</v>
      </c>
      <c r="E28" s="4" t="s">
        <v>382</v>
      </c>
      <c r="F28" s="4" t="s">
        <v>383</v>
      </c>
      <c r="G28" s="38" t="n">
        <v>3.31</v>
      </c>
      <c r="H28" s="21" t="n">
        <v>3904</v>
      </c>
      <c r="I28" s="31" t="n">
        <v>1</v>
      </c>
      <c r="J28" s="41" t="n">
        <v>1</v>
      </c>
      <c r="K28" s="31" t="n">
        <v>0.2</v>
      </c>
      <c r="L28" s="42" t="n">
        <f aca="false">G28/(H28*I28*J28)*100</f>
        <v>0.0847848360655738</v>
      </c>
      <c r="M28" s="42" t="n">
        <f aca="false">L28/(1-K28)</f>
        <v>0.105981045081967</v>
      </c>
      <c r="N28" s="4"/>
      <c r="O28" s="4"/>
      <c r="P28" s="4"/>
      <c r="Q28" s="44" t="n">
        <f aca="false">IF(AND(IF(Planner!$C$39="BLS U.S. average (Sep 2026)",1,0)=1,P28&lt;&gt;""),P28,L28)/(1-IF(AND((Planner!$C$60="Realistic"),Planner!$C$62="Yes"),K28,0))</f>
        <v>0.105981045081967</v>
      </c>
      <c r="R28" s="13" t="n">
        <v>244</v>
      </c>
      <c r="S28" s="4" t="s">
        <v>384</v>
      </c>
      <c r="T28" s="8" t="n">
        <v>3</v>
      </c>
      <c r="U28" s="45"/>
      <c r="V28" s="13"/>
      <c r="W28" s="46" t="n">
        <v>0</v>
      </c>
      <c r="X28" s="46" t="n">
        <v>0</v>
      </c>
      <c r="Y28" s="46" t="n">
        <v>0</v>
      </c>
      <c r="Z28" s="46" t="n">
        <v>0</v>
      </c>
      <c r="AA28" s="46" t="n">
        <v>0</v>
      </c>
      <c r="AB28" s="46" t="n">
        <v>1</v>
      </c>
      <c r="AC28" s="46" t="n">
        <v>0</v>
      </c>
      <c r="AD28" s="47" t="n">
        <f aca="false">SUMPRODUCT(W28:AC28,INDEX(Diets!$I$5:$O$12,MATCH(Planner!$C$36,Diets!$A$5:$A$12,0),0))+ISNUMBER(SEARCH(","&amp;A28&amp;",",","&amp;SUBSTITUTE(INDEX(Diets!$P$5:$P$12,MATCH(Planner!$C$36,Diets!$A$5:$A$12,0))," ","")&amp;","))*1</f>
        <v>0</v>
      </c>
      <c r="AE28" s="48" t="n">
        <f aca="false">IF(OR(UPPER(U28)="Y",AD28&gt;0),0,1)</f>
        <v>1</v>
      </c>
      <c r="AF28" s="49" t="n">
        <v>0.5</v>
      </c>
      <c r="AG28" s="49" t="n">
        <v>0</v>
      </c>
      <c r="AH28" s="49" t="n">
        <v>0</v>
      </c>
      <c r="AI28" s="49" t="n">
        <v>0.5</v>
      </c>
      <c r="AJ28" s="8"/>
      <c r="AK28" s="4"/>
      <c r="AL28" s="50" t="s">
        <v>385</v>
      </c>
      <c r="AM28" s="13" t="n">
        <v>244</v>
      </c>
      <c r="AN28" s="13"/>
      <c r="AO28" s="50" t="s">
        <v>386</v>
      </c>
      <c r="AP28" s="35" t="n">
        <v>1.257</v>
      </c>
      <c r="AQ28" s="35" t="n">
        <v>50</v>
      </c>
      <c r="AR28" s="35" t="n">
        <v>3.3</v>
      </c>
      <c r="AS28" s="35" t="n">
        <v>4.8</v>
      </c>
      <c r="AT28" s="35" t="n">
        <v>1.98</v>
      </c>
      <c r="AU28" s="35" t="n">
        <v>0</v>
      </c>
      <c r="AV28" s="35" t="n">
        <v>5.06</v>
      </c>
      <c r="AW28" s="35" t="n">
        <v>120</v>
      </c>
      <c r="AX28" s="35" t="n">
        <v>0.02</v>
      </c>
      <c r="AY28" s="35" t="n">
        <v>140</v>
      </c>
      <c r="AZ28" s="35" t="n">
        <v>47</v>
      </c>
      <c r="BA28" s="35" t="n">
        <v>0.2</v>
      </c>
      <c r="BB28" s="25" t="n">
        <f aca="false">AR28/Q28</f>
        <v>31.1376435045317</v>
      </c>
      <c r="BC28" s="18" t="n">
        <f aca="false">AQ28/Q28</f>
        <v>471.78247734139</v>
      </c>
      <c r="BD28" s="4" t="s">
        <v>387</v>
      </c>
      <c r="BE28" s="4" t="s">
        <v>388</v>
      </c>
      <c r="BF28" s="4" t="s">
        <v>389</v>
      </c>
    </row>
    <row r="29" customFormat="false" ht="15" hidden="false" customHeight="false" outlineLevel="0" collapsed="false">
      <c r="A29" s="4" t="n">
        <v>24</v>
      </c>
      <c r="B29" s="52" t="s">
        <v>380</v>
      </c>
      <c r="C29" s="53" t="s">
        <v>381</v>
      </c>
      <c r="D29" s="14" t="s">
        <v>390</v>
      </c>
      <c r="E29" s="4" t="s">
        <v>390</v>
      </c>
      <c r="F29" s="4" t="s">
        <v>391</v>
      </c>
      <c r="G29" s="38" t="n">
        <v>3.28</v>
      </c>
      <c r="H29" s="21" t="n">
        <v>907.2</v>
      </c>
      <c r="I29" s="31" t="n">
        <v>1</v>
      </c>
      <c r="J29" s="41" t="n">
        <v>1</v>
      </c>
      <c r="K29" s="31" t="n">
        <v>0.19</v>
      </c>
      <c r="L29" s="42" t="n">
        <f aca="false">G29/(H29*I29*J29)*100</f>
        <v>0.361552028218695</v>
      </c>
      <c r="M29" s="42" t="n">
        <f aca="false">L29/(1-K29)</f>
        <v>0.446360528665055</v>
      </c>
      <c r="N29" s="4"/>
      <c r="O29" s="4"/>
      <c r="P29" s="4"/>
      <c r="Q29" s="44" t="n">
        <f aca="false">IF(AND(IF(Planner!$C$39="BLS U.S. average (Sep 2026)",1,0)=1,P29&lt;&gt;""),P29,L29)/(1-IF(AND((Planner!$C$60="Realistic"),Planner!$C$62="Yes"),K29,0))</f>
        <v>0.446360528665055</v>
      </c>
      <c r="R29" s="13" t="n">
        <v>170</v>
      </c>
      <c r="S29" s="4" t="s">
        <v>392</v>
      </c>
      <c r="T29" s="8" t="n">
        <v>2</v>
      </c>
      <c r="U29" s="45"/>
      <c r="V29" s="13"/>
      <c r="W29" s="46" t="n">
        <v>0</v>
      </c>
      <c r="X29" s="46" t="n">
        <v>0</v>
      </c>
      <c r="Y29" s="46" t="n">
        <v>0</v>
      </c>
      <c r="Z29" s="46" t="n">
        <v>0</v>
      </c>
      <c r="AA29" s="46" t="n">
        <v>0</v>
      </c>
      <c r="AB29" s="46" t="n">
        <v>1</v>
      </c>
      <c r="AC29" s="46" t="n">
        <v>0</v>
      </c>
      <c r="AD29" s="47" t="n">
        <f aca="false">SUMPRODUCT(W29:AC29,INDEX(Diets!$I$5:$O$12,MATCH(Planner!$C$36,Diets!$A$5:$A$12,0),0))+ISNUMBER(SEARCH(","&amp;A29&amp;",",","&amp;SUBSTITUTE(INDEX(Diets!$P$5:$P$12,MATCH(Planner!$C$36,Diets!$A$5:$A$12,0))," ","")&amp;","))*1</f>
        <v>0</v>
      </c>
      <c r="AE29" s="48" t="n">
        <f aca="false">IF(OR(UPPER(U29)="Y",AD29&gt;0),0,1)</f>
        <v>1</v>
      </c>
      <c r="AF29" s="49" t="n">
        <v>0.5</v>
      </c>
      <c r="AG29" s="49" t="n">
        <v>0</v>
      </c>
      <c r="AH29" s="49" t="n">
        <v>0</v>
      </c>
      <c r="AI29" s="49" t="n">
        <v>0.5</v>
      </c>
      <c r="AJ29" s="8"/>
      <c r="AK29" s="4"/>
      <c r="AL29" s="50" t="s">
        <v>385</v>
      </c>
      <c r="AM29" s="13" t="n">
        <v>170</v>
      </c>
      <c r="AN29" s="13"/>
      <c r="AO29" s="50"/>
      <c r="AP29" s="35" t="n">
        <v>0.117</v>
      </c>
      <c r="AQ29" s="35" t="n">
        <v>59</v>
      </c>
      <c r="AR29" s="35" t="n">
        <v>10.19</v>
      </c>
      <c r="AS29" s="35" t="n">
        <v>3.6</v>
      </c>
      <c r="AT29" s="35" t="n">
        <v>0.39</v>
      </c>
      <c r="AU29" s="35" t="n">
        <v>0</v>
      </c>
      <c r="AV29" s="35" t="n">
        <v>3.24</v>
      </c>
      <c r="AW29" s="35" t="n">
        <v>110</v>
      </c>
      <c r="AX29" s="35" t="n">
        <v>0.07</v>
      </c>
      <c r="AY29" s="35" t="n">
        <v>141</v>
      </c>
      <c r="AZ29" s="35" t="n">
        <v>36</v>
      </c>
      <c r="BA29" s="35" t="n">
        <v>0</v>
      </c>
      <c r="BB29" s="25" t="n">
        <f aca="false">AR29/Q29</f>
        <v>22.8290795121951</v>
      </c>
      <c r="BC29" s="18" t="n">
        <f aca="false">AQ29/Q29</f>
        <v>132.180146341463</v>
      </c>
      <c r="BD29" s="4" t="s">
        <v>393</v>
      </c>
      <c r="BE29" s="4" t="s">
        <v>394</v>
      </c>
      <c r="BF29" s="4"/>
    </row>
    <row r="30" customFormat="false" ht="15" hidden="false" customHeight="false" outlineLevel="0" collapsed="false">
      <c r="A30" s="4" t="n">
        <v>25</v>
      </c>
      <c r="B30" s="52" t="s">
        <v>380</v>
      </c>
      <c r="C30" s="53" t="s">
        <v>381</v>
      </c>
      <c r="D30" s="14" t="s">
        <v>395</v>
      </c>
      <c r="E30" s="4" t="s">
        <v>395</v>
      </c>
      <c r="F30" s="4" t="s">
        <v>396</v>
      </c>
      <c r="G30" s="38" t="n">
        <v>4.57</v>
      </c>
      <c r="H30" s="21" t="n">
        <v>1944</v>
      </c>
      <c r="I30" s="31" t="n">
        <v>1</v>
      </c>
      <c r="J30" s="41" t="n">
        <v>1</v>
      </c>
      <c r="K30" s="31" t="n">
        <v>0.2</v>
      </c>
      <c r="L30" s="42" t="n">
        <f aca="false">G30/(H30*I30*J30)*100</f>
        <v>0.235082304526749</v>
      </c>
      <c r="M30" s="42" t="n">
        <f aca="false">L30/(1-K30)</f>
        <v>0.293852880658436</v>
      </c>
      <c r="N30" s="4"/>
      <c r="O30" s="4"/>
      <c r="P30" s="4"/>
      <c r="Q30" s="44" t="n">
        <f aca="false">IF(AND(IF(Planner!$C$39="BLS U.S. average (Sep 2026)",1,0)=1,P30&lt;&gt;""),P30,L30)/(1-IF(AND((Planner!$C$60="Realistic"),Planner!$C$62="Yes"),K30,0))</f>
        <v>0.293852880658436</v>
      </c>
      <c r="R30" s="13" t="n">
        <v>243</v>
      </c>
      <c r="S30" s="4" t="s">
        <v>384</v>
      </c>
      <c r="T30" s="8" t="n">
        <v>3</v>
      </c>
      <c r="U30" s="45"/>
      <c r="V30" s="13"/>
      <c r="W30" s="46" t="n">
        <v>0</v>
      </c>
      <c r="X30" s="46" t="n">
        <v>0</v>
      </c>
      <c r="Y30" s="46" t="n">
        <v>0</v>
      </c>
      <c r="Z30" s="46" t="n">
        <v>0</v>
      </c>
      <c r="AA30" s="46" t="n">
        <v>0</v>
      </c>
      <c r="AB30" s="46" t="n">
        <v>0</v>
      </c>
      <c r="AC30" s="46" t="n">
        <v>0</v>
      </c>
      <c r="AD30" s="47" t="n">
        <f aca="false">SUMPRODUCT(W30:AC30,INDEX(Diets!$I$5:$O$12,MATCH(Planner!$C$36,Diets!$A$5:$A$12,0),0))+ISNUMBER(SEARCH(","&amp;A30&amp;",",","&amp;SUBSTITUTE(INDEX(Diets!$P$5:$P$12,MATCH(Planner!$C$36,Diets!$A$5:$A$12,0))," ","")&amp;","))*1</f>
        <v>0</v>
      </c>
      <c r="AE30" s="48" t="n">
        <f aca="false">IF(OR(UPPER(U30)="Y",AD30&gt;0),0,1)</f>
        <v>1</v>
      </c>
      <c r="AF30" s="49" t="n">
        <v>0.5</v>
      </c>
      <c r="AG30" s="49" t="n">
        <v>0</v>
      </c>
      <c r="AH30" s="49" t="n">
        <v>0</v>
      </c>
      <c r="AI30" s="49" t="n">
        <v>0.5</v>
      </c>
      <c r="AJ30" s="8"/>
      <c r="AK30" s="4"/>
      <c r="AL30" s="50" t="s">
        <v>385</v>
      </c>
      <c r="AM30" s="13" t="n">
        <v>243</v>
      </c>
      <c r="AN30" s="13"/>
      <c r="AO30" s="50"/>
      <c r="AP30" s="35" t="n">
        <v>0.205</v>
      </c>
      <c r="AQ30" s="35" t="n">
        <v>43</v>
      </c>
      <c r="AR30" s="35" t="n">
        <v>2.6</v>
      </c>
      <c r="AS30" s="35" t="n">
        <v>4.92</v>
      </c>
      <c r="AT30" s="35" t="n">
        <v>1.47</v>
      </c>
      <c r="AU30" s="35" t="n">
        <v>0.2</v>
      </c>
      <c r="AV30" s="35" t="n">
        <v>3.65</v>
      </c>
      <c r="AW30" s="35" t="n">
        <v>123</v>
      </c>
      <c r="AX30" s="35" t="n">
        <v>0.42</v>
      </c>
      <c r="AY30" s="35" t="n">
        <v>122</v>
      </c>
      <c r="AZ30" s="35" t="n">
        <v>47</v>
      </c>
      <c r="BA30" s="35" t="n">
        <v>0</v>
      </c>
      <c r="BB30" s="25" t="n">
        <f aca="false">AR30/Q30</f>
        <v>8.84796498905908</v>
      </c>
      <c r="BC30" s="18" t="n">
        <f aca="false">AQ30/Q30</f>
        <v>146.331728665208</v>
      </c>
      <c r="BD30" s="4" t="s">
        <v>397</v>
      </c>
      <c r="BE30" s="4" t="s">
        <v>398</v>
      </c>
      <c r="BF30" s="4" t="s">
        <v>399</v>
      </c>
    </row>
    <row r="31" customFormat="false" ht="15" hidden="false" customHeight="false" outlineLevel="0" collapsed="false">
      <c r="A31" s="4" t="n">
        <v>26</v>
      </c>
      <c r="B31" s="52" t="s">
        <v>380</v>
      </c>
      <c r="C31" s="53" t="s">
        <v>381</v>
      </c>
      <c r="D31" s="14" t="s">
        <v>400</v>
      </c>
      <c r="E31" s="4" t="s">
        <v>400</v>
      </c>
      <c r="F31" s="4" t="s">
        <v>383</v>
      </c>
      <c r="G31" s="38" t="n">
        <v>3.48</v>
      </c>
      <c r="H31" s="21" t="n">
        <v>3904</v>
      </c>
      <c r="I31" s="31" t="n">
        <v>1</v>
      </c>
      <c r="J31" s="41" t="n">
        <v>1</v>
      </c>
      <c r="K31" s="31" t="n">
        <v>0.2</v>
      </c>
      <c r="L31" s="42" t="n">
        <f aca="false">G31/(H31*I31*J31)*100</f>
        <v>0.0891393442622951</v>
      </c>
      <c r="M31" s="42" t="n">
        <f aca="false">L31/(1-K31)</f>
        <v>0.111424180327869</v>
      </c>
      <c r="N31" s="43" t="n">
        <v>4.106</v>
      </c>
      <c r="O31" s="21" t="n">
        <v>3904</v>
      </c>
      <c r="P31" s="42" t="n">
        <f aca="false">N31/(O31*I31*J31)*100</f>
        <v>0.105174180327869</v>
      </c>
      <c r="Q31" s="44" t="n">
        <f aca="false">IF(AND(IF(Planner!$C$39="BLS U.S. average (Sep 2026)",1,0)=1,P31&lt;&gt;""),P31,L31)/(1-IF(AND((Planner!$C$60="Realistic"),Planner!$C$62="Yes"),K31,0))</f>
        <v>0.111424180327869</v>
      </c>
      <c r="R31" s="13" t="n">
        <v>244</v>
      </c>
      <c r="S31" s="4" t="s">
        <v>384</v>
      </c>
      <c r="T31" s="8" t="n">
        <v>3</v>
      </c>
      <c r="U31" s="45"/>
      <c r="V31" s="13"/>
      <c r="W31" s="46" t="n">
        <v>0</v>
      </c>
      <c r="X31" s="46" t="n">
        <v>0</v>
      </c>
      <c r="Y31" s="46" t="n">
        <v>0</v>
      </c>
      <c r="Z31" s="46" t="n">
        <v>0</v>
      </c>
      <c r="AA31" s="46" t="n">
        <v>0</v>
      </c>
      <c r="AB31" s="46" t="n">
        <v>1</v>
      </c>
      <c r="AC31" s="46" t="n">
        <v>0</v>
      </c>
      <c r="AD31" s="47" t="n">
        <f aca="false">SUMPRODUCT(W31:AC31,INDEX(Diets!$I$5:$O$12,MATCH(Planner!$C$36,Diets!$A$5:$A$12,0),0))+ISNUMBER(SEARCH(","&amp;A31&amp;",",","&amp;SUBSTITUTE(INDEX(Diets!$P$5:$P$12,MATCH(Planner!$C$36,Diets!$A$5:$A$12,0))," ","")&amp;","))*1</f>
        <v>0</v>
      </c>
      <c r="AE31" s="48" t="n">
        <f aca="false">IF(OR(UPPER(U31)="Y",AD31&gt;0),0,1)</f>
        <v>1</v>
      </c>
      <c r="AF31" s="49" t="n">
        <v>0.5</v>
      </c>
      <c r="AG31" s="49" t="n">
        <v>0</v>
      </c>
      <c r="AH31" s="49" t="n">
        <v>0</v>
      </c>
      <c r="AI31" s="49" t="n">
        <v>0.5</v>
      </c>
      <c r="AJ31" s="8"/>
      <c r="AK31" s="4"/>
      <c r="AL31" s="50" t="s">
        <v>385</v>
      </c>
      <c r="AM31" s="13" t="n">
        <v>244</v>
      </c>
      <c r="AN31" s="13"/>
      <c r="AO31" s="50" t="s">
        <v>386</v>
      </c>
      <c r="AP31" s="35" t="n">
        <v>1.865</v>
      </c>
      <c r="AQ31" s="35" t="n">
        <v>61</v>
      </c>
      <c r="AR31" s="35" t="n">
        <v>3.15</v>
      </c>
      <c r="AS31" s="35" t="n">
        <v>4.8</v>
      </c>
      <c r="AT31" s="35" t="n">
        <v>3.25</v>
      </c>
      <c r="AU31" s="35" t="n">
        <v>0</v>
      </c>
      <c r="AV31" s="35" t="n">
        <v>5.05</v>
      </c>
      <c r="AW31" s="35" t="n">
        <v>113</v>
      </c>
      <c r="AX31" s="35" t="n">
        <v>0.03</v>
      </c>
      <c r="AY31" s="35" t="n">
        <v>132</v>
      </c>
      <c r="AZ31" s="35" t="n">
        <v>43</v>
      </c>
      <c r="BA31" s="35" t="n">
        <v>0</v>
      </c>
      <c r="BB31" s="25" t="n">
        <f aca="false">AR31/Q31</f>
        <v>28.2703448275862</v>
      </c>
      <c r="BC31" s="18" t="n">
        <f aca="false">AQ31/Q31</f>
        <v>547.457471264368</v>
      </c>
      <c r="BD31" s="4" t="s">
        <v>401</v>
      </c>
      <c r="BE31" s="4" t="s">
        <v>402</v>
      </c>
      <c r="BF31" s="4" t="s">
        <v>389</v>
      </c>
    </row>
    <row r="32" customFormat="false" ht="15" hidden="false" customHeight="false" outlineLevel="0" collapsed="false">
      <c r="A32" s="4" t="n">
        <v>27</v>
      </c>
      <c r="B32" s="52" t="s">
        <v>380</v>
      </c>
      <c r="C32" s="53" t="s">
        <v>403</v>
      </c>
      <c r="D32" s="14" t="s">
        <v>404</v>
      </c>
      <c r="E32" s="4" t="s">
        <v>404</v>
      </c>
      <c r="F32" s="4" t="s">
        <v>405</v>
      </c>
      <c r="G32" s="38" t="n">
        <v>2.48</v>
      </c>
      <c r="H32" s="21" t="n">
        <v>453.6</v>
      </c>
      <c r="I32" s="31" t="n">
        <v>1</v>
      </c>
      <c r="J32" s="41" t="n">
        <v>1</v>
      </c>
      <c r="K32" s="31" t="n">
        <v>0.19</v>
      </c>
      <c r="L32" s="42" t="n">
        <f aca="false">G32/(H32*I32*J32)*100</f>
        <v>0.54673721340388</v>
      </c>
      <c r="M32" s="42" t="n">
        <f aca="false">L32/(1-K32)</f>
        <v>0.674984214078864</v>
      </c>
      <c r="N32" s="43" t="n">
        <v>4.737</v>
      </c>
      <c r="O32" s="21" t="n">
        <v>453.6</v>
      </c>
      <c r="P32" s="42" t="n">
        <f aca="false">N32/(O32*I32*J32)*100</f>
        <v>1.04431216931217</v>
      </c>
      <c r="Q32" s="44" t="n">
        <f aca="false">IF(AND(IF(Planner!$C$39="BLS U.S. average (Sep 2026)",1,0)=1,P32&lt;&gt;""),P32,L32)/(1-IF(AND((Planner!$C$60="Realistic"),Planner!$C$62="Yes"),K32,0))</f>
        <v>0.674984214078864</v>
      </c>
      <c r="R32" s="13" t="n">
        <v>19</v>
      </c>
      <c r="S32" s="4" t="s">
        <v>406</v>
      </c>
      <c r="T32" s="8" t="n">
        <v>3</v>
      </c>
      <c r="U32" s="45"/>
      <c r="V32" s="13"/>
      <c r="W32" s="46" t="n">
        <v>0</v>
      </c>
      <c r="X32" s="46" t="n">
        <v>0</v>
      </c>
      <c r="Y32" s="46" t="n">
        <v>0</v>
      </c>
      <c r="Z32" s="46" t="n">
        <v>0</v>
      </c>
      <c r="AA32" s="46" t="n">
        <v>0</v>
      </c>
      <c r="AB32" s="46" t="n">
        <v>1</v>
      </c>
      <c r="AC32" s="46" t="n">
        <v>0</v>
      </c>
      <c r="AD32" s="47" t="n">
        <f aca="false">SUMPRODUCT(W32:AC32,INDEX(Diets!$I$5:$O$12,MATCH(Planner!$C$36,Diets!$A$5:$A$12,0),0))+ISNUMBER(SEARCH(","&amp;A32&amp;",",","&amp;SUBSTITUTE(INDEX(Diets!$P$5:$P$12,MATCH(Planner!$C$36,Diets!$A$5:$A$12,0))," ","")&amp;","))*1</f>
        <v>0</v>
      </c>
      <c r="AE32" s="48" t="n">
        <f aca="false">IF(OR(UPPER(U32)="Y",AD32&gt;0),0,1)</f>
        <v>1</v>
      </c>
      <c r="AF32" s="49" t="n">
        <v>0</v>
      </c>
      <c r="AG32" s="49" t="n">
        <v>1</v>
      </c>
      <c r="AH32" s="49" t="n">
        <v>0</v>
      </c>
      <c r="AI32" s="49" t="n">
        <v>0</v>
      </c>
      <c r="AJ32" s="8"/>
      <c r="AK32" s="4" t="s">
        <v>403</v>
      </c>
      <c r="AL32" s="50" t="s">
        <v>385</v>
      </c>
      <c r="AM32" s="13" t="n">
        <v>28</v>
      </c>
      <c r="AN32" s="13"/>
      <c r="AO32" s="50"/>
      <c r="AP32" s="35" t="n">
        <v>18.057</v>
      </c>
      <c r="AQ32" s="35" t="n">
        <v>366</v>
      </c>
      <c r="AR32" s="35" t="n">
        <v>18.13</v>
      </c>
      <c r="AS32" s="35" t="n">
        <v>4.78</v>
      </c>
      <c r="AT32" s="35" t="n">
        <v>30.71</v>
      </c>
      <c r="AU32" s="35" t="n">
        <v>0</v>
      </c>
      <c r="AV32" s="35" t="n">
        <v>2.26</v>
      </c>
      <c r="AW32" s="35" t="n">
        <v>1045</v>
      </c>
      <c r="AX32" s="35" t="n">
        <v>0.63</v>
      </c>
      <c r="AY32" s="35" t="n">
        <v>132</v>
      </c>
      <c r="AZ32" s="35" t="n">
        <v>1671</v>
      </c>
      <c r="BA32" s="35" t="n">
        <v>0</v>
      </c>
      <c r="BB32" s="25" t="n">
        <f aca="false">AR32/Q32</f>
        <v>26.8598874193548</v>
      </c>
      <c r="BC32" s="18" t="n">
        <f aca="false">AQ32/Q32</f>
        <v>542.234903225807</v>
      </c>
      <c r="BD32" s="4" t="s">
        <v>407</v>
      </c>
      <c r="BE32" s="4" t="s">
        <v>408</v>
      </c>
      <c r="BF32" s="4"/>
    </row>
    <row r="33" customFormat="false" ht="15" hidden="false" customHeight="false" outlineLevel="0" collapsed="false">
      <c r="A33" s="4" t="n">
        <v>28</v>
      </c>
      <c r="B33" s="52" t="s">
        <v>380</v>
      </c>
      <c r="C33" s="53" t="s">
        <v>403</v>
      </c>
      <c r="D33" s="14" t="s">
        <v>409</v>
      </c>
      <c r="E33" s="4" t="s">
        <v>409</v>
      </c>
      <c r="F33" s="4" t="s">
        <v>410</v>
      </c>
      <c r="G33" s="38" t="n">
        <v>1.87</v>
      </c>
      <c r="H33" s="21" t="n">
        <v>226.8</v>
      </c>
      <c r="I33" s="31" t="n">
        <v>1</v>
      </c>
      <c r="J33" s="41" t="n">
        <v>1</v>
      </c>
      <c r="K33" s="31" t="n">
        <v>0.19</v>
      </c>
      <c r="L33" s="42" t="n">
        <f aca="false">G33/(H33*I33*J33)*100</f>
        <v>0.824514991181658</v>
      </c>
      <c r="M33" s="42" t="n">
        <f aca="false">L33/(1-K33)</f>
        <v>1.01791974219958</v>
      </c>
      <c r="N33" s="43" t="n">
        <v>6.133</v>
      </c>
      <c r="O33" s="21" t="n">
        <v>453.6</v>
      </c>
      <c r="P33" s="42" t="n">
        <f aca="false">N33/(O33*I33*J33)*100</f>
        <v>1.35207231040564</v>
      </c>
      <c r="Q33" s="44" t="n">
        <f aca="false">IF(AND(IF(Planner!$C$39="BLS U.S. average (Sep 2026)",1,0)=1,P33&lt;&gt;""),P33,L33)/(1-IF(AND((Planner!$C$60="Realistic"),Planner!$C$62="Yes"),K33,0))</f>
        <v>1.01791974219958</v>
      </c>
      <c r="R33" s="13" t="n">
        <v>28</v>
      </c>
      <c r="S33" s="4" t="s">
        <v>411</v>
      </c>
      <c r="T33" s="8" t="n">
        <v>2</v>
      </c>
      <c r="U33" s="45"/>
      <c r="V33" s="13"/>
      <c r="W33" s="46" t="n">
        <v>0</v>
      </c>
      <c r="X33" s="46" t="n">
        <v>0</v>
      </c>
      <c r="Y33" s="46" t="n">
        <v>0</v>
      </c>
      <c r="Z33" s="46" t="n">
        <v>0</v>
      </c>
      <c r="AA33" s="46" t="n">
        <v>0</v>
      </c>
      <c r="AB33" s="46" t="n">
        <v>1</v>
      </c>
      <c r="AC33" s="46" t="n">
        <v>0</v>
      </c>
      <c r="AD33" s="47" t="n">
        <f aca="false">SUMPRODUCT(W33:AC33,INDEX(Diets!$I$5:$O$12,MATCH(Planner!$C$36,Diets!$A$5:$A$12,0),0))+ISNUMBER(SEARCH(","&amp;A33&amp;",",","&amp;SUBSTITUTE(INDEX(Diets!$P$5:$P$12,MATCH(Planner!$C$36,Diets!$A$5:$A$12,0))," ","")&amp;","))*1</f>
        <v>0</v>
      </c>
      <c r="AE33" s="48" t="n">
        <f aca="false">IF(OR(UPPER(U33)="Y",AD33&gt;0),0,1)</f>
        <v>1</v>
      </c>
      <c r="AF33" s="49" t="n">
        <v>0</v>
      </c>
      <c r="AG33" s="49" t="n">
        <v>0.5</v>
      </c>
      <c r="AH33" s="49" t="n">
        <v>0.5</v>
      </c>
      <c r="AI33" s="49" t="n">
        <v>0</v>
      </c>
      <c r="AJ33" s="8"/>
      <c r="AK33" s="4" t="s">
        <v>403</v>
      </c>
      <c r="AL33" s="50" t="s">
        <v>385</v>
      </c>
      <c r="AM33" s="13" t="n">
        <v>28</v>
      </c>
      <c r="AN33" s="13"/>
      <c r="AO33" s="50"/>
      <c r="AP33" s="35" t="n">
        <v>18.867</v>
      </c>
      <c r="AQ33" s="35" t="n">
        <v>404</v>
      </c>
      <c r="AR33" s="35" t="n">
        <v>22.87</v>
      </c>
      <c r="AS33" s="35" t="n">
        <v>3.09</v>
      </c>
      <c r="AT33" s="35" t="n">
        <v>33.31</v>
      </c>
      <c r="AU33" s="35" t="n">
        <v>0</v>
      </c>
      <c r="AV33" s="35" t="n">
        <v>0.48</v>
      </c>
      <c r="AW33" s="35" t="n">
        <v>710</v>
      </c>
      <c r="AX33" s="35" t="n">
        <v>0.14</v>
      </c>
      <c r="AY33" s="35" t="n">
        <v>76</v>
      </c>
      <c r="AZ33" s="35" t="n">
        <v>653</v>
      </c>
      <c r="BA33" s="35" t="n">
        <v>0</v>
      </c>
      <c r="BB33" s="25" t="n">
        <f aca="false">AR33/Q33</f>
        <v>22.4673901604278</v>
      </c>
      <c r="BC33" s="18" t="n">
        <f aca="false">AQ33/Q33</f>
        <v>396.887871657754</v>
      </c>
      <c r="BD33" s="4" t="s">
        <v>412</v>
      </c>
      <c r="BE33" s="4" t="s">
        <v>413</v>
      </c>
      <c r="BF33" s="4"/>
    </row>
    <row r="34" customFormat="false" ht="15" hidden="false" customHeight="false" outlineLevel="0" collapsed="false">
      <c r="A34" s="4" t="n">
        <v>29</v>
      </c>
      <c r="B34" s="52" t="s">
        <v>380</v>
      </c>
      <c r="C34" s="53" t="s">
        <v>403</v>
      </c>
      <c r="D34" s="14" t="s">
        <v>414</v>
      </c>
      <c r="E34" s="4" t="s">
        <v>414</v>
      </c>
      <c r="F34" s="4" t="s">
        <v>415</v>
      </c>
      <c r="G34" s="38" t="n">
        <v>2.87</v>
      </c>
      <c r="H34" s="21" t="n">
        <v>680.4</v>
      </c>
      <c r="I34" s="31" t="n">
        <v>1</v>
      </c>
      <c r="J34" s="41" t="n">
        <v>1</v>
      </c>
      <c r="K34" s="31" t="n">
        <v>0.19</v>
      </c>
      <c r="L34" s="42" t="n">
        <f aca="false">G34/(H34*I34*J34)*100</f>
        <v>0.421810699588477</v>
      </c>
      <c r="M34" s="42" t="n">
        <f aca="false">L34/(1-K34)</f>
        <v>0.520753950109231</v>
      </c>
      <c r="N34" s="4"/>
      <c r="O34" s="4"/>
      <c r="P34" s="4"/>
      <c r="Q34" s="44" t="n">
        <f aca="false">IF(AND(IF(Planner!$C$39="BLS U.S. average (Sep 2026)",1,0)=1,P34&lt;&gt;""),P34,L34)/(1-IF(AND((Planner!$C$60="Realistic"),Planner!$C$62="Yes"),K34,0))</f>
        <v>0.520753950109231</v>
      </c>
      <c r="R34" s="13" t="n">
        <v>113</v>
      </c>
      <c r="S34" s="4" t="s">
        <v>349</v>
      </c>
      <c r="T34" s="8" t="n">
        <v>2</v>
      </c>
      <c r="U34" s="45"/>
      <c r="V34" s="13"/>
      <c r="W34" s="46" t="n">
        <v>0</v>
      </c>
      <c r="X34" s="46" t="n">
        <v>0</v>
      </c>
      <c r="Y34" s="46" t="n">
        <v>0</v>
      </c>
      <c r="Z34" s="46" t="n">
        <v>0</v>
      </c>
      <c r="AA34" s="46" t="n">
        <v>0</v>
      </c>
      <c r="AB34" s="46" t="n">
        <v>1</v>
      </c>
      <c r="AC34" s="46" t="n">
        <v>0</v>
      </c>
      <c r="AD34" s="47" t="n">
        <f aca="false">SUMPRODUCT(W34:AC34,INDEX(Diets!$I$5:$O$12,MATCH(Planner!$C$36,Diets!$A$5:$A$12,0),0))+ISNUMBER(SEARCH(","&amp;A34&amp;",",","&amp;SUBSTITUTE(INDEX(Diets!$P$5:$P$12,MATCH(Planner!$C$36,Diets!$A$5:$A$12,0))," ","")&amp;","))*1</f>
        <v>0</v>
      </c>
      <c r="AE34" s="48" t="n">
        <f aca="false">IF(OR(UPPER(U34)="Y",AD34&gt;0),0,1)</f>
        <v>1</v>
      </c>
      <c r="AF34" s="49" t="n">
        <v>0</v>
      </c>
      <c r="AG34" s="49" t="n">
        <v>0.5</v>
      </c>
      <c r="AH34" s="49" t="n">
        <v>0</v>
      </c>
      <c r="AI34" s="49" t="n">
        <v>0.5</v>
      </c>
      <c r="AJ34" s="8"/>
      <c r="AK34" s="4" t="s">
        <v>403</v>
      </c>
      <c r="AL34" s="50" t="s">
        <v>385</v>
      </c>
      <c r="AM34" s="13" t="n">
        <v>452</v>
      </c>
      <c r="AN34" s="13"/>
      <c r="AO34" s="50"/>
      <c r="AP34" s="35" t="n">
        <v>1.235</v>
      </c>
      <c r="AQ34" s="35" t="n">
        <v>81</v>
      </c>
      <c r="AR34" s="35" t="n">
        <v>10.45</v>
      </c>
      <c r="AS34" s="35" t="n">
        <v>4.76</v>
      </c>
      <c r="AT34" s="35" t="n">
        <v>2.27</v>
      </c>
      <c r="AU34" s="35" t="n">
        <v>0</v>
      </c>
      <c r="AV34" s="35" t="n">
        <v>4</v>
      </c>
      <c r="AW34" s="35" t="n">
        <v>111</v>
      </c>
      <c r="AX34" s="35" t="n">
        <v>0.13</v>
      </c>
      <c r="AY34" s="35" t="n">
        <v>125</v>
      </c>
      <c r="AZ34" s="35" t="n">
        <v>308</v>
      </c>
      <c r="BA34" s="35" t="n">
        <v>0</v>
      </c>
      <c r="BB34" s="25" t="n">
        <f aca="false">AR34/Q34</f>
        <v>20.0670585365854</v>
      </c>
      <c r="BC34" s="18" t="n">
        <f aca="false">AQ34/Q34</f>
        <v>155.543707317073</v>
      </c>
      <c r="BD34" s="4" t="s">
        <v>416</v>
      </c>
      <c r="BE34" s="4" t="s">
        <v>417</v>
      </c>
      <c r="BF34" s="4"/>
    </row>
    <row r="35" customFormat="false" ht="15" hidden="false" customHeight="false" outlineLevel="0" collapsed="false">
      <c r="A35" s="4" t="n">
        <v>30</v>
      </c>
      <c r="B35" s="52" t="s">
        <v>380</v>
      </c>
      <c r="C35" s="53" t="s">
        <v>403</v>
      </c>
      <c r="D35" s="14" t="s">
        <v>418</v>
      </c>
      <c r="E35" s="4" t="s">
        <v>418</v>
      </c>
      <c r="F35" s="4" t="s">
        <v>419</v>
      </c>
      <c r="G35" s="51" t="n">
        <v>3.28</v>
      </c>
      <c r="H35" s="21" t="n">
        <v>340.2</v>
      </c>
      <c r="I35" s="31" t="n">
        <v>1</v>
      </c>
      <c r="J35" s="41" t="n">
        <v>1</v>
      </c>
      <c r="K35" s="31" t="n">
        <v>0.19</v>
      </c>
      <c r="L35" s="42" t="n">
        <f aca="false">G35/(H35*I35*J35)*100</f>
        <v>0.96413874191652</v>
      </c>
      <c r="M35" s="42" t="n">
        <f aca="false">L35/(1-K35)</f>
        <v>1.19029474310681</v>
      </c>
      <c r="N35" s="4"/>
      <c r="O35" s="4"/>
      <c r="P35" s="4"/>
      <c r="Q35" s="44" t="n">
        <f aca="false">IF(AND(IF(Planner!$C$39="BLS U.S. average (Sep 2026)",1,0)=1,P35&lt;&gt;""),P35,L35)/(1-IF(AND((Planner!$C$60="Realistic"),Planner!$C$62="Yes"),K35,0))</f>
        <v>1.19029474310681</v>
      </c>
      <c r="R35" s="13" t="n">
        <v>28</v>
      </c>
      <c r="S35" s="4" t="s">
        <v>420</v>
      </c>
      <c r="T35" s="8" t="n">
        <v>2</v>
      </c>
      <c r="U35" s="45"/>
      <c r="V35" s="13"/>
      <c r="W35" s="46" t="n">
        <v>0</v>
      </c>
      <c r="X35" s="46" t="n">
        <v>0</v>
      </c>
      <c r="Y35" s="46" t="n">
        <v>0</v>
      </c>
      <c r="Z35" s="46" t="n">
        <v>0</v>
      </c>
      <c r="AA35" s="46" t="n">
        <v>0</v>
      </c>
      <c r="AB35" s="46" t="n">
        <v>1</v>
      </c>
      <c r="AC35" s="46" t="n">
        <v>0</v>
      </c>
      <c r="AD35" s="47" t="n">
        <f aca="false">SUMPRODUCT(W35:AC35,INDEX(Diets!$I$5:$O$12,MATCH(Planner!$C$36,Diets!$A$5:$A$12,0),0))+ISNUMBER(SEARCH(","&amp;A35&amp;",",","&amp;SUBSTITUTE(INDEX(Diets!$P$5:$P$12,MATCH(Planner!$C$36,Diets!$A$5:$A$12,0))," ","")&amp;","))*1</f>
        <v>0</v>
      </c>
      <c r="AE35" s="48" t="n">
        <f aca="false">IF(OR(UPPER(U35)="Y",AD35&gt;0),0,1)</f>
        <v>1</v>
      </c>
      <c r="AF35" s="49" t="n">
        <v>0</v>
      </c>
      <c r="AG35" s="49" t="n">
        <v>0</v>
      </c>
      <c r="AH35" s="49" t="n">
        <v>0</v>
      </c>
      <c r="AI35" s="49" t="n">
        <v>1</v>
      </c>
      <c r="AJ35" s="8"/>
      <c r="AK35" s="4" t="s">
        <v>403</v>
      </c>
      <c r="AL35" s="50" t="s">
        <v>385</v>
      </c>
      <c r="AM35" s="13" t="n">
        <v>28</v>
      </c>
      <c r="AN35" s="13"/>
      <c r="AO35" s="50"/>
      <c r="AP35" s="35" t="n">
        <v>11.295</v>
      </c>
      <c r="AQ35" s="35" t="n">
        <v>295</v>
      </c>
      <c r="AR35" s="35" t="n">
        <v>23.75</v>
      </c>
      <c r="AS35" s="35" t="n">
        <v>5.58</v>
      </c>
      <c r="AT35" s="35" t="n">
        <v>19.78</v>
      </c>
      <c r="AU35" s="35" t="n">
        <v>0</v>
      </c>
      <c r="AV35" s="35" t="n">
        <v>1.9</v>
      </c>
      <c r="AW35" s="35" t="n">
        <v>697</v>
      </c>
      <c r="AX35" s="35" t="n">
        <v>0.22</v>
      </c>
      <c r="AY35" s="35" t="n">
        <v>188</v>
      </c>
      <c r="AZ35" s="35" t="n">
        <v>666</v>
      </c>
      <c r="BA35" s="35" t="n">
        <v>0</v>
      </c>
      <c r="BB35" s="25" t="n">
        <f aca="false">AR35/Q35</f>
        <v>19.9530411585366</v>
      </c>
      <c r="BC35" s="18" t="n">
        <f aca="false">AQ35/Q35</f>
        <v>247.837774390244</v>
      </c>
      <c r="BD35" s="4" t="s">
        <v>421</v>
      </c>
      <c r="BE35" s="4" t="s">
        <v>422</v>
      </c>
      <c r="BF35" s="4" t="s">
        <v>423</v>
      </c>
    </row>
    <row r="36" customFormat="false" ht="15" hidden="false" customHeight="false" outlineLevel="0" collapsed="false">
      <c r="A36" s="4" t="n">
        <v>31</v>
      </c>
      <c r="B36" s="54" t="s">
        <v>424</v>
      </c>
      <c r="C36" s="55" t="s">
        <v>425</v>
      </c>
      <c r="D36" s="14" t="s">
        <v>426</v>
      </c>
      <c r="E36" s="4" t="s">
        <v>426</v>
      </c>
      <c r="F36" s="4" t="s">
        <v>427</v>
      </c>
      <c r="G36" s="38" t="n">
        <v>2.14</v>
      </c>
      <c r="H36" s="21" t="n">
        <v>567</v>
      </c>
      <c r="I36" s="31" t="n">
        <v>1</v>
      </c>
      <c r="J36" s="41" t="n">
        <v>1</v>
      </c>
      <c r="K36" s="31" t="n">
        <v>0.19</v>
      </c>
      <c r="L36" s="42" t="n">
        <f aca="false">G36/(H36*I36*J36)*100</f>
        <v>0.377425044091711</v>
      </c>
      <c r="M36" s="42" t="n">
        <f aca="false">L36/(1-K36)</f>
        <v>0.465956844557668</v>
      </c>
      <c r="N36" s="4"/>
      <c r="O36" s="4"/>
      <c r="P36" s="4"/>
      <c r="Q36" s="44" t="n">
        <f aca="false">IF(AND(IF(Planner!$C$39="BLS U.S. average (Sep 2026)",1,0)=1,P36&lt;&gt;""),P36,L36)/(1-IF(AND((Planner!$C$60="Realistic"),Planner!$C$62="Yes"),K36,0))</f>
        <v>0.465956844557668</v>
      </c>
      <c r="R36" s="13" t="n">
        <v>94</v>
      </c>
      <c r="S36" s="4" t="s">
        <v>428</v>
      </c>
      <c r="T36" s="8" t="n">
        <v>1</v>
      </c>
      <c r="U36" s="45"/>
      <c r="V36" s="13"/>
      <c r="W36" s="46" t="n">
        <v>0</v>
      </c>
      <c r="X36" s="46" t="n">
        <v>0</v>
      </c>
      <c r="Y36" s="46" t="n">
        <v>0</v>
      </c>
      <c r="Z36" s="46" t="n">
        <v>0</v>
      </c>
      <c r="AA36" s="46" t="n">
        <v>0</v>
      </c>
      <c r="AB36" s="46" t="n">
        <v>0</v>
      </c>
      <c r="AC36" s="46" t="n">
        <v>1</v>
      </c>
      <c r="AD36" s="47" t="n">
        <f aca="false">SUMPRODUCT(W36:AC36,INDEX(Diets!$I$5:$O$12,MATCH(Planner!$C$36,Diets!$A$5:$A$12,0),0))+ISNUMBER(SEARCH(","&amp;A36&amp;",",","&amp;SUBSTITUTE(INDEX(Diets!$P$5:$P$12,MATCH(Planner!$C$36,Diets!$A$5:$A$12,0))," ","")&amp;","))*1</f>
        <v>0</v>
      </c>
      <c r="AE36" s="48" t="n">
        <f aca="false">IF(OR(UPPER(U36)="Y",AD36&gt;0),0,1)</f>
        <v>1</v>
      </c>
      <c r="AF36" s="49" t="n">
        <v>1</v>
      </c>
      <c r="AG36" s="49" t="n">
        <v>0</v>
      </c>
      <c r="AH36" s="49" t="n">
        <v>0</v>
      </c>
      <c r="AI36" s="49" t="n">
        <v>0</v>
      </c>
      <c r="AJ36" s="8"/>
      <c r="AK36" s="4" t="s">
        <v>429</v>
      </c>
      <c r="AL36" s="50"/>
      <c r="AM36" s="13"/>
      <c r="AN36" s="13" t="n">
        <v>28</v>
      </c>
      <c r="AO36" s="50"/>
      <c r="AP36" s="35" t="n">
        <v>0.36</v>
      </c>
      <c r="AQ36" s="35" t="n">
        <v>264</v>
      </c>
      <c r="AR36" s="35" t="n">
        <v>10.56</v>
      </c>
      <c r="AS36" s="35" t="n">
        <v>52.38</v>
      </c>
      <c r="AT36" s="35" t="n">
        <v>1.32</v>
      </c>
      <c r="AU36" s="35" t="n">
        <v>1.6</v>
      </c>
      <c r="AV36" s="35" t="n">
        <v>8.43</v>
      </c>
      <c r="AW36" s="35" t="n">
        <v>219</v>
      </c>
      <c r="AX36" s="35" t="n">
        <v>3.57</v>
      </c>
      <c r="AY36" s="35" t="n">
        <v>107</v>
      </c>
      <c r="AZ36" s="35" t="n">
        <v>422</v>
      </c>
      <c r="BA36" s="35" t="n">
        <v>0</v>
      </c>
      <c r="BB36" s="25" t="n">
        <f aca="false">AR36/Q36</f>
        <v>22.6630429906542</v>
      </c>
      <c r="BC36" s="18" t="n">
        <f aca="false">AQ36/Q36</f>
        <v>566.576074766355</v>
      </c>
      <c r="BD36" s="4" t="s">
        <v>430</v>
      </c>
      <c r="BE36" s="4" t="s">
        <v>431</v>
      </c>
      <c r="BF36" s="4"/>
    </row>
    <row r="37" customFormat="false" ht="15" hidden="false" customHeight="false" outlineLevel="0" collapsed="false">
      <c r="A37" s="4" t="n">
        <v>32</v>
      </c>
      <c r="B37" s="54" t="s">
        <v>424</v>
      </c>
      <c r="C37" s="55" t="s">
        <v>425</v>
      </c>
      <c r="D37" s="14" t="s">
        <v>432</v>
      </c>
      <c r="E37" s="4" t="s">
        <v>433</v>
      </c>
      <c r="F37" s="4" t="s">
        <v>434</v>
      </c>
      <c r="G37" s="38" t="n">
        <v>1.72</v>
      </c>
      <c r="H37" s="21" t="n">
        <v>907.2</v>
      </c>
      <c r="I37" s="31" t="n">
        <v>1</v>
      </c>
      <c r="J37" s="41" t="n">
        <v>2.7518</v>
      </c>
      <c r="K37" s="31" t="n">
        <v>0.19</v>
      </c>
      <c r="L37" s="42" t="n">
        <f aca="false">G37/(H37*I37*J37)*100</f>
        <v>0.0688983052042383</v>
      </c>
      <c r="M37" s="42" t="n">
        <f aca="false">L37/(1-K37)</f>
        <v>0.0850596360546152</v>
      </c>
      <c r="N37" s="4"/>
      <c r="O37" s="4"/>
      <c r="P37" s="4"/>
      <c r="Q37" s="44" t="n">
        <f aca="false">IF(AND(IF(Planner!$C$39="BLS U.S. average (Sep 2026)",1,0)=1,P37&lt;&gt;""),P37,L37)/(1-IF(AND((Planner!$C$60="Realistic"),Planner!$C$62="Yes"),K37,0))</f>
        <v>0.0850596360546152</v>
      </c>
      <c r="R37" s="13" t="n">
        <v>101</v>
      </c>
      <c r="S37" s="4" t="s">
        <v>361</v>
      </c>
      <c r="T37" s="8" t="n">
        <v>5</v>
      </c>
      <c r="U37" s="45"/>
      <c r="V37" s="13"/>
      <c r="W37" s="46" t="n">
        <v>0</v>
      </c>
      <c r="X37" s="46" t="n">
        <v>0</v>
      </c>
      <c r="Y37" s="46" t="n">
        <v>0</v>
      </c>
      <c r="Z37" s="46" t="n">
        <v>0</v>
      </c>
      <c r="AA37" s="46" t="n">
        <v>0</v>
      </c>
      <c r="AB37" s="46" t="n">
        <v>0</v>
      </c>
      <c r="AC37" s="46" t="n">
        <v>0</v>
      </c>
      <c r="AD37" s="47" t="n">
        <f aca="false">SUMPRODUCT(W37:AC37,INDEX(Diets!$I$5:$O$12,MATCH(Planner!$C$36,Diets!$A$5:$A$12,0),0))+ISNUMBER(SEARCH(","&amp;A37&amp;",",","&amp;SUBSTITUTE(INDEX(Diets!$P$5:$P$12,MATCH(Planner!$C$36,Diets!$A$5:$A$12,0))," ","")&amp;","))*1</f>
        <v>0</v>
      </c>
      <c r="AE37" s="48" t="n">
        <f aca="false">IF(OR(UPPER(U37)="Y",AD37&gt;0),0,1)</f>
        <v>1</v>
      </c>
      <c r="AF37" s="49" t="n">
        <v>0</v>
      </c>
      <c r="AG37" s="49" t="n">
        <v>0.5</v>
      </c>
      <c r="AH37" s="49" t="n">
        <v>0.5</v>
      </c>
      <c r="AI37" s="49" t="n">
        <v>0</v>
      </c>
      <c r="AJ37" s="8"/>
      <c r="AK37" s="4" t="s">
        <v>429</v>
      </c>
      <c r="AL37" s="50" t="s">
        <v>435</v>
      </c>
      <c r="AM37" s="13" t="n">
        <v>101</v>
      </c>
      <c r="AN37" s="13"/>
      <c r="AO37" s="50"/>
      <c r="AP37" s="35" t="n">
        <v>0.26</v>
      </c>
      <c r="AQ37" s="35" t="n">
        <v>123</v>
      </c>
      <c r="AR37" s="35" t="n">
        <v>2.74</v>
      </c>
      <c r="AS37" s="35" t="n">
        <v>25.58</v>
      </c>
      <c r="AT37" s="35" t="n">
        <v>0.97</v>
      </c>
      <c r="AU37" s="35" t="n">
        <v>1.6</v>
      </c>
      <c r="AV37" s="35" t="n">
        <v>0.24</v>
      </c>
      <c r="AW37" s="35" t="n">
        <v>3</v>
      </c>
      <c r="AX37" s="35" t="n">
        <v>0.56</v>
      </c>
      <c r="AY37" s="35" t="n">
        <v>86</v>
      </c>
      <c r="AZ37" s="35" t="n">
        <v>4</v>
      </c>
      <c r="BA37" s="35" t="n">
        <v>0</v>
      </c>
      <c r="BB37" s="25" t="n">
        <f aca="false">AR37/Q37</f>
        <v>32.2126936710698</v>
      </c>
      <c r="BC37" s="18" t="n">
        <f aca="false">AQ37/Q37</f>
        <v>1446.04427793488</v>
      </c>
      <c r="BD37" s="4" t="s">
        <v>436</v>
      </c>
      <c r="BE37" s="4" t="s">
        <v>437</v>
      </c>
      <c r="BF37" s="4"/>
    </row>
    <row r="38" customFormat="false" ht="15" hidden="false" customHeight="false" outlineLevel="0" collapsed="false">
      <c r="A38" s="4" t="n">
        <v>33</v>
      </c>
      <c r="B38" s="54" t="s">
        <v>424</v>
      </c>
      <c r="C38" s="55" t="s">
        <v>425</v>
      </c>
      <c r="D38" s="14" t="s">
        <v>438</v>
      </c>
      <c r="E38" s="4" t="s">
        <v>438</v>
      </c>
      <c r="F38" s="4" t="s">
        <v>439</v>
      </c>
      <c r="G38" s="38" t="n">
        <v>4.97</v>
      </c>
      <c r="H38" s="21" t="n">
        <v>510.3</v>
      </c>
      <c r="I38" s="31" t="n">
        <v>1</v>
      </c>
      <c r="J38" s="41" t="n">
        <v>1</v>
      </c>
      <c r="K38" s="31" t="n">
        <v>0.19</v>
      </c>
      <c r="L38" s="42" t="n">
        <f aca="false">G38/(H38*I38*J38)*100</f>
        <v>0.973936899862826</v>
      </c>
      <c r="M38" s="42" t="n">
        <f aca="false">L38/(1-K38)</f>
        <v>1.20239123439855</v>
      </c>
      <c r="N38" s="4"/>
      <c r="O38" s="4"/>
      <c r="P38" s="4"/>
      <c r="Q38" s="44" t="n">
        <f aca="false">IF(AND(IF(Planner!$C$39="BLS U.S. average (Sep 2026)",1,0)=1,P38&lt;&gt;""),P38,L38)/(1-IF(AND((Planner!$C$60="Realistic"),Planner!$C$62="Yes"),K38,0))</f>
        <v>1.20239123439855</v>
      </c>
      <c r="R38" s="13" t="n">
        <v>28</v>
      </c>
      <c r="S38" s="4" t="s">
        <v>384</v>
      </c>
      <c r="T38" s="8" t="n">
        <v>2</v>
      </c>
      <c r="U38" s="45"/>
      <c r="V38" s="13"/>
      <c r="W38" s="46" t="n">
        <v>0</v>
      </c>
      <c r="X38" s="46" t="n">
        <v>0</v>
      </c>
      <c r="Y38" s="46" t="n">
        <v>0</v>
      </c>
      <c r="Z38" s="46" t="n">
        <v>0</v>
      </c>
      <c r="AA38" s="46" t="n">
        <v>0</v>
      </c>
      <c r="AB38" s="46" t="n">
        <v>0</v>
      </c>
      <c r="AC38" s="46" t="n">
        <v>0</v>
      </c>
      <c r="AD38" s="47" t="n">
        <f aca="false">SUMPRODUCT(W38:AC38,INDEX(Diets!$I$5:$O$12,MATCH(Planner!$C$36,Diets!$A$5:$A$12,0),0))+ISNUMBER(SEARCH(","&amp;A38&amp;",",","&amp;SUBSTITUTE(INDEX(Diets!$P$5:$P$12,MATCH(Planner!$C$36,Diets!$A$5:$A$12,0))," ","")&amp;","))*1</f>
        <v>0</v>
      </c>
      <c r="AE38" s="48" t="n">
        <f aca="false">IF(OR(UPPER(U38)="Y",AD38&gt;0),0,1)</f>
        <v>1</v>
      </c>
      <c r="AF38" s="49" t="n">
        <v>1</v>
      </c>
      <c r="AG38" s="49" t="n">
        <v>0</v>
      </c>
      <c r="AH38" s="49" t="n">
        <v>0</v>
      </c>
      <c r="AI38" s="49" t="n">
        <v>0</v>
      </c>
      <c r="AJ38" s="8"/>
      <c r="AK38" s="4" t="s">
        <v>429</v>
      </c>
      <c r="AL38" s="50" t="s">
        <v>435</v>
      </c>
      <c r="AM38" s="13" t="n">
        <v>28</v>
      </c>
      <c r="AN38" s="13"/>
      <c r="AO38" s="50"/>
      <c r="AP38" s="35" t="n">
        <v>1.5</v>
      </c>
      <c r="AQ38" s="35" t="n">
        <v>376</v>
      </c>
      <c r="AR38" s="35" t="n">
        <v>12.09</v>
      </c>
      <c r="AS38" s="35" t="n">
        <v>73.23</v>
      </c>
      <c r="AT38" s="35" t="n">
        <v>6.73</v>
      </c>
      <c r="AU38" s="35" t="n">
        <v>9.4</v>
      </c>
      <c r="AV38" s="35" t="n">
        <v>4.36</v>
      </c>
      <c r="AW38" s="35" t="n">
        <v>401</v>
      </c>
      <c r="AX38" s="35" t="n">
        <v>33.17</v>
      </c>
      <c r="AY38" s="35" t="n">
        <v>641</v>
      </c>
      <c r="AZ38" s="35" t="n">
        <v>497</v>
      </c>
      <c r="BA38" s="35" t="n">
        <v>21.6</v>
      </c>
      <c r="BB38" s="25" t="n">
        <f aca="false">AR38/Q38</f>
        <v>10.0549635211268</v>
      </c>
      <c r="BC38" s="18" t="n">
        <f aca="false">AQ38/Q38</f>
        <v>312.710197183099</v>
      </c>
      <c r="BD38" s="4" t="s">
        <v>440</v>
      </c>
      <c r="BE38" s="4" t="s">
        <v>441</v>
      </c>
      <c r="BF38" s="4" t="s">
        <v>442</v>
      </c>
    </row>
    <row r="39" customFormat="false" ht="15" hidden="false" customHeight="false" outlineLevel="0" collapsed="false">
      <c r="A39" s="4" t="n">
        <v>34</v>
      </c>
      <c r="B39" s="54" t="s">
        <v>424</v>
      </c>
      <c r="C39" s="55" t="s">
        <v>425</v>
      </c>
      <c r="D39" s="14" t="s">
        <v>443</v>
      </c>
      <c r="E39" s="4" t="s">
        <v>443</v>
      </c>
      <c r="F39" s="4" t="s">
        <v>444</v>
      </c>
      <c r="G39" s="38" t="n">
        <v>2.48</v>
      </c>
      <c r="H39" s="21" t="n">
        <v>791</v>
      </c>
      <c r="I39" s="31" t="n">
        <v>1</v>
      </c>
      <c r="J39" s="41" t="n">
        <v>1</v>
      </c>
      <c r="K39" s="31" t="n">
        <v>0.19</v>
      </c>
      <c r="L39" s="42" t="n">
        <f aca="false">G39/(H39*I39*J39)*100</f>
        <v>0.313527180783818</v>
      </c>
      <c r="M39" s="42" t="n">
        <f aca="false">L39/(1-K39)</f>
        <v>0.387070593560269</v>
      </c>
      <c r="N39" s="4"/>
      <c r="O39" s="4"/>
      <c r="P39" s="4"/>
      <c r="Q39" s="44" t="n">
        <f aca="false">IF(AND(IF(Planner!$C$39="BLS U.S. average (Sep 2026)",1,0)=1,P39&lt;&gt;""),P39,L39)/(1-IF(AND((Planner!$C$60="Realistic"),Planner!$C$62="Yes"),K39,0))</f>
        <v>0.387070593560269</v>
      </c>
      <c r="R39" s="13" t="n">
        <v>26</v>
      </c>
      <c r="S39" s="4" t="s">
        <v>445</v>
      </c>
      <c r="T39" s="8" t="n">
        <v>6</v>
      </c>
      <c r="U39" s="45"/>
      <c r="V39" s="13"/>
      <c r="W39" s="46" t="n">
        <v>0</v>
      </c>
      <c r="X39" s="46" t="n">
        <v>0</v>
      </c>
      <c r="Y39" s="46" t="n">
        <v>0</v>
      </c>
      <c r="Z39" s="46" t="n">
        <v>0</v>
      </c>
      <c r="AA39" s="46" t="n">
        <v>0</v>
      </c>
      <c r="AB39" s="46" t="n">
        <v>0</v>
      </c>
      <c r="AC39" s="46" t="n">
        <v>0</v>
      </c>
      <c r="AD39" s="47" t="n">
        <f aca="false">SUMPRODUCT(W39:AC39,INDEX(Diets!$I$5:$O$12,MATCH(Planner!$C$36,Diets!$A$5:$A$12,0),0))+ISNUMBER(SEARCH(","&amp;A39&amp;",",","&amp;SUBSTITUTE(INDEX(Diets!$P$5:$P$12,MATCH(Planner!$C$36,Diets!$A$5:$A$12,0))," ","")&amp;","))*1</f>
        <v>0</v>
      </c>
      <c r="AE39" s="48" t="n">
        <f aca="false">IF(OR(UPPER(U39)="Y",AD39&gt;0),0,1)</f>
        <v>1</v>
      </c>
      <c r="AF39" s="49" t="n">
        <v>0</v>
      </c>
      <c r="AG39" s="49" t="n">
        <v>0.5</v>
      </c>
      <c r="AH39" s="49" t="n">
        <v>0.5</v>
      </c>
      <c r="AI39" s="49" t="n">
        <v>0</v>
      </c>
      <c r="AJ39" s="8"/>
      <c r="AK39" s="4" t="s">
        <v>429</v>
      </c>
      <c r="AL39" s="50"/>
      <c r="AM39" s="13"/>
      <c r="AN39" s="13" t="n">
        <v>26</v>
      </c>
      <c r="AO39" s="50"/>
      <c r="AP39" s="35" t="n">
        <v>0.453</v>
      </c>
      <c r="AQ39" s="35" t="n">
        <v>218</v>
      </c>
      <c r="AR39" s="35" t="n">
        <v>5.7</v>
      </c>
      <c r="AS39" s="35" t="n">
        <v>44.64</v>
      </c>
      <c r="AT39" s="35" t="n">
        <v>2.85</v>
      </c>
      <c r="AU39" s="35" t="n">
        <v>6.3</v>
      </c>
      <c r="AV39" s="35" t="n">
        <v>0.88</v>
      </c>
      <c r="AW39" s="35" t="n">
        <v>81</v>
      </c>
      <c r="AX39" s="35" t="n">
        <v>1.23</v>
      </c>
      <c r="AY39" s="35" t="n">
        <v>186</v>
      </c>
      <c r="AZ39" s="35" t="n">
        <v>45</v>
      </c>
      <c r="BA39" s="35" t="n">
        <v>0</v>
      </c>
      <c r="BB39" s="25" t="n">
        <f aca="false">AR39/Q39</f>
        <v>14.7259959677419</v>
      </c>
      <c r="BC39" s="18" t="n">
        <f aca="false">AQ39/Q39</f>
        <v>563.204758064516</v>
      </c>
      <c r="BD39" s="4" t="s">
        <v>446</v>
      </c>
      <c r="BE39" s="4" t="s">
        <v>447</v>
      </c>
      <c r="BF39" s="4" t="s">
        <v>448</v>
      </c>
    </row>
    <row r="40" customFormat="false" ht="15" hidden="false" customHeight="false" outlineLevel="0" collapsed="false">
      <c r="A40" s="4" t="n">
        <v>35</v>
      </c>
      <c r="B40" s="54" t="s">
        <v>424</v>
      </c>
      <c r="C40" s="55" t="s">
        <v>425</v>
      </c>
      <c r="D40" s="14" t="s">
        <v>449</v>
      </c>
      <c r="E40" s="4" t="s">
        <v>449</v>
      </c>
      <c r="F40" s="4" t="s">
        <v>450</v>
      </c>
      <c r="G40" s="38" t="n">
        <v>1.98</v>
      </c>
      <c r="H40" s="21" t="n">
        <v>453.6</v>
      </c>
      <c r="I40" s="31" t="n">
        <v>1</v>
      </c>
      <c r="J40" s="41" t="n">
        <v>1</v>
      </c>
      <c r="K40" s="31" t="n">
        <v>0.19</v>
      </c>
      <c r="L40" s="42" t="n">
        <f aca="false">G40/(H40*I40*J40)*100</f>
        <v>0.436507936507937</v>
      </c>
      <c r="M40" s="42" t="n">
        <f aca="false">L40/(1-K40)</f>
        <v>0.538898687046835</v>
      </c>
      <c r="N40" s="4"/>
      <c r="O40" s="4"/>
      <c r="P40" s="4"/>
      <c r="Q40" s="44" t="n">
        <f aca="false">IF(AND(IF(Planner!$C$39="BLS U.S. average (Sep 2026)",1,0)=1,P40&lt;&gt;""),P40,L40)/(1-IF(AND((Planner!$C$60="Realistic"),Planner!$C$62="Yes"),K40,0))</f>
        <v>0.538898687046835</v>
      </c>
      <c r="R40" s="13" t="n">
        <v>45</v>
      </c>
      <c r="S40" s="4" t="s">
        <v>445</v>
      </c>
      <c r="T40" s="8" t="n">
        <v>3</v>
      </c>
      <c r="U40" s="45"/>
      <c r="V40" s="13"/>
      <c r="W40" s="46" t="n">
        <v>0</v>
      </c>
      <c r="X40" s="46" t="n">
        <v>0</v>
      </c>
      <c r="Y40" s="46" t="n">
        <v>0</v>
      </c>
      <c r="Z40" s="46" t="n">
        <v>0</v>
      </c>
      <c r="AA40" s="46" t="n">
        <v>0</v>
      </c>
      <c r="AB40" s="46" t="n">
        <v>0</v>
      </c>
      <c r="AC40" s="46" t="n">
        <v>1</v>
      </c>
      <c r="AD40" s="47" t="n">
        <f aca="false">SUMPRODUCT(W40:AC40,INDEX(Diets!$I$5:$O$12,MATCH(Planner!$C$36,Diets!$A$5:$A$12,0),0))+ISNUMBER(SEARCH(","&amp;A40&amp;",",","&amp;SUBSTITUTE(INDEX(Diets!$P$5:$P$12,MATCH(Planner!$C$36,Diets!$A$5:$A$12,0))," ","")&amp;","))*1</f>
        <v>0</v>
      </c>
      <c r="AE40" s="48" t="n">
        <f aca="false">IF(OR(UPPER(U40)="Y",AD40&gt;0),0,1)</f>
        <v>1</v>
      </c>
      <c r="AF40" s="49" t="n">
        <v>0</v>
      </c>
      <c r="AG40" s="49" t="n">
        <v>0.5</v>
      </c>
      <c r="AH40" s="49" t="n">
        <v>0.5</v>
      </c>
      <c r="AI40" s="49" t="n">
        <v>0</v>
      </c>
      <c r="AJ40" s="8"/>
      <c r="AK40" s="4" t="s">
        <v>429</v>
      </c>
      <c r="AL40" s="50"/>
      <c r="AM40" s="13"/>
      <c r="AN40" s="13" t="n">
        <v>30</v>
      </c>
      <c r="AO40" s="50"/>
      <c r="AP40" s="35" t="n">
        <v>1.225</v>
      </c>
      <c r="AQ40" s="35" t="n">
        <v>297</v>
      </c>
      <c r="AR40" s="35" t="n">
        <v>8.01</v>
      </c>
      <c r="AS40" s="35" t="n">
        <v>49.27</v>
      </c>
      <c r="AT40" s="35" t="n">
        <v>7.58</v>
      </c>
      <c r="AU40" s="35" t="n">
        <v>2.4</v>
      </c>
      <c r="AV40" s="35" t="n">
        <v>2.66</v>
      </c>
      <c r="AW40" s="35" t="n">
        <v>163</v>
      </c>
      <c r="AX40" s="35" t="n">
        <v>3.32</v>
      </c>
      <c r="AY40" s="35" t="n">
        <v>133</v>
      </c>
      <c r="AZ40" s="35" t="n">
        <v>742</v>
      </c>
      <c r="BA40" s="35" t="n">
        <v>0</v>
      </c>
      <c r="BB40" s="25" t="n">
        <f aca="false">AR40/Q40</f>
        <v>14.8636472727273</v>
      </c>
      <c r="BC40" s="18" t="n">
        <f aca="false">AQ40/Q40</f>
        <v>551.124</v>
      </c>
      <c r="BD40" s="4" t="s">
        <v>451</v>
      </c>
      <c r="BE40" s="4" t="s">
        <v>452</v>
      </c>
      <c r="BF40" s="4"/>
    </row>
    <row r="41" customFormat="false" ht="15" hidden="false" customHeight="false" outlineLevel="0" collapsed="false">
      <c r="A41" s="4" t="n">
        <v>36</v>
      </c>
      <c r="B41" s="54" t="s">
        <v>424</v>
      </c>
      <c r="C41" s="55" t="s">
        <v>425</v>
      </c>
      <c r="D41" s="14" t="s">
        <v>453</v>
      </c>
      <c r="E41" s="4" t="s">
        <v>454</v>
      </c>
      <c r="F41" s="4" t="s">
        <v>455</v>
      </c>
      <c r="G41" s="38" t="n">
        <v>4.38</v>
      </c>
      <c r="H41" s="21" t="n">
        <v>1190.7</v>
      </c>
      <c r="I41" s="31" t="n">
        <v>1</v>
      </c>
      <c r="J41" s="41" t="n">
        <v>5.1772</v>
      </c>
      <c r="K41" s="31" t="n">
        <v>0.19</v>
      </c>
      <c r="L41" s="42" t="n">
        <f aca="false">G41/(H41*I41*J41)*100</f>
        <v>0.0710520829871978</v>
      </c>
      <c r="M41" s="42" t="n">
        <f aca="false">L41/(1-K41)</f>
        <v>0.0877186209718491</v>
      </c>
      <c r="N41" s="4"/>
      <c r="O41" s="4"/>
      <c r="P41" s="4"/>
      <c r="Q41" s="44" t="n">
        <f aca="false">IF(AND(IF(Planner!$C$39="BLS U.S. average (Sep 2026)",1,0)=1,P41&lt;&gt;""),P41,L41)/(1-IF(AND((Planner!$C$60="Realistic"),Planner!$C$62="Yes"),K41,0))</f>
        <v>0.0877186209718491</v>
      </c>
      <c r="R41" s="13" t="n">
        <v>117</v>
      </c>
      <c r="S41" s="4" t="s">
        <v>361</v>
      </c>
      <c r="T41" s="8" t="n">
        <v>3.5</v>
      </c>
      <c r="U41" s="45"/>
      <c r="V41" s="13"/>
      <c r="W41" s="46" t="n">
        <v>0</v>
      </c>
      <c r="X41" s="46" t="n">
        <v>0</v>
      </c>
      <c r="Y41" s="46" t="n">
        <v>0</v>
      </c>
      <c r="Z41" s="46" t="n">
        <v>0</v>
      </c>
      <c r="AA41" s="46" t="n">
        <v>0</v>
      </c>
      <c r="AB41" s="46" t="n">
        <v>0</v>
      </c>
      <c r="AC41" s="46" t="n">
        <v>1</v>
      </c>
      <c r="AD41" s="47" t="n">
        <f aca="false">SUMPRODUCT(W41:AC41,INDEX(Diets!$I$5:$O$12,MATCH(Planner!$C$36,Diets!$A$5:$A$12,0),0))+ISNUMBER(SEARCH(","&amp;A41&amp;",",","&amp;SUBSTITUTE(INDEX(Diets!$P$5:$P$12,MATCH(Planner!$C$36,Diets!$A$5:$A$12,0))," ","")&amp;","))*1</f>
        <v>0</v>
      </c>
      <c r="AE41" s="48" t="n">
        <f aca="false">IF(OR(UPPER(U41)="Y",AD41&gt;0),0,1)</f>
        <v>1</v>
      </c>
      <c r="AF41" s="49" t="n">
        <v>1</v>
      </c>
      <c r="AG41" s="49" t="n">
        <v>0</v>
      </c>
      <c r="AH41" s="49" t="n">
        <v>0</v>
      </c>
      <c r="AI41" s="49" t="n">
        <v>0</v>
      </c>
      <c r="AJ41" s="8"/>
      <c r="AK41" s="4" t="s">
        <v>429</v>
      </c>
      <c r="AL41" s="50" t="s">
        <v>435</v>
      </c>
      <c r="AM41" s="13" t="n">
        <v>117</v>
      </c>
      <c r="AN41" s="13"/>
      <c r="AO41" s="50"/>
      <c r="AP41" s="35" t="n">
        <v>0.31</v>
      </c>
      <c r="AQ41" s="35" t="n">
        <v>71</v>
      </c>
      <c r="AR41" s="35" t="n">
        <v>2.54</v>
      </c>
      <c r="AS41" s="35" t="n">
        <v>12</v>
      </c>
      <c r="AT41" s="35" t="n">
        <v>1.52</v>
      </c>
      <c r="AU41" s="35" t="n">
        <v>1.7</v>
      </c>
      <c r="AV41" s="35" t="n">
        <v>0.27</v>
      </c>
      <c r="AW41" s="35" t="n">
        <v>9</v>
      </c>
      <c r="AX41" s="35" t="n">
        <v>0.9</v>
      </c>
      <c r="AY41" s="35" t="n">
        <v>70</v>
      </c>
      <c r="AZ41" s="35" t="n">
        <v>4</v>
      </c>
      <c r="BA41" s="35" t="n">
        <v>0</v>
      </c>
      <c r="BB41" s="25" t="n">
        <f aca="false">AR41/Q41</f>
        <v>28.9562235687123</v>
      </c>
      <c r="BC41" s="18" t="n">
        <f aca="false">AQ41/Q41</f>
        <v>809.406249361644</v>
      </c>
      <c r="BD41" s="4" t="s">
        <v>456</v>
      </c>
      <c r="BE41" s="4" t="s">
        <v>457</v>
      </c>
      <c r="BF41" s="4" t="s">
        <v>458</v>
      </c>
    </row>
    <row r="42" customFormat="false" ht="15" hidden="false" customHeight="false" outlineLevel="0" collapsed="false">
      <c r="A42" s="4" t="n">
        <v>37</v>
      </c>
      <c r="B42" s="54" t="s">
        <v>424</v>
      </c>
      <c r="C42" s="55" t="s">
        <v>425</v>
      </c>
      <c r="D42" s="14" t="s">
        <v>459</v>
      </c>
      <c r="E42" s="4" t="s">
        <v>460</v>
      </c>
      <c r="F42" s="4" t="s">
        <v>461</v>
      </c>
      <c r="G42" s="38" t="n">
        <v>3.44</v>
      </c>
      <c r="H42" s="21" t="n">
        <v>453.6</v>
      </c>
      <c r="I42" s="31" t="n">
        <v>1</v>
      </c>
      <c r="J42" s="41" t="n">
        <v>3.0667</v>
      </c>
      <c r="K42" s="31" t="n">
        <v>0.19</v>
      </c>
      <c r="L42" s="42" t="n">
        <f aca="false">G42/(H42*I42*J42)*100</f>
        <v>0.247294298445916</v>
      </c>
      <c r="M42" s="42" t="n">
        <f aca="false">L42/(1-K42)</f>
        <v>0.30530160301965</v>
      </c>
      <c r="N42" s="4"/>
      <c r="O42" s="4"/>
      <c r="P42" s="4"/>
      <c r="Q42" s="44" t="n">
        <f aca="false">IF(AND(IF(Planner!$C$39="BLS U.S. average (Sep 2026)",1,0)=1,P42&lt;&gt;""),P42,L42)/(1-IF(AND((Planner!$C$60="Realistic"),Planner!$C$62="Yes"),K42,0))</f>
        <v>0.30530160301965</v>
      </c>
      <c r="R42" s="13" t="n">
        <v>92.5</v>
      </c>
      <c r="S42" s="4" t="s">
        <v>361</v>
      </c>
      <c r="T42" s="8" t="n">
        <v>4.5</v>
      </c>
      <c r="U42" s="45"/>
      <c r="V42" s="13"/>
      <c r="W42" s="46" t="n">
        <v>0</v>
      </c>
      <c r="X42" s="46" t="n">
        <v>0</v>
      </c>
      <c r="Y42" s="46" t="n">
        <v>0</v>
      </c>
      <c r="Z42" s="46" t="n">
        <v>0</v>
      </c>
      <c r="AA42" s="46" t="n">
        <v>0</v>
      </c>
      <c r="AB42" s="46" t="n">
        <v>0</v>
      </c>
      <c r="AC42" s="46" t="n">
        <v>0</v>
      </c>
      <c r="AD42" s="47" t="n">
        <f aca="false">SUMPRODUCT(W42:AC42,INDEX(Diets!$I$5:$O$12,MATCH(Planner!$C$36,Diets!$A$5:$A$12,0),0))+ISNUMBER(SEARCH(","&amp;A42&amp;",",","&amp;SUBSTITUTE(INDEX(Diets!$P$5:$P$12,MATCH(Planner!$C$36,Diets!$A$5:$A$12,0))," ","")&amp;","))*1</f>
        <v>0</v>
      </c>
      <c r="AE42" s="48" t="n">
        <f aca="false">IF(OR(UPPER(U42)="Y",AD42&gt;0),0,1)</f>
        <v>1</v>
      </c>
      <c r="AF42" s="49" t="n">
        <v>0</v>
      </c>
      <c r="AG42" s="49" t="n">
        <v>0.5</v>
      </c>
      <c r="AH42" s="49" t="n">
        <v>0.5</v>
      </c>
      <c r="AI42" s="49" t="n">
        <v>0</v>
      </c>
      <c r="AJ42" s="8"/>
      <c r="AK42" s="4" t="s">
        <v>429</v>
      </c>
      <c r="AL42" s="50" t="s">
        <v>435</v>
      </c>
      <c r="AM42" s="13" t="n">
        <v>92.5</v>
      </c>
      <c r="AN42" s="13"/>
      <c r="AO42" s="50"/>
      <c r="AP42" s="35" t="n">
        <v>0.231</v>
      </c>
      <c r="AQ42" s="35" t="n">
        <v>120</v>
      </c>
      <c r="AR42" s="35" t="n">
        <v>4.4</v>
      </c>
      <c r="AS42" s="35" t="n">
        <v>21.3</v>
      </c>
      <c r="AT42" s="35" t="n">
        <v>1.92</v>
      </c>
      <c r="AU42" s="35" t="n">
        <v>2.8</v>
      </c>
      <c r="AV42" s="35" t="n">
        <v>0.87</v>
      </c>
      <c r="AW42" s="35" t="n">
        <v>17</v>
      </c>
      <c r="AX42" s="35" t="n">
        <v>1.49</v>
      </c>
      <c r="AY42" s="35" t="n">
        <v>172</v>
      </c>
      <c r="AZ42" s="35" t="n">
        <v>7</v>
      </c>
      <c r="BA42" s="35" t="n">
        <v>0</v>
      </c>
      <c r="BB42" s="25" t="n">
        <f aca="false">AR42/Q42</f>
        <v>14.4119780455814</v>
      </c>
      <c r="BC42" s="18" t="n">
        <f aca="false">AQ42/Q42</f>
        <v>393.053946697674</v>
      </c>
      <c r="BD42" s="4" t="s">
        <v>462</v>
      </c>
      <c r="BE42" s="4" t="s">
        <v>459</v>
      </c>
      <c r="BF42" s="4"/>
    </row>
    <row r="43" customFormat="false" ht="15" hidden="false" customHeight="false" outlineLevel="0" collapsed="false">
      <c r="A43" s="4" t="n">
        <v>38</v>
      </c>
      <c r="B43" s="54" t="s">
        <v>424</v>
      </c>
      <c r="C43" s="55" t="s">
        <v>425</v>
      </c>
      <c r="D43" s="14" t="s">
        <v>463</v>
      </c>
      <c r="E43" s="4" t="s">
        <v>464</v>
      </c>
      <c r="F43" s="4" t="s">
        <v>465</v>
      </c>
      <c r="G43" s="38" t="n">
        <v>1.36</v>
      </c>
      <c r="H43" s="21" t="n">
        <v>453.6</v>
      </c>
      <c r="I43" s="31" t="n">
        <v>1</v>
      </c>
      <c r="J43" s="41" t="n">
        <v>2.2483</v>
      </c>
      <c r="K43" s="31" t="n">
        <v>0.19</v>
      </c>
      <c r="L43" s="42" t="n">
        <f aca="false">G43/(H43*I43*J43)*100</f>
        <v>0.13335570571408</v>
      </c>
      <c r="M43" s="42" t="n">
        <f aca="false">L43/(1-K43)</f>
        <v>0.164636673721087</v>
      </c>
      <c r="N43" s="43" t="n">
        <v>1.375</v>
      </c>
      <c r="O43" s="21" t="n">
        <v>453.6</v>
      </c>
      <c r="P43" s="42" t="n">
        <f aca="false">N43/(O43*I43*J43)*100</f>
        <v>0.134826540703574</v>
      </c>
      <c r="Q43" s="44" t="n">
        <f aca="false">IF(AND(IF(Planner!$C$39="BLS U.S. average (Sep 2026)",1,0)=1,P43&lt;&gt;""),P43,L43)/(1-IF(AND((Planner!$C$60="Realistic"),Planner!$C$62="Yes"),K43,0))</f>
        <v>0.164636673721087</v>
      </c>
      <c r="R43" s="13" t="n">
        <v>62</v>
      </c>
      <c r="S43" s="4" t="s">
        <v>361</v>
      </c>
      <c r="T43" s="8" t="n">
        <v>6</v>
      </c>
      <c r="U43" s="45"/>
      <c r="V43" s="13"/>
      <c r="W43" s="46" t="n">
        <v>0</v>
      </c>
      <c r="X43" s="46" t="n">
        <v>0</v>
      </c>
      <c r="Y43" s="46" t="n">
        <v>0</v>
      </c>
      <c r="Z43" s="46" t="n">
        <v>0</v>
      </c>
      <c r="AA43" s="46" t="n">
        <v>0</v>
      </c>
      <c r="AB43" s="46" t="n">
        <v>0</v>
      </c>
      <c r="AC43" s="46" t="n">
        <v>1</v>
      </c>
      <c r="AD43" s="47" t="n">
        <f aca="false">SUMPRODUCT(W43:AC43,INDEX(Diets!$I$5:$O$12,MATCH(Planner!$C$36,Diets!$A$5:$A$12,0),0))+ISNUMBER(SEARCH(","&amp;A43&amp;",",","&amp;SUBSTITUTE(INDEX(Diets!$P$5:$P$12,MATCH(Planner!$C$36,Diets!$A$5:$A$12,0))," ","")&amp;","))*1</f>
        <v>0</v>
      </c>
      <c r="AE43" s="48" t="n">
        <f aca="false">IF(OR(UPPER(U43)="Y",AD43&gt;0),0,1)</f>
        <v>1</v>
      </c>
      <c r="AF43" s="49" t="n">
        <v>0</v>
      </c>
      <c r="AG43" s="49" t="n">
        <v>0.5</v>
      </c>
      <c r="AH43" s="49" t="n">
        <v>0.5</v>
      </c>
      <c r="AI43" s="49" t="n">
        <v>0</v>
      </c>
      <c r="AJ43" s="8"/>
      <c r="AK43" s="4" t="s">
        <v>429</v>
      </c>
      <c r="AL43" s="50"/>
      <c r="AM43" s="13"/>
      <c r="AN43" s="13" t="n">
        <v>62</v>
      </c>
      <c r="AO43" s="50"/>
      <c r="AP43" s="35" t="n">
        <v>0.176</v>
      </c>
      <c r="AQ43" s="35" t="n">
        <v>158</v>
      </c>
      <c r="AR43" s="35" t="n">
        <v>5.8</v>
      </c>
      <c r="AS43" s="35" t="n">
        <v>30.86</v>
      </c>
      <c r="AT43" s="35" t="n">
        <v>0.93</v>
      </c>
      <c r="AU43" s="35" t="n">
        <v>1.8</v>
      </c>
      <c r="AV43" s="35" t="n">
        <v>0.56</v>
      </c>
      <c r="AW43" s="35" t="n">
        <v>7</v>
      </c>
      <c r="AX43" s="35" t="n">
        <v>1.28</v>
      </c>
      <c r="AY43" s="35" t="n">
        <v>44</v>
      </c>
      <c r="AZ43" s="35" t="n">
        <v>1</v>
      </c>
      <c r="BA43" s="35" t="n">
        <v>0</v>
      </c>
      <c r="BB43" s="25" t="n">
        <f aca="false">AR43/Q43</f>
        <v>35.2290888105882</v>
      </c>
      <c r="BC43" s="18" t="n">
        <f aca="false">AQ43/Q43</f>
        <v>959.688971047059</v>
      </c>
      <c r="BD43" s="4" t="s">
        <v>466</v>
      </c>
      <c r="BE43" s="4" t="s">
        <v>467</v>
      </c>
      <c r="BF43" s="4"/>
    </row>
    <row r="44" customFormat="false" ht="15" hidden="false" customHeight="false" outlineLevel="0" collapsed="false">
      <c r="A44" s="4" t="n">
        <v>39</v>
      </c>
      <c r="B44" s="54" t="s">
        <v>424</v>
      </c>
      <c r="C44" s="55" t="s">
        <v>425</v>
      </c>
      <c r="D44" s="14" t="s">
        <v>468</v>
      </c>
      <c r="E44" s="4" t="s">
        <v>468</v>
      </c>
      <c r="F44" s="4" t="s">
        <v>469</v>
      </c>
      <c r="G44" s="38" t="n">
        <v>1.52</v>
      </c>
      <c r="H44" s="21" t="n">
        <v>567</v>
      </c>
      <c r="I44" s="31" t="n">
        <v>1</v>
      </c>
      <c r="J44" s="41" t="n">
        <v>1</v>
      </c>
      <c r="K44" s="31" t="n">
        <v>0.19</v>
      </c>
      <c r="L44" s="42" t="n">
        <f aca="false">G44/(H44*I44*J44)*100</f>
        <v>0.268077601410935</v>
      </c>
      <c r="M44" s="42" t="n">
        <f aca="false">L44/(1-K44)</f>
        <v>0.330960001741895</v>
      </c>
      <c r="N44" s="43" t="n">
        <v>1.83</v>
      </c>
      <c r="O44" s="21" t="n">
        <v>453.6</v>
      </c>
      <c r="P44" s="42" t="n">
        <f aca="false">N44/(O44*I44*J44)*100</f>
        <v>0.403439153439153</v>
      </c>
      <c r="Q44" s="44" t="n">
        <f aca="false">IF(AND(IF(Planner!$C$39="BLS U.S. average (Sep 2026)",1,0)=1,P44&lt;&gt;""),P44,L44)/(1-IF(AND((Planner!$C$60="Realistic"),Planner!$C$62="Yes"),K44,0))</f>
        <v>0.330960001741895</v>
      </c>
      <c r="R44" s="13" t="n">
        <v>28</v>
      </c>
      <c r="S44" s="4" t="s">
        <v>406</v>
      </c>
      <c r="T44" s="8" t="n">
        <v>4</v>
      </c>
      <c r="U44" s="45"/>
      <c r="V44" s="13"/>
      <c r="W44" s="46" t="n">
        <v>0</v>
      </c>
      <c r="X44" s="46" t="n">
        <v>0</v>
      </c>
      <c r="Y44" s="46" t="n">
        <v>0</v>
      </c>
      <c r="Z44" s="46" t="n">
        <v>0</v>
      </c>
      <c r="AA44" s="46" t="n">
        <v>0</v>
      </c>
      <c r="AB44" s="46" t="n">
        <v>0</v>
      </c>
      <c r="AC44" s="46" t="n">
        <v>1</v>
      </c>
      <c r="AD44" s="47" t="n">
        <f aca="false">SUMPRODUCT(W44:AC44,INDEX(Diets!$I$5:$O$12,MATCH(Planner!$C$36,Diets!$A$5:$A$12,0),0))+ISNUMBER(SEARCH(","&amp;A44&amp;",",","&amp;SUBSTITUTE(INDEX(Diets!$P$5:$P$12,MATCH(Planner!$C$36,Diets!$A$5:$A$12,0))," ","")&amp;","))*1</f>
        <v>0</v>
      </c>
      <c r="AE44" s="48" t="n">
        <f aca="false">IF(OR(UPPER(U44)="Y",AD44&gt;0),0,1)</f>
        <v>1</v>
      </c>
      <c r="AF44" s="49" t="n">
        <v>0.5</v>
      </c>
      <c r="AG44" s="49" t="n">
        <v>0.5</v>
      </c>
      <c r="AH44" s="49" t="n">
        <v>0</v>
      </c>
      <c r="AI44" s="49" t="n">
        <v>0</v>
      </c>
      <c r="AJ44" s="8"/>
      <c r="AK44" s="4" t="s">
        <v>429</v>
      </c>
      <c r="AL44" s="50"/>
      <c r="AM44" s="13"/>
      <c r="AN44" s="13" t="n">
        <v>28</v>
      </c>
      <c r="AO44" s="50"/>
      <c r="AP44" s="35" t="n">
        <v>0.698</v>
      </c>
      <c r="AQ44" s="35" t="n">
        <v>266</v>
      </c>
      <c r="AR44" s="35" t="n">
        <v>8.85</v>
      </c>
      <c r="AS44" s="35" t="n">
        <v>49.42</v>
      </c>
      <c r="AT44" s="35" t="n">
        <v>3.33</v>
      </c>
      <c r="AU44" s="35" t="n">
        <v>2.7</v>
      </c>
      <c r="AV44" s="35" t="n">
        <v>5.67</v>
      </c>
      <c r="AW44" s="35" t="n">
        <v>144</v>
      </c>
      <c r="AX44" s="35" t="n">
        <v>3.61</v>
      </c>
      <c r="AY44" s="35" t="n">
        <v>126</v>
      </c>
      <c r="AZ44" s="35" t="n">
        <v>490</v>
      </c>
      <c r="BA44" s="35" t="n">
        <v>0</v>
      </c>
      <c r="BB44" s="25" t="n">
        <f aca="false">AR44/Q44</f>
        <v>26.7403914473684</v>
      </c>
      <c r="BC44" s="18" t="n">
        <f aca="false">AQ44/Q44</f>
        <v>803.7225</v>
      </c>
      <c r="BD44" s="4" t="s">
        <v>470</v>
      </c>
      <c r="BE44" s="4" t="s">
        <v>471</v>
      </c>
      <c r="BF44" s="4"/>
    </row>
    <row r="45" customFormat="false" ht="15" hidden="false" customHeight="false" outlineLevel="0" collapsed="false">
      <c r="A45" s="4" t="n">
        <v>40</v>
      </c>
      <c r="B45" s="54" t="s">
        <v>424</v>
      </c>
      <c r="C45" s="55" t="s">
        <v>425</v>
      </c>
      <c r="D45" s="14" t="s">
        <v>472</v>
      </c>
      <c r="E45" s="4" t="s">
        <v>473</v>
      </c>
      <c r="F45" s="4" t="s">
        <v>474</v>
      </c>
      <c r="G45" s="51" t="n">
        <v>2.48</v>
      </c>
      <c r="H45" s="21" t="n">
        <v>2268</v>
      </c>
      <c r="I45" s="31" t="n">
        <v>1</v>
      </c>
      <c r="J45" s="41" t="n">
        <v>2.6506</v>
      </c>
      <c r="K45" s="31" t="n">
        <v>0.19</v>
      </c>
      <c r="L45" s="42" t="n">
        <f aca="false">G45/(H45*I45*J45)*100</f>
        <v>0.0412538454239704</v>
      </c>
      <c r="M45" s="42" t="n">
        <f aca="false">L45/(1-K45)</f>
        <v>0.0509306733629265</v>
      </c>
      <c r="N45" s="43" t="n">
        <v>1.118</v>
      </c>
      <c r="O45" s="21" t="n">
        <v>453.6</v>
      </c>
      <c r="P45" s="42" t="n">
        <f aca="false">N45/(O45*I45*J45)*100</f>
        <v>0.0929874983548366</v>
      </c>
      <c r="Q45" s="44" t="n">
        <f aca="false">IF(AND(IF(Planner!$C$39="BLS U.S. average (Sep 2026)",1,0)=1,P45&lt;&gt;""),P45,L45)/(1-IF(AND((Planner!$C$60="Realistic"),Planner!$C$62="Yes"),K45,0))</f>
        <v>0.0509306733629265</v>
      </c>
      <c r="R45" s="13" t="n">
        <v>79</v>
      </c>
      <c r="S45" s="4" t="s">
        <v>361</v>
      </c>
      <c r="T45" s="8" t="n">
        <v>6</v>
      </c>
      <c r="U45" s="45"/>
      <c r="V45" s="13"/>
      <c r="W45" s="46" t="n">
        <v>0</v>
      </c>
      <c r="X45" s="46" t="n">
        <v>0</v>
      </c>
      <c r="Y45" s="46" t="n">
        <v>0</v>
      </c>
      <c r="Z45" s="46" t="n">
        <v>0</v>
      </c>
      <c r="AA45" s="46" t="n">
        <v>0</v>
      </c>
      <c r="AB45" s="46" t="n">
        <v>0</v>
      </c>
      <c r="AC45" s="46" t="n">
        <v>0</v>
      </c>
      <c r="AD45" s="47" t="n">
        <f aca="false">SUMPRODUCT(W45:AC45,INDEX(Diets!$I$5:$O$12,MATCH(Planner!$C$36,Diets!$A$5:$A$12,0),0))+ISNUMBER(SEARCH(","&amp;A45&amp;",",","&amp;SUBSTITUTE(INDEX(Diets!$P$5:$P$12,MATCH(Planner!$C$36,Diets!$A$5:$A$12,0))," ","")&amp;","))*1</f>
        <v>0</v>
      </c>
      <c r="AE45" s="48" t="n">
        <f aca="false">IF(OR(UPPER(U45)="Y",AD45&gt;0),0,1)</f>
        <v>1</v>
      </c>
      <c r="AF45" s="49" t="n">
        <v>0</v>
      </c>
      <c r="AG45" s="49" t="n">
        <v>0.5</v>
      </c>
      <c r="AH45" s="49" t="n">
        <v>0.5</v>
      </c>
      <c r="AI45" s="49" t="n">
        <v>0</v>
      </c>
      <c r="AJ45" s="8"/>
      <c r="AK45" s="4" t="s">
        <v>429</v>
      </c>
      <c r="AL45" s="50"/>
      <c r="AM45" s="13"/>
      <c r="AN45" s="13" t="n">
        <v>79</v>
      </c>
      <c r="AO45" s="50"/>
      <c r="AP45" s="35" t="n">
        <v>0.077</v>
      </c>
      <c r="AQ45" s="35" t="n">
        <v>130</v>
      </c>
      <c r="AR45" s="35" t="n">
        <v>2.69</v>
      </c>
      <c r="AS45" s="35" t="n">
        <v>28.17</v>
      </c>
      <c r="AT45" s="35" t="n">
        <v>0.28</v>
      </c>
      <c r="AU45" s="35" t="n">
        <v>0.4</v>
      </c>
      <c r="AV45" s="35" t="n">
        <v>0.05</v>
      </c>
      <c r="AW45" s="35" t="n">
        <v>10</v>
      </c>
      <c r="AX45" s="35" t="n">
        <v>1.2</v>
      </c>
      <c r="AY45" s="35" t="n">
        <v>35</v>
      </c>
      <c r="AZ45" s="35" t="n">
        <v>1</v>
      </c>
      <c r="BA45" s="35" t="n">
        <v>0</v>
      </c>
      <c r="BB45" s="25" t="n">
        <f aca="false">AR45/Q45</f>
        <v>52.8168944641935</v>
      </c>
      <c r="BC45" s="18" t="n">
        <f aca="false">AQ45/Q45</f>
        <v>2552.48932354839</v>
      </c>
      <c r="BD45" s="4" t="s">
        <v>475</v>
      </c>
      <c r="BE45" s="4" t="s">
        <v>476</v>
      </c>
      <c r="BF45" s="4" t="s">
        <v>379</v>
      </c>
    </row>
    <row r="46" customFormat="false" ht="15" hidden="false" customHeight="false" outlineLevel="0" collapsed="false">
      <c r="A46" s="4" t="n">
        <v>41</v>
      </c>
      <c r="B46" s="54" t="s">
        <v>424</v>
      </c>
      <c r="C46" s="55" t="s">
        <v>425</v>
      </c>
      <c r="D46" s="14" t="s">
        <v>477</v>
      </c>
      <c r="E46" s="4" t="s">
        <v>477</v>
      </c>
      <c r="F46" s="4" t="s">
        <v>478</v>
      </c>
      <c r="G46" s="38" t="n">
        <v>2.02</v>
      </c>
      <c r="H46" s="21" t="n">
        <v>567</v>
      </c>
      <c r="I46" s="31" t="n">
        <v>1</v>
      </c>
      <c r="J46" s="41" t="n">
        <v>1</v>
      </c>
      <c r="K46" s="31" t="n">
        <v>0.19</v>
      </c>
      <c r="L46" s="42" t="n">
        <f aca="false">G46/(H46*I46*J46)*100</f>
        <v>0.35626102292769</v>
      </c>
      <c r="M46" s="42" t="n">
        <f aca="false">L46/(1-K46)</f>
        <v>0.439828423367518</v>
      </c>
      <c r="N46" s="4"/>
      <c r="O46" s="4"/>
      <c r="P46" s="4"/>
      <c r="Q46" s="44" t="n">
        <f aca="false">IF(AND(IF(Planner!$C$39="BLS U.S. average (Sep 2026)",1,0)=1,P46&lt;&gt;""),P46,L46)/(1-IF(AND((Planner!$C$60="Realistic"),Planner!$C$62="Yes"),K46,0))</f>
        <v>0.439828423367518</v>
      </c>
      <c r="R46" s="13" t="n">
        <v>32</v>
      </c>
      <c r="S46" s="4" t="s">
        <v>406</v>
      </c>
      <c r="T46" s="8" t="n">
        <v>4</v>
      </c>
      <c r="U46" s="45"/>
      <c r="V46" s="13"/>
      <c r="W46" s="46" t="n">
        <v>0</v>
      </c>
      <c r="X46" s="46" t="n">
        <v>0</v>
      </c>
      <c r="Y46" s="46" t="n">
        <v>0</v>
      </c>
      <c r="Z46" s="46" t="n">
        <v>0</v>
      </c>
      <c r="AA46" s="46" t="n">
        <v>0</v>
      </c>
      <c r="AB46" s="46" t="n">
        <v>0</v>
      </c>
      <c r="AC46" s="46" t="n">
        <v>1</v>
      </c>
      <c r="AD46" s="47" t="n">
        <f aca="false">SUMPRODUCT(W46:AC46,INDEX(Diets!$I$5:$O$12,MATCH(Planner!$C$36,Diets!$A$5:$A$12,0),0))+ISNUMBER(SEARCH(","&amp;A46&amp;",",","&amp;SUBSTITUTE(INDEX(Diets!$P$5:$P$12,MATCH(Planner!$C$36,Diets!$A$5:$A$12,0))," ","")&amp;","))*1</f>
        <v>0</v>
      </c>
      <c r="AE46" s="48" t="n">
        <f aca="false">IF(OR(UPPER(U46)="Y",AD46&gt;0),0,1)</f>
        <v>1</v>
      </c>
      <c r="AF46" s="49" t="n">
        <v>0.5</v>
      </c>
      <c r="AG46" s="49" t="n">
        <v>0.5</v>
      </c>
      <c r="AH46" s="49" t="n">
        <v>0</v>
      </c>
      <c r="AI46" s="49" t="n">
        <v>0</v>
      </c>
      <c r="AJ46" s="8"/>
      <c r="AK46" s="4" t="s">
        <v>429</v>
      </c>
      <c r="AL46" s="50" t="s">
        <v>435</v>
      </c>
      <c r="AM46" s="13" t="n">
        <v>32</v>
      </c>
      <c r="AN46" s="13"/>
      <c r="AO46" s="50"/>
      <c r="AP46" s="35" t="n">
        <v>0.722</v>
      </c>
      <c r="AQ46" s="35" t="n">
        <v>252</v>
      </c>
      <c r="AR46" s="35" t="n">
        <v>12.45</v>
      </c>
      <c r="AS46" s="35" t="n">
        <v>42.71</v>
      </c>
      <c r="AT46" s="35" t="n">
        <v>3.5</v>
      </c>
      <c r="AU46" s="35" t="n">
        <v>6</v>
      </c>
      <c r="AV46" s="35" t="n">
        <v>4.34</v>
      </c>
      <c r="AW46" s="35" t="n">
        <v>161</v>
      </c>
      <c r="AX46" s="35" t="n">
        <v>2.47</v>
      </c>
      <c r="AY46" s="35" t="n">
        <v>254</v>
      </c>
      <c r="AZ46" s="35" t="n">
        <v>455</v>
      </c>
      <c r="BA46" s="35" t="n">
        <v>0</v>
      </c>
      <c r="BB46" s="25" t="n">
        <f aca="false">AR46/Q46</f>
        <v>28.3064925742574</v>
      </c>
      <c r="BC46" s="18" t="n">
        <f aca="false">AQ46/Q46</f>
        <v>572.950693069307</v>
      </c>
      <c r="BD46" s="4" t="s">
        <v>479</v>
      </c>
      <c r="BE46" s="4" t="s">
        <v>480</v>
      </c>
      <c r="BF46" s="4"/>
    </row>
    <row r="47" customFormat="false" ht="15" hidden="false" customHeight="false" outlineLevel="0" collapsed="false">
      <c r="A47" s="4" t="n">
        <v>42</v>
      </c>
      <c r="B47" s="54" t="s">
        <v>424</v>
      </c>
      <c r="C47" s="55" t="s">
        <v>425</v>
      </c>
      <c r="D47" s="14" t="s">
        <v>481</v>
      </c>
      <c r="E47" s="4" t="s">
        <v>482</v>
      </c>
      <c r="F47" s="4" t="s">
        <v>465</v>
      </c>
      <c r="G47" s="51" t="n">
        <v>1.74</v>
      </c>
      <c r="H47" s="21" t="n">
        <v>453.6</v>
      </c>
      <c r="I47" s="31" t="n">
        <v>1</v>
      </c>
      <c r="J47" s="41" t="n">
        <v>2.3155</v>
      </c>
      <c r="K47" s="31" t="n">
        <v>0.19</v>
      </c>
      <c r="L47" s="42" t="n">
        <f aca="false">G47/(H47*I47*J47)*100</f>
        <v>0.165665248800641</v>
      </c>
      <c r="M47" s="42" t="n">
        <f aca="false">L47/(1-K47)</f>
        <v>0.20452499851931</v>
      </c>
      <c r="N47" s="4"/>
      <c r="O47" s="4"/>
      <c r="P47" s="4"/>
      <c r="Q47" s="44" t="n">
        <f aca="false">IF(AND(IF(Planner!$C$39="BLS U.S. average (Sep 2026)",1,0)=1,P47&lt;&gt;""),P47,L47)/(1-IF(AND((Planner!$C$60="Realistic"),Planner!$C$62="Yes"),K47,0))</f>
        <v>0.20452499851931</v>
      </c>
      <c r="R47" s="13" t="n">
        <v>58.5</v>
      </c>
      <c r="S47" s="4" t="s">
        <v>361</v>
      </c>
      <c r="T47" s="8" t="n">
        <v>7</v>
      </c>
      <c r="U47" s="45"/>
      <c r="V47" s="13"/>
      <c r="W47" s="46" t="n">
        <v>0</v>
      </c>
      <c r="X47" s="46" t="n">
        <v>0</v>
      </c>
      <c r="Y47" s="46" t="n">
        <v>0</v>
      </c>
      <c r="Z47" s="46" t="n">
        <v>0</v>
      </c>
      <c r="AA47" s="46" t="n">
        <v>0</v>
      </c>
      <c r="AB47" s="46" t="n">
        <v>0</v>
      </c>
      <c r="AC47" s="46" t="n">
        <v>1</v>
      </c>
      <c r="AD47" s="47" t="n">
        <f aca="false">SUMPRODUCT(W47:AC47,INDEX(Diets!$I$5:$O$12,MATCH(Planner!$C$36,Diets!$A$5:$A$12,0),0))+ISNUMBER(SEARCH(","&amp;A47&amp;",",","&amp;SUBSTITUTE(INDEX(Diets!$P$5:$P$12,MATCH(Planner!$C$36,Diets!$A$5:$A$12,0))," ","")&amp;","))*1</f>
        <v>0</v>
      </c>
      <c r="AE47" s="48" t="n">
        <f aca="false">IF(OR(UPPER(U47)="Y",AD47&gt;0),0,1)</f>
        <v>1</v>
      </c>
      <c r="AF47" s="49" t="n">
        <v>0</v>
      </c>
      <c r="AG47" s="49" t="n">
        <v>0.5</v>
      </c>
      <c r="AH47" s="49" t="n">
        <v>0.5</v>
      </c>
      <c r="AI47" s="49" t="n">
        <v>0</v>
      </c>
      <c r="AJ47" s="8"/>
      <c r="AK47" s="4" t="s">
        <v>429</v>
      </c>
      <c r="AL47" s="50" t="s">
        <v>435</v>
      </c>
      <c r="AM47" s="13" t="n">
        <v>58.5</v>
      </c>
      <c r="AN47" s="13"/>
      <c r="AO47" s="50"/>
      <c r="AP47" s="35" t="n">
        <v>0.243</v>
      </c>
      <c r="AQ47" s="35" t="n">
        <v>149</v>
      </c>
      <c r="AR47" s="35" t="n">
        <v>5.99</v>
      </c>
      <c r="AS47" s="35" t="n">
        <v>30.07</v>
      </c>
      <c r="AT47" s="35" t="n">
        <v>1.71</v>
      </c>
      <c r="AU47" s="35" t="n">
        <v>3.9</v>
      </c>
      <c r="AV47" s="35" t="n">
        <v>0.75</v>
      </c>
      <c r="AW47" s="35" t="n">
        <v>13</v>
      </c>
      <c r="AX47" s="35" t="n">
        <v>1.72</v>
      </c>
      <c r="AY47" s="35" t="n">
        <v>96</v>
      </c>
      <c r="AZ47" s="35" t="n">
        <v>4</v>
      </c>
      <c r="BA47" s="35" t="n">
        <v>0</v>
      </c>
      <c r="BB47" s="25" t="n">
        <f aca="false">AR47/Q47</f>
        <v>29.2873733937931</v>
      </c>
      <c r="BC47" s="18" t="n">
        <f aca="false">AQ47/Q47</f>
        <v>728.517301448276</v>
      </c>
      <c r="BD47" s="4" t="s">
        <v>483</v>
      </c>
      <c r="BE47" s="4" t="s">
        <v>484</v>
      </c>
      <c r="BF47" s="4" t="s">
        <v>423</v>
      </c>
    </row>
    <row r="48" customFormat="false" ht="15" hidden="false" customHeight="false" outlineLevel="0" collapsed="false">
      <c r="A48" s="4" t="n">
        <v>43</v>
      </c>
      <c r="B48" s="54" t="s">
        <v>424</v>
      </c>
      <c r="C48" s="55" t="s">
        <v>485</v>
      </c>
      <c r="D48" s="14" t="s">
        <v>486</v>
      </c>
      <c r="E48" s="4" t="s">
        <v>487</v>
      </c>
      <c r="F48" s="4" t="s">
        <v>488</v>
      </c>
      <c r="G48" s="38" t="n">
        <v>4.86</v>
      </c>
      <c r="H48" s="21" t="n">
        <v>2268</v>
      </c>
      <c r="I48" s="31" t="n">
        <v>0.75</v>
      </c>
      <c r="J48" s="41" t="n">
        <v>0.82</v>
      </c>
      <c r="K48" s="31" t="n">
        <v>0.24</v>
      </c>
      <c r="L48" s="42" t="n">
        <f aca="false">G48/(H48*I48*J48)*100</f>
        <v>0.348432055749129</v>
      </c>
      <c r="M48" s="42" t="n">
        <f aca="false">L48/(1-K48)</f>
        <v>0.458463231248854</v>
      </c>
      <c r="N48" s="43" t="n">
        <v>0.989</v>
      </c>
      <c r="O48" s="21" t="n">
        <v>453.6</v>
      </c>
      <c r="P48" s="42" t="n">
        <f aca="false">N48/(O48*I48*J48)*100</f>
        <v>0.354526032032807</v>
      </c>
      <c r="Q48" s="44" t="n">
        <f aca="false">IF(AND(IF(Planner!$C$39="BLS U.S. average (Sep 2026)",1,0)=1,P48&lt;&gt;""),P48,L48)/(1-IF(AND((Planner!$C$60="Realistic"),Planner!$C$62="Yes"),K48,0))</f>
        <v>0.458463231248854</v>
      </c>
      <c r="R48" s="13" t="n">
        <v>173</v>
      </c>
      <c r="S48" s="4" t="s">
        <v>489</v>
      </c>
      <c r="T48" s="8" t="n">
        <v>1.5</v>
      </c>
      <c r="U48" s="45"/>
      <c r="V48" s="13"/>
      <c r="W48" s="46" t="n">
        <v>0</v>
      </c>
      <c r="X48" s="46" t="n">
        <v>0</v>
      </c>
      <c r="Y48" s="46" t="n">
        <v>0</v>
      </c>
      <c r="Z48" s="46" t="n">
        <v>0</v>
      </c>
      <c r="AA48" s="46" t="n">
        <v>0</v>
      </c>
      <c r="AB48" s="46" t="n">
        <v>0</v>
      </c>
      <c r="AC48" s="46" t="n">
        <v>0</v>
      </c>
      <c r="AD48" s="47" t="n">
        <f aca="false">SUMPRODUCT(W48:AC48,INDEX(Diets!$I$5:$O$12,MATCH(Planner!$C$36,Diets!$A$5:$A$12,0),0))+ISNUMBER(SEARCH(","&amp;A48&amp;",",","&amp;SUBSTITUTE(INDEX(Diets!$P$5:$P$12,MATCH(Planner!$C$36,Diets!$A$5:$A$12,0))," ","")&amp;","))*1</f>
        <v>0</v>
      </c>
      <c r="AE48" s="48" t="n">
        <f aca="false">IF(OR(UPPER(U48)="Y",AD48&gt;0),0,1)</f>
        <v>1</v>
      </c>
      <c r="AF48" s="49" t="n">
        <v>0</v>
      </c>
      <c r="AG48" s="49" t="n">
        <v>0.5</v>
      </c>
      <c r="AH48" s="49" t="n">
        <v>0.5</v>
      </c>
      <c r="AI48" s="49" t="n">
        <v>0</v>
      </c>
      <c r="AJ48" s="8" t="n">
        <v>173</v>
      </c>
      <c r="AK48" s="4"/>
      <c r="AL48" s="50" t="s">
        <v>490</v>
      </c>
      <c r="AM48" s="13" t="n">
        <v>173</v>
      </c>
      <c r="AN48" s="13"/>
      <c r="AO48" s="50"/>
      <c r="AP48" s="35" t="n">
        <v>0.034</v>
      </c>
      <c r="AQ48" s="35" t="n">
        <v>93</v>
      </c>
      <c r="AR48" s="35" t="n">
        <v>2.5</v>
      </c>
      <c r="AS48" s="35" t="n">
        <v>21.15</v>
      </c>
      <c r="AT48" s="35" t="n">
        <v>0.13</v>
      </c>
      <c r="AU48" s="35" t="n">
        <v>2.2</v>
      </c>
      <c r="AV48" s="35" t="n">
        <v>1.18</v>
      </c>
      <c r="AW48" s="35" t="n">
        <v>15</v>
      </c>
      <c r="AX48" s="35" t="n">
        <v>1.08</v>
      </c>
      <c r="AY48" s="35" t="n">
        <v>535</v>
      </c>
      <c r="AZ48" s="35" t="n">
        <v>10</v>
      </c>
      <c r="BA48" s="35" t="n">
        <v>9.6</v>
      </c>
      <c r="BB48" s="25" t="n">
        <f aca="false">AR48/Q48</f>
        <v>5.453</v>
      </c>
      <c r="BC48" s="18" t="n">
        <f aca="false">AQ48/Q48</f>
        <v>202.8516</v>
      </c>
      <c r="BD48" s="4" t="s">
        <v>491</v>
      </c>
      <c r="BE48" s="4" t="s">
        <v>492</v>
      </c>
      <c r="BF48" s="4" t="s">
        <v>493</v>
      </c>
    </row>
    <row r="49" customFormat="false" ht="15" hidden="false" customHeight="false" outlineLevel="0" collapsed="false">
      <c r="A49" s="4" t="n">
        <v>44</v>
      </c>
      <c r="B49" s="54" t="s">
        <v>424</v>
      </c>
      <c r="C49" s="55" t="s">
        <v>485</v>
      </c>
      <c r="D49" s="14" t="s">
        <v>494</v>
      </c>
      <c r="E49" s="4" t="s">
        <v>495</v>
      </c>
      <c r="F49" s="4" t="s">
        <v>496</v>
      </c>
      <c r="G49" s="51" t="n">
        <v>3.62</v>
      </c>
      <c r="H49" s="21" t="n">
        <v>1360.8</v>
      </c>
      <c r="I49" s="31" t="n">
        <v>0.72</v>
      </c>
      <c r="J49" s="41" t="n">
        <v>0.7811</v>
      </c>
      <c r="K49" s="31" t="n">
        <v>0.24</v>
      </c>
      <c r="L49" s="42" t="n">
        <f aca="false">G49/(H49*I49*J49)*100</f>
        <v>0.473015242468261</v>
      </c>
      <c r="M49" s="42" t="n">
        <f aca="false">L49/(1-K49)</f>
        <v>0.622388476931923</v>
      </c>
      <c r="N49" s="4"/>
      <c r="O49" s="4"/>
      <c r="P49" s="4"/>
      <c r="Q49" s="44" t="n">
        <f aca="false">IF(AND(IF(Planner!$C$39="BLS U.S. average (Sep 2026)",1,0)=1,P49&lt;&gt;""),P49,L49)/(1-IF(AND((Planner!$C$60="Realistic"),Planner!$C$62="Yes"),K49,0))</f>
        <v>0.622388476931923</v>
      </c>
      <c r="R49" s="13" t="n">
        <v>100</v>
      </c>
      <c r="S49" s="4" t="s">
        <v>349</v>
      </c>
      <c r="T49" s="8" t="n">
        <v>2</v>
      </c>
      <c r="U49" s="45"/>
      <c r="V49" s="13"/>
      <c r="W49" s="46" t="n">
        <v>0</v>
      </c>
      <c r="X49" s="46" t="n">
        <v>0</v>
      </c>
      <c r="Y49" s="46" t="n">
        <v>0</v>
      </c>
      <c r="Z49" s="46" t="n">
        <v>0</v>
      </c>
      <c r="AA49" s="46" t="n">
        <v>0</v>
      </c>
      <c r="AB49" s="46" t="n">
        <v>0</v>
      </c>
      <c r="AC49" s="46" t="n">
        <v>0</v>
      </c>
      <c r="AD49" s="47" t="n">
        <f aca="false">SUMPRODUCT(W49:AC49,INDEX(Diets!$I$5:$O$12,MATCH(Planner!$C$36,Diets!$A$5:$A$12,0),0))+ISNUMBER(SEARCH(","&amp;A49&amp;",",","&amp;SUBSTITUTE(INDEX(Diets!$P$5:$P$12,MATCH(Planner!$C$36,Diets!$A$5:$A$12,0))," ","")&amp;","))*1</f>
        <v>0</v>
      </c>
      <c r="AE49" s="48" t="n">
        <f aca="false">IF(OR(UPPER(U49)="Y",AD49&gt;0),0,1)</f>
        <v>1</v>
      </c>
      <c r="AF49" s="49" t="n">
        <v>0</v>
      </c>
      <c r="AG49" s="49" t="n">
        <v>0.5</v>
      </c>
      <c r="AH49" s="49" t="n">
        <v>0.5</v>
      </c>
      <c r="AI49" s="49" t="n">
        <v>0</v>
      </c>
      <c r="AJ49" s="8" t="n">
        <v>200</v>
      </c>
      <c r="AK49" s="4"/>
      <c r="AL49" s="50" t="s">
        <v>490</v>
      </c>
      <c r="AM49" s="13" t="n">
        <v>200</v>
      </c>
      <c r="AN49" s="13"/>
      <c r="AO49" s="50"/>
      <c r="AP49" s="35" t="n">
        <v>0.052</v>
      </c>
      <c r="AQ49" s="35" t="n">
        <v>90</v>
      </c>
      <c r="AR49" s="35" t="n">
        <v>2.01</v>
      </c>
      <c r="AS49" s="35" t="n">
        <v>20.71</v>
      </c>
      <c r="AT49" s="35" t="n">
        <v>0.15</v>
      </c>
      <c r="AU49" s="35" t="n">
        <v>3.3</v>
      </c>
      <c r="AV49" s="35" t="n">
        <v>6.48</v>
      </c>
      <c r="AW49" s="35" t="n">
        <v>38</v>
      </c>
      <c r="AX49" s="35" t="n">
        <v>0.69</v>
      </c>
      <c r="AY49" s="35" t="n">
        <v>475</v>
      </c>
      <c r="AZ49" s="35" t="n">
        <v>36</v>
      </c>
      <c r="BA49" s="35" t="n">
        <v>19.6</v>
      </c>
      <c r="BB49" s="25" t="n">
        <f aca="false">AR49/Q49</f>
        <v>3.22949423792088</v>
      </c>
      <c r="BC49" s="18" t="n">
        <f aca="false">AQ49/Q49</f>
        <v>144.604219608398</v>
      </c>
      <c r="BD49" s="4" t="s">
        <v>497</v>
      </c>
      <c r="BE49" s="4" t="s">
        <v>498</v>
      </c>
      <c r="BF49" s="4" t="s">
        <v>423</v>
      </c>
    </row>
    <row r="50" customFormat="false" ht="15" hidden="false" customHeight="false" outlineLevel="0" collapsed="false">
      <c r="A50" s="4" t="n">
        <v>45</v>
      </c>
      <c r="B50" s="54" t="s">
        <v>424</v>
      </c>
      <c r="C50" s="55" t="s">
        <v>485</v>
      </c>
      <c r="D50" s="14" t="s">
        <v>499</v>
      </c>
      <c r="E50" s="4" t="s">
        <v>500</v>
      </c>
      <c r="F50" s="4" t="s">
        <v>501</v>
      </c>
      <c r="G50" s="51" t="n">
        <v>0.98</v>
      </c>
      <c r="H50" s="21" t="n">
        <v>340.2</v>
      </c>
      <c r="I50" s="31" t="n">
        <v>1</v>
      </c>
      <c r="J50" s="41" t="n">
        <v>1.0018</v>
      </c>
      <c r="K50" s="31" t="n">
        <v>0.18</v>
      </c>
      <c r="L50" s="42" t="n">
        <f aca="false">G50/(H50*I50*J50)*100</f>
        <v>0.287548256759233</v>
      </c>
      <c r="M50" s="42" t="n">
        <f aca="false">L50/(1-K50)</f>
        <v>0.350668605803942</v>
      </c>
      <c r="N50" s="4"/>
      <c r="O50" s="4"/>
      <c r="P50" s="4"/>
      <c r="Q50" s="44" t="n">
        <f aca="false">IF(AND(IF(Planner!$C$39="BLS U.S. average (Sep 2026)",1,0)=1,P50&lt;&gt;""),P50,L50)/(1-IF(AND((Planner!$C$60="Realistic"),Planner!$C$62="Yes"),K50,0))</f>
        <v>0.350668605803942</v>
      </c>
      <c r="R50" s="13" t="n">
        <v>82.5</v>
      </c>
      <c r="S50" s="4" t="s">
        <v>361</v>
      </c>
      <c r="T50" s="8" t="n">
        <v>2.5</v>
      </c>
      <c r="U50" s="45"/>
      <c r="V50" s="13"/>
      <c r="W50" s="46" t="n">
        <v>0</v>
      </c>
      <c r="X50" s="46" t="n">
        <v>0</v>
      </c>
      <c r="Y50" s="46" t="n">
        <v>0</v>
      </c>
      <c r="Z50" s="46" t="n">
        <v>0</v>
      </c>
      <c r="AA50" s="46" t="n">
        <v>0</v>
      </c>
      <c r="AB50" s="46" t="n">
        <v>0</v>
      </c>
      <c r="AC50" s="46" t="n">
        <v>0</v>
      </c>
      <c r="AD50" s="47" t="n">
        <f aca="false">SUMPRODUCT(W50:AC50,INDEX(Diets!$I$5:$O$12,MATCH(Planner!$C$36,Diets!$A$5:$A$12,0),0))+ISNUMBER(SEARCH(","&amp;A50&amp;",",","&amp;SUBSTITUTE(INDEX(Diets!$P$5:$P$12,MATCH(Planner!$C$36,Diets!$A$5:$A$12,0))," ","")&amp;","))*1</f>
        <v>0</v>
      </c>
      <c r="AE50" s="48" t="n">
        <f aca="false">IF(OR(UPPER(U50)="Y",AD50&gt;0),0,1)</f>
        <v>1</v>
      </c>
      <c r="AF50" s="49" t="n">
        <v>0</v>
      </c>
      <c r="AG50" s="49" t="n">
        <v>0.5</v>
      </c>
      <c r="AH50" s="49" t="n">
        <v>0.5</v>
      </c>
      <c r="AI50" s="49" t="n">
        <v>0</v>
      </c>
      <c r="AJ50" s="8" t="n">
        <v>165</v>
      </c>
      <c r="AK50" s="4"/>
      <c r="AL50" s="50" t="s">
        <v>490</v>
      </c>
      <c r="AM50" s="13" t="n">
        <v>165</v>
      </c>
      <c r="AN50" s="13"/>
      <c r="AO50" s="50"/>
      <c r="AP50" s="35" t="n">
        <v>0.103</v>
      </c>
      <c r="AQ50" s="35" t="n">
        <v>81</v>
      </c>
      <c r="AR50" s="35" t="n">
        <v>2.55</v>
      </c>
      <c r="AS50" s="35" t="n">
        <v>19.3</v>
      </c>
      <c r="AT50" s="35" t="n">
        <v>0.67</v>
      </c>
      <c r="AU50" s="35" t="n">
        <v>2.4</v>
      </c>
      <c r="AV50" s="35" t="n">
        <v>3.07</v>
      </c>
      <c r="AW50" s="35" t="n">
        <v>3</v>
      </c>
      <c r="AX50" s="35" t="n">
        <v>0.47</v>
      </c>
      <c r="AY50" s="35" t="n">
        <v>233</v>
      </c>
      <c r="AZ50" s="35" t="n">
        <v>1</v>
      </c>
      <c r="BA50" s="35" t="n">
        <v>3.5</v>
      </c>
      <c r="BB50" s="25" t="n">
        <f aca="false">AR50/Q50</f>
        <v>7.27182290571429</v>
      </c>
      <c r="BC50" s="18" t="n">
        <f aca="false">AQ50/Q50</f>
        <v>230.987315828571</v>
      </c>
      <c r="BD50" s="4" t="s">
        <v>502</v>
      </c>
      <c r="BE50" s="4" t="s">
        <v>503</v>
      </c>
      <c r="BF50" s="4" t="s">
        <v>423</v>
      </c>
    </row>
    <row r="51" customFormat="false" ht="15" hidden="false" customHeight="false" outlineLevel="0" collapsed="false">
      <c r="A51" s="4" t="n">
        <v>46</v>
      </c>
      <c r="B51" s="56" t="s">
        <v>72</v>
      </c>
      <c r="C51" s="57" t="s">
        <v>504</v>
      </c>
      <c r="D51" s="14" t="s">
        <v>505</v>
      </c>
      <c r="E51" s="4" t="s">
        <v>505</v>
      </c>
      <c r="F51" s="4" t="s">
        <v>506</v>
      </c>
      <c r="G51" s="51" t="n">
        <v>3.92</v>
      </c>
      <c r="H51" s="21" t="n">
        <v>1360.8</v>
      </c>
      <c r="I51" s="31" t="n">
        <v>0.9</v>
      </c>
      <c r="J51" s="41" t="n">
        <v>1</v>
      </c>
      <c r="K51" s="31" t="n">
        <v>0.25</v>
      </c>
      <c r="L51" s="42" t="n">
        <f aca="false">G51/(H51*I51*J51)*100</f>
        <v>0.320073159579332</v>
      </c>
      <c r="M51" s="42" t="n">
        <f aca="false">L51/(1-K51)</f>
        <v>0.426764212772443</v>
      </c>
      <c r="N51" s="4"/>
      <c r="O51" s="4"/>
      <c r="P51" s="4"/>
      <c r="Q51" s="44" t="n">
        <f aca="false">IF(AND(IF(Planner!$C$39="BLS U.S. average (Sep 2026)",1,0)=1,P51&lt;&gt;""),P51,L51)/(1-IF(AND((Planner!$C$60="Realistic"),Planner!$C$62="Yes"),K51,0))</f>
        <v>0.426764212772443</v>
      </c>
      <c r="R51" s="13" t="n">
        <v>125</v>
      </c>
      <c r="S51" s="4" t="s">
        <v>507</v>
      </c>
      <c r="T51" s="8" t="n">
        <v>2</v>
      </c>
      <c r="U51" s="45"/>
      <c r="V51" s="13"/>
      <c r="W51" s="46" t="n">
        <v>0</v>
      </c>
      <c r="X51" s="46" t="n">
        <v>0</v>
      </c>
      <c r="Y51" s="46" t="n">
        <v>0</v>
      </c>
      <c r="Z51" s="46" t="n">
        <v>0</v>
      </c>
      <c r="AA51" s="46" t="n">
        <v>0</v>
      </c>
      <c r="AB51" s="46" t="n">
        <v>0</v>
      </c>
      <c r="AC51" s="46" t="n">
        <v>0</v>
      </c>
      <c r="AD51" s="47" t="n">
        <f aca="false">SUMPRODUCT(W51:AC51,INDEX(Diets!$I$5:$O$12,MATCH(Planner!$C$36,Diets!$A$5:$A$12,0),0))+ISNUMBER(SEARCH(","&amp;A51&amp;",",","&amp;SUBSTITUTE(INDEX(Diets!$P$5:$P$12,MATCH(Planner!$C$36,Diets!$A$5:$A$12,0))," ","")&amp;","))*1</f>
        <v>0</v>
      </c>
      <c r="AE51" s="48" t="n">
        <f aca="false">IF(OR(UPPER(U51)="Y",AD51&gt;0),0,1)</f>
        <v>1</v>
      </c>
      <c r="AF51" s="49" t="n">
        <v>0</v>
      </c>
      <c r="AG51" s="49" t="n">
        <v>0.5</v>
      </c>
      <c r="AH51" s="49" t="n">
        <v>0</v>
      </c>
      <c r="AI51" s="49" t="n">
        <v>0.5</v>
      </c>
      <c r="AJ51" s="8" t="n">
        <v>125</v>
      </c>
      <c r="AK51" s="4"/>
      <c r="AL51" s="50" t="s">
        <v>508</v>
      </c>
      <c r="AM51" s="13" t="n">
        <v>125</v>
      </c>
      <c r="AN51" s="13"/>
      <c r="AO51" s="50"/>
      <c r="AP51" s="35" t="n">
        <v>0.028</v>
      </c>
      <c r="AQ51" s="35" t="n">
        <v>52</v>
      </c>
      <c r="AR51" s="35" t="n">
        <v>0.26</v>
      </c>
      <c r="AS51" s="35" t="n">
        <v>13.81</v>
      </c>
      <c r="AT51" s="35" t="n">
        <v>0.17</v>
      </c>
      <c r="AU51" s="35" t="n">
        <v>2.4</v>
      </c>
      <c r="AV51" s="35" t="n">
        <v>10.39</v>
      </c>
      <c r="AW51" s="35" t="n">
        <v>6</v>
      </c>
      <c r="AX51" s="35" t="n">
        <v>0.12</v>
      </c>
      <c r="AY51" s="35" t="n">
        <v>107</v>
      </c>
      <c r="AZ51" s="35" t="n">
        <v>1</v>
      </c>
      <c r="BA51" s="35" t="n">
        <v>4.6</v>
      </c>
      <c r="BB51" s="25" t="n">
        <f aca="false">AR51/Q51</f>
        <v>0.609235714285714</v>
      </c>
      <c r="BC51" s="18" t="n">
        <f aca="false">AQ51/Q51</f>
        <v>121.847142857143</v>
      </c>
      <c r="BD51" s="4" t="s">
        <v>509</v>
      </c>
      <c r="BE51" s="4" t="s">
        <v>510</v>
      </c>
      <c r="BF51" s="4" t="s">
        <v>511</v>
      </c>
    </row>
    <row r="52" customFormat="false" ht="15" hidden="false" customHeight="false" outlineLevel="0" collapsed="false">
      <c r="A52" s="4" t="n">
        <v>47</v>
      </c>
      <c r="B52" s="56" t="s">
        <v>72</v>
      </c>
      <c r="C52" s="57" t="s">
        <v>504</v>
      </c>
      <c r="D52" s="14" t="s">
        <v>512</v>
      </c>
      <c r="E52" s="4" t="s">
        <v>512</v>
      </c>
      <c r="F52" s="4" t="s">
        <v>513</v>
      </c>
      <c r="G52" s="38" t="n">
        <v>0.5</v>
      </c>
      <c r="H52" s="21" t="n">
        <v>453.6</v>
      </c>
      <c r="I52" s="31" t="n">
        <v>0.64</v>
      </c>
      <c r="J52" s="41" t="n">
        <v>1</v>
      </c>
      <c r="K52" s="31" t="n">
        <v>0.25</v>
      </c>
      <c r="L52" s="42" t="n">
        <f aca="false">G52/(H52*I52*J52)*100</f>
        <v>0.172233245149912</v>
      </c>
      <c r="M52" s="42" t="n">
        <f aca="false">L52/(1-K52)</f>
        <v>0.229644326866549</v>
      </c>
      <c r="N52" s="43" t="n">
        <v>0.656</v>
      </c>
      <c r="O52" s="21" t="n">
        <v>453.6</v>
      </c>
      <c r="P52" s="42" t="n">
        <f aca="false">N52/(O52*I52*J52)*100</f>
        <v>0.225970017636684</v>
      </c>
      <c r="Q52" s="44" t="n">
        <f aca="false">IF(AND(IF(Planner!$C$39="BLS U.S. average (Sep 2026)",1,0)=1,P52&lt;&gt;""),P52,L52)/(1-IF(AND((Planner!$C$60="Realistic"),Planner!$C$62="Yes"),K52,0))</f>
        <v>0.229644326866549</v>
      </c>
      <c r="R52" s="13" t="n">
        <v>118</v>
      </c>
      <c r="S52" s="4" t="s">
        <v>514</v>
      </c>
      <c r="T52" s="8" t="n">
        <v>2</v>
      </c>
      <c r="U52" s="45"/>
      <c r="V52" s="13"/>
      <c r="W52" s="46" t="n">
        <v>0</v>
      </c>
      <c r="X52" s="46" t="n">
        <v>0</v>
      </c>
      <c r="Y52" s="46" t="n">
        <v>0</v>
      </c>
      <c r="Z52" s="46" t="n">
        <v>0</v>
      </c>
      <c r="AA52" s="46" t="n">
        <v>0</v>
      </c>
      <c r="AB52" s="46" t="n">
        <v>0</v>
      </c>
      <c r="AC52" s="46" t="n">
        <v>0</v>
      </c>
      <c r="AD52" s="47" t="n">
        <f aca="false">SUMPRODUCT(W52:AC52,INDEX(Diets!$I$5:$O$12,MATCH(Planner!$C$36,Diets!$A$5:$A$12,0),0))+ISNUMBER(SEARCH(","&amp;A52&amp;",",","&amp;SUBSTITUTE(INDEX(Diets!$P$5:$P$12,MATCH(Planner!$C$36,Diets!$A$5:$A$12,0))," ","")&amp;","))*1</f>
        <v>0</v>
      </c>
      <c r="AE52" s="48" t="n">
        <f aca="false">IF(OR(UPPER(U52)="Y",AD52&gt;0),0,1)</f>
        <v>1</v>
      </c>
      <c r="AF52" s="49" t="n">
        <v>0.5</v>
      </c>
      <c r="AG52" s="49" t="n">
        <v>0</v>
      </c>
      <c r="AH52" s="49" t="n">
        <v>0</v>
      </c>
      <c r="AI52" s="49" t="n">
        <v>0.5</v>
      </c>
      <c r="AJ52" s="8" t="n">
        <v>118</v>
      </c>
      <c r="AK52" s="4"/>
      <c r="AL52" s="50" t="s">
        <v>508</v>
      </c>
      <c r="AM52" s="13" t="n">
        <v>118</v>
      </c>
      <c r="AN52" s="13"/>
      <c r="AO52" s="50"/>
      <c r="AP52" s="35" t="n">
        <v>0.112</v>
      </c>
      <c r="AQ52" s="35" t="n">
        <v>89</v>
      </c>
      <c r="AR52" s="35" t="n">
        <v>1.09</v>
      </c>
      <c r="AS52" s="35" t="n">
        <v>22.84</v>
      </c>
      <c r="AT52" s="35" t="n">
        <v>0.33</v>
      </c>
      <c r="AU52" s="35" t="n">
        <v>2.6</v>
      </c>
      <c r="AV52" s="35" t="n">
        <v>12.23</v>
      </c>
      <c r="AW52" s="35" t="n">
        <v>5</v>
      </c>
      <c r="AX52" s="35" t="n">
        <v>0.26</v>
      </c>
      <c r="AY52" s="35" t="n">
        <v>358</v>
      </c>
      <c r="AZ52" s="35" t="n">
        <v>1</v>
      </c>
      <c r="BA52" s="35" t="n">
        <v>8.7</v>
      </c>
      <c r="BB52" s="25" t="n">
        <f aca="false">AR52/Q52</f>
        <v>4.7464704</v>
      </c>
      <c r="BC52" s="18" t="n">
        <f aca="false">AQ52/Q52</f>
        <v>387.55584</v>
      </c>
      <c r="BD52" s="4" t="s">
        <v>515</v>
      </c>
      <c r="BE52" s="4" t="s">
        <v>516</v>
      </c>
      <c r="BF52" s="4"/>
    </row>
    <row r="53" customFormat="false" ht="15" hidden="false" customHeight="false" outlineLevel="0" collapsed="false">
      <c r="A53" s="4" t="n">
        <v>48</v>
      </c>
      <c r="B53" s="56" t="s">
        <v>72</v>
      </c>
      <c r="C53" s="57" t="s">
        <v>504</v>
      </c>
      <c r="D53" s="14" t="s">
        <v>517</v>
      </c>
      <c r="E53" s="4" t="s">
        <v>517</v>
      </c>
      <c r="F53" s="4" t="s">
        <v>518</v>
      </c>
      <c r="G53" s="38" t="n">
        <v>7.97</v>
      </c>
      <c r="H53" s="21" t="n">
        <v>1360.8</v>
      </c>
      <c r="I53" s="31" t="n">
        <v>1</v>
      </c>
      <c r="J53" s="41" t="n">
        <v>1</v>
      </c>
      <c r="K53" s="31" t="n">
        <v>0.11</v>
      </c>
      <c r="L53" s="42" t="n">
        <f aca="false">G53/(H53*I53*J53)*100</f>
        <v>0.585684891240447</v>
      </c>
      <c r="M53" s="42" t="n">
        <f aca="false">L53/(1-K53)</f>
        <v>0.65807291150612</v>
      </c>
      <c r="N53" s="4"/>
      <c r="O53" s="4"/>
      <c r="P53" s="4"/>
      <c r="Q53" s="44" t="n">
        <f aca="false">IF(AND(IF(Planner!$C$39="BLS U.S. average (Sep 2026)",1,0)=1,P53&lt;&gt;""),P53,L53)/(1-IF(AND((Planner!$C$60="Realistic"),Planner!$C$62="Yes"),K53,0))</f>
        <v>0.65807291150612</v>
      </c>
      <c r="R53" s="13" t="n">
        <v>155</v>
      </c>
      <c r="S53" s="4" t="s">
        <v>384</v>
      </c>
      <c r="T53" s="8" t="n">
        <v>1</v>
      </c>
      <c r="U53" s="45"/>
      <c r="V53" s="13"/>
      <c r="W53" s="46" t="n">
        <v>0</v>
      </c>
      <c r="X53" s="46" t="n">
        <v>0</v>
      </c>
      <c r="Y53" s="46" t="n">
        <v>0</v>
      </c>
      <c r="Z53" s="46" t="n">
        <v>0</v>
      </c>
      <c r="AA53" s="46" t="n">
        <v>0</v>
      </c>
      <c r="AB53" s="46" t="n">
        <v>0</v>
      </c>
      <c r="AC53" s="46" t="n">
        <v>0</v>
      </c>
      <c r="AD53" s="47" t="n">
        <f aca="false">SUMPRODUCT(W53:AC53,INDEX(Diets!$I$5:$O$12,MATCH(Planner!$C$36,Diets!$A$5:$A$12,0),0))+ISNUMBER(SEARCH(","&amp;A53&amp;",",","&amp;SUBSTITUTE(INDEX(Diets!$P$5:$P$12,MATCH(Planner!$C$36,Diets!$A$5:$A$12,0))," ","")&amp;","))*1</f>
        <v>0</v>
      </c>
      <c r="AE53" s="48" t="n">
        <f aca="false">IF(OR(UPPER(U53)="Y",AD53&gt;0),0,1)</f>
        <v>1</v>
      </c>
      <c r="AF53" s="49" t="n">
        <v>1</v>
      </c>
      <c r="AG53" s="49" t="n">
        <v>0</v>
      </c>
      <c r="AH53" s="49" t="n">
        <v>0</v>
      </c>
      <c r="AI53" s="49" t="n">
        <v>0</v>
      </c>
      <c r="AJ53" s="8" t="n">
        <v>155</v>
      </c>
      <c r="AK53" s="4"/>
      <c r="AL53" s="50" t="s">
        <v>508</v>
      </c>
      <c r="AM53" s="13" t="n">
        <v>155</v>
      </c>
      <c r="AN53" s="13"/>
      <c r="AO53" s="50"/>
      <c r="AP53" s="35" t="n">
        <v>0.053</v>
      </c>
      <c r="AQ53" s="35" t="n">
        <v>51</v>
      </c>
      <c r="AR53" s="35" t="n">
        <v>0.42</v>
      </c>
      <c r="AS53" s="35" t="n">
        <v>12.17</v>
      </c>
      <c r="AT53" s="35" t="n">
        <v>0.64</v>
      </c>
      <c r="AU53" s="35" t="n">
        <v>2.7</v>
      </c>
      <c r="AV53" s="35" t="n">
        <v>8.45</v>
      </c>
      <c r="AW53" s="35" t="n">
        <v>8</v>
      </c>
      <c r="AX53" s="35" t="n">
        <v>0.18</v>
      </c>
      <c r="AY53" s="35" t="n">
        <v>54</v>
      </c>
      <c r="AZ53" s="35" t="n">
        <v>1</v>
      </c>
      <c r="BA53" s="35" t="n">
        <v>2.5</v>
      </c>
      <c r="BB53" s="25" t="n">
        <f aca="false">AR53/Q53</f>
        <v>0.638227151819322</v>
      </c>
      <c r="BC53" s="18" t="n">
        <f aca="false">AQ53/Q53</f>
        <v>77.4990112923463</v>
      </c>
      <c r="BD53" s="4" t="s">
        <v>519</v>
      </c>
      <c r="BE53" s="4" t="s">
        <v>520</v>
      </c>
      <c r="BF53" s="4"/>
    </row>
    <row r="54" customFormat="false" ht="15" hidden="false" customHeight="false" outlineLevel="0" collapsed="false">
      <c r="A54" s="4" t="n">
        <v>49</v>
      </c>
      <c r="B54" s="56" t="s">
        <v>72</v>
      </c>
      <c r="C54" s="57" t="s">
        <v>504</v>
      </c>
      <c r="D54" s="14" t="s">
        <v>521</v>
      </c>
      <c r="E54" s="4" t="s">
        <v>521</v>
      </c>
      <c r="F54" s="4" t="s">
        <v>513</v>
      </c>
      <c r="G54" s="38" t="n">
        <v>1.87</v>
      </c>
      <c r="H54" s="21" t="n">
        <v>453.6</v>
      </c>
      <c r="I54" s="31" t="n">
        <v>0.96</v>
      </c>
      <c r="J54" s="41" t="n">
        <v>1</v>
      </c>
      <c r="K54" s="31" t="n">
        <v>0.25</v>
      </c>
      <c r="L54" s="42" t="n">
        <f aca="false">G54/(H54*I54*J54)*100</f>
        <v>0.429434891240447</v>
      </c>
      <c r="M54" s="42" t="n">
        <f aca="false">L54/(1-K54)</f>
        <v>0.572579854987262</v>
      </c>
      <c r="N54" s="4"/>
      <c r="O54" s="4"/>
      <c r="P54" s="4"/>
      <c r="Q54" s="44" t="n">
        <f aca="false">IF(AND(IF(Planner!$C$39="BLS U.S. average (Sep 2026)",1,0)=1,P54&lt;&gt;""),P54,L54)/(1-IF(AND((Planner!$C$60="Realistic"),Planner!$C$62="Yes"),K54,0))</f>
        <v>0.572579854987262</v>
      </c>
      <c r="R54" s="13" t="n">
        <v>151</v>
      </c>
      <c r="S54" s="4" t="s">
        <v>384</v>
      </c>
      <c r="T54" s="8" t="n">
        <v>2</v>
      </c>
      <c r="U54" s="45"/>
      <c r="V54" s="13"/>
      <c r="W54" s="46" t="n">
        <v>0</v>
      </c>
      <c r="X54" s="46" t="n">
        <v>0</v>
      </c>
      <c r="Y54" s="46" t="n">
        <v>0</v>
      </c>
      <c r="Z54" s="46" t="n">
        <v>0</v>
      </c>
      <c r="AA54" s="46" t="n">
        <v>0</v>
      </c>
      <c r="AB54" s="46" t="n">
        <v>0</v>
      </c>
      <c r="AC54" s="46" t="n">
        <v>0</v>
      </c>
      <c r="AD54" s="47" t="n">
        <f aca="false">SUMPRODUCT(W54:AC54,INDEX(Diets!$I$5:$O$12,MATCH(Planner!$C$36,Diets!$A$5:$A$12,0),0))+ISNUMBER(SEARCH(","&amp;A54&amp;",",","&amp;SUBSTITUTE(INDEX(Diets!$P$5:$P$12,MATCH(Planner!$C$36,Diets!$A$5:$A$12,0))," ","")&amp;","))*1</f>
        <v>0</v>
      </c>
      <c r="AE54" s="48" t="n">
        <f aca="false">IF(OR(UPPER(U54)="Y",AD54&gt;0),0,1)</f>
        <v>1</v>
      </c>
      <c r="AF54" s="49" t="n">
        <v>0</v>
      </c>
      <c r="AG54" s="49" t="n">
        <v>0</v>
      </c>
      <c r="AH54" s="49" t="n">
        <v>0</v>
      </c>
      <c r="AI54" s="49" t="n">
        <v>1</v>
      </c>
      <c r="AJ54" s="8" t="n">
        <v>151</v>
      </c>
      <c r="AK54" s="4"/>
      <c r="AL54" s="50" t="s">
        <v>508</v>
      </c>
      <c r="AM54" s="13" t="n">
        <v>151</v>
      </c>
      <c r="AN54" s="13"/>
      <c r="AO54" s="50"/>
      <c r="AP54" s="35" t="n">
        <v>0.054</v>
      </c>
      <c r="AQ54" s="35" t="n">
        <v>69</v>
      </c>
      <c r="AR54" s="35" t="n">
        <v>0.72</v>
      </c>
      <c r="AS54" s="35" t="n">
        <v>18.1</v>
      </c>
      <c r="AT54" s="35" t="n">
        <v>0.16</v>
      </c>
      <c r="AU54" s="35" t="n">
        <v>0.9</v>
      </c>
      <c r="AV54" s="35" t="n">
        <v>15.48</v>
      </c>
      <c r="AW54" s="35" t="n">
        <v>10</v>
      </c>
      <c r="AX54" s="35" t="n">
        <v>0.36</v>
      </c>
      <c r="AY54" s="35" t="n">
        <v>191</v>
      </c>
      <c r="AZ54" s="35" t="n">
        <v>2</v>
      </c>
      <c r="BA54" s="35" t="n">
        <v>3.2</v>
      </c>
      <c r="BB54" s="25" t="n">
        <f aca="false">AR54/Q54</f>
        <v>1.25746652406417</v>
      </c>
      <c r="BC54" s="18" t="n">
        <f aca="false">AQ54/Q54</f>
        <v>120.50720855615</v>
      </c>
      <c r="BD54" s="4" t="s">
        <v>522</v>
      </c>
      <c r="BE54" s="4" t="s">
        <v>523</v>
      </c>
      <c r="BF54" s="4"/>
    </row>
    <row r="55" customFormat="false" ht="15" hidden="false" customHeight="false" outlineLevel="0" collapsed="false">
      <c r="A55" s="4" t="n">
        <v>50</v>
      </c>
      <c r="B55" s="56" t="s">
        <v>72</v>
      </c>
      <c r="C55" s="57" t="s">
        <v>504</v>
      </c>
      <c r="D55" s="14" t="s">
        <v>524</v>
      </c>
      <c r="E55" s="4" t="s">
        <v>524</v>
      </c>
      <c r="F55" s="4" t="s">
        <v>525</v>
      </c>
      <c r="G55" s="38" t="n">
        <v>3.96</v>
      </c>
      <c r="H55" s="21" t="n">
        <v>1618.5</v>
      </c>
      <c r="I55" s="31" t="n">
        <v>1</v>
      </c>
      <c r="J55" s="41" t="n">
        <v>1</v>
      </c>
      <c r="K55" s="31" t="n">
        <v>0.11</v>
      </c>
      <c r="L55" s="42" t="n">
        <f aca="false">G55/(H55*I55*J55)*100</f>
        <v>0.244670991658943</v>
      </c>
      <c r="M55" s="42" t="n">
        <f aca="false">L55/(1-K55)</f>
        <v>0.274911226583083</v>
      </c>
      <c r="N55" s="4"/>
      <c r="O55" s="4"/>
      <c r="P55" s="4"/>
      <c r="Q55" s="44" t="n">
        <f aca="false">IF(AND(IF(Planner!$C$39="BLS U.S. average (Sep 2026)",1,0)=1,P55&lt;&gt;""),P55,L55)/(1-IF(AND((Planner!$C$60="Realistic"),Planner!$C$62="Yes"),K55,0))</f>
        <v>0.274911226583083</v>
      </c>
      <c r="R55" s="13" t="n">
        <v>249</v>
      </c>
      <c r="S55" s="4" t="s">
        <v>384</v>
      </c>
      <c r="T55" s="8" t="n">
        <v>1</v>
      </c>
      <c r="U55" s="45"/>
      <c r="V55" s="13"/>
      <c r="W55" s="46" t="n">
        <v>0</v>
      </c>
      <c r="X55" s="46" t="n">
        <v>0</v>
      </c>
      <c r="Y55" s="46" t="n">
        <v>0</v>
      </c>
      <c r="Z55" s="46" t="n">
        <v>0</v>
      </c>
      <c r="AA55" s="46" t="n">
        <v>0</v>
      </c>
      <c r="AB55" s="46" t="n">
        <v>0</v>
      </c>
      <c r="AC55" s="46" t="n">
        <v>0</v>
      </c>
      <c r="AD55" s="47" t="n">
        <f aca="false">SUMPRODUCT(W55:AC55,INDEX(Diets!$I$5:$O$12,MATCH(Planner!$C$36,Diets!$A$5:$A$12,0),0))+ISNUMBER(SEARCH(","&amp;A55&amp;",",","&amp;SUBSTITUTE(INDEX(Diets!$P$5:$P$12,MATCH(Planner!$C$36,Diets!$A$5:$A$12,0))," ","")&amp;","))*1</f>
        <v>0</v>
      </c>
      <c r="AE55" s="48" t="n">
        <f aca="false">IF(OR(UPPER(U55)="Y",AD55&gt;0),0,1)</f>
        <v>1</v>
      </c>
      <c r="AF55" s="49" t="n">
        <v>1</v>
      </c>
      <c r="AG55" s="49" t="n">
        <v>0</v>
      </c>
      <c r="AH55" s="49" t="n">
        <v>0</v>
      </c>
      <c r="AI55" s="49" t="n">
        <v>0</v>
      </c>
      <c r="AJ55" s="8" t="n">
        <v>249</v>
      </c>
      <c r="AK55" s="4"/>
      <c r="AL55" s="50" t="s">
        <v>508</v>
      </c>
      <c r="AM55" s="13" t="n">
        <v>249</v>
      </c>
      <c r="AN55" s="13"/>
      <c r="AO55" s="50"/>
      <c r="AP55" s="35" t="n">
        <v>0.014</v>
      </c>
      <c r="AQ55" s="35" t="n">
        <v>49</v>
      </c>
      <c r="AR55" s="35" t="n">
        <v>0.68</v>
      </c>
      <c r="AS55" s="35" t="n">
        <v>11.54</v>
      </c>
      <c r="AT55" s="35" t="n">
        <v>0.12</v>
      </c>
      <c r="AU55" s="35" t="n">
        <v>0.3</v>
      </c>
      <c r="AV55" s="35" t="n">
        <v>8.31</v>
      </c>
      <c r="AW55" s="35" t="n">
        <v>11</v>
      </c>
      <c r="AX55" s="35" t="n">
        <v>0.13</v>
      </c>
      <c r="AY55" s="35" t="n">
        <v>178</v>
      </c>
      <c r="AZ55" s="35" t="n">
        <v>2</v>
      </c>
      <c r="BA55" s="35" t="n">
        <v>33.6</v>
      </c>
      <c r="BB55" s="25" t="n">
        <f aca="false">AR55/Q55</f>
        <v>2.47352575757576</v>
      </c>
      <c r="BC55" s="18" t="n">
        <f aca="false">AQ55/Q55</f>
        <v>178.239356060606</v>
      </c>
      <c r="BD55" s="4" t="s">
        <v>526</v>
      </c>
      <c r="BE55" s="4" t="s">
        <v>527</v>
      </c>
      <c r="BF55" s="4" t="s">
        <v>528</v>
      </c>
    </row>
    <row r="56" customFormat="false" ht="15" hidden="false" customHeight="false" outlineLevel="0" collapsed="false">
      <c r="A56" s="4" t="n">
        <v>51</v>
      </c>
      <c r="B56" s="56" t="s">
        <v>72</v>
      </c>
      <c r="C56" s="57" t="s">
        <v>504</v>
      </c>
      <c r="D56" s="14" t="s">
        <v>529</v>
      </c>
      <c r="E56" s="4" t="s">
        <v>529</v>
      </c>
      <c r="F56" s="4" t="s">
        <v>530</v>
      </c>
      <c r="G56" s="38" t="n">
        <v>5.97</v>
      </c>
      <c r="H56" s="21" t="n">
        <v>1814.4</v>
      </c>
      <c r="I56" s="31" t="n">
        <v>0.68</v>
      </c>
      <c r="J56" s="41" t="n">
        <v>1</v>
      </c>
      <c r="K56" s="31" t="n">
        <v>0.25</v>
      </c>
      <c r="L56" s="42" t="n">
        <f aca="false">G56/(H56*I56*J56)*100</f>
        <v>0.483874105197635</v>
      </c>
      <c r="M56" s="42" t="n">
        <f aca="false">L56/(1-K56)</f>
        <v>0.645165473596846</v>
      </c>
      <c r="N56" s="43" t="n">
        <v>1.723</v>
      </c>
      <c r="O56" s="21" t="n">
        <v>453.6</v>
      </c>
      <c r="P56" s="42" t="n">
        <f aca="false">N56/(O56*I56*J56)*100</f>
        <v>0.558603070857973</v>
      </c>
      <c r="Q56" s="44" t="n">
        <f aca="false">IF(AND(IF(Planner!$C$39="BLS U.S. average (Sep 2026)",1,0)=1,P56&lt;&gt;""),P56,L56)/(1-IF(AND((Planner!$C$60="Realistic"),Planner!$C$62="Yes"),K56,0))</f>
        <v>0.645165473596846</v>
      </c>
      <c r="R56" s="13" t="n">
        <v>140</v>
      </c>
      <c r="S56" s="4" t="s">
        <v>531</v>
      </c>
      <c r="T56" s="8" t="n">
        <v>2</v>
      </c>
      <c r="U56" s="45"/>
      <c r="V56" s="13"/>
      <c r="W56" s="46" t="n">
        <v>0</v>
      </c>
      <c r="X56" s="46" t="n">
        <v>0</v>
      </c>
      <c r="Y56" s="46" t="n">
        <v>0</v>
      </c>
      <c r="Z56" s="46" t="n">
        <v>0</v>
      </c>
      <c r="AA56" s="46" t="n">
        <v>0</v>
      </c>
      <c r="AB56" s="46" t="n">
        <v>0</v>
      </c>
      <c r="AC56" s="46" t="n">
        <v>0</v>
      </c>
      <c r="AD56" s="47" t="n">
        <f aca="false">SUMPRODUCT(W56:AC56,INDEX(Diets!$I$5:$O$12,MATCH(Planner!$C$36,Diets!$A$5:$A$12,0),0))+ISNUMBER(SEARCH(","&amp;A56&amp;",",","&amp;SUBSTITUTE(INDEX(Diets!$P$5:$P$12,MATCH(Planner!$C$36,Diets!$A$5:$A$12,0))," ","")&amp;","))*1</f>
        <v>0</v>
      </c>
      <c r="AE56" s="48" t="n">
        <f aca="false">IF(OR(UPPER(U56)="Y",AD56&gt;0),0,1)</f>
        <v>1</v>
      </c>
      <c r="AF56" s="49" t="n">
        <v>0</v>
      </c>
      <c r="AG56" s="49" t="n">
        <v>0.5</v>
      </c>
      <c r="AH56" s="49" t="n">
        <v>0</v>
      </c>
      <c r="AI56" s="49" t="n">
        <v>0.5</v>
      </c>
      <c r="AJ56" s="8" t="n">
        <v>140</v>
      </c>
      <c r="AK56" s="4"/>
      <c r="AL56" s="50" t="s">
        <v>508</v>
      </c>
      <c r="AM56" s="13" t="n">
        <v>140</v>
      </c>
      <c r="AN56" s="13"/>
      <c r="AO56" s="50"/>
      <c r="AP56" s="35" t="n">
        <v>0.017</v>
      </c>
      <c r="AQ56" s="35" t="n">
        <v>49</v>
      </c>
      <c r="AR56" s="35" t="n">
        <v>0.91</v>
      </c>
      <c r="AS56" s="35" t="n">
        <v>12.54</v>
      </c>
      <c r="AT56" s="35" t="n">
        <v>0.15</v>
      </c>
      <c r="AU56" s="35" t="n">
        <v>2.2</v>
      </c>
      <c r="AV56" s="35" t="n">
        <v>8.5</v>
      </c>
      <c r="AW56" s="35" t="n">
        <v>43</v>
      </c>
      <c r="AX56" s="35" t="n">
        <v>0.13</v>
      </c>
      <c r="AY56" s="35" t="n">
        <v>166</v>
      </c>
      <c r="AZ56" s="35" t="n">
        <v>1</v>
      </c>
      <c r="BA56" s="35" t="n">
        <v>59.1</v>
      </c>
      <c r="BB56" s="25" t="n">
        <f aca="false">AR56/Q56</f>
        <v>1.41049085427136</v>
      </c>
      <c r="BC56" s="18" t="n">
        <f aca="false">AQ56/Q56</f>
        <v>75.9495075376885</v>
      </c>
      <c r="BD56" s="4" t="s">
        <v>532</v>
      </c>
      <c r="BE56" s="4" t="s">
        <v>533</v>
      </c>
      <c r="BF56" s="4"/>
    </row>
    <row r="57" customFormat="false" ht="15" hidden="false" customHeight="false" outlineLevel="0" collapsed="false">
      <c r="A57" s="4" t="n">
        <v>52</v>
      </c>
      <c r="B57" s="56" t="s">
        <v>72</v>
      </c>
      <c r="C57" s="57" t="s">
        <v>504</v>
      </c>
      <c r="D57" s="14" t="s">
        <v>534</v>
      </c>
      <c r="E57" s="4" t="s">
        <v>534</v>
      </c>
      <c r="F57" s="4" t="s">
        <v>535</v>
      </c>
      <c r="G57" s="38" t="n">
        <v>4.38</v>
      </c>
      <c r="H57" s="21" t="n">
        <v>567</v>
      </c>
      <c r="I57" s="31" t="n">
        <v>1</v>
      </c>
      <c r="J57" s="41" t="n">
        <v>1</v>
      </c>
      <c r="K57" s="31" t="n">
        <v>0.11</v>
      </c>
      <c r="L57" s="42" t="n">
        <f aca="false">G57/(H57*I57*J57)*100</f>
        <v>0.772486772486772</v>
      </c>
      <c r="M57" s="42" t="n">
        <f aca="false">L57/(1-K57)</f>
        <v>0.867962665715475</v>
      </c>
      <c r="N57" s="4"/>
      <c r="O57" s="4"/>
      <c r="P57" s="4"/>
      <c r="Q57" s="44" t="n">
        <f aca="false">IF(AND(IF(Planner!$C$39="BLS U.S. average (Sep 2026)",1,0)=1,P57&lt;&gt;""),P57,L57)/(1-IF(AND((Planner!$C$60="Realistic"),Planner!$C$62="Yes"),K57,0))</f>
        <v>0.867962665715475</v>
      </c>
      <c r="R57" s="13" t="n">
        <v>41</v>
      </c>
      <c r="S57" s="4" t="s">
        <v>536</v>
      </c>
      <c r="T57" s="8" t="n">
        <v>1</v>
      </c>
      <c r="U57" s="45"/>
      <c r="V57" s="13"/>
      <c r="W57" s="46" t="n">
        <v>0</v>
      </c>
      <c r="X57" s="46" t="n">
        <v>0</v>
      </c>
      <c r="Y57" s="46" t="n">
        <v>0</v>
      </c>
      <c r="Z57" s="46" t="n">
        <v>0</v>
      </c>
      <c r="AA57" s="46" t="n">
        <v>0</v>
      </c>
      <c r="AB57" s="46" t="n">
        <v>0</v>
      </c>
      <c r="AC57" s="46" t="n">
        <v>0</v>
      </c>
      <c r="AD57" s="47" t="n">
        <f aca="false">SUMPRODUCT(W57:AC57,INDEX(Diets!$I$5:$O$12,MATCH(Planner!$C$36,Diets!$A$5:$A$12,0),0))+ISNUMBER(SEARCH(","&amp;A57&amp;",",","&amp;SUBSTITUTE(INDEX(Diets!$P$5:$P$12,MATCH(Planner!$C$36,Diets!$A$5:$A$12,0))," ","")&amp;","))*1</f>
        <v>0</v>
      </c>
      <c r="AE57" s="48" t="n">
        <f aca="false">IF(OR(UPPER(U57)="Y",AD57&gt;0),0,1)</f>
        <v>1</v>
      </c>
      <c r="AF57" s="49" t="n">
        <v>0</v>
      </c>
      <c r="AG57" s="49" t="n">
        <v>0</v>
      </c>
      <c r="AH57" s="49" t="n">
        <v>0</v>
      </c>
      <c r="AI57" s="49" t="n">
        <v>1</v>
      </c>
      <c r="AJ57" s="8" t="n">
        <v>82</v>
      </c>
      <c r="AK57" s="4"/>
      <c r="AL57" s="50" t="s">
        <v>508</v>
      </c>
      <c r="AM57" s="13" t="n">
        <v>82</v>
      </c>
      <c r="AN57" s="13"/>
      <c r="AO57" s="50"/>
      <c r="AP57" s="35" t="n">
        <v>0.058</v>
      </c>
      <c r="AQ57" s="35" t="n">
        <v>299</v>
      </c>
      <c r="AR57" s="35" t="n">
        <v>3.07</v>
      </c>
      <c r="AS57" s="35" t="n">
        <v>79.18</v>
      </c>
      <c r="AT57" s="35" t="n">
        <v>0.46</v>
      </c>
      <c r="AU57" s="35" t="n">
        <v>3.7</v>
      </c>
      <c r="AV57" s="35" t="n">
        <v>59.19</v>
      </c>
      <c r="AW57" s="35" t="n">
        <v>50</v>
      </c>
      <c r="AX57" s="35" t="n">
        <v>1.88</v>
      </c>
      <c r="AY57" s="35" t="n">
        <v>749</v>
      </c>
      <c r="AZ57" s="35" t="n">
        <v>11</v>
      </c>
      <c r="BA57" s="35" t="n">
        <v>2.3</v>
      </c>
      <c r="BB57" s="25" t="n">
        <f aca="false">AR57/Q57</f>
        <v>3.53701849315069</v>
      </c>
      <c r="BC57" s="18" t="n">
        <f aca="false">AQ57/Q57</f>
        <v>344.484863013699</v>
      </c>
      <c r="BD57" s="4" t="s">
        <v>537</v>
      </c>
      <c r="BE57" s="4" t="s">
        <v>538</v>
      </c>
      <c r="BF57" s="4"/>
    </row>
    <row r="58" customFormat="false" ht="15" hidden="false" customHeight="false" outlineLevel="0" collapsed="false">
      <c r="A58" s="4" t="n">
        <v>53</v>
      </c>
      <c r="B58" s="56" t="s">
        <v>72</v>
      </c>
      <c r="C58" s="57" t="s">
        <v>504</v>
      </c>
      <c r="D58" s="14" t="s">
        <v>539</v>
      </c>
      <c r="E58" s="4" t="s">
        <v>539</v>
      </c>
      <c r="F58" s="4" t="s">
        <v>540</v>
      </c>
      <c r="G58" s="38" t="n">
        <v>2.97</v>
      </c>
      <c r="H58" s="21" t="n">
        <v>453.6</v>
      </c>
      <c r="I58" s="31" t="n">
        <v>0.94</v>
      </c>
      <c r="J58" s="41" t="n">
        <v>1</v>
      </c>
      <c r="K58" s="31" t="n">
        <v>0.25</v>
      </c>
      <c r="L58" s="42" t="n">
        <f aca="false">G58/(H58*I58*J58)*100</f>
        <v>0.696555217831814</v>
      </c>
      <c r="M58" s="42" t="n">
        <f aca="false">L58/(1-K58)</f>
        <v>0.928740290442418</v>
      </c>
      <c r="N58" s="43" t="n">
        <v>2.84</v>
      </c>
      <c r="O58" s="21" t="n">
        <v>340.2</v>
      </c>
      <c r="P58" s="42" t="n">
        <f aca="false">N58/(O58*I58*J58)*100</f>
        <v>0.888088358537531</v>
      </c>
      <c r="Q58" s="44" t="n">
        <f aca="false">IF(AND(IF(Planner!$C$39="BLS U.S. average (Sep 2026)",1,0)=1,P58&lt;&gt;""),P58,L58)/(1-IF(AND((Planner!$C$60="Realistic"),Planner!$C$62="Yes"),K58,0))</f>
        <v>0.928740290442418</v>
      </c>
      <c r="R58" s="13" t="n">
        <v>152</v>
      </c>
      <c r="S58" s="4" t="s">
        <v>541</v>
      </c>
      <c r="T58" s="8" t="n">
        <v>2</v>
      </c>
      <c r="U58" s="45"/>
      <c r="V58" s="13"/>
      <c r="W58" s="46" t="n">
        <v>0</v>
      </c>
      <c r="X58" s="46" t="n">
        <v>0</v>
      </c>
      <c r="Y58" s="46" t="n">
        <v>0</v>
      </c>
      <c r="Z58" s="46" t="n">
        <v>0</v>
      </c>
      <c r="AA58" s="46" t="n">
        <v>0</v>
      </c>
      <c r="AB58" s="46" t="n">
        <v>0</v>
      </c>
      <c r="AC58" s="46" t="n">
        <v>0</v>
      </c>
      <c r="AD58" s="47" t="n">
        <f aca="false">SUMPRODUCT(W58:AC58,INDEX(Diets!$I$5:$O$12,MATCH(Planner!$C$36,Diets!$A$5:$A$12,0),0))+ISNUMBER(SEARCH(","&amp;A58&amp;",",","&amp;SUBSTITUTE(INDEX(Diets!$P$5:$P$12,MATCH(Planner!$C$36,Diets!$A$5:$A$12,0))," ","")&amp;","))*1</f>
        <v>0</v>
      </c>
      <c r="AE58" s="48" t="n">
        <f aca="false">IF(OR(UPPER(U58)="Y",AD58&gt;0),0,1)</f>
        <v>1</v>
      </c>
      <c r="AF58" s="49" t="n">
        <v>0.5</v>
      </c>
      <c r="AG58" s="49" t="n">
        <v>0</v>
      </c>
      <c r="AH58" s="49" t="n">
        <v>0</v>
      </c>
      <c r="AI58" s="49" t="n">
        <v>0.5</v>
      </c>
      <c r="AJ58" s="8" t="n">
        <v>152</v>
      </c>
      <c r="AK58" s="4"/>
      <c r="AL58" s="50" t="s">
        <v>508</v>
      </c>
      <c r="AM58" s="13" t="n">
        <v>152</v>
      </c>
      <c r="AN58" s="13"/>
      <c r="AO58" s="50"/>
      <c r="AP58" s="35" t="n">
        <v>0.015</v>
      </c>
      <c r="AQ58" s="35" t="n">
        <v>32</v>
      </c>
      <c r="AR58" s="35" t="n">
        <v>0.67</v>
      </c>
      <c r="AS58" s="35" t="n">
        <v>7.68</v>
      </c>
      <c r="AT58" s="35" t="n">
        <v>0.3</v>
      </c>
      <c r="AU58" s="35" t="n">
        <v>2</v>
      </c>
      <c r="AV58" s="35" t="n">
        <v>4.89</v>
      </c>
      <c r="AW58" s="35" t="n">
        <v>16</v>
      </c>
      <c r="AX58" s="35" t="n">
        <v>0.41</v>
      </c>
      <c r="AY58" s="35" t="n">
        <v>153</v>
      </c>
      <c r="AZ58" s="35" t="n">
        <v>1</v>
      </c>
      <c r="BA58" s="35" t="n">
        <v>58.8</v>
      </c>
      <c r="BB58" s="25" t="n">
        <f aca="false">AR58/Q58</f>
        <v>0.721407272727273</v>
      </c>
      <c r="BC58" s="18" t="n">
        <f aca="false">AQ58/Q58</f>
        <v>34.4552727272727</v>
      </c>
      <c r="BD58" s="4" t="s">
        <v>542</v>
      </c>
      <c r="BE58" s="4" t="s">
        <v>543</v>
      </c>
      <c r="BF58" s="4"/>
    </row>
    <row r="59" customFormat="false" ht="15" hidden="false" customHeight="false" outlineLevel="0" collapsed="false">
      <c r="A59" s="4" t="n">
        <v>54</v>
      </c>
      <c r="B59" s="58" t="s">
        <v>70</v>
      </c>
      <c r="C59" s="59" t="s">
        <v>70</v>
      </c>
      <c r="D59" s="14" t="s">
        <v>544</v>
      </c>
      <c r="E59" s="4" t="s">
        <v>545</v>
      </c>
      <c r="F59" s="4" t="s">
        <v>546</v>
      </c>
      <c r="G59" s="38" t="n">
        <v>1.16</v>
      </c>
      <c r="H59" s="21" t="n">
        <v>340.2</v>
      </c>
      <c r="I59" s="31" t="n">
        <v>1</v>
      </c>
      <c r="J59" s="41" t="n">
        <v>0.8818</v>
      </c>
      <c r="K59" s="31" t="n">
        <v>0.18</v>
      </c>
      <c r="L59" s="42" t="n">
        <f aca="false">G59/(H59*I59*J59)*100</f>
        <v>0.386681669915459</v>
      </c>
      <c r="M59" s="42" t="n">
        <f aca="false">L59/(1-K59)</f>
        <v>0.471563012092024</v>
      </c>
      <c r="N59" s="4"/>
      <c r="O59" s="4"/>
      <c r="P59" s="4"/>
      <c r="Q59" s="44" t="n">
        <f aca="false">IF(AND(IF(Planner!$C$39="BLS U.S. average (Sep 2026)",1,0)=1,P59&lt;&gt;""),P59,L59)/(1-IF(AND((Planner!$C$60="Realistic"),Planner!$C$62="Yes"),K59,0))</f>
        <v>0.471563012092024</v>
      </c>
      <c r="R59" s="13" t="n">
        <v>92</v>
      </c>
      <c r="S59" s="4" t="s">
        <v>361</v>
      </c>
      <c r="T59" s="8" t="n">
        <v>2</v>
      </c>
      <c r="U59" s="45"/>
      <c r="V59" s="13"/>
      <c r="W59" s="46" t="n">
        <v>0</v>
      </c>
      <c r="X59" s="46" t="n">
        <v>0</v>
      </c>
      <c r="Y59" s="46" t="n">
        <v>0</v>
      </c>
      <c r="Z59" s="46" t="n">
        <v>0</v>
      </c>
      <c r="AA59" s="46" t="n">
        <v>0</v>
      </c>
      <c r="AB59" s="46" t="n">
        <v>0</v>
      </c>
      <c r="AC59" s="46" t="n">
        <v>0</v>
      </c>
      <c r="AD59" s="47" t="n">
        <f aca="false">SUMPRODUCT(W59:AC59,INDEX(Diets!$I$5:$O$12,MATCH(Planner!$C$36,Diets!$A$5:$A$12,0),0))+ISNUMBER(SEARCH(","&amp;A59&amp;",",","&amp;SUBSTITUTE(INDEX(Diets!$P$5:$P$12,MATCH(Planner!$C$36,Diets!$A$5:$A$12,0))," ","")&amp;","))*1</f>
        <v>0</v>
      </c>
      <c r="AE59" s="48" t="n">
        <f aca="false">IF(OR(UPPER(U59)="Y",AD59&gt;0),0,1)</f>
        <v>1</v>
      </c>
      <c r="AF59" s="49" t="n">
        <v>0</v>
      </c>
      <c r="AG59" s="49" t="n">
        <v>0.5</v>
      </c>
      <c r="AH59" s="49" t="n">
        <v>0.5</v>
      </c>
      <c r="AI59" s="49" t="n">
        <v>0</v>
      </c>
      <c r="AJ59" s="8" t="n">
        <v>184</v>
      </c>
      <c r="AK59" s="4"/>
      <c r="AL59" s="50" t="s">
        <v>490</v>
      </c>
      <c r="AM59" s="13" t="n">
        <v>184</v>
      </c>
      <c r="AN59" s="13"/>
      <c r="AO59" s="50"/>
      <c r="AP59" s="35" t="n">
        <v>0.018</v>
      </c>
      <c r="AQ59" s="35" t="n">
        <v>28</v>
      </c>
      <c r="AR59" s="35" t="n">
        <v>3.1</v>
      </c>
      <c r="AS59" s="35" t="n">
        <v>5.36</v>
      </c>
      <c r="AT59" s="35" t="n">
        <v>0.11</v>
      </c>
      <c r="AU59" s="35" t="n">
        <v>3</v>
      </c>
      <c r="AV59" s="35" t="n">
        <v>1.47</v>
      </c>
      <c r="AW59" s="35" t="n">
        <v>51</v>
      </c>
      <c r="AX59" s="35" t="n">
        <v>0.61</v>
      </c>
      <c r="AY59" s="35" t="n">
        <v>180</v>
      </c>
      <c r="AZ59" s="35" t="n">
        <v>24</v>
      </c>
      <c r="BA59" s="35" t="n">
        <v>40.1</v>
      </c>
      <c r="BB59" s="25" t="n">
        <f aca="false">AR59/Q59</f>
        <v>6.57388285448276</v>
      </c>
      <c r="BC59" s="18" t="n">
        <f aca="false">AQ59/Q59</f>
        <v>59.3770064275862</v>
      </c>
      <c r="BD59" s="4" t="s">
        <v>547</v>
      </c>
      <c r="BE59" s="4" t="s">
        <v>548</v>
      </c>
      <c r="BF59" s="4"/>
    </row>
    <row r="60" customFormat="false" ht="15" hidden="false" customHeight="false" outlineLevel="0" collapsed="false">
      <c r="A60" s="4" t="n">
        <v>55</v>
      </c>
      <c r="B60" s="58" t="s">
        <v>70</v>
      </c>
      <c r="C60" s="59" t="s">
        <v>70</v>
      </c>
      <c r="D60" s="14" t="s">
        <v>549</v>
      </c>
      <c r="E60" s="4" t="s">
        <v>549</v>
      </c>
      <c r="F60" s="4" t="s">
        <v>550</v>
      </c>
      <c r="G60" s="38" t="n">
        <v>2.26</v>
      </c>
      <c r="H60" s="21" t="n">
        <v>907.2</v>
      </c>
      <c r="I60" s="31" t="n">
        <v>0.89</v>
      </c>
      <c r="J60" s="41" t="n">
        <v>1</v>
      </c>
      <c r="K60" s="31" t="n">
        <v>0.24</v>
      </c>
      <c r="L60" s="42" t="n">
        <f aca="false">G60/(H60*I60*J60)*100</f>
        <v>0.279908051443632</v>
      </c>
      <c r="M60" s="42" t="n">
        <f aca="false">L60/(1-K60)</f>
        <v>0.368300067688989</v>
      </c>
      <c r="N60" s="4"/>
      <c r="O60" s="4"/>
      <c r="P60" s="4"/>
      <c r="Q60" s="44" t="n">
        <f aca="false">IF(AND(IF(Planner!$C$39="BLS U.S. average (Sep 2026)",1,0)=1,P60&lt;&gt;""),P60,L60)/(1-IF(AND((Planner!$C$60="Realistic"),Planner!$C$62="Yes"),K60,0))</f>
        <v>0.368300067688989</v>
      </c>
      <c r="R60" s="13" t="n">
        <v>128</v>
      </c>
      <c r="S60" s="4" t="s">
        <v>551</v>
      </c>
      <c r="T60" s="8" t="n">
        <v>2</v>
      </c>
      <c r="U60" s="45"/>
      <c r="V60" s="13"/>
      <c r="W60" s="46" t="n">
        <v>0</v>
      </c>
      <c r="X60" s="46" t="n">
        <v>0</v>
      </c>
      <c r="Y60" s="46" t="n">
        <v>0</v>
      </c>
      <c r="Z60" s="46" t="n">
        <v>0</v>
      </c>
      <c r="AA60" s="46" t="n">
        <v>0</v>
      </c>
      <c r="AB60" s="46" t="n">
        <v>0</v>
      </c>
      <c r="AC60" s="46" t="n">
        <v>0</v>
      </c>
      <c r="AD60" s="47" t="n">
        <f aca="false">SUMPRODUCT(W60:AC60,INDEX(Diets!$I$5:$O$12,MATCH(Planner!$C$36,Diets!$A$5:$A$12,0),0))+ISNUMBER(SEARCH(","&amp;A60&amp;",",","&amp;SUBSTITUTE(INDEX(Diets!$P$5:$P$12,MATCH(Planner!$C$36,Diets!$A$5:$A$12,0))," ","")&amp;","))*1</f>
        <v>0</v>
      </c>
      <c r="AE60" s="48" t="n">
        <f aca="false">IF(OR(UPPER(U60)="Y",AD60&gt;0),0,1)</f>
        <v>1</v>
      </c>
      <c r="AF60" s="49" t="n">
        <v>0</v>
      </c>
      <c r="AG60" s="49" t="n">
        <v>0.5</v>
      </c>
      <c r="AH60" s="49" t="n">
        <v>0</v>
      </c>
      <c r="AI60" s="49" t="n">
        <v>0.5</v>
      </c>
      <c r="AJ60" s="8" t="n">
        <v>128</v>
      </c>
      <c r="AK60" s="4"/>
      <c r="AL60" s="50" t="s">
        <v>490</v>
      </c>
      <c r="AM60" s="13" t="n">
        <v>128</v>
      </c>
      <c r="AN60" s="13"/>
      <c r="AO60" s="50"/>
      <c r="AP60" s="35" t="n">
        <v>0.037</v>
      </c>
      <c r="AQ60" s="35" t="n">
        <v>41</v>
      </c>
      <c r="AR60" s="35" t="n">
        <v>0.93</v>
      </c>
      <c r="AS60" s="35" t="n">
        <v>9.58</v>
      </c>
      <c r="AT60" s="35" t="n">
        <v>0.24</v>
      </c>
      <c r="AU60" s="35" t="n">
        <v>2.8</v>
      </c>
      <c r="AV60" s="35" t="n">
        <v>4.74</v>
      </c>
      <c r="AW60" s="35" t="n">
        <v>33</v>
      </c>
      <c r="AX60" s="35" t="n">
        <v>0.3</v>
      </c>
      <c r="AY60" s="35" t="n">
        <v>320</v>
      </c>
      <c r="AZ60" s="35" t="n">
        <v>69</v>
      </c>
      <c r="BA60" s="35" t="n">
        <v>5.9</v>
      </c>
      <c r="BB60" s="25" t="n">
        <f aca="false">AR60/Q60</f>
        <v>2.52511493097345</v>
      </c>
      <c r="BC60" s="18" t="n">
        <f aca="false">AQ60/Q60</f>
        <v>111.322271150442</v>
      </c>
      <c r="BD60" s="4" t="s">
        <v>552</v>
      </c>
      <c r="BE60" s="4" t="s">
        <v>553</v>
      </c>
      <c r="BF60" s="4"/>
    </row>
    <row r="61" customFormat="false" ht="15" hidden="false" customHeight="false" outlineLevel="0" collapsed="false">
      <c r="A61" s="4" t="n">
        <v>56</v>
      </c>
      <c r="B61" s="58" t="s">
        <v>70</v>
      </c>
      <c r="C61" s="59" t="s">
        <v>70</v>
      </c>
      <c r="D61" s="14" t="s">
        <v>554</v>
      </c>
      <c r="E61" s="4" t="s">
        <v>555</v>
      </c>
      <c r="F61" s="4" t="s">
        <v>556</v>
      </c>
      <c r="G61" s="38" t="n">
        <v>0.84</v>
      </c>
      <c r="H61" s="21" t="n">
        <v>411.1</v>
      </c>
      <c r="I61" s="31" t="n">
        <v>1</v>
      </c>
      <c r="J61" s="41" t="n">
        <v>0.6818</v>
      </c>
      <c r="K61" s="31" t="n">
        <v>0.18</v>
      </c>
      <c r="L61" s="42" t="n">
        <f aca="false">G61/(H61*I61*J61)*100</f>
        <v>0.299691767017622</v>
      </c>
      <c r="M61" s="42" t="n">
        <f aca="false">L61/(1-K61)</f>
        <v>0.365477764655637</v>
      </c>
      <c r="N61" s="4"/>
      <c r="O61" s="4"/>
      <c r="P61" s="4"/>
      <c r="Q61" s="44" t="n">
        <f aca="false">IF(AND(IF(Planner!$C$39="BLS U.S. average (Sep 2026)",1,0)=1,P61&lt;&gt;""),P61,L61)/(1-IF(AND((Planner!$C$60="Realistic"),Planner!$C$62="Yes"),K61,0))</f>
        <v>0.365477764655637</v>
      </c>
      <c r="R61" s="13" t="n">
        <v>135</v>
      </c>
      <c r="S61" s="4" t="s">
        <v>557</v>
      </c>
      <c r="T61" s="8" t="n">
        <v>2</v>
      </c>
      <c r="U61" s="45"/>
      <c r="V61" s="13"/>
      <c r="W61" s="46" t="n">
        <v>0</v>
      </c>
      <c r="X61" s="46" t="n">
        <v>0</v>
      </c>
      <c r="Y61" s="46" t="n">
        <v>0</v>
      </c>
      <c r="Z61" s="46" t="n">
        <v>0</v>
      </c>
      <c r="AA61" s="46" t="n">
        <v>0</v>
      </c>
      <c r="AB61" s="46" t="n">
        <v>0</v>
      </c>
      <c r="AC61" s="46" t="n">
        <v>0</v>
      </c>
      <c r="AD61" s="47" t="n">
        <f aca="false">SUMPRODUCT(W61:AC61,INDEX(Diets!$I$5:$O$12,MATCH(Planner!$C$36,Diets!$A$5:$A$12,0),0))+ISNUMBER(SEARCH(","&amp;A61&amp;",",","&amp;SUBSTITUTE(INDEX(Diets!$P$5:$P$12,MATCH(Planner!$C$36,Diets!$A$5:$A$12,0))," ","")&amp;","))*1</f>
        <v>0</v>
      </c>
      <c r="AE61" s="48" t="n">
        <f aca="false">IF(OR(UPPER(U61)="Y",AD61&gt;0),0,1)</f>
        <v>1</v>
      </c>
      <c r="AF61" s="49" t="n">
        <v>0</v>
      </c>
      <c r="AG61" s="49" t="n">
        <v>0.5</v>
      </c>
      <c r="AH61" s="49" t="n">
        <v>0.5</v>
      </c>
      <c r="AI61" s="49" t="n">
        <v>0</v>
      </c>
      <c r="AJ61" s="8" t="n">
        <v>135</v>
      </c>
      <c r="AK61" s="4"/>
      <c r="AL61" s="50" t="s">
        <v>490</v>
      </c>
      <c r="AM61" s="13" t="n">
        <v>135</v>
      </c>
      <c r="AN61" s="13"/>
      <c r="AO61" s="50"/>
      <c r="AP61" s="35" t="n">
        <v>0.103</v>
      </c>
      <c r="AQ61" s="35" t="n">
        <v>22</v>
      </c>
      <c r="AR61" s="35" t="n">
        <v>1.12</v>
      </c>
      <c r="AS61" s="35" t="n">
        <v>4.32</v>
      </c>
      <c r="AT61" s="35" t="n">
        <v>0.46</v>
      </c>
      <c r="AU61" s="35" t="n">
        <v>1.9</v>
      </c>
      <c r="AV61" s="35" t="n">
        <v>0.78</v>
      </c>
      <c r="AW61" s="35" t="n">
        <v>38</v>
      </c>
      <c r="AX61" s="35" t="n">
        <v>1.06</v>
      </c>
      <c r="AY61" s="35" t="n">
        <v>96</v>
      </c>
      <c r="AZ61" s="35" t="n">
        <v>230</v>
      </c>
      <c r="BA61" s="35" t="n">
        <v>2.8</v>
      </c>
      <c r="BB61" s="25" t="n">
        <f aca="false">AR61/Q61</f>
        <v>3.06448191466667</v>
      </c>
      <c r="BC61" s="18" t="n">
        <f aca="false">AQ61/Q61</f>
        <v>60.1951804666667</v>
      </c>
      <c r="BD61" s="4" t="s">
        <v>558</v>
      </c>
      <c r="BE61" s="4" t="s">
        <v>559</v>
      </c>
      <c r="BF61" s="4" t="s">
        <v>560</v>
      </c>
    </row>
    <row r="62" customFormat="false" ht="15" hidden="false" customHeight="false" outlineLevel="0" collapsed="false">
      <c r="A62" s="4" t="n">
        <v>57</v>
      </c>
      <c r="B62" s="58" t="s">
        <v>70</v>
      </c>
      <c r="C62" s="59" t="s">
        <v>70</v>
      </c>
      <c r="D62" s="14" t="s">
        <v>561</v>
      </c>
      <c r="E62" s="4" t="s">
        <v>561</v>
      </c>
      <c r="F62" s="4" t="s">
        <v>562</v>
      </c>
      <c r="G62" s="38" t="n">
        <v>0.86</v>
      </c>
      <c r="H62" s="21" t="n">
        <v>145</v>
      </c>
      <c r="I62" s="31" t="n">
        <v>0.82</v>
      </c>
      <c r="J62" s="41" t="n">
        <v>1</v>
      </c>
      <c r="K62" s="31" t="n">
        <v>0.24</v>
      </c>
      <c r="L62" s="42" t="n">
        <f aca="false">G62/(H62*I62*J62)*100</f>
        <v>0.723296888141295</v>
      </c>
      <c r="M62" s="42" t="n">
        <f aca="false">L62/(1-K62)</f>
        <v>0.951706431764862</v>
      </c>
      <c r="N62" s="4"/>
      <c r="O62" s="4"/>
      <c r="P62" s="4"/>
      <c r="Q62" s="44" t="n">
        <f aca="false">IF(AND(IF(Planner!$C$39="BLS U.S. average (Sep 2026)",1,0)=1,P62&lt;&gt;""),P62,L62)/(1-IF(AND((Planner!$C$60="Realistic"),Planner!$C$62="Yes"),K62,0))</f>
        <v>0.951706431764862</v>
      </c>
      <c r="R62" s="13" t="n">
        <v>149</v>
      </c>
      <c r="S62" s="4" t="s">
        <v>551</v>
      </c>
      <c r="T62" s="8" t="n">
        <v>1</v>
      </c>
      <c r="U62" s="45"/>
      <c r="V62" s="13"/>
      <c r="W62" s="46" t="n">
        <v>0</v>
      </c>
      <c r="X62" s="46" t="n">
        <v>0</v>
      </c>
      <c r="Y62" s="46" t="n">
        <v>0</v>
      </c>
      <c r="Z62" s="46" t="n">
        <v>0</v>
      </c>
      <c r="AA62" s="46" t="n">
        <v>0</v>
      </c>
      <c r="AB62" s="46" t="n">
        <v>0</v>
      </c>
      <c r="AC62" s="46" t="n">
        <v>0</v>
      </c>
      <c r="AD62" s="47" t="n">
        <f aca="false">SUMPRODUCT(W62:AC62,INDEX(Diets!$I$5:$O$12,MATCH(Planner!$C$36,Diets!$A$5:$A$12,0),0))+ISNUMBER(SEARCH(","&amp;A62&amp;",",","&amp;SUBSTITUTE(INDEX(Diets!$P$5:$P$12,MATCH(Planner!$C$36,Diets!$A$5:$A$12,0))," ","")&amp;","))*1</f>
        <v>0</v>
      </c>
      <c r="AE62" s="48" t="n">
        <f aca="false">IF(OR(UPPER(U62)="Y",AD62&gt;0),0,1)</f>
        <v>1</v>
      </c>
      <c r="AF62" s="49" t="n">
        <v>0</v>
      </c>
      <c r="AG62" s="49" t="n">
        <v>0.5</v>
      </c>
      <c r="AH62" s="49" t="n">
        <v>0.5</v>
      </c>
      <c r="AI62" s="49" t="n">
        <v>0</v>
      </c>
      <c r="AJ62" s="8" t="n">
        <v>149</v>
      </c>
      <c r="AK62" s="4"/>
      <c r="AL62" s="50" t="s">
        <v>490</v>
      </c>
      <c r="AM62" s="13" t="n">
        <v>149</v>
      </c>
      <c r="AN62" s="13"/>
      <c r="AO62" s="50"/>
      <c r="AP62" s="35" t="n">
        <v>0.058</v>
      </c>
      <c r="AQ62" s="35" t="n">
        <v>20</v>
      </c>
      <c r="AR62" s="35" t="n">
        <v>0.86</v>
      </c>
      <c r="AS62" s="35" t="n">
        <v>4.64</v>
      </c>
      <c r="AT62" s="35" t="n">
        <v>0.17</v>
      </c>
      <c r="AU62" s="35" t="n">
        <v>1.7</v>
      </c>
      <c r="AV62" s="35" t="n">
        <v>2.4</v>
      </c>
      <c r="AW62" s="35" t="n">
        <v>10</v>
      </c>
      <c r="AX62" s="35" t="n">
        <v>0.34</v>
      </c>
      <c r="AY62" s="35" t="n">
        <v>175</v>
      </c>
      <c r="AZ62" s="35" t="n">
        <v>3</v>
      </c>
      <c r="BA62" s="35" t="n">
        <v>80.4</v>
      </c>
      <c r="BB62" s="25" t="n">
        <f aca="false">AR62/Q62</f>
        <v>0.90364</v>
      </c>
      <c r="BC62" s="18" t="n">
        <f aca="false">AQ62/Q62</f>
        <v>21.0148837209302</v>
      </c>
      <c r="BD62" s="4" t="s">
        <v>563</v>
      </c>
      <c r="BE62" s="4" t="s">
        <v>564</v>
      </c>
      <c r="BF62" s="4" t="s">
        <v>565</v>
      </c>
    </row>
    <row r="63" customFormat="false" ht="15" hidden="false" customHeight="false" outlineLevel="0" collapsed="false">
      <c r="A63" s="4" t="n">
        <v>58</v>
      </c>
      <c r="B63" s="58" t="s">
        <v>70</v>
      </c>
      <c r="C63" s="59" t="s">
        <v>70</v>
      </c>
      <c r="D63" s="14" t="s">
        <v>566</v>
      </c>
      <c r="E63" s="4" t="s">
        <v>567</v>
      </c>
      <c r="F63" s="4" t="s">
        <v>391</v>
      </c>
      <c r="G63" s="38" t="n">
        <v>2.58</v>
      </c>
      <c r="H63" s="21" t="n">
        <v>907.2</v>
      </c>
      <c r="I63" s="31" t="n">
        <v>1</v>
      </c>
      <c r="J63" s="41" t="n">
        <v>0.97</v>
      </c>
      <c r="K63" s="31" t="n">
        <v>0.18</v>
      </c>
      <c r="L63" s="42" t="n">
        <f aca="false">G63/(H63*I63*J63)*100</f>
        <v>0.293187148857252</v>
      </c>
      <c r="M63" s="42" t="n">
        <f aca="false">L63/(1-K63)</f>
        <v>0.357545303484454</v>
      </c>
      <c r="N63" s="4"/>
      <c r="O63" s="4"/>
      <c r="P63" s="4"/>
      <c r="Q63" s="44" t="n">
        <f aca="false">IF(AND(IF(Planner!$C$39="BLS U.S. average (Sep 2026)",1,0)=1,P63&lt;&gt;""),P63,L63)/(1-IF(AND((Planner!$C$60="Realistic"),Planner!$C$62="Yes"),K63,0))</f>
        <v>0.357545303484454</v>
      </c>
      <c r="R63" s="13" t="n">
        <v>91</v>
      </c>
      <c r="S63" s="4" t="s">
        <v>361</v>
      </c>
      <c r="T63" s="8" t="n">
        <v>3</v>
      </c>
      <c r="U63" s="45"/>
      <c r="V63" s="13"/>
      <c r="W63" s="46" t="n">
        <v>0</v>
      </c>
      <c r="X63" s="46" t="n">
        <v>0</v>
      </c>
      <c r="Y63" s="46" t="n">
        <v>0</v>
      </c>
      <c r="Z63" s="46" t="n">
        <v>0</v>
      </c>
      <c r="AA63" s="46" t="n">
        <v>0</v>
      </c>
      <c r="AB63" s="46" t="n">
        <v>0</v>
      </c>
      <c r="AC63" s="46" t="n">
        <v>0</v>
      </c>
      <c r="AD63" s="47" t="n">
        <f aca="false">SUMPRODUCT(W63:AC63,INDEX(Diets!$I$5:$O$12,MATCH(Planner!$C$36,Diets!$A$5:$A$12,0),0))+ISNUMBER(SEARCH(","&amp;A63&amp;",",","&amp;SUBSTITUTE(INDEX(Diets!$P$5:$P$12,MATCH(Planner!$C$36,Diets!$A$5:$A$12,0))," ","")&amp;","))*1</f>
        <v>0</v>
      </c>
      <c r="AE63" s="48" t="n">
        <f aca="false">IF(OR(UPPER(U63)="Y",AD63&gt;0),0,1)</f>
        <v>1</v>
      </c>
      <c r="AF63" s="49" t="n">
        <v>0</v>
      </c>
      <c r="AG63" s="49" t="n">
        <v>0.5</v>
      </c>
      <c r="AH63" s="49" t="n">
        <v>0.5</v>
      </c>
      <c r="AI63" s="49" t="n">
        <v>0</v>
      </c>
      <c r="AJ63" s="8" t="n">
        <v>182</v>
      </c>
      <c r="AK63" s="4"/>
      <c r="AL63" s="50" t="s">
        <v>490</v>
      </c>
      <c r="AM63" s="13" t="n">
        <v>182</v>
      </c>
      <c r="AN63" s="13"/>
      <c r="AO63" s="50"/>
      <c r="AP63" s="35" t="n">
        <v>0.031</v>
      </c>
      <c r="AQ63" s="35" t="n">
        <v>65</v>
      </c>
      <c r="AR63" s="35" t="n">
        <v>2.86</v>
      </c>
      <c r="AS63" s="35" t="n">
        <v>13.09</v>
      </c>
      <c r="AT63" s="35" t="n">
        <v>0.15</v>
      </c>
      <c r="AU63" s="35" t="n">
        <v>4.4</v>
      </c>
      <c r="AV63" s="35" t="n">
        <v>3.12</v>
      </c>
      <c r="AW63" s="35" t="n">
        <v>25</v>
      </c>
      <c r="AX63" s="35" t="n">
        <v>0.82</v>
      </c>
      <c r="AY63" s="35" t="n">
        <v>169</v>
      </c>
      <c r="AZ63" s="35" t="n">
        <v>35</v>
      </c>
      <c r="BA63" s="35" t="n">
        <v>3.2</v>
      </c>
      <c r="BB63" s="25" t="n">
        <f aca="false">AR63/Q63</f>
        <v>7.99898634418605</v>
      </c>
      <c r="BC63" s="18" t="n">
        <f aca="false">AQ63/Q63</f>
        <v>181.795144186047</v>
      </c>
      <c r="BD63" s="4" t="s">
        <v>568</v>
      </c>
      <c r="BE63" s="4" t="s">
        <v>569</v>
      </c>
      <c r="BF63" s="4"/>
    </row>
    <row r="64" customFormat="false" ht="15" hidden="false" customHeight="false" outlineLevel="0" collapsed="false">
      <c r="A64" s="4" t="n">
        <v>59</v>
      </c>
      <c r="B64" s="58" t="s">
        <v>70</v>
      </c>
      <c r="C64" s="59" t="s">
        <v>70</v>
      </c>
      <c r="D64" s="14" t="s">
        <v>570</v>
      </c>
      <c r="E64" s="4" t="s">
        <v>570</v>
      </c>
      <c r="F64" s="4" t="s">
        <v>571</v>
      </c>
      <c r="G64" s="51" t="n">
        <v>2.96</v>
      </c>
      <c r="H64" s="21" t="n">
        <v>1360.8</v>
      </c>
      <c r="I64" s="31" t="n">
        <v>0.9</v>
      </c>
      <c r="J64" s="41" t="n">
        <v>1</v>
      </c>
      <c r="K64" s="31" t="n">
        <v>0.24</v>
      </c>
      <c r="L64" s="42" t="n">
        <f aca="false">G64/(H64*I64*J64)*100</f>
        <v>0.241687896008884</v>
      </c>
      <c r="M64" s="42" t="n">
        <f aca="false">L64/(1-K64)</f>
        <v>0.318010389485373</v>
      </c>
      <c r="N64" s="4"/>
      <c r="O64" s="4"/>
      <c r="P64" s="4"/>
      <c r="Q64" s="44" t="n">
        <f aca="false">IF(AND(IF(Planner!$C$39="BLS U.S. average (Sep 2026)",1,0)=1,P64&lt;&gt;""),P64,L64)/(1-IF(AND((Planner!$C$60="Realistic"),Planner!$C$62="Yes"),K64,0))</f>
        <v>0.318010389485373</v>
      </c>
      <c r="R64" s="13" t="n">
        <v>80</v>
      </c>
      <c r="S64" s="4" t="s">
        <v>572</v>
      </c>
      <c r="T64" s="8" t="n">
        <v>2</v>
      </c>
      <c r="U64" s="45"/>
      <c r="V64" s="13"/>
      <c r="W64" s="46" t="n">
        <v>0</v>
      </c>
      <c r="X64" s="46" t="n">
        <v>0</v>
      </c>
      <c r="Y64" s="46" t="n">
        <v>0</v>
      </c>
      <c r="Z64" s="46" t="n">
        <v>0</v>
      </c>
      <c r="AA64" s="46" t="n">
        <v>0</v>
      </c>
      <c r="AB64" s="46" t="n">
        <v>0</v>
      </c>
      <c r="AC64" s="46" t="n">
        <v>0</v>
      </c>
      <c r="AD64" s="47" t="n">
        <f aca="false">SUMPRODUCT(W64:AC64,INDEX(Diets!$I$5:$O$12,MATCH(Planner!$C$36,Diets!$A$5:$A$12,0),0))+ISNUMBER(SEARCH(","&amp;A64&amp;",",","&amp;SUBSTITUTE(INDEX(Diets!$P$5:$P$12,MATCH(Planner!$C$36,Diets!$A$5:$A$12,0))," ","")&amp;","))*1</f>
        <v>0</v>
      </c>
      <c r="AE64" s="48" t="n">
        <f aca="false">IF(OR(UPPER(U64)="Y",AD64&gt;0),0,1)</f>
        <v>1</v>
      </c>
      <c r="AF64" s="49" t="n">
        <v>0</v>
      </c>
      <c r="AG64" s="49" t="n">
        <v>0.5</v>
      </c>
      <c r="AH64" s="49" t="n">
        <v>0.5</v>
      </c>
      <c r="AI64" s="49" t="n">
        <v>0</v>
      </c>
      <c r="AJ64" s="8" t="n">
        <v>160</v>
      </c>
      <c r="AK64" s="4"/>
      <c r="AL64" s="50" t="s">
        <v>490</v>
      </c>
      <c r="AM64" s="13" t="n">
        <v>160</v>
      </c>
      <c r="AN64" s="13"/>
      <c r="AO64" s="50"/>
      <c r="AP64" s="35" t="n">
        <v>0.042</v>
      </c>
      <c r="AQ64" s="35" t="n">
        <v>40</v>
      </c>
      <c r="AR64" s="35" t="n">
        <v>1.1</v>
      </c>
      <c r="AS64" s="35" t="n">
        <v>9.34</v>
      </c>
      <c r="AT64" s="35" t="n">
        <v>0.1</v>
      </c>
      <c r="AU64" s="35" t="n">
        <v>1.7</v>
      </c>
      <c r="AV64" s="35" t="n">
        <v>4.24</v>
      </c>
      <c r="AW64" s="35" t="n">
        <v>23</v>
      </c>
      <c r="AX64" s="35" t="n">
        <v>0.21</v>
      </c>
      <c r="AY64" s="35" t="n">
        <v>146</v>
      </c>
      <c r="AZ64" s="35" t="n">
        <v>4</v>
      </c>
      <c r="BA64" s="35" t="n">
        <v>7.4</v>
      </c>
      <c r="BB64" s="25" t="n">
        <f aca="false">AR64/Q64</f>
        <v>3.45900648648649</v>
      </c>
      <c r="BC64" s="18" t="n">
        <f aca="false">AQ64/Q64</f>
        <v>125.782054054054</v>
      </c>
      <c r="BD64" s="4" t="s">
        <v>573</v>
      </c>
      <c r="BE64" s="4" t="s">
        <v>574</v>
      </c>
      <c r="BF64" s="4" t="s">
        <v>423</v>
      </c>
    </row>
    <row r="65" customFormat="false" ht="15" hidden="false" customHeight="false" outlineLevel="0" collapsed="false">
      <c r="A65" s="4" t="n">
        <v>60</v>
      </c>
      <c r="B65" s="58" t="s">
        <v>70</v>
      </c>
      <c r="C65" s="59" t="s">
        <v>70</v>
      </c>
      <c r="D65" s="14" t="s">
        <v>575</v>
      </c>
      <c r="E65" s="4" t="s">
        <v>575</v>
      </c>
      <c r="F65" s="4" t="s">
        <v>576</v>
      </c>
      <c r="G65" s="38" t="n">
        <v>3.312</v>
      </c>
      <c r="H65" s="21" t="n">
        <v>453.6</v>
      </c>
      <c r="I65" s="31" t="n">
        <v>0.94</v>
      </c>
      <c r="J65" s="41" t="n">
        <v>1</v>
      </c>
      <c r="K65" s="31" t="n">
        <v>0.24</v>
      </c>
      <c r="L65" s="42" t="n">
        <f aca="false">G65/(H65*I65*J65)*100</f>
        <v>0.776764606551841</v>
      </c>
      <c r="M65" s="42" t="n">
        <f aca="false">L65/(1-K65)</f>
        <v>1.02205869283137</v>
      </c>
      <c r="N65" s="43" t="n">
        <v>3.312</v>
      </c>
      <c r="O65" s="21" t="n">
        <v>453.6</v>
      </c>
      <c r="P65" s="42" t="n">
        <f aca="false">N65/(O65*I65*J65)*100</f>
        <v>0.776764606551841</v>
      </c>
      <c r="Q65" s="44" t="n">
        <f aca="false">IF(AND(IF(Planner!$C$39="BLS U.S. average (Sep 2026)",1,0)=1,P65&lt;&gt;""),P65,L65)/(1-IF(AND((Planner!$C$60="Realistic"),Planner!$C$62="Yes"),K65,0))</f>
        <v>1.02205869283137</v>
      </c>
      <c r="R65" s="13" t="n">
        <v>94</v>
      </c>
      <c r="S65" s="4" t="s">
        <v>577</v>
      </c>
      <c r="T65" s="8" t="n">
        <v>2</v>
      </c>
      <c r="U65" s="45"/>
      <c r="V65" s="13"/>
      <c r="W65" s="46" t="n">
        <v>0</v>
      </c>
      <c r="X65" s="46" t="n">
        <v>0</v>
      </c>
      <c r="Y65" s="46" t="n">
        <v>0</v>
      </c>
      <c r="Z65" s="46" t="n">
        <v>0</v>
      </c>
      <c r="AA65" s="46" t="n">
        <v>0</v>
      </c>
      <c r="AB65" s="46" t="n">
        <v>0</v>
      </c>
      <c r="AC65" s="46" t="n">
        <v>0</v>
      </c>
      <c r="AD65" s="47" t="n">
        <f aca="false">SUMPRODUCT(W65:AC65,INDEX(Diets!$I$5:$O$12,MATCH(Planner!$C$36,Diets!$A$5:$A$12,0),0))+ISNUMBER(SEARCH(","&amp;A65&amp;",",","&amp;SUBSTITUTE(INDEX(Diets!$P$5:$P$12,MATCH(Planner!$C$36,Diets!$A$5:$A$12,0))," ","")&amp;","))*1</f>
        <v>0</v>
      </c>
      <c r="AE65" s="48" t="n">
        <f aca="false">IF(OR(UPPER(U65)="Y",AD65&gt;0),0,1)</f>
        <v>1</v>
      </c>
      <c r="AF65" s="49" t="n">
        <v>0</v>
      </c>
      <c r="AG65" s="49" t="n">
        <v>0.5</v>
      </c>
      <c r="AH65" s="49" t="n">
        <v>0.5</v>
      </c>
      <c r="AI65" s="49" t="n">
        <v>0</v>
      </c>
      <c r="AJ65" s="8" t="n">
        <v>94</v>
      </c>
      <c r="AK65" s="4"/>
      <c r="AL65" s="50" t="s">
        <v>490</v>
      </c>
      <c r="AM65" s="13" t="n">
        <v>94</v>
      </c>
      <c r="AN65" s="13"/>
      <c r="AO65" s="50"/>
      <c r="AP65" s="35" t="n">
        <v>0.039</v>
      </c>
      <c r="AQ65" s="35" t="n">
        <v>17</v>
      </c>
      <c r="AR65" s="35" t="n">
        <v>1.23</v>
      </c>
      <c r="AS65" s="35" t="n">
        <v>3.29</v>
      </c>
      <c r="AT65" s="35" t="n">
        <v>0.3</v>
      </c>
      <c r="AU65" s="35" t="n">
        <v>2.1</v>
      </c>
      <c r="AV65" s="35" t="n">
        <v>1.19</v>
      </c>
      <c r="AW65" s="35" t="n">
        <v>33</v>
      </c>
      <c r="AX65" s="35" t="n">
        <v>0.97</v>
      </c>
      <c r="AY65" s="35" t="n">
        <v>247</v>
      </c>
      <c r="AZ65" s="35" t="n">
        <v>8</v>
      </c>
      <c r="BA65" s="35" t="n">
        <v>4</v>
      </c>
      <c r="BB65" s="25" t="n">
        <f aca="false">AR65/Q65</f>
        <v>1.20345339130435</v>
      </c>
      <c r="BC65" s="18" t="n">
        <f aca="false">AQ65/Q65</f>
        <v>16.6330956521739</v>
      </c>
      <c r="BD65" s="4" t="s">
        <v>578</v>
      </c>
      <c r="BE65" s="4" t="s">
        <v>579</v>
      </c>
      <c r="BF65" s="4" t="s">
        <v>580</v>
      </c>
    </row>
    <row r="66" customFormat="false" ht="15" hidden="false" customHeight="false" outlineLevel="0" collapsed="false">
      <c r="A66" s="4" t="n">
        <v>61</v>
      </c>
      <c r="B66" s="58" t="s">
        <v>70</v>
      </c>
      <c r="C66" s="59" t="s">
        <v>70</v>
      </c>
      <c r="D66" s="14" t="s">
        <v>581</v>
      </c>
      <c r="E66" s="4" t="s">
        <v>581</v>
      </c>
      <c r="F66" s="4" t="s">
        <v>582</v>
      </c>
      <c r="G66" s="38" t="n">
        <v>1.97</v>
      </c>
      <c r="H66" s="21" t="n">
        <v>283.5</v>
      </c>
      <c r="I66" s="31" t="n">
        <v>1</v>
      </c>
      <c r="J66" s="41" t="n">
        <v>1</v>
      </c>
      <c r="K66" s="31" t="n">
        <v>0.24</v>
      </c>
      <c r="L66" s="42" t="n">
        <f aca="false">G66/(H66*I66*J66)*100</f>
        <v>0.694885361552028</v>
      </c>
      <c r="M66" s="42" t="n">
        <f aca="false">L66/(1-K66)</f>
        <v>0.914322844147406</v>
      </c>
      <c r="N66" s="4"/>
      <c r="O66" s="4"/>
      <c r="P66" s="4"/>
      <c r="Q66" s="44" t="n">
        <f aca="false">IF(AND(IF(Planner!$C$39="BLS U.S. average (Sep 2026)",1,0)=1,P66&lt;&gt;""),P66,L66)/(1-IF(AND((Planner!$C$60="Realistic"),Planner!$C$62="Yes"),K66,0))</f>
        <v>0.914322844147406</v>
      </c>
      <c r="R66" s="13" t="n">
        <v>60</v>
      </c>
      <c r="S66" s="4" t="s">
        <v>583</v>
      </c>
      <c r="T66" s="8" t="n">
        <v>3</v>
      </c>
      <c r="U66" s="45"/>
      <c r="V66" s="13"/>
      <c r="W66" s="46" t="n">
        <v>0</v>
      </c>
      <c r="X66" s="46" t="n">
        <v>0</v>
      </c>
      <c r="Y66" s="46" t="n">
        <v>0</v>
      </c>
      <c r="Z66" s="46" t="n">
        <v>0</v>
      </c>
      <c r="AA66" s="46" t="n">
        <v>0</v>
      </c>
      <c r="AB66" s="46" t="n">
        <v>0</v>
      </c>
      <c r="AC66" s="46" t="n">
        <v>0</v>
      </c>
      <c r="AD66" s="47" t="n">
        <f aca="false">SUMPRODUCT(W66:AC66,INDEX(Diets!$I$5:$O$12,MATCH(Planner!$C$36,Diets!$A$5:$A$12,0),0))+ISNUMBER(SEARCH(","&amp;A66&amp;",",","&amp;SUBSTITUTE(INDEX(Diets!$P$5:$P$12,MATCH(Planner!$C$36,Diets!$A$5:$A$12,0))," ","")&amp;","))*1</f>
        <v>0</v>
      </c>
      <c r="AE66" s="48" t="n">
        <f aca="false">IF(OR(UPPER(U66)="Y",AD66&gt;0),0,1)</f>
        <v>1</v>
      </c>
      <c r="AF66" s="49" t="n">
        <v>0</v>
      </c>
      <c r="AG66" s="49" t="n">
        <v>0.5</v>
      </c>
      <c r="AH66" s="49" t="n">
        <v>0.5</v>
      </c>
      <c r="AI66" s="49" t="n">
        <v>0</v>
      </c>
      <c r="AJ66" s="8" t="n">
        <v>60</v>
      </c>
      <c r="AK66" s="4"/>
      <c r="AL66" s="50" t="s">
        <v>490</v>
      </c>
      <c r="AM66" s="13" t="n">
        <v>60</v>
      </c>
      <c r="AN66" s="13"/>
      <c r="AO66" s="50"/>
      <c r="AP66" s="35" t="n">
        <v>0.063</v>
      </c>
      <c r="AQ66" s="35" t="n">
        <v>23</v>
      </c>
      <c r="AR66" s="35" t="n">
        <v>2.86</v>
      </c>
      <c r="AS66" s="35" t="n">
        <v>3.63</v>
      </c>
      <c r="AT66" s="35" t="n">
        <v>0.39</v>
      </c>
      <c r="AU66" s="35" t="n">
        <v>2.2</v>
      </c>
      <c r="AV66" s="35" t="n">
        <v>0.42</v>
      </c>
      <c r="AW66" s="35" t="n">
        <v>99</v>
      </c>
      <c r="AX66" s="35" t="n">
        <v>2.71</v>
      </c>
      <c r="AY66" s="35" t="n">
        <v>558</v>
      </c>
      <c r="AZ66" s="35" t="n">
        <v>79</v>
      </c>
      <c r="BA66" s="35" t="n">
        <v>28.1</v>
      </c>
      <c r="BB66" s="25" t="n">
        <f aca="false">AR66/Q66</f>
        <v>3.12799796954315</v>
      </c>
      <c r="BC66" s="18" t="n">
        <f aca="false">AQ66/Q66</f>
        <v>25.1552284263959</v>
      </c>
      <c r="BD66" s="4" t="s">
        <v>584</v>
      </c>
      <c r="BE66" s="4" t="s">
        <v>585</v>
      </c>
      <c r="BF66" s="4" t="s">
        <v>586</v>
      </c>
    </row>
    <row r="67" customFormat="false" ht="15" hidden="false" customHeight="false" outlineLevel="0" collapsed="false">
      <c r="A67" s="4" t="n">
        <v>62</v>
      </c>
      <c r="B67" s="58" t="s">
        <v>70</v>
      </c>
      <c r="C67" s="59" t="s">
        <v>70</v>
      </c>
      <c r="D67" s="14" t="s">
        <v>587</v>
      </c>
      <c r="E67" s="4" t="s">
        <v>587</v>
      </c>
      <c r="F67" s="4" t="s">
        <v>588</v>
      </c>
      <c r="G67" s="38" t="n">
        <v>0.85</v>
      </c>
      <c r="H67" s="21" t="n">
        <v>453.6</v>
      </c>
      <c r="I67" s="31" t="n">
        <v>0.91</v>
      </c>
      <c r="J67" s="41" t="n">
        <v>1</v>
      </c>
      <c r="K67" s="31" t="n">
        <v>0.24</v>
      </c>
      <c r="L67" s="42" t="n">
        <f aca="false">G67/(H67*I67*J67)*100</f>
        <v>0.205922824970444</v>
      </c>
      <c r="M67" s="42" t="n">
        <f aca="false">L67/(1-K67)</f>
        <v>0.270951085487426</v>
      </c>
      <c r="N67" s="43" t="n">
        <v>1.992</v>
      </c>
      <c r="O67" s="21" t="n">
        <v>453.6</v>
      </c>
      <c r="P67" s="42" t="n">
        <f aca="false">N67/(O67*I67*J67)*100</f>
        <v>0.482586196871911</v>
      </c>
      <c r="Q67" s="44" t="n">
        <f aca="false">IF(AND(IF(Planner!$C$39="BLS U.S. average (Sep 2026)",1,0)=1,P67&lt;&gt;""),P67,L67)/(1-IF(AND((Planner!$C$60="Realistic"),Planner!$C$62="Yes"),K67,0))</f>
        <v>0.270951085487426</v>
      </c>
      <c r="R67" s="13" t="n">
        <v>180</v>
      </c>
      <c r="S67" s="4" t="s">
        <v>551</v>
      </c>
      <c r="T67" s="8" t="n">
        <v>2</v>
      </c>
      <c r="U67" s="45"/>
      <c r="V67" s="13"/>
      <c r="W67" s="46" t="n">
        <v>0</v>
      </c>
      <c r="X67" s="46" t="n">
        <v>0</v>
      </c>
      <c r="Y67" s="46" t="n">
        <v>0</v>
      </c>
      <c r="Z67" s="46" t="n">
        <v>0</v>
      </c>
      <c r="AA67" s="46" t="n">
        <v>0</v>
      </c>
      <c r="AB67" s="46" t="n">
        <v>0</v>
      </c>
      <c r="AC67" s="46" t="n">
        <v>0</v>
      </c>
      <c r="AD67" s="47" t="n">
        <f aca="false">SUMPRODUCT(W67:AC67,INDEX(Diets!$I$5:$O$12,MATCH(Planner!$C$36,Diets!$A$5:$A$12,0),0))+ISNUMBER(SEARCH(","&amp;A67&amp;",",","&amp;SUBSTITUTE(INDEX(Diets!$P$5:$P$12,MATCH(Planner!$C$36,Diets!$A$5:$A$12,0))," ","")&amp;","))*1</f>
        <v>0</v>
      </c>
      <c r="AE67" s="48" t="n">
        <f aca="false">IF(OR(UPPER(U67)="Y",AD67&gt;0),0,1)</f>
        <v>1</v>
      </c>
      <c r="AF67" s="49" t="n">
        <v>0</v>
      </c>
      <c r="AG67" s="49" t="n">
        <v>0.5</v>
      </c>
      <c r="AH67" s="49" t="n">
        <v>0.5</v>
      </c>
      <c r="AI67" s="49" t="n">
        <v>0</v>
      </c>
      <c r="AJ67" s="8" t="n">
        <v>180</v>
      </c>
      <c r="AK67" s="4"/>
      <c r="AL67" s="50" t="s">
        <v>490</v>
      </c>
      <c r="AM67" s="13" t="n">
        <v>180</v>
      </c>
      <c r="AN67" s="13"/>
      <c r="AO67" s="50"/>
      <c r="AP67" s="35" t="n">
        <v>0.028</v>
      </c>
      <c r="AQ67" s="35" t="n">
        <v>18</v>
      </c>
      <c r="AR67" s="35" t="n">
        <v>0.88</v>
      </c>
      <c r="AS67" s="35" t="n">
        <v>3.89</v>
      </c>
      <c r="AT67" s="35" t="n">
        <v>0.2</v>
      </c>
      <c r="AU67" s="35" t="n">
        <v>1.2</v>
      </c>
      <c r="AV67" s="35" t="n">
        <v>2.63</v>
      </c>
      <c r="AW67" s="35" t="n">
        <v>10</v>
      </c>
      <c r="AX67" s="35" t="n">
        <v>0.27</v>
      </c>
      <c r="AY67" s="35" t="n">
        <v>237</v>
      </c>
      <c r="AZ67" s="35" t="n">
        <v>5</v>
      </c>
      <c r="BA67" s="35" t="n">
        <v>13.7</v>
      </c>
      <c r="BB67" s="25" t="n">
        <f aca="false">AR67/Q67</f>
        <v>3.24781869176471</v>
      </c>
      <c r="BC67" s="18" t="n">
        <f aca="false">AQ67/Q67</f>
        <v>66.4326550588235</v>
      </c>
      <c r="BD67" s="4" t="s">
        <v>589</v>
      </c>
      <c r="BE67" s="4" t="s">
        <v>590</v>
      </c>
      <c r="BF67" s="4"/>
    </row>
    <row r="68" customFormat="false" ht="15" hidden="false" customHeight="false" outlineLevel="0" collapsed="false">
      <c r="A68" s="4" t="n">
        <v>63</v>
      </c>
      <c r="B68" s="60" t="s">
        <v>591</v>
      </c>
      <c r="C68" s="61" t="s">
        <v>592</v>
      </c>
      <c r="D68" s="14" t="s">
        <v>593</v>
      </c>
      <c r="E68" s="4" t="s">
        <v>593</v>
      </c>
      <c r="F68" s="4" t="s">
        <v>594</v>
      </c>
      <c r="G68" s="38" t="n">
        <v>5.96</v>
      </c>
      <c r="H68" s="21" t="n">
        <v>907.2</v>
      </c>
      <c r="I68" s="31" t="n">
        <v>1</v>
      </c>
      <c r="J68" s="41" t="n">
        <v>1</v>
      </c>
      <c r="K68" s="31" t="n">
        <v>0.17</v>
      </c>
      <c r="L68" s="42" t="n">
        <f aca="false">G68/(H68*I68*J68)*100</f>
        <v>0.656966490299824</v>
      </c>
      <c r="M68" s="42" t="n">
        <f aca="false">L68/(1-K68)</f>
        <v>0.791525891927498</v>
      </c>
      <c r="N68" s="4"/>
      <c r="O68" s="4"/>
      <c r="P68" s="4"/>
      <c r="Q68" s="44" t="n">
        <f aca="false">IF(AND(IF(Planner!$C$39="BLS U.S. average (Sep 2026)",1,0)=1,P68&lt;&gt;""),P68,L68)/(1-IF(AND((Planner!$C$60="Realistic"),Planner!$C$62="Yes"),K68,0))</f>
        <v>0.791525891927498</v>
      </c>
      <c r="R68" s="13" t="n">
        <v>14.2</v>
      </c>
      <c r="S68" s="4" t="s">
        <v>595</v>
      </c>
      <c r="T68" s="8" t="n">
        <v>2</v>
      </c>
      <c r="U68" s="45"/>
      <c r="V68" s="13"/>
      <c r="W68" s="46" t="n">
        <v>0</v>
      </c>
      <c r="X68" s="46" t="n">
        <v>0</v>
      </c>
      <c r="Y68" s="46" t="n">
        <v>0</v>
      </c>
      <c r="Z68" s="46" t="n">
        <v>0</v>
      </c>
      <c r="AA68" s="46" t="n">
        <v>0</v>
      </c>
      <c r="AB68" s="46" t="n">
        <v>1</v>
      </c>
      <c r="AC68" s="46" t="n">
        <v>0</v>
      </c>
      <c r="AD68" s="47" t="n">
        <f aca="false">SUMPRODUCT(W68:AC68,INDEX(Diets!$I$5:$O$12,MATCH(Planner!$C$36,Diets!$A$5:$A$12,0),0))+ISNUMBER(SEARCH(","&amp;A68&amp;",",","&amp;SUBSTITUTE(INDEX(Diets!$P$5:$P$12,MATCH(Planner!$C$36,Diets!$A$5:$A$12,0))," ","")&amp;","))*1</f>
        <v>0</v>
      </c>
      <c r="AE68" s="48" t="n">
        <f aca="false">IF(OR(UPPER(U68)="Y",AD68&gt;0),0,1)</f>
        <v>1</v>
      </c>
      <c r="AF68" s="49" t="n">
        <v>0.5</v>
      </c>
      <c r="AG68" s="49" t="n">
        <v>0</v>
      </c>
      <c r="AH68" s="49" t="n">
        <v>0.5</v>
      </c>
      <c r="AI68" s="49" t="n">
        <v>0</v>
      </c>
      <c r="AJ68" s="8"/>
      <c r="AK68" s="4" t="s">
        <v>596</v>
      </c>
      <c r="AL68" s="50" t="s">
        <v>597</v>
      </c>
      <c r="AM68" s="13" t="n">
        <v>4.733</v>
      </c>
      <c r="AN68" s="13"/>
      <c r="AO68" s="50"/>
      <c r="AP68" s="35" t="n">
        <v>51.368</v>
      </c>
      <c r="AQ68" s="35" t="n">
        <v>717</v>
      </c>
      <c r="AR68" s="35" t="n">
        <v>0.85</v>
      </c>
      <c r="AS68" s="35" t="n">
        <v>0.06</v>
      </c>
      <c r="AT68" s="35" t="n">
        <v>81.11</v>
      </c>
      <c r="AU68" s="35" t="n">
        <v>0</v>
      </c>
      <c r="AV68" s="35" t="n">
        <v>0.06</v>
      </c>
      <c r="AW68" s="35" t="n">
        <v>24</v>
      </c>
      <c r="AX68" s="35" t="n">
        <v>0.02</v>
      </c>
      <c r="AY68" s="35" t="n">
        <v>24</v>
      </c>
      <c r="AZ68" s="35" t="n">
        <v>643</v>
      </c>
      <c r="BA68" s="35" t="n">
        <v>0</v>
      </c>
      <c r="BB68" s="25" t="n">
        <f aca="false">AR68/Q68</f>
        <v>1.07387516778523</v>
      </c>
      <c r="BC68" s="18" t="n">
        <f aca="false">AQ68/Q68</f>
        <v>905.845288590604</v>
      </c>
      <c r="BD68" s="4" t="s">
        <v>598</v>
      </c>
      <c r="BE68" s="4" t="s">
        <v>599</v>
      </c>
      <c r="BF68" s="4"/>
    </row>
    <row r="69" customFormat="false" ht="15" hidden="false" customHeight="false" outlineLevel="0" collapsed="false">
      <c r="A69" s="4" t="n">
        <v>64</v>
      </c>
      <c r="B69" s="60" t="s">
        <v>591</v>
      </c>
      <c r="C69" s="61" t="s">
        <v>592</v>
      </c>
      <c r="D69" s="14" t="s">
        <v>600</v>
      </c>
      <c r="E69" s="4" t="s">
        <v>600</v>
      </c>
      <c r="F69" s="4" t="s">
        <v>601</v>
      </c>
      <c r="G69" s="38" t="n">
        <v>4.08</v>
      </c>
      <c r="H69" s="21" t="n">
        <v>1308</v>
      </c>
      <c r="I69" s="31" t="n">
        <v>1</v>
      </c>
      <c r="J69" s="41" t="n">
        <v>1</v>
      </c>
      <c r="K69" s="31" t="n">
        <v>0.17</v>
      </c>
      <c r="L69" s="42" t="n">
        <f aca="false">G69/(H69*I69*J69)*100</f>
        <v>0.311926605504587</v>
      </c>
      <c r="M69" s="42" t="n">
        <f aca="false">L69/(1-K69)</f>
        <v>0.375815187354924</v>
      </c>
      <c r="N69" s="4"/>
      <c r="O69" s="4"/>
      <c r="P69" s="4"/>
      <c r="Q69" s="44" t="n">
        <f aca="false">IF(AND(IF(Planner!$C$39="BLS U.S. average (Sep 2026)",1,0)=1,P69&lt;&gt;""),P69,L69)/(1-IF(AND((Planner!$C$60="Realistic"),Planner!$C$62="Yes"),K69,0))</f>
        <v>0.375815187354924</v>
      </c>
      <c r="R69" s="13" t="n">
        <v>14</v>
      </c>
      <c r="S69" s="4" t="s">
        <v>595</v>
      </c>
      <c r="T69" s="8" t="n">
        <v>3</v>
      </c>
      <c r="U69" s="45"/>
      <c r="V69" s="13"/>
      <c r="W69" s="46" t="n">
        <v>0</v>
      </c>
      <c r="X69" s="46" t="n">
        <v>0</v>
      </c>
      <c r="Y69" s="46" t="n">
        <v>0</v>
      </c>
      <c r="Z69" s="46" t="n">
        <v>0</v>
      </c>
      <c r="AA69" s="46" t="n">
        <v>0</v>
      </c>
      <c r="AB69" s="46" t="n">
        <v>0</v>
      </c>
      <c r="AC69" s="46" t="n">
        <v>0</v>
      </c>
      <c r="AD69" s="47" t="n">
        <f aca="false">SUMPRODUCT(W69:AC69,INDEX(Diets!$I$5:$O$12,MATCH(Planner!$C$36,Diets!$A$5:$A$12,0),0))+ISNUMBER(SEARCH(","&amp;A69&amp;",",","&amp;SUBSTITUTE(INDEX(Diets!$P$5:$P$12,MATCH(Planner!$C$36,Diets!$A$5:$A$12,0))," ","")&amp;","))*1</f>
        <v>0</v>
      </c>
      <c r="AE69" s="48" t="n">
        <f aca="false">IF(OR(UPPER(U69)="Y",AD69&gt;0),0,1)</f>
        <v>1</v>
      </c>
      <c r="AF69" s="49" t="n">
        <v>0</v>
      </c>
      <c r="AG69" s="49" t="n">
        <v>0.5</v>
      </c>
      <c r="AH69" s="49" t="n">
        <v>0.5</v>
      </c>
      <c r="AI69" s="49" t="n">
        <v>0</v>
      </c>
      <c r="AJ69" s="8"/>
      <c r="AK69" s="4" t="s">
        <v>596</v>
      </c>
      <c r="AL69" s="50" t="s">
        <v>597</v>
      </c>
      <c r="AM69" s="13" t="n">
        <v>4.667</v>
      </c>
      <c r="AN69" s="13"/>
      <c r="AO69" s="50"/>
      <c r="AP69" s="35" t="n">
        <v>7.365</v>
      </c>
      <c r="AQ69" s="35" t="n">
        <v>884</v>
      </c>
      <c r="AR69" s="35" t="n">
        <v>0</v>
      </c>
      <c r="AS69" s="35" t="n">
        <v>0</v>
      </c>
      <c r="AT69" s="35" t="n">
        <v>100</v>
      </c>
      <c r="AU69" s="35" t="n">
        <v>0</v>
      </c>
      <c r="AV69" s="35" t="n">
        <v>0</v>
      </c>
      <c r="AW69" s="35" t="n">
        <v>0</v>
      </c>
      <c r="AX69" s="35" t="n">
        <v>0</v>
      </c>
      <c r="AY69" s="35" t="n">
        <v>0</v>
      </c>
      <c r="AZ69" s="35" t="n">
        <v>0</v>
      </c>
      <c r="BA69" s="35" t="n">
        <v>0</v>
      </c>
      <c r="BB69" s="25" t="n">
        <f aca="false">AR69/Q69</f>
        <v>0</v>
      </c>
      <c r="BC69" s="18" t="n">
        <f aca="false">AQ69/Q69</f>
        <v>2352.22</v>
      </c>
      <c r="BD69" s="4" t="s">
        <v>602</v>
      </c>
      <c r="BE69" s="4" t="s">
        <v>603</v>
      </c>
      <c r="BF69" s="4" t="s">
        <v>604</v>
      </c>
    </row>
    <row r="70" customFormat="false" ht="15" hidden="false" customHeight="false" outlineLevel="0" collapsed="false">
      <c r="A70" s="4" t="n">
        <v>65</v>
      </c>
      <c r="B70" s="60" t="s">
        <v>591</v>
      </c>
      <c r="C70" s="61" t="s">
        <v>592</v>
      </c>
      <c r="D70" s="14" t="s">
        <v>605</v>
      </c>
      <c r="E70" s="4" t="s">
        <v>605</v>
      </c>
      <c r="F70" s="4" t="s">
        <v>606</v>
      </c>
      <c r="G70" s="38" t="n">
        <v>17.87</v>
      </c>
      <c r="H70" s="21" t="n">
        <v>1377</v>
      </c>
      <c r="I70" s="31" t="n">
        <v>1</v>
      </c>
      <c r="J70" s="41" t="n">
        <v>1</v>
      </c>
      <c r="K70" s="31" t="n">
        <v>0.17</v>
      </c>
      <c r="L70" s="42" t="n">
        <f aca="false">G70/(H70*I70*J70)*100</f>
        <v>1.29774872912128</v>
      </c>
      <c r="M70" s="42" t="n">
        <f aca="false">L70/(1-K70)</f>
        <v>1.56355268568829</v>
      </c>
      <c r="N70" s="4"/>
      <c r="O70" s="4"/>
      <c r="P70" s="4"/>
      <c r="Q70" s="44" t="n">
        <f aca="false">IF(AND(IF(Planner!$C$39="BLS U.S. average (Sep 2026)",1,0)=1,P70&lt;&gt;""),P70,L70)/(1-IF(AND((Planner!$C$60="Realistic"),Planner!$C$62="Yes"),K70,0))</f>
        <v>1.56355268568829</v>
      </c>
      <c r="R70" s="13" t="n">
        <v>13.5</v>
      </c>
      <c r="S70" s="4" t="s">
        <v>595</v>
      </c>
      <c r="T70" s="8" t="n">
        <v>3</v>
      </c>
      <c r="U70" s="45"/>
      <c r="V70" s="13"/>
      <c r="W70" s="46" t="n">
        <v>0</v>
      </c>
      <c r="X70" s="46" t="n">
        <v>0</v>
      </c>
      <c r="Y70" s="46" t="n">
        <v>0</v>
      </c>
      <c r="Z70" s="46" t="n">
        <v>0</v>
      </c>
      <c r="AA70" s="46" t="n">
        <v>0</v>
      </c>
      <c r="AB70" s="46" t="n">
        <v>0</v>
      </c>
      <c r="AC70" s="46" t="n">
        <v>0</v>
      </c>
      <c r="AD70" s="47" t="n">
        <f aca="false">SUMPRODUCT(W70:AC70,INDEX(Diets!$I$5:$O$12,MATCH(Planner!$C$36,Diets!$A$5:$A$12,0),0))+ISNUMBER(SEARCH(","&amp;A70&amp;",",","&amp;SUBSTITUTE(INDEX(Diets!$P$5:$P$12,MATCH(Planner!$C$36,Diets!$A$5:$A$12,0))," ","")&amp;","))*1</f>
        <v>0</v>
      </c>
      <c r="AE70" s="48" t="n">
        <f aca="false">IF(OR(UPPER(U70)="Y",AD70&gt;0),0,1)</f>
        <v>1</v>
      </c>
      <c r="AF70" s="49" t="n">
        <v>0</v>
      </c>
      <c r="AG70" s="49" t="n">
        <v>0.5</v>
      </c>
      <c r="AH70" s="49" t="n">
        <v>0.5</v>
      </c>
      <c r="AI70" s="49" t="n">
        <v>0</v>
      </c>
      <c r="AJ70" s="8"/>
      <c r="AK70" s="4" t="s">
        <v>596</v>
      </c>
      <c r="AL70" s="50" t="s">
        <v>597</v>
      </c>
      <c r="AM70" s="13" t="n">
        <v>4.5</v>
      </c>
      <c r="AN70" s="13"/>
      <c r="AO70" s="50"/>
      <c r="AP70" s="35" t="n">
        <v>13.808</v>
      </c>
      <c r="AQ70" s="35" t="n">
        <v>884</v>
      </c>
      <c r="AR70" s="35" t="n">
        <v>0</v>
      </c>
      <c r="AS70" s="35" t="n">
        <v>0</v>
      </c>
      <c r="AT70" s="35" t="n">
        <v>100</v>
      </c>
      <c r="AU70" s="35" t="n">
        <v>0</v>
      </c>
      <c r="AV70" s="35" t="n">
        <v>0</v>
      </c>
      <c r="AW70" s="35" t="n">
        <v>1</v>
      </c>
      <c r="AX70" s="35" t="n">
        <v>0.56</v>
      </c>
      <c r="AY70" s="35" t="n">
        <v>1</v>
      </c>
      <c r="AZ70" s="35" t="n">
        <v>2</v>
      </c>
      <c r="BA70" s="35" t="n">
        <v>0</v>
      </c>
      <c r="BB70" s="25" t="n">
        <f aca="false">AR70/Q70</f>
        <v>0</v>
      </c>
      <c r="BC70" s="18" t="n">
        <f aca="false">AQ70/Q70</f>
        <v>565.379093452714</v>
      </c>
      <c r="BD70" s="4" t="s">
        <v>607</v>
      </c>
      <c r="BE70" s="4" t="s">
        <v>608</v>
      </c>
      <c r="BF70" s="4" t="s">
        <v>609</v>
      </c>
    </row>
    <row r="71" customFormat="false" ht="15" hidden="false" customHeight="false" outlineLevel="0" collapsed="false">
      <c r="A71" s="4" t="n">
        <v>66</v>
      </c>
      <c r="B71" s="60" t="s">
        <v>591</v>
      </c>
      <c r="C71" s="61" t="s">
        <v>610</v>
      </c>
      <c r="D71" s="14" t="s">
        <v>611</v>
      </c>
      <c r="E71" s="4" t="s">
        <v>611</v>
      </c>
      <c r="F71" s="4" t="s">
        <v>612</v>
      </c>
      <c r="G71" s="51" t="n">
        <v>9.48</v>
      </c>
      <c r="H71" s="21" t="n">
        <v>453.6</v>
      </c>
      <c r="I71" s="31" t="n">
        <v>1</v>
      </c>
      <c r="J71" s="41" t="n">
        <v>1</v>
      </c>
      <c r="K71" s="31" t="n">
        <v>0.09</v>
      </c>
      <c r="L71" s="42" t="n">
        <f aca="false">G71/(H71*I71*J71)*100</f>
        <v>2.08994708994709</v>
      </c>
      <c r="M71" s="42" t="n">
        <f aca="false">L71/(1-K71)</f>
        <v>2.29664515378801</v>
      </c>
      <c r="N71" s="4"/>
      <c r="O71" s="4"/>
      <c r="P71" s="4"/>
      <c r="Q71" s="44" t="n">
        <f aca="false">IF(AND(IF(Planner!$C$39="BLS U.S. average (Sep 2026)",1,0)=1,P71&lt;&gt;""),P71,L71)/(1-IF(AND((Planner!$C$60="Realistic"),Planner!$C$62="Yes"),K71,0))</f>
        <v>2.29664515378801</v>
      </c>
      <c r="R71" s="13" t="n">
        <v>28</v>
      </c>
      <c r="S71" s="4" t="s">
        <v>613</v>
      </c>
      <c r="T71" s="8" t="n">
        <v>2</v>
      </c>
      <c r="U71" s="45"/>
      <c r="V71" s="13"/>
      <c r="W71" s="46" t="n">
        <v>0</v>
      </c>
      <c r="X71" s="46" t="n">
        <v>0</v>
      </c>
      <c r="Y71" s="46" t="n">
        <v>0</v>
      </c>
      <c r="Z71" s="46" t="n">
        <v>0</v>
      </c>
      <c r="AA71" s="46" t="n">
        <v>0</v>
      </c>
      <c r="AB71" s="46" t="n">
        <v>0</v>
      </c>
      <c r="AC71" s="46" t="n">
        <v>0</v>
      </c>
      <c r="AD71" s="47" t="n">
        <f aca="false">SUMPRODUCT(W71:AC71,INDEX(Diets!$I$5:$O$12,MATCH(Planner!$C$36,Diets!$A$5:$A$12,0),0))+ISNUMBER(SEARCH(","&amp;A71&amp;",",","&amp;SUBSTITUTE(INDEX(Diets!$P$5:$P$12,MATCH(Planner!$C$36,Diets!$A$5:$A$12,0))," ","")&amp;","))*1</f>
        <v>0</v>
      </c>
      <c r="AE71" s="48" t="n">
        <f aca="false">IF(OR(UPPER(U71)="Y",AD71&gt;0),0,1)</f>
        <v>1</v>
      </c>
      <c r="AF71" s="49" t="n">
        <v>0</v>
      </c>
      <c r="AG71" s="49" t="n">
        <v>0</v>
      </c>
      <c r="AH71" s="49" t="n">
        <v>0</v>
      </c>
      <c r="AI71" s="49" t="n">
        <v>1</v>
      </c>
      <c r="AJ71" s="8"/>
      <c r="AK71" s="4"/>
      <c r="AL71" s="50" t="s">
        <v>260</v>
      </c>
      <c r="AM71" s="13" t="n">
        <v>28</v>
      </c>
      <c r="AN71" s="13"/>
      <c r="AO71" s="50"/>
      <c r="AP71" s="35" t="n">
        <v>3.802</v>
      </c>
      <c r="AQ71" s="35" t="n">
        <v>579</v>
      </c>
      <c r="AR71" s="35" t="n">
        <v>21.15</v>
      </c>
      <c r="AS71" s="35" t="n">
        <v>21.55</v>
      </c>
      <c r="AT71" s="35" t="n">
        <v>49.93</v>
      </c>
      <c r="AU71" s="35" t="n">
        <v>12.5</v>
      </c>
      <c r="AV71" s="35" t="n">
        <v>4.35</v>
      </c>
      <c r="AW71" s="35" t="n">
        <v>269</v>
      </c>
      <c r="AX71" s="35" t="n">
        <v>3.71</v>
      </c>
      <c r="AY71" s="35" t="n">
        <v>733</v>
      </c>
      <c r="AZ71" s="35" t="n">
        <v>1</v>
      </c>
      <c r="BA71" s="35" t="n">
        <v>0</v>
      </c>
      <c r="BB71" s="25" t="n">
        <f aca="false">AR71/Q71</f>
        <v>9.20908481012658</v>
      </c>
      <c r="BC71" s="18" t="n">
        <f aca="false">AQ71/Q71</f>
        <v>252.106860759494</v>
      </c>
      <c r="BD71" s="4" t="s">
        <v>614</v>
      </c>
      <c r="BE71" s="4" t="s">
        <v>615</v>
      </c>
      <c r="BF71" s="4" t="s">
        <v>616</v>
      </c>
    </row>
    <row r="72" customFormat="false" ht="15" hidden="false" customHeight="false" outlineLevel="0" collapsed="false">
      <c r="A72" s="4" t="n">
        <v>67</v>
      </c>
      <c r="B72" s="60" t="s">
        <v>591</v>
      </c>
      <c r="C72" s="61" t="s">
        <v>610</v>
      </c>
      <c r="D72" s="14" t="s">
        <v>617</v>
      </c>
      <c r="E72" s="4" t="s">
        <v>617</v>
      </c>
      <c r="F72" s="4" t="s">
        <v>618</v>
      </c>
      <c r="G72" s="38" t="n">
        <v>0.87</v>
      </c>
      <c r="H72" s="21" t="n">
        <v>203</v>
      </c>
      <c r="I72" s="31" t="n">
        <v>0.67</v>
      </c>
      <c r="J72" s="41" t="n">
        <v>1</v>
      </c>
      <c r="K72" s="31" t="n">
        <v>0.25</v>
      </c>
      <c r="L72" s="42" t="n">
        <f aca="false">G72/(H72*I72*J72)*100</f>
        <v>0.639658848614072</v>
      </c>
      <c r="M72" s="42" t="n">
        <f aca="false">L72/(1-K72)</f>
        <v>0.852878464818763</v>
      </c>
      <c r="N72" s="4"/>
      <c r="O72" s="4"/>
      <c r="P72" s="4"/>
      <c r="Q72" s="44" t="n">
        <f aca="false">IF(AND(IF(Planner!$C$39="BLS U.S. average (Sep 2026)",1,0)=1,P72&lt;&gt;""),P72,L72)/(1-IF(AND((Planner!$C$60="Realistic"),Planner!$C$62="Yes"),K72,0))</f>
        <v>0.852878464818763</v>
      </c>
      <c r="R72" s="13" t="n">
        <v>68</v>
      </c>
      <c r="S72" s="4" t="s">
        <v>619</v>
      </c>
      <c r="T72" s="8" t="n">
        <v>2</v>
      </c>
      <c r="U72" s="45"/>
      <c r="V72" s="13"/>
      <c r="W72" s="46" t="n">
        <v>0</v>
      </c>
      <c r="X72" s="46" t="n">
        <v>0</v>
      </c>
      <c r="Y72" s="46" t="n">
        <v>0</v>
      </c>
      <c r="Z72" s="46" t="n">
        <v>0</v>
      </c>
      <c r="AA72" s="46" t="n">
        <v>0</v>
      </c>
      <c r="AB72" s="46" t="n">
        <v>0</v>
      </c>
      <c r="AC72" s="46" t="n">
        <v>0</v>
      </c>
      <c r="AD72" s="47" t="n">
        <f aca="false">SUMPRODUCT(W72:AC72,INDEX(Diets!$I$5:$O$12,MATCH(Planner!$C$36,Diets!$A$5:$A$12,0),0))+ISNUMBER(SEARCH(","&amp;A72&amp;",",","&amp;SUBSTITUTE(INDEX(Diets!$P$5:$P$12,MATCH(Planner!$C$36,Diets!$A$5:$A$12,0))," ","")&amp;","))*1</f>
        <v>0</v>
      </c>
      <c r="AE72" s="48" t="n">
        <f aca="false">IF(OR(UPPER(U72)="Y",AD72&gt;0),0,1)</f>
        <v>1</v>
      </c>
      <c r="AF72" s="49" t="n">
        <v>0</v>
      </c>
      <c r="AG72" s="49" t="n">
        <v>0.5</v>
      </c>
      <c r="AH72" s="49" t="n">
        <v>0.5</v>
      </c>
      <c r="AI72" s="49" t="n">
        <v>0</v>
      </c>
      <c r="AJ72" s="8"/>
      <c r="AK72" s="4"/>
      <c r="AL72" s="50"/>
      <c r="AM72" s="13"/>
      <c r="AN72" s="13"/>
      <c r="AO72" s="50"/>
      <c r="AP72" s="35" t="n">
        <v>2.126</v>
      </c>
      <c r="AQ72" s="35" t="n">
        <v>167</v>
      </c>
      <c r="AR72" s="35" t="n">
        <v>1.96</v>
      </c>
      <c r="AS72" s="35" t="n">
        <v>8.64</v>
      </c>
      <c r="AT72" s="35" t="n">
        <v>15.41</v>
      </c>
      <c r="AU72" s="35" t="n">
        <v>6.8</v>
      </c>
      <c r="AV72" s="35" t="n">
        <v>0.3</v>
      </c>
      <c r="AW72" s="35" t="n">
        <v>13</v>
      </c>
      <c r="AX72" s="35" t="n">
        <v>0.61</v>
      </c>
      <c r="AY72" s="35" t="n">
        <v>507</v>
      </c>
      <c r="AZ72" s="35" t="n">
        <v>8</v>
      </c>
      <c r="BA72" s="35" t="n">
        <v>8.8</v>
      </c>
      <c r="BB72" s="25" t="n">
        <f aca="false">AR72/Q72</f>
        <v>2.2981</v>
      </c>
      <c r="BC72" s="18" t="n">
        <f aca="false">AQ72/Q72</f>
        <v>195.8075</v>
      </c>
      <c r="BD72" s="4" t="s">
        <v>620</v>
      </c>
      <c r="BE72" s="4" t="s">
        <v>621</v>
      </c>
      <c r="BF72" s="4" t="s">
        <v>622</v>
      </c>
    </row>
    <row r="73" customFormat="false" ht="15" hidden="false" customHeight="false" outlineLevel="0" collapsed="false">
      <c r="A73" s="4" t="n">
        <v>68</v>
      </c>
      <c r="B73" s="62" t="s">
        <v>623</v>
      </c>
      <c r="C73" s="63" t="s">
        <v>136</v>
      </c>
      <c r="D73" s="14" t="s">
        <v>624</v>
      </c>
      <c r="E73" s="4" t="s">
        <v>624</v>
      </c>
      <c r="F73" s="4" t="s">
        <v>625</v>
      </c>
      <c r="G73" s="51" t="n">
        <v>3.02</v>
      </c>
      <c r="H73" s="21" t="n">
        <v>368.5</v>
      </c>
      <c r="I73" s="31" t="n">
        <v>1</v>
      </c>
      <c r="J73" s="41" t="n">
        <v>1</v>
      </c>
      <c r="K73" s="31" t="n">
        <v>0.19</v>
      </c>
      <c r="L73" s="42" t="n">
        <f aca="false">G73/(H73*I73*J73)*100</f>
        <v>0.819538670284939</v>
      </c>
      <c r="M73" s="42" t="n">
        <f aca="false">L73/(1-K73)</f>
        <v>1.01177613615425</v>
      </c>
      <c r="N73" s="43" t="n">
        <v>5.152</v>
      </c>
      <c r="O73" s="21" t="n">
        <v>453.6</v>
      </c>
      <c r="P73" s="42" t="n">
        <f aca="false">N73/(O73*I73*J73)*100</f>
        <v>1.1358024691358</v>
      </c>
      <c r="Q73" s="44" t="n">
        <f aca="false">IF(AND(IF(Planner!$C$39="BLS U.S. average (Sep 2026)",1,0)=1,P73&lt;&gt;""),P73,L73)/(1-IF(AND((Planner!$C$60="Realistic"),Planner!$C$62="Yes"),K73,0))</f>
        <v>1.01177613615425</v>
      </c>
      <c r="R73" s="13" t="n">
        <v>26</v>
      </c>
      <c r="S73" s="4" t="s">
        <v>626</v>
      </c>
      <c r="T73" s="8" t="n">
        <v>1</v>
      </c>
      <c r="U73" s="45"/>
      <c r="V73" s="13"/>
      <c r="W73" s="46" t="n">
        <v>0</v>
      </c>
      <c r="X73" s="46" t="n">
        <v>0</v>
      </c>
      <c r="Y73" s="46" t="n">
        <v>0</v>
      </c>
      <c r="Z73" s="46" t="n">
        <v>0</v>
      </c>
      <c r="AA73" s="46" t="n">
        <v>1</v>
      </c>
      <c r="AB73" s="46" t="n">
        <v>1</v>
      </c>
      <c r="AC73" s="46" t="n">
        <v>1</v>
      </c>
      <c r="AD73" s="47" t="n">
        <f aca="false">SUMPRODUCT(W73:AC73,INDEX(Diets!$I$5:$O$12,MATCH(Planner!$C$36,Diets!$A$5:$A$12,0),0))+ISNUMBER(SEARCH(","&amp;A73&amp;",",","&amp;SUBSTITUTE(INDEX(Diets!$P$5:$P$12,MATCH(Planner!$C$36,Diets!$A$5:$A$12,0))," ","")&amp;","))*1</f>
        <v>0</v>
      </c>
      <c r="AE73" s="48" t="n">
        <f aca="false">IF(OR(UPPER(U73)="Y",AD73&gt;0),0,1)</f>
        <v>1</v>
      </c>
      <c r="AF73" s="49" t="n">
        <v>0</v>
      </c>
      <c r="AG73" s="49" t="n">
        <v>0</v>
      </c>
      <c r="AH73" s="49" t="n">
        <v>0</v>
      </c>
      <c r="AI73" s="49" t="n">
        <v>1</v>
      </c>
      <c r="AJ73" s="8"/>
      <c r="AK73" s="4" t="s">
        <v>627</v>
      </c>
      <c r="AL73" s="50"/>
      <c r="AM73" s="13"/>
      <c r="AN73" s="13"/>
      <c r="AO73" s="50"/>
      <c r="AP73" s="35" t="n">
        <v>8.091</v>
      </c>
      <c r="AQ73" s="35" t="n">
        <v>492</v>
      </c>
      <c r="AR73" s="35" t="n">
        <v>5.1</v>
      </c>
      <c r="AS73" s="35" t="n">
        <v>65.36</v>
      </c>
      <c r="AT73" s="35" t="n">
        <v>24.72</v>
      </c>
      <c r="AU73" s="35" t="n">
        <v>2</v>
      </c>
      <c r="AV73" s="35" t="n">
        <v>32.9</v>
      </c>
      <c r="AW73" s="35" t="n">
        <v>21</v>
      </c>
      <c r="AX73" s="35" t="n">
        <v>5.58</v>
      </c>
      <c r="AY73" s="35" t="n">
        <v>171</v>
      </c>
      <c r="AZ73" s="35" t="n">
        <v>311</v>
      </c>
      <c r="BA73" s="35" t="n">
        <v>0</v>
      </c>
      <c r="BB73" s="25" t="n">
        <f aca="false">AR73/Q73</f>
        <v>5.04064072847682</v>
      </c>
      <c r="BC73" s="18" t="n">
        <f aca="false">AQ73/Q73</f>
        <v>486.273576158941</v>
      </c>
      <c r="BD73" s="4" t="s">
        <v>628</v>
      </c>
      <c r="BE73" s="4" t="s">
        <v>629</v>
      </c>
      <c r="BF73" s="4" t="s">
        <v>630</v>
      </c>
    </row>
    <row r="74" customFormat="false" ht="15" hidden="false" customHeight="false" outlineLevel="0" collapsed="false">
      <c r="A74" s="4" t="n">
        <v>69</v>
      </c>
      <c r="B74" s="62" t="s">
        <v>623</v>
      </c>
      <c r="C74" s="63" t="s">
        <v>136</v>
      </c>
      <c r="D74" s="14" t="s">
        <v>631</v>
      </c>
      <c r="E74" s="4" t="s">
        <v>631</v>
      </c>
      <c r="F74" s="4" t="s">
        <v>632</v>
      </c>
      <c r="G74" s="51" t="n">
        <v>2.28</v>
      </c>
      <c r="H74" s="21" t="n">
        <v>238.1</v>
      </c>
      <c r="I74" s="31" t="n">
        <v>1</v>
      </c>
      <c r="J74" s="41" t="n">
        <v>1</v>
      </c>
      <c r="K74" s="31" t="n">
        <v>0.19</v>
      </c>
      <c r="L74" s="42" t="n">
        <f aca="false">G74/(H74*I74*J74)*100</f>
        <v>0.957580848383032</v>
      </c>
      <c r="M74" s="42" t="n">
        <f aca="false">L74/(1-K74)</f>
        <v>1.18219857825066</v>
      </c>
      <c r="N74" s="4"/>
      <c r="O74" s="4"/>
      <c r="P74" s="4"/>
      <c r="Q74" s="44" t="n">
        <f aca="false">IF(AND(IF(Planner!$C$39="BLS U.S. average (Sep 2026)",1,0)=1,P74&lt;&gt;""),P74,L74)/(1-IF(AND((Planner!$C$60="Realistic"),Planner!$C$62="Yes"),K74,0))</f>
        <v>1.18219857825066</v>
      </c>
      <c r="R74" s="13" t="n">
        <v>24</v>
      </c>
      <c r="S74" s="4" t="s">
        <v>633</v>
      </c>
      <c r="T74" s="8" t="n">
        <v>2</v>
      </c>
      <c r="U74" s="45"/>
      <c r="V74" s="13"/>
      <c r="W74" s="46" t="n">
        <v>0</v>
      </c>
      <c r="X74" s="46" t="n">
        <v>0</v>
      </c>
      <c r="Y74" s="46" t="n">
        <v>0</v>
      </c>
      <c r="Z74" s="46" t="n">
        <v>0</v>
      </c>
      <c r="AA74" s="46" t="n">
        <v>0</v>
      </c>
      <c r="AB74" s="46" t="n">
        <v>1</v>
      </c>
      <c r="AC74" s="46" t="n">
        <v>1</v>
      </c>
      <c r="AD74" s="47" t="n">
        <f aca="false">SUMPRODUCT(W74:AC74,INDEX(Diets!$I$5:$O$12,MATCH(Planner!$C$36,Diets!$A$5:$A$12,0),0))+ISNUMBER(SEARCH(","&amp;A74&amp;",",","&amp;SUBSTITUTE(INDEX(Diets!$P$5:$P$12,MATCH(Planner!$C$36,Diets!$A$5:$A$12,0))," ","")&amp;","))*1</f>
        <v>0</v>
      </c>
      <c r="AE74" s="48" t="n">
        <f aca="false">IF(OR(UPPER(U74)="Y",AD74&gt;0),0,1)</f>
        <v>1</v>
      </c>
      <c r="AF74" s="49" t="n">
        <v>0</v>
      </c>
      <c r="AG74" s="49" t="n">
        <v>0</v>
      </c>
      <c r="AH74" s="49" t="n">
        <v>0</v>
      </c>
      <c r="AI74" s="49" t="n">
        <v>1</v>
      </c>
      <c r="AJ74" s="8"/>
      <c r="AK74" s="4" t="s">
        <v>627</v>
      </c>
      <c r="AL74" s="50"/>
      <c r="AM74" s="13"/>
      <c r="AN74" s="13"/>
      <c r="AO74" s="50"/>
      <c r="AP74" s="35" t="n">
        <v>6.061</v>
      </c>
      <c r="AQ74" s="35" t="n">
        <v>418</v>
      </c>
      <c r="AR74" s="35" t="n">
        <v>5.65</v>
      </c>
      <c r="AS74" s="35" t="n">
        <v>70.2</v>
      </c>
      <c r="AT74" s="35" t="n">
        <v>16.57</v>
      </c>
      <c r="AU74" s="35" t="n">
        <v>3.8</v>
      </c>
      <c r="AV74" s="35" t="n">
        <v>28.92</v>
      </c>
      <c r="AW74" s="35" t="n">
        <v>41</v>
      </c>
      <c r="AX74" s="35" t="n">
        <v>2.19</v>
      </c>
      <c r="AY74" s="35" t="n">
        <v>237</v>
      </c>
      <c r="AZ74" s="35" t="n">
        <v>251</v>
      </c>
      <c r="BA74" s="35" t="n">
        <v>0</v>
      </c>
      <c r="BB74" s="25" t="n">
        <f aca="false">AR74/Q74</f>
        <v>4.77923092105263</v>
      </c>
      <c r="BC74" s="18" t="n">
        <f aca="false">AQ74/Q74</f>
        <v>353.5785</v>
      </c>
      <c r="BD74" s="4" t="s">
        <v>634</v>
      </c>
      <c r="BE74" s="4" t="s">
        <v>635</v>
      </c>
      <c r="BF74" s="4" t="s">
        <v>379</v>
      </c>
    </row>
    <row r="75" customFormat="false" ht="15" hidden="false" customHeight="false" outlineLevel="0" collapsed="false">
      <c r="A75" s="4" t="n">
        <v>70</v>
      </c>
      <c r="B75" s="62" t="s">
        <v>623</v>
      </c>
      <c r="C75" s="63" t="s">
        <v>136</v>
      </c>
      <c r="D75" s="14" t="s">
        <v>636</v>
      </c>
      <c r="E75" s="4" t="s">
        <v>636</v>
      </c>
      <c r="F75" s="4" t="s">
        <v>637</v>
      </c>
      <c r="G75" s="38" t="n">
        <v>1.87</v>
      </c>
      <c r="H75" s="21" t="n">
        <v>226.8</v>
      </c>
      <c r="I75" s="31" t="n">
        <v>1</v>
      </c>
      <c r="J75" s="41" t="n">
        <v>1</v>
      </c>
      <c r="K75" s="31" t="n">
        <v>0.18</v>
      </c>
      <c r="L75" s="42" t="n">
        <f aca="false">G75/(H75*I75*J75)*100</f>
        <v>0.824514991181658</v>
      </c>
      <c r="M75" s="42" t="n">
        <f aca="false">L75/(1-K75)</f>
        <v>1.0055060868069</v>
      </c>
      <c r="N75" s="43" t="n">
        <v>6.668</v>
      </c>
      <c r="O75" s="21" t="n">
        <v>453.6</v>
      </c>
      <c r="P75" s="42" t="n">
        <f aca="false">N75/(O75*I75*J75)*100</f>
        <v>1.4700176366843</v>
      </c>
      <c r="Q75" s="44" t="n">
        <f aca="false">IF(AND(IF(Planner!$C$39="BLS U.S. average (Sep 2026)",1,0)=1,P75&lt;&gt;""),P75,L75)/(1-IF(AND((Planner!$C$60="Realistic"),Planner!$C$62="Yes"),K75,0))</f>
        <v>1.0055060868069</v>
      </c>
      <c r="R75" s="13" t="n">
        <v>28</v>
      </c>
      <c r="S75" s="4" t="s">
        <v>411</v>
      </c>
      <c r="T75" s="8" t="n">
        <v>1</v>
      </c>
      <c r="U75" s="45"/>
      <c r="V75" s="13"/>
      <c r="W75" s="46" t="n">
        <v>0</v>
      </c>
      <c r="X75" s="46" t="n">
        <v>0</v>
      </c>
      <c r="Y75" s="46" t="n">
        <v>0</v>
      </c>
      <c r="Z75" s="46" t="n">
        <v>0</v>
      </c>
      <c r="AA75" s="46" t="n">
        <v>0</v>
      </c>
      <c r="AB75" s="46" t="n">
        <v>0</v>
      </c>
      <c r="AC75" s="46" t="n">
        <v>0</v>
      </c>
      <c r="AD75" s="47" t="n">
        <f aca="false">SUMPRODUCT(W75:AC75,INDEX(Diets!$I$5:$O$12,MATCH(Planner!$C$36,Diets!$A$5:$A$12,0),0))+ISNUMBER(SEARCH(","&amp;A75&amp;",",","&amp;SUBSTITUTE(INDEX(Diets!$P$5:$P$12,MATCH(Planner!$C$36,Diets!$A$5:$A$12,0))," ","")&amp;","))*1</f>
        <v>0</v>
      </c>
      <c r="AE75" s="48" t="n">
        <f aca="false">IF(OR(UPPER(U75)="Y",AD75&gt;0),0,1)</f>
        <v>1</v>
      </c>
      <c r="AF75" s="49" t="n">
        <v>0</v>
      </c>
      <c r="AG75" s="49" t="n">
        <v>0</v>
      </c>
      <c r="AH75" s="49" t="n">
        <v>0</v>
      </c>
      <c r="AI75" s="49" t="n">
        <v>1</v>
      </c>
      <c r="AJ75" s="8"/>
      <c r="AK75" s="4" t="s">
        <v>627</v>
      </c>
      <c r="AL75" s="50"/>
      <c r="AM75" s="13"/>
      <c r="AN75" s="13"/>
      <c r="AO75" s="50"/>
      <c r="AP75" s="35" t="n">
        <v>3.4</v>
      </c>
      <c r="AQ75" s="35" t="n">
        <v>532</v>
      </c>
      <c r="AR75" s="35" t="n">
        <v>6.39</v>
      </c>
      <c r="AS75" s="35" t="n">
        <v>53.83</v>
      </c>
      <c r="AT75" s="35" t="n">
        <v>33.98</v>
      </c>
      <c r="AU75" s="35" t="n">
        <v>3.1</v>
      </c>
      <c r="AV75" s="35" t="n">
        <v>0.33</v>
      </c>
      <c r="AW75" s="35" t="n">
        <v>21</v>
      </c>
      <c r="AX75" s="35" t="n">
        <v>1.28</v>
      </c>
      <c r="AY75" s="35" t="n">
        <v>1196</v>
      </c>
      <c r="AZ75" s="35" t="n">
        <v>527</v>
      </c>
      <c r="BA75" s="35" t="n">
        <v>21.6</v>
      </c>
      <c r="BB75" s="25" t="n">
        <f aca="false">AR75/Q75</f>
        <v>6.35500877005348</v>
      </c>
      <c r="BC75" s="18" t="n">
        <f aca="false">AQ75/Q75</f>
        <v>529.086802139037</v>
      </c>
      <c r="BD75" s="4" t="s">
        <v>638</v>
      </c>
      <c r="BE75" s="4" t="s">
        <v>639</v>
      </c>
      <c r="BF75" s="4" t="s">
        <v>640</v>
      </c>
    </row>
    <row r="76" customFormat="false" ht="15" hidden="false" customHeight="false" outlineLevel="0" collapsed="false">
      <c r="A76" s="4" t="n">
        <v>71</v>
      </c>
      <c r="B76" s="62" t="s">
        <v>623</v>
      </c>
      <c r="C76" s="63" t="s">
        <v>136</v>
      </c>
      <c r="D76" s="14" t="s">
        <v>641</v>
      </c>
      <c r="E76" s="4" t="s">
        <v>641</v>
      </c>
      <c r="F76" s="4" t="s">
        <v>601</v>
      </c>
      <c r="G76" s="38" t="n">
        <v>3.12</v>
      </c>
      <c r="H76" s="21" t="n">
        <v>792</v>
      </c>
      <c r="I76" s="31" t="n">
        <v>1</v>
      </c>
      <c r="J76" s="41" t="n">
        <v>1</v>
      </c>
      <c r="K76" s="31" t="n">
        <v>0.19</v>
      </c>
      <c r="L76" s="42" t="n">
        <f aca="false">G76/(H76*I76*J76)*100</f>
        <v>0.393939393939394</v>
      </c>
      <c r="M76" s="42" t="n">
        <f aca="false">L76/(1-K76)</f>
        <v>0.486344930789375</v>
      </c>
      <c r="N76" s="43" t="n">
        <v>5.931</v>
      </c>
      <c r="O76" s="21" t="n">
        <v>1056</v>
      </c>
      <c r="P76" s="42" t="n">
        <f aca="false">N76/(O76*I76*J76)*100</f>
        <v>0.561647727272727</v>
      </c>
      <c r="Q76" s="44" t="n">
        <f aca="false">IF(AND(IF(Planner!$C$39="BLS U.S. average (Sep 2026)",1,0)=1,P76&lt;&gt;""),P76,L76)/(1-IF(AND((Planner!$C$60="Realistic"),Planner!$C$62="Yes"),K76,0))</f>
        <v>0.486344930789375</v>
      </c>
      <c r="R76" s="13" t="n">
        <v>66</v>
      </c>
      <c r="S76" s="4" t="s">
        <v>349</v>
      </c>
      <c r="T76" s="8" t="n">
        <v>1</v>
      </c>
      <c r="U76" s="45"/>
      <c r="V76" s="13"/>
      <c r="W76" s="46" t="n">
        <v>0</v>
      </c>
      <c r="X76" s="46" t="n">
        <v>0</v>
      </c>
      <c r="Y76" s="46" t="n">
        <v>0</v>
      </c>
      <c r="Z76" s="46" t="n">
        <v>0</v>
      </c>
      <c r="AA76" s="46" t="n">
        <v>0</v>
      </c>
      <c r="AB76" s="46" t="n">
        <v>1</v>
      </c>
      <c r="AC76" s="46" t="n">
        <v>0</v>
      </c>
      <c r="AD76" s="47" t="n">
        <f aca="false">SUMPRODUCT(W76:AC76,INDEX(Diets!$I$5:$O$12,MATCH(Planner!$C$36,Diets!$A$5:$A$12,0),0))+ISNUMBER(SEARCH(","&amp;A76&amp;",",","&amp;SUBSTITUTE(INDEX(Diets!$P$5:$P$12,MATCH(Planner!$C$36,Diets!$A$5:$A$12,0))," ","")&amp;","))*1</f>
        <v>0</v>
      </c>
      <c r="AE76" s="48" t="n">
        <f aca="false">IF(OR(UPPER(U76)="Y",AD76&gt;0),0,1)</f>
        <v>1</v>
      </c>
      <c r="AF76" s="49" t="n">
        <v>0</v>
      </c>
      <c r="AG76" s="49" t="n">
        <v>0</v>
      </c>
      <c r="AH76" s="49" t="n">
        <v>0</v>
      </c>
      <c r="AI76" s="49" t="n">
        <v>1</v>
      </c>
      <c r="AJ76" s="8"/>
      <c r="AK76" s="4" t="s">
        <v>627</v>
      </c>
      <c r="AL76" s="50"/>
      <c r="AM76" s="13"/>
      <c r="AN76" s="13"/>
      <c r="AO76" s="50"/>
      <c r="AP76" s="35" t="n">
        <v>6.79</v>
      </c>
      <c r="AQ76" s="35" t="n">
        <v>207</v>
      </c>
      <c r="AR76" s="35" t="n">
        <v>3.5</v>
      </c>
      <c r="AS76" s="35" t="n">
        <v>23.6</v>
      </c>
      <c r="AT76" s="35" t="n">
        <v>11</v>
      </c>
      <c r="AU76" s="35" t="n">
        <v>0.7</v>
      </c>
      <c r="AV76" s="35" t="n">
        <v>21.22</v>
      </c>
      <c r="AW76" s="35" t="n">
        <v>128</v>
      </c>
      <c r="AX76" s="35" t="n">
        <v>0.09</v>
      </c>
      <c r="AY76" s="35" t="n">
        <v>199</v>
      </c>
      <c r="AZ76" s="35" t="n">
        <v>80</v>
      </c>
      <c r="BA76" s="35" t="n">
        <v>0.6</v>
      </c>
      <c r="BB76" s="25" t="n">
        <f aca="false">AR76/Q76</f>
        <v>7.19653846153846</v>
      </c>
      <c r="BC76" s="18" t="n">
        <f aca="false">AQ76/Q76</f>
        <v>425.623846153846</v>
      </c>
      <c r="BD76" s="4" t="s">
        <v>642</v>
      </c>
      <c r="BE76" s="4" t="s">
        <v>643</v>
      </c>
      <c r="BF76" s="4" t="s">
        <v>644</v>
      </c>
    </row>
  </sheetData>
  <autoFilter ref="A5:BF76"/>
  <conditionalFormatting sqref="A6:D76">
    <cfRule type="expression" priority="2" aboveAverage="0" equalAverage="0" bottom="0" percent="0" rank="0" text="" dxfId="15">
      <formula>$AE6=0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0"/>
    <col collapsed="false" customWidth="true" hidden="false" outlineLevel="0" max="15" min="3" style="0" width="10"/>
    <col collapsed="false" customWidth="true" hidden="false" outlineLevel="0" max="16" min="16" style="0" width="18"/>
    <col collapsed="false" customWidth="true" hidden="false" outlineLevel="0" max="17" min="17" style="0" width="40"/>
  </cols>
  <sheetData>
    <row r="1" customFormat="false" ht="17.35" hidden="false" customHeight="false" outlineLevel="0" collapsed="false">
      <c r="A1" s="1" t="s">
        <v>645</v>
      </c>
    </row>
    <row r="2" customFormat="false" ht="15" hidden="false" customHeight="false" outlineLevel="0" collapsed="false">
      <c r="A2" s="2" t="s">
        <v>646</v>
      </c>
    </row>
    <row r="4" customFormat="false" ht="39.75" hidden="false" customHeight="true" outlineLevel="0" collapsed="false">
      <c r="A4" s="16" t="s">
        <v>87</v>
      </c>
      <c r="B4" s="16" t="s">
        <v>647</v>
      </c>
      <c r="C4" s="16" t="s">
        <v>648</v>
      </c>
      <c r="D4" s="16" t="s">
        <v>649</v>
      </c>
      <c r="E4" s="16" t="s">
        <v>650</v>
      </c>
      <c r="F4" s="16" t="s">
        <v>651</v>
      </c>
      <c r="G4" s="16" t="s">
        <v>652</v>
      </c>
      <c r="H4" s="16" t="s">
        <v>653</v>
      </c>
      <c r="I4" s="16" t="s">
        <v>654</v>
      </c>
      <c r="J4" s="16" t="s">
        <v>655</v>
      </c>
      <c r="K4" s="16" t="s">
        <v>656</v>
      </c>
      <c r="L4" s="16" t="s">
        <v>657</v>
      </c>
      <c r="M4" s="16" t="s">
        <v>658</v>
      </c>
      <c r="N4" s="16" t="s">
        <v>659</v>
      </c>
      <c r="O4" s="16" t="s">
        <v>660</v>
      </c>
      <c r="P4" s="16" t="s">
        <v>661</v>
      </c>
      <c r="Q4" s="16" t="s">
        <v>662</v>
      </c>
    </row>
    <row r="5" customFormat="false" ht="15" hidden="false" customHeight="false" outlineLevel="0" collapsed="false">
      <c r="A5" s="14" t="s">
        <v>88</v>
      </c>
      <c r="B5" s="29" t="s">
        <v>663</v>
      </c>
      <c r="C5" s="31" t="n">
        <v>0.1</v>
      </c>
      <c r="D5" s="31" t="n">
        <v>0.35</v>
      </c>
      <c r="E5" s="31" t="n">
        <v>0.45</v>
      </c>
      <c r="F5" s="31" t="n">
        <v>0.65</v>
      </c>
      <c r="G5" s="31" t="n">
        <v>0.2</v>
      </c>
      <c r="H5" s="31" t="n">
        <v>0.35</v>
      </c>
      <c r="I5" s="46" t="n">
        <v>0</v>
      </c>
      <c r="J5" s="46" t="n">
        <v>0</v>
      </c>
      <c r="K5" s="46" t="n">
        <v>0</v>
      </c>
      <c r="L5" s="46" t="n">
        <v>0</v>
      </c>
      <c r="M5" s="46" t="n">
        <v>0</v>
      </c>
      <c r="N5" s="46" t="n">
        <v>0</v>
      </c>
      <c r="O5" s="46" t="n">
        <v>0</v>
      </c>
      <c r="P5" s="64"/>
      <c r="Q5" s="29"/>
    </row>
    <row r="6" customFormat="false" ht="15" hidden="false" customHeight="false" outlineLevel="0" collapsed="false">
      <c r="A6" s="14" t="s">
        <v>664</v>
      </c>
      <c r="B6" s="29" t="s">
        <v>665</v>
      </c>
      <c r="C6" s="31" t="n">
        <v>0.25</v>
      </c>
      <c r="D6" s="31" t="n">
        <v>0.35</v>
      </c>
      <c r="E6" s="31" t="n">
        <v>0.4</v>
      </c>
      <c r="F6" s="31" t="n">
        <v>0.55</v>
      </c>
      <c r="G6" s="31" t="n">
        <v>0.2</v>
      </c>
      <c r="H6" s="31" t="n">
        <v>0.3</v>
      </c>
      <c r="I6" s="46" t="n">
        <v>0</v>
      </c>
      <c r="J6" s="46" t="n">
        <v>0</v>
      </c>
      <c r="K6" s="46" t="n">
        <v>0</v>
      </c>
      <c r="L6" s="46" t="n">
        <v>0</v>
      </c>
      <c r="M6" s="46" t="n">
        <v>0</v>
      </c>
      <c r="N6" s="46" t="n">
        <v>0</v>
      </c>
      <c r="O6" s="46" t="n">
        <v>0</v>
      </c>
      <c r="P6" s="64"/>
      <c r="Q6" s="29"/>
    </row>
    <row r="7" customFormat="false" ht="23.85" hidden="false" customHeight="false" outlineLevel="0" collapsed="false">
      <c r="A7" s="14" t="s">
        <v>666</v>
      </c>
      <c r="B7" s="29" t="s">
        <v>667</v>
      </c>
      <c r="C7" s="31" t="n">
        <v>0.2</v>
      </c>
      <c r="D7" s="31" t="n">
        <v>0.35</v>
      </c>
      <c r="E7" s="31" t="n">
        <v>0.2</v>
      </c>
      <c r="F7" s="31" t="n">
        <v>0.35</v>
      </c>
      <c r="G7" s="31" t="n">
        <v>0.35</v>
      </c>
      <c r="H7" s="31" t="n">
        <v>0.5</v>
      </c>
      <c r="I7" s="46" t="n">
        <v>0</v>
      </c>
      <c r="J7" s="46" t="n">
        <v>0</v>
      </c>
      <c r="K7" s="46" t="n">
        <v>0</v>
      </c>
      <c r="L7" s="46" t="n">
        <v>0</v>
      </c>
      <c r="M7" s="46" t="n">
        <v>0</v>
      </c>
      <c r="N7" s="46" t="n">
        <v>0</v>
      </c>
      <c r="O7" s="46" t="n">
        <v>0</v>
      </c>
      <c r="P7" s="64"/>
      <c r="Q7" s="29"/>
    </row>
    <row r="8" customFormat="false" ht="15" hidden="false" customHeight="false" outlineLevel="0" collapsed="false">
      <c r="A8" s="14" t="s">
        <v>668</v>
      </c>
      <c r="B8" s="29" t="s">
        <v>669</v>
      </c>
      <c r="C8" s="31" t="n">
        <v>0.1</v>
      </c>
      <c r="D8" s="31" t="n">
        <v>0.35</v>
      </c>
      <c r="E8" s="31" t="n">
        <v>0.45</v>
      </c>
      <c r="F8" s="31" t="n">
        <v>0.65</v>
      </c>
      <c r="G8" s="31" t="n">
        <v>0.2</v>
      </c>
      <c r="H8" s="31" t="n">
        <v>0.35</v>
      </c>
      <c r="I8" s="46" t="n">
        <v>1</v>
      </c>
      <c r="J8" s="46" t="n">
        <v>1</v>
      </c>
      <c r="K8" s="46" t="n">
        <v>1</v>
      </c>
      <c r="L8" s="46" t="n">
        <v>1</v>
      </c>
      <c r="M8" s="46" t="n">
        <v>0</v>
      </c>
      <c r="N8" s="46" t="n">
        <v>0</v>
      </c>
      <c r="O8" s="46" t="n">
        <v>0</v>
      </c>
      <c r="P8" s="64"/>
      <c r="Q8" s="29"/>
    </row>
    <row r="9" customFormat="false" ht="15" hidden="false" customHeight="false" outlineLevel="0" collapsed="false">
      <c r="A9" s="14" t="s">
        <v>670</v>
      </c>
      <c r="B9" s="29" t="s">
        <v>671</v>
      </c>
      <c r="C9" s="31" t="n">
        <v>0.1</v>
      </c>
      <c r="D9" s="31" t="n">
        <v>0.35</v>
      </c>
      <c r="E9" s="31" t="n">
        <v>0.45</v>
      </c>
      <c r="F9" s="31" t="n">
        <v>0.65</v>
      </c>
      <c r="G9" s="31" t="n">
        <v>0.2</v>
      </c>
      <c r="H9" s="31" t="n">
        <v>0.35</v>
      </c>
      <c r="I9" s="46" t="n">
        <v>1</v>
      </c>
      <c r="J9" s="46" t="n">
        <v>1</v>
      </c>
      <c r="K9" s="46" t="n">
        <v>1</v>
      </c>
      <c r="L9" s="46" t="n">
        <v>1</v>
      </c>
      <c r="M9" s="46" t="n">
        <v>1</v>
      </c>
      <c r="N9" s="46" t="n">
        <v>1</v>
      </c>
      <c r="O9" s="46" t="n">
        <v>0</v>
      </c>
      <c r="P9" s="64"/>
      <c r="Q9" s="29"/>
    </row>
    <row r="10" customFormat="false" ht="15" hidden="false" customHeight="false" outlineLevel="0" collapsed="false">
      <c r="A10" s="14" t="s">
        <v>672</v>
      </c>
      <c r="B10" s="29" t="s">
        <v>673</v>
      </c>
      <c r="C10" s="31" t="n">
        <v>0.1</v>
      </c>
      <c r="D10" s="31" t="n">
        <v>0.35</v>
      </c>
      <c r="E10" s="31" t="n">
        <v>0.45</v>
      </c>
      <c r="F10" s="31" t="n">
        <v>0.65</v>
      </c>
      <c r="G10" s="31" t="n">
        <v>0.2</v>
      </c>
      <c r="H10" s="31" t="n">
        <v>0.35</v>
      </c>
      <c r="I10" s="46" t="n">
        <v>1</v>
      </c>
      <c r="J10" s="46" t="n">
        <v>1</v>
      </c>
      <c r="K10" s="46" t="n">
        <v>1</v>
      </c>
      <c r="L10" s="46" t="n">
        <v>0</v>
      </c>
      <c r="M10" s="46" t="n">
        <v>0</v>
      </c>
      <c r="N10" s="46" t="n">
        <v>0</v>
      </c>
      <c r="O10" s="46" t="n">
        <v>0</v>
      </c>
      <c r="P10" s="64"/>
      <c r="Q10" s="29"/>
    </row>
    <row r="11" customFormat="false" ht="15" hidden="false" customHeight="false" outlineLevel="0" collapsed="false">
      <c r="A11" s="14" t="s">
        <v>674</v>
      </c>
      <c r="B11" s="29" t="s">
        <v>675</v>
      </c>
      <c r="C11" s="31" t="n">
        <v>0.1</v>
      </c>
      <c r="D11" s="31" t="n">
        <v>0.35</v>
      </c>
      <c r="E11" s="31" t="n">
        <v>0.45</v>
      </c>
      <c r="F11" s="31" t="n">
        <v>0.65</v>
      </c>
      <c r="G11" s="31" t="n">
        <v>0.2</v>
      </c>
      <c r="H11" s="31" t="n">
        <v>0.35</v>
      </c>
      <c r="I11" s="46" t="n">
        <v>0</v>
      </c>
      <c r="J11" s="46" t="n">
        <v>0</v>
      </c>
      <c r="K11" s="46" t="n">
        <v>0</v>
      </c>
      <c r="L11" s="46" t="n">
        <v>0</v>
      </c>
      <c r="M11" s="46" t="n">
        <v>0</v>
      </c>
      <c r="N11" s="46" t="n">
        <v>0</v>
      </c>
      <c r="O11" s="46" t="n">
        <v>1</v>
      </c>
      <c r="P11" s="64"/>
      <c r="Q11" s="29"/>
    </row>
    <row r="12" customFormat="false" ht="15" hidden="false" customHeight="false" outlineLevel="0" collapsed="false">
      <c r="A12" s="14" t="s">
        <v>676</v>
      </c>
      <c r="B12" s="29" t="s">
        <v>677</v>
      </c>
      <c r="C12" s="31" t="n">
        <v>0.1</v>
      </c>
      <c r="D12" s="31" t="n">
        <v>0.35</v>
      </c>
      <c r="E12" s="31" t="n">
        <v>0.45</v>
      </c>
      <c r="F12" s="31" t="n">
        <v>0.65</v>
      </c>
      <c r="G12" s="31" t="n">
        <v>0.2</v>
      </c>
      <c r="H12" s="31" t="n">
        <v>0.35</v>
      </c>
      <c r="I12" s="46" t="n">
        <v>0</v>
      </c>
      <c r="J12" s="46" t="n">
        <v>1</v>
      </c>
      <c r="K12" s="46" t="n">
        <v>0</v>
      </c>
      <c r="L12" s="46" t="n">
        <v>0</v>
      </c>
      <c r="M12" s="46" t="n">
        <v>0</v>
      </c>
      <c r="N12" s="46" t="n">
        <v>0</v>
      </c>
      <c r="O12" s="46" t="n">
        <v>0</v>
      </c>
      <c r="P12" s="64"/>
      <c r="Q12" s="29"/>
    </row>
    <row r="14" customFormat="false" ht="15" hidden="false" customHeight="false" outlineLevel="0" collapsed="false">
      <c r="A14" s="2" t="s">
        <v>678</v>
      </c>
    </row>
    <row r="15" customFormat="false" ht="15" hidden="false" customHeight="false" outlineLevel="0" collapsed="false">
      <c r="A15" s="2" t="s">
        <v>679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X2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3" topLeftCell="F14" activePane="bottomRight" state="frozen"/>
      <selection pane="topLeft" activeCell="A1" activeCellId="0" sqref="A1"/>
      <selection pane="topRight" activeCell="F1" activeCellId="0" sqref="F1"/>
      <selection pane="bottomLeft" activeCell="A14" activeCellId="0" sqref="A1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0"/>
    <col collapsed="false" customWidth="true" hidden="false" outlineLevel="0" max="5" min="3" style="0" width="13"/>
    <col collapsed="false" customWidth="true" hidden="false" outlineLevel="0" max="76" min="6" style="0" width="10"/>
  </cols>
  <sheetData>
    <row r="1" customFormat="false" ht="17.35" hidden="false" customHeight="false" outlineLevel="0" collapsed="false">
      <c r="A1" s="1" t="s">
        <v>680</v>
      </c>
    </row>
    <row r="2" customFormat="false" ht="15" hidden="false" customHeight="false" outlineLevel="0" collapsed="false">
      <c r="A2" s="2" t="s">
        <v>681</v>
      </c>
    </row>
    <row r="3" customFormat="false" ht="15" hidden="false" customHeight="false" outlineLevel="0" collapsed="false">
      <c r="F3" s="15" t="s">
        <v>682</v>
      </c>
    </row>
    <row r="4" customFormat="false" ht="39.75" hidden="false" customHeight="true" outlineLevel="0" collapsed="false">
      <c r="B4" s="15" t="s">
        <v>683</v>
      </c>
      <c r="C4" s="65" t="str">
        <f aca="false">Planner!$C$36</f>
        <v>Balanced</v>
      </c>
      <c r="F4" s="16" t="s">
        <v>140</v>
      </c>
      <c r="G4" s="16" t="s">
        <v>684</v>
      </c>
      <c r="H4" s="16" t="s">
        <v>685</v>
      </c>
      <c r="I4" s="16" t="s">
        <v>686</v>
      </c>
      <c r="J4" s="16" t="s">
        <v>687</v>
      </c>
      <c r="K4" s="16" t="s">
        <v>688</v>
      </c>
    </row>
    <row r="5" customFormat="false" ht="15" hidden="false" customHeight="false" outlineLevel="0" collapsed="false">
      <c r="F5" s="4" t="s">
        <v>66</v>
      </c>
      <c r="G5" s="4" t="s">
        <v>260</v>
      </c>
      <c r="H5" s="66" t="n">
        <f aca="false">INDEX('DRI Tables'!$B$33:$B$44,MATCH(Planner!$C$65,'DRI Tables'!$A$33:$A$44,0))</f>
        <v>4</v>
      </c>
      <c r="I5" s="66" t="n">
        <f aca="false">INDEX('DRI Tables'!$C$33:$C$44,MATCH(Planner!$C$65,'DRI Tables'!$A$33:$A$44,0))</f>
        <v>5</v>
      </c>
      <c r="J5" s="24" t="n">
        <f aca="false">SUMPRODUCT(('Food Data'!$AL$6:$AL$76=G5)*('Food Data'!$AE$6:$AE$76=1))-SUMPRODUCT(('Food Data'!$AL$6:$AL$76=G5)*('Food Data'!$AE$6:$AE$76=1)*('Food Data'!$AO$6:$AO$76&lt;&gt;""))+(COUNTIFS('Food Data'!$AL$6:$AL$76,G5,'Food Data'!$AE$6:$AE$76,1,'Food Data'!$AO$6:$AO$76,"milk")&gt;0)*1+(COUNTIFS('Food Data'!$AL$6:$AL$76,G5,'Food Data'!$AE$6:$AE$76,1,'Food Data'!$AO$6:$AO$76,"ground beef")&gt;0)*1</f>
        <v>22</v>
      </c>
      <c r="K5" s="67" t="n">
        <f aca="false">IF(J5=0,1,MAX(Planner!$C$61,1/J5))</f>
        <v>0.5</v>
      </c>
    </row>
    <row r="6" customFormat="false" ht="15" hidden="false" customHeight="false" outlineLevel="0" collapsed="false">
      <c r="F6" s="4" t="s">
        <v>68</v>
      </c>
      <c r="G6" s="4" t="s">
        <v>385</v>
      </c>
      <c r="H6" s="66" t="n">
        <f aca="false">INDEX('DRI Tables'!$D$33:$D$44,MATCH(Planner!$C$65,'DRI Tables'!$A$33:$A$44,0))</f>
        <v>3</v>
      </c>
      <c r="I6" s="66"/>
      <c r="J6" s="24" t="n">
        <f aca="false">SUMPRODUCT(('Food Data'!$AL$6:$AL$76=G6)*('Food Data'!$AE$6:$AE$76=1))-SUMPRODUCT(('Food Data'!$AL$6:$AL$76=G6)*('Food Data'!$AE$6:$AE$76=1)*('Food Data'!$AO$6:$AO$76&lt;&gt;""))+(COUNTIFS('Food Data'!$AL$6:$AL$76,G6,'Food Data'!$AE$6:$AE$76,1,'Food Data'!$AO$6:$AO$76,"milk")&gt;0)*1+(COUNTIFS('Food Data'!$AL$6:$AL$76,G6,'Food Data'!$AE$6:$AE$76,1,'Food Data'!$AO$6:$AO$76,"ground beef")&gt;0)*1</f>
        <v>7</v>
      </c>
      <c r="K6" s="67" t="n">
        <f aca="false">IF(J6=0,1,MAX(Planner!$C$61,1/J6))</f>
        <v>0.5</v>
      </c>
    </row>
    <row r="7" customFormat="false" ht="15" hidden="false" customHeight="false" outlineLevel="0" collapsed="false">
      <c r="B7" s="16" t="s">
        <v>689</v>
      </c>
      <c r="C7" s="16" t="s">
        <v>690</v>
      </c>
      <c r="D7" s="16" t="s">
        <v>691</v>
      </c>
      <c r="F7" s="4" t="s">
        <v>70</v>
      </c>
      <c r="G7" s="4" t="s">
        <v>490</v>
      </c>
      <c r="H7" s="66" t="n">
        <f aca="false">INDEX('DRI Tables'!$E$33:$E$44,MATCH(Planner!$C$65,'DRI Tables'!$A$33:$A$44,0))</f>
        <v>4.75</v>
      </c>
      <c r="I7" s="66"/>
      <c r="J7" s="24" t="n">
        <f aca="false">SUMPRODUCT(('Food Data'!$AL$6:$AL$76=G7)*('Food Data'!$AE$6:$AE$76=1))-SUMPRODUCT(('Food Data'!$AL$6:$AL$76=G7)*('Food Data'!$AE$6:$AE$76=1)*('Food Data'!$AO$6:$AO$76&lt;&gt;""))+(COUNTIFS('Food Data'!$AL$6:$AL$76,G7,'Food Data'!$AE$6:$AE$76,1,'Food Data'!$AO$6:$AO$76,"milk")&gt;0)*1+(COUNTIFS('Food Data'!$AL$6:$AL$76,G7,'Food Data'!$AE$6:$AE$76,1,'Food Data'!$AO$6:$AO$76,"ground beef")&gt;0)*1</f>
        <v>12</v>
      </c>
      <c r="K7" s="67" t="n">
        <f aca="false">IF(J7=0,1,MAX(Planner!$C$61,1/J7))</f>
        <v>0.5</v>
      </c>
    </row>
    <row r="8" customFormat="false" ht="15" hidden="false" customHeight="false" outlineLevel="0" collapsed="false">
      <c r="B8" s="4" t="s">
        <v>692</v>
      </c>
      <c r="C8" s="68" t="n">
        <f aca="false">INDEX(Diets!$C$5:$C$12,MATCH(Planner!$C$36,Diets!$A$5:$A$12,0))</f>
        <v>0.1</v>
      </c>
      <c r="D8" s="68" t="n">
        <f aca="false">INDEX(Diets!$D$5:$D$12,MATCH(Planner!$C$36,Diets!$A$5:$A$12,0))</f>
        <v>0.35</v>
      </c>
      <c r="F8" s="4" t="s">
        <v>72</v>
      </c>
      <c r="G8" s="4" t="s">
        <v>508</v>
      </c>
      <c r="H8" s="66" t="n">
        <f aca="false">INDEX('DRI Tables'!$F$33:$F$44,MATCH(Planner!$C$65,'DRI Tables'!$A$33:$A$44,0))</f>
        <v>2.5</v>
      </c>
      <c r="I8" s="66"/>
      <c r="J8" s="24" t="n">
        <f aca="false">SUMPRODUCT(('Food Data'!$AL$6:$AL$76=G8)*('Food Data'!$AE$6:$AE$76=1))-SUMPRODUCT(('Food Data'!$AL$6:$AL$76=G8)*('Food Data'!$AE$6:$AE$76=1)*('Food Data'!$AO$6:$AO$76&lt;&gt;""))+(COUNTIFS('Food Data'!$AL$6:$AL$76,G8,'Food Data'!$AE$6:$AE$76,1,'Food Data'!$AO$6:$AO$76,"milk")&gt;0)*1+(COUNTIFS('Food Data'!$AL$6:$AL$76,G8,'Food Data'!$AE$6:$AE$76,1,'Food Data'!$AO$6:$AO$76,"ground beef")&gt;0)*1</f>
        <v>8</v>
      </c>
      <c r="K8" s="67" t="n">
        <f aca="false">IF(J8=0,1,MAX(Planner!$C$61,1/J8))</f>
        <v>0.5</v>
      </c>
    </row>
    <row r="9" customFormat="false" ht="15" hidden="false" customHeight="false" outlineLevel="0" collapsed="false">
      <c r="B9" s="4" t="s">
        <v>693</v>
      </c>
      <c r="C9" s="68" t="n">
        <f aca="false">INDEX(Diets!$E$5:$E$12,MATCH(Planner!$C$36,Diets!$A$5:$A$12,0))</f>
        <v>0.45</v>
      </c>
      <c r="D9" s="68" t="n">
        <f aca="false">INDEX(Diets!$F$5:$F$12,MATCH(Planner!$C$36,Diets!$A$5:$A$12,0))</f>
        <v>0.65</v>
      </c>
      <c r="F9" s="4" t="s">
        <v>74</v>
      </c>
      <c r="G9" s="4" t="s">
        <v>435</v>
      </c>
      <c r="H9" s="66" t="n">
        <f aca="false">INDEX('DRI Tables'!$G$33:$G$44,MATCH(Planner!$C$65,'DRI Tables'!$A$33:$A$44,0))</f>
        <v>3.25</v>
      </c>
      <c r="I9" s="66" t="n">
        <f aca="false">INDEX('DRI Tables'!$H$33:$H$44,MATCH(Planner!$C$65,'DRI Tables'!$A$33:$A$44,0))</f>
        <v>6.5</v>
      </c>
      <c r="J9" s="24" t="n">
        <f aca="false">SUMPRODUCT(('Food Data'!$AL$6:$AL$76=G9)*('Food Data'!$AE$6:$AE$76=1))-SUMPRODUCT(('Food Data'!$AL$6:$AL$76=G9)*('Food Data'!$AE$6:$AE$76=1)*('Food Data'!$AO$6:$AO$76&lt;&gt;""))+(COUNTIFS('Food Data'!$AL$6:$AL$76,G9,'Food Data'!$AE$6:$AE$76,1,'Food Data'!$AO$6:$AO$76,"milk")&gt;0)*1+(COUNTIFS('Food Data'!$AL$6:$AL$76,G9,'Food Data'!$AE$6:$AE$76,1,'Food Data'!$AO$6:$AO$76,"ground beef")&gt;0)*1</f>
        <v>6</v>
      </c>
      <c r="K9" s="67" t="n">
        <f aca="false">IF(J9=0,1,MAX(Planner!$C$61,1/J9))</f>
        <v>0.5</v>
      </c>
    </row>
    <row r="10" customFormat="false" ht="15" hidden="false" customHeight="false" outlineLevel="0" collapsed="false">
      <c r="B10" s="4" t="s">
        <v>694</v>
      </c>
      <c r="C10" s="68" t="n">
        <f aca="false">INDEX(Diets!$G$5:$G$12,MATCH(Planner!$C$36,Diets!$A$5:$A$12,0))</f>
        <v>0.2</v>
      </c>
      <c r="D10" s="68" t="n">
        <f aca="false">INDEX(Diets!$H$5:$H$12,MATCH(Planner!$C$36,Diets!$A$5:$A$12,0))</f>
        <v>0.35</v>
      </c>
      <c r="F10" s="4" t="s">
        <v>76</v>
      </c>
      <c r="G10" s="4" t="s">
        <v>597</v>
      </c>
      <c r="H10" s="66" t="n">
        <f aca="false">INDEX('DRI Tables'!$I$33:$I$44,MATCH(Planner!$C$65,'DRI Tables'!$A$33:$A$44,0))</f>
        <v>7</v>
      </c>
      <c r="I10" s="66"/>
      <c r="J10" s="24" t="n">
        <f aca="false">SUMPRODUCT(('Food Data'!$AL$6:$AL$76=G10)*('Food Data'!$AE$6:$AE$76=1))-SUMPRODUCT(('Food Data'!$AL$6:$AL$76=G10)*('Food Data'!$AE$6:$AE$76=1)*('Food Data'!$AO$6:$AO$76&lt;&gt;""))+(COUNTIFS('Food Data'!$AL$6:$AL$76,G10,'Food Data'!$AE$6:$AE$76,1,'Food Data'!$AO$6:$AO$76,"milk")&gt;0)*1+(COUNTIFS('Food Data'!$AL$6:$AL$76,G10,'Food Data'!$AE$6:$AE$76,1,'Food Data'!$AO$6:$AO$76,"ground beef")&gt;0)*1</f>
        <v>3</v>
      </c>
      <c r="K10" s="67" t="n">
        <f aca="false">IF(J10=0,1,MAX(Planner!$C$61,1/J10))</f>
        <v>0.5</v>
      </c>
    </row>
    <row r="12" customFormat="false" ht="15" hidden="false" customHeight="false" outlineLevel="0" collapsed="false">
      <c r="A12" s="3" t="s">
        <v>695</v>
      </c>
    </row>
    <row r="13" customFormat="false" ht="57.75" hidden="false" customHeight="true" outlineLevel="0" collapsed="false">
      <c r="B13" s="69" t="s">
        <v>696</v>
      </c>
      <c r="F13" s="70" t="str">
        <f aca="false">'Food Data'!D6</f>
        <v>Chicken breast, roasted</v>
      </c>
      <c r="G13" s="70" t="str">
        <f aca="false">'Food Data'!D7</f>
        <v>Chicken drumsticks, roasted (meat &amp; skin)</v>
      </c>
      <c r="H13" s="70" t="str">
        <f aca="false">'Food Data'!D8</f>
        <v>Chicken thighs, roasted</v>
      </c>
      <c r="I13" s="70" t="str">
        <f aca="false">'Food Data'!D9</f>
        <v>Deli turkey breast (sliced)</v>
      </c>
      <c r="J13" s="70" t="str">
        <f aca="false">'Food Data'!D10</f>
        <v>Ground turkey 93/7, cooked</v>
      </c>
      <c r="K13" s="70" t="str">
        <f aca="false">'Food Data'!D11</f>
        <v>Bacon, cooked</v>
      </c>
      <c r="L13" s="70" t="str">
        <f aca="false">'Food Data'!D12</f>
        <v>Ground beef 80/20, cooked</v>
      </c>
      <c r="M13" s="70" t="str">
        <f aca="false">'Food Data'!D13</f>
        <v>Ground beef 93/7, cooked</v>
      </c>
      <c r="N13" s="70" t="str">
        <f aca="false">'Food Data'!D14</f>
        <v>Ham (sliced, cooked)</v>
      </c>
      <c r="O13" s="70" t="str">
        <f aca="false">'Food Data'!D15</f>
        <v>Pork loin chops, pan-cooked</v>
      </c>
      <c r="P13" s="70" t="str">
        <f aca="false">'Food Data'!D16</f>
        <v>Top sirloin steak, broiled</v>
      </c>
      <c r="Q13" s="70" t="str">
        <f aca="false">'Food Data'!D17</f>
        <v>Canned light tuna (in water)</v>
      </c>
      <c r="R13" s="70" t="str">
        <f aca="false">'Food Data'!D18</f>
        <v>Salmon, baked</v>
      </c>
      <c r="S13" s="70" t="str">
        <f aca="false">'Food Data'!D19</f>
        <v>Shrimp, cooked</v>
      </c>
      <c r="T13" s="70" t="str">
        <f aca="false">'Food Data'!D20</f>
        <v>Tilapia, baked</v>
      </c>
      <c r="U13" s="70" t="str">
        <f aca="false">'Food Data'!D21</f>
        <v>Eggs (large)</v>
      </c>
      <c r="V13" s="70" t="str">
        <f aca="false">'Food Data'!D22</f>
        <v>Black beans (canned)</v>
      </c>
      <c r="W13" s="70" t="str">
        <f aca="false">'Food Data'!D23</f>
        <v>Chickpeas (canned)</v>
      </c>
      <c r="X13" s="70" t="str">
        <f aca="false">'Food Data'!D24</f>
        <v>Lentils, cooked</v>
      </c>
      <c r="Y13" s="70" t="str">
        <f aca="false">'Food Data'!D25</f>
        <v>Peanut butter</v>
      </c>
      <c r="Z13" s="70" t="str">
        <f aca="false">'Food Data'!D26</f>
        <v>Pinto beans, cooked</v>
      </c>
      <c r="AA13" s="70" t="str">
        <f aca="false">'Food Data'!D27</f>
        <v>Tofu (extra firm)</v>
      </c>
      <c r="AB13" s="71" t="str">
        <f aca="false">'Food Data'!D28</f>
        <v>2% milk</v>
      </c>
      <c r="AC13" s="71" t="str">
        <f aca="false">'Food Data'!D29</f>
        <v>Greek yogurt (plain, nonfat)</v>
      </c>
      <c r="AD13" s="71" t="str">
        <f aca="false">'Food Data'!D30</f>
        <v>Soy milk (calcium-fortified)</v>
      </c>
      <c r="AE13" s="71" t="str">
        <f aca="false">'Food Data'!D31</f>
        <v>Whole milk</v>
      </c>
      <c r="AF13" s="71" t="str">
        <f aca="false">'Food Data'!D32</f>
        <v>American cheese (singles)</v>
      </c>
      <c r="AG13" s="71" t="str">
        <f aca="false">'Food Data'!D33</f>
        <v>Cheddar cheese</v>
      </c>
      <c r="AH13" s="71" t="str">
        <f aca="false">'Food Data'!D34</f>
        <v>Cottage cheese (2%)</v>
      </c>
      <c r="AI13" s="71" t="str">
        <f aca="false">'Food Data'!D35</f>
        <v>Mozzarella string cheese</v>
      </c>
      <c r="AJ13" s="72" t="str">
        <f aca="false">'Food Data'!D36</f>
        <v>Bagels (plain)</v>
      </c>
      <c r="AK13" s="72" t="str">
        <f aca="false">'Food Data'!D37</f>
        <v>Brown rice, cooked</v>
      </c>
      <c r="AL13" s="72" t="str">
        <f aca="false">'Food Data'!D38</f>
        <v>Cheerios</v>
      </c>
      <c r="AM13" s="72" t="str">
        <f aca="false">'Food Data'!D39</f>
        <v>Corn tortillas</v>
      </c>
      <c r="AN13" s="72" t="str">
        <f aca="false">'Food Data'!D40</f>
        <v>Flour tortillas</v>
      </c>
      <c r="AO13" s="72" t="str">
        <f aca="false">'Food Data'!D41</f>
        <v>Oatmeal (made with water)</v>
      </c>
      <c r="AP13" s="72" t="str">
        <f aca="false">'Food Data'!D42</f>
        <v>Quinoa, cooked</v>
      </c>
      <c r="AQ13" s="72" t="str">
        <f aca="false">'Food Data'!D43</f>
        <v>Spaghetti, cooked</v>
      </c>
      <c r="AR13" s="72" t="str">
        <f aca="false">'Food Data'!D44</f>
        <v>White bread</v>
      </c>
      <c r="AS13" s="72" t="str">
        <f aca="false">'Food Data'!D45</f>
        <v>White rice, cooked</v>
      </c>
      <c r="AT13" s="72" t="str">
        <f aca="false">'Food Data'!D46</f>
        <v>Whole-wheat bread</v>
      </c>
      <c r="AU13" s="72" t="str">
        <f aca="false">'Food Data'!D47</f>
        <v>Whole-wheat spaghetti, cooked</v>
      </c>
      <c r="AV13" s="72" t="str">
        <f aca="false">'Food Data'!D48</f>
        <v>Baked potato (with skin)</v>
      </c>
      <c r="AW13" s="72" t="str">
        <f aca="false">'Food Data'!D49</f>
        <v>Baked sweet potato</v>
      </c>
      <c r="AX13" s="72" t="str">
        <f aca="false">'Food Data'!D50</f>
        <v>Corn, cooked (from frozen)</v>
      </c>
      <c r="AY13" s="73" t="str">
        <f aca="false">'Food Data'!D51</f>
        <v>Apples (Gala)</v>
      </c>
      <c r="AZ13" s="73" t="str">
        <f aca="false">'Food Data'!D52</f>
        <v>Bananas</v>
      </c>
      <c r="BA13" s="73" t="str">
        <f aca="false">'Food Data'!D53</f>
        <v>Blueberries (frozen)</v>
      </c>
      <c r="BB13" s="73" t="str">
        <f aca="false">'Food Data'!D54</f>
        <v>Grapes (red seedless)</v>
      </c>
      <c r="BC13" s="73" t="str">
        <f aca="false">'Food Data'!D55</f>
        <v>Orange juice (100%)</v>
      </c>
      <c r="BD13" s="73" t="str">
        <f aca="false">'Food Data'!D56</f>
        <v>Oranges (navel)</v>
      </c>
      <c r="BE13" s="73" t="str">
        <f aca="false">'Food Data'!D57</f>
        <v>Raisins</v>
      </c>
      <c r="BF13" s="73" t="str">
        <f aca="false">'Food Data'!D58</f>
        <v>Strawberries</v>
      </c>
      <c r="BG13" s="74" t="str">
        <f aca="false">'Food Data'!D59</f>
        <v>Broccoli, cooked (from frozen)</v>
      </c>
      <c r="BH13" s="74" t="str">
        <f aca="false">'Food Data'!D60</f>
        <v>Carrots</v>
      </c>
      <c r="BI13" s="74" t="str">
        <f aca="false">'Food Data'!D61</f>
        <v>Green beans (canned, drained)</v>
      </c>
      <c r="BJ13" s="74" t="str">
        <f aca="false">'Food Data'!D62</f>
        <v>Green bell pepper</v>
      </c>
      <c r="BK13" s="74" t="str">
        <f aca="false">'Food Data'!D63</f>
        <v>Mixed vegetables, cooked (from frozen)</v>
      </c>
      <c r="BL13" s="74" t="str">
        <f aca="false">'Food Data'!D64</f>
        <v>Onions (yellow)</v>
      </c>
      <c r="BM13" s="74" t="str">
        <f aca="false">'Food Data'!D65</f>
        <v>Romaine lettuce</v>
      </c>
      <c r="BN13" s="74" t="str">
        <f aca="false">'Food Data'!D66</f>
        <v>Spinach (fresh)</v>
      </c>
      <c r="BO13" s="74" t="str">
        <f aca="false">'Food Data'!D67</f>
        <v>Tomatoes (roma)</v>
      </c>
      <c r="BP13" s="75" t="str">
        <f aca="false">'Food Data'!D68</f>
        <v>Butter (salted)</v>
      </c>
      <c r="BQ13" s="75" t="str">
        <f aca="false">'Food Data'!D69</f>
        <v>Canola oil</v>
      </c>
      <c r="BR13" s="75" t="str">
        <f aca="false">'Food Data'!D70</f>
        <v>Olive oil (extra virgin)</v>
      </c>
      <c r="BS13" s="75" t="str">
        <f aca="false">'Food Data'!D71</f>
        <v>Almonds</v>
      </c>
      <c r="BT13" s="75" t="str">
        <f aca="false">'Food Data'!D72</f>
        <v>Avocado (Hass)</v>
      </c>
      <c r="BU13" s="76" t="str">
        <f aca="false">'Food Data'!D73</f>
        <v>Chocolate chip cookies</v>
      </c>
      <c r="BV13" s="76" t="str">
        <f aca="false">'Food Data'!D74</f>
        <v>Granola bars (chocolate chip)</v>
      </c>
      <c r="BW13" s="76" t="str">
        <f aca="false">'Food Data'!D75</f>
        <v>Potato chips</v>
      </c>
      <c r="BX13" s="76" t="str">
        <f aca="false">'Food Data'!D76</f>
        <v>Vanilla ice cream</v>
      </c>
    </row>
    <row r="14" customFormat="false" ht="15" hidden="false" customHeight="false" outlineLevel="0" collapsed="false">
      <c r="B14" s="69" t="s">
        <v>697</v>
      </c>
      <c r="F14" s="77" t="n">
        <f aca="false">'Food Data'!Q6</f>
        <v>1.27816969889982</v>
      </c>
      <c r="G14" s="77" t="n">
        <f aca="false">'Food Data'!Q7</f>
        <v>0.657862951072096</v>
      </c>
      <c r="H14" s="77" t="n">
        <f aca="false">'Food Data'!Q8</f>
        <v>1.375566382141</v>
      </c>
      <c r="I14" s="77" t="n">
        <f aca="false">'Food Data'!Q9</f>
        <v>1.68735585402252</v>
      </c>
      <c r="J14" s="77" t="n">
        <f aca="false">'Food Data'!Q10</f>
        <v>2.2738732364289</v>
      </c>
      <c r="K14" s="77" t="n">
        <f aca="false">'Food Data'!Q11</f>
        <v>3.220612973069</v>
      </c>
      <c r="L14" s="77" t="n">
        <f aca="false">'Food Data'!Q12</f>
        <v>2.8579491632732</v>
      </c>
      <c r="M14" s="77" t="n">
        <f aca="false">'Food Data'!Q13</f>
        <v>3.08084526305517</v>
      </c>
      <c r="N14" s="77" t="n">
        <f aca="false">'Food Data'!Q14</f>
        <v>1.40471668249446</v>
      </c>
      <c r="O14" s="77" t="n">
        <f aca="false">'Food Data'!Q15</f>
        <v>1.48738685672894</v>
      </c>
      <c r="P14" s="77" t="n">
        <f aca="false">'Food Data'!Q16</f>
        <v>5.07260167402417</v>
      </c>
      <c r="Q14" s="77" t="n">
        <f aca="false">'Food Data'!Q17</f>
        <v>1.24286855616348</v>
      </c>
      <c r="R14" s="77" t="n">
        <f aca="false">'Food Data'!Q18</f>
        <v>3.79325919928634</v>
      </c>
      <c r="S14" s="77" t="n">
        <f aca="false">'Food Data'!Q19</f>
        <v>4.2736357699895</v>
      </c>
      <c r="T14" s="77" t="n">
        <f aca="false">'Food Data'!Q20</f>
        <v>1.88934045616815</v>
      </c>
      <c r="U14" s="77" t="n">
        <f aca="false">'Food Data'!Q21</f>
        <v>0.352330070574034</v>
      </c>
      <c r="V14" s="77" t="n">
        <f aca="false">'Food Data'!Q22</f>
        <v>0.263864350778973</v>
      </c>
      <c r="W14" s="77" t="n">
        <f aca="false">'Food Data'!Q23</f>
        <v>0.2553371004807</v>
      </c>
      <c r="X14" s="77" t="n">
        <f aca="false">'Food Data'!Q24</f>
        <v>0.189041103840496</v>
      </c>
      <c r="Y14" s="77" t="n">
        <f aca="false">'Food Data'!Q25</f>
        <v>0.385681338062291</v>
      </c>
      <c r="Z14" s="77" t="n">
        <f aca="false">'Food Data'!Q26</f>
        <v>0.11195565572452</v>
      </c>
      <c r="AA14" s="77" t="n">
        <f aca="false">'Food Data'!Q27</f>
        <v>0.912560146009623</v>
      </c>
      <c r="AB14" s="77" t="n">
        <f aca="false">'Food Data'!Q28</f>
        <v>0.105981045081967</v>
      </c>
      <c r="AC14" s="77" t="n">
        <f aca="false">'Food Data'!Q29</f>
        <v>0.446360528665055</v>
      </c>
      <c r="AD14" s="77" t="n">
        <f aca="false">'Food Data'!Q30</f>
        <v>0.293852880658436</v>
      </c>
      <c r="AE14" s="77" t="n">
        <f aca="false">'Food Data'!Q31</f>
        <v>0.111424180327869</v>
      </c>
      <c r="AF14" s="77" t="n">
        <f aca="false">'Food Data'!Q32</f>
        <v>0.674984214078864</v>
      </c>
      <c r="AG14" s="77" t="n">
        <f aca="false">'Food Data'!Q33</f>
        <v>1.01791974219958</v>
      </c>
      <c r="AH14" s="77" t="n">
        <f aca="false">'Food Data'!Q34</f>
        <v>0.520753950109231</v>
      </c>
      <c r="AI14" s="77" t="n">
        <f aca="false">'Food Data'!Q35</f>
        <v>1.19029474310681</v>
      </c>
      <c r="AJ14" s="77" t="n">
        <f aca="false">'Food Data'!Q36</f>
        <v>0.465956844557668</v>
      </c>
      <c r="AK14" s="77" t="n">
        <f aca="false">'Food Data'!Q37</f>
        <v>0.0850596360546152</v>
      </c>
      <c r="AL14" s="77" t="n">
        <f aca="false">'Food Data'!Q38</f>
        <v>1.20239123439855</v>
      </c>
      <c r="AM14" s="77" t="n">
        <f aca="false">'Food Data'!Q39</f>
        <v>0.387070593560269</v>
      </c>
      <c r="AN14" s="77" t="n">
        <f aca="false">'Food Data'!Q40</f>
        <v>0.538898687046835</v>
      </c>
      <c r="AO14" s="77" t="n">
        <f aca="false">'Food Data'!Q41</f>
        <v>0.0877186209718491</v>
      </c>
      <c r="AP14" s="77" t="n">
        <f aca="false">'Food Data'!Q42</f>
        <v>0.30530160301965</v>
      </c>
      <c r="AQ14" s="77" t="n">
        <f aca="false">'Food Data'!Q43</f>
        <v>0.164636673721087</v>
      </c>
      <c r="AR14" s="77" t="n">
        <f aca="false">'Food Data'!Q44</f>
        <v>0.330960001741895</v>
      </c>
      <c r="AS14" s="77" t="n">
        <f aca="false">'Food Data'!Q45</f>
        <v>0.0509306733629265</v>
      </c>
      <c r="AT14" s="77" t="n">
        <f aca="false">'Food Data'!Q46</f>
        <v>0.439828423367518</v>
      </c>
      <c r="AU14" s="77" t="n">
        <f aca="false">'Food Data'!Q47</f>
        <v>0.20452499851931</v>
      </c>
      <c r="AV14" s="77" t="n">
        <f aca="false">'Food Data'!Q48</f>
        <v>0.458463231248854</v>
      </c>
      <c r="AW14" s="77" t="n">
        <f aca="false">'Food Data'!Q49</f>
        <v>0.622388476931923</v>
      </c>
      <c r="AX14" s="77" t="n">
        <f aca="false">'Food Data'!Q50</f>
        <v>0.350668605803942</v>
      </c>
      <c r="AY14" s="77" t="n">
        <f aca="false">'Food Data'!Q51</f>
        <v>0.426764212772443</v>
      </c>
      <c r="AZ14" s="77" t="n">
        <f aca="false">'Food Data'!Q52</f>
        <v>0.229644326866549</v>
      </c>
      <c r="BA14" s="77" t="n">
        <f aca="false">'Food Data'!Q53</f>
        <v>0.65807291150612</v>
      </c>
      <c r="BB14" s="77" t="n">
        <f aca="false">'Food Data'!Q54</f>
        <v>0.572579854987262</v>
      </c>
      <c r="BC14" s="77" t="n">
        <f aca="false">'Food Data'!Q55</f>
        <v>0.274911226583083</v>
      </c>
      <c r="BD14" s="77" t="n">
        <f aca="false">'Food Data'!Q56</f>
        <v>0.645165473596846</v>
      </c>
      <c r="BE14" s="77" t="n">
        <f aca="false">'Food Data'!Q57</f>
        <v>0.867962665715475</v>
      </c>
      <c r="BF14" s="77" t="n">
        <f aca="false">'Food Data'!Q58</f>
        <v>0.928740290442418</v>
      </c>
      <c r="BG14" s="77" t="n">
        <f aca="false">'Food Data'!Q59</f>
        <v>0.471563012092024</v>
      </c>
      <c r="BH14" s="77" t="n">
        <f aca="false">'Food Data'!Q60</f>
        <v>0.368300067688989</v>
      </c>
      <c r="BI14" s="77" t="n">
        <f aca="false">'Food Data'!Q61</f>
        <v>0.365477764655637</v>
      </c>
      <c r="BJ14" s="77" t="n">
        <f aca="false">'Food Data'!Q62</f>
        <v>0.951706431764862</v>
      </c>
      <c r="BK14" s="77" t="n">
        <f aca="false">'Food Data'!Q63</f>
        <v>0.357545303484454</v>
      </c>
      <c r="BL14" s="77" t="n">
        <f aca="false">'Food Data'!Q64</f>
        <v>0.318010389485373</v>
      </c>
      <c r="BM14" s="77" t="n">
        <f aca="false">'Food Data'!Q65</f>
        <v>1.02205869283137</v>
      </c>
      <c r="BN14" s="77" t="n">
        <f aca="false">'Food Data'!Q66</f>
        <v>0.914322844147406</v>
      </c>
      <c r="BO14" s="77" t="n">
        <f aca="false">'Food Data'!Q67</f>
        <v>0.270951085487426</v>
      </c>
      <c r="BP14" s="77" t="n">
        <f aca="false">'Food Data'!Q68</f>
        <v>0.791525891927498</v>
      </c>
      <c r="BQ14" s="77" t="n">
        <f aca="false">'Food Data'!Q69</f>
        <v>0.375815187354924</v>
      </c>
      <c r="BR14" s="77" t="n">
        <f aca="false">'Food Data'!Q70</f>
        <v>1.56355268568829</v>
      </c>
      <c r="BS14" s="77" t="n">
        <f aca="false">'Food Data'!Q71</f>
        <v>2.29664515378801</v>
      </c>
      <c r="BT14" s="77" t="n">
        <f aca="false">'Food Data'!Q72</f>
        <v>0.852878464818763</v>
      </c>
      <c r="BU14" s="77" t="n">
        <f aca="false">'Food Data'!Q73</f>
        <v>1.01177613615425</v>
      </c>
      <c r="BV14" s="77" t="n">
        <f aca="false">'Food Data'!Q74</f>
        <v>1.18219857825066</v>
      </c>
      <c r="BW14" s="77" t="n">
        <f aca="false">'Food Data'!Q75</f>
        <v>1.0055060868069</v>
      </c>
      <c r="BX14" s="77" t="n">
        <f aca="false">'Food Data'!Q76</f>
        <v>0.486344930789375</v>
      </c>
    </row>
    <row r="15" customFormat="false" ht="15" hidden="false" customHeight="false" outlineLevel="0" collapsed="false">
      <c r="B15" s="69" t="s">
        <v>698</v>
      </c>
      <c r="F15" s="78" t="n">
        <f aca="false">MIN('Food Data'!R6*'Food Data'!T6/100,IF(AND((Planner!$C$60="Realistic"),Planner!$C$61&lt;1,'Food Data'!AL6&lt;&gt;""),INDEX($K$5:$K$10,MATCH('Food Data'!AL6,$G$5:$G$10,0))*INDEX($H$5:$H$10,MATCH('Food Data'!AL6,$G$5:$G$10,0))*'Food Data'!AM6/100,1000000000))*'Food Data'!AE6</f>
        <v>1.7</v>
      </c>
      <c r="G15" s="78" t="n">
        <f aca="false">MIN('Food Data'!R7*'Food Data'!T7/100,IF(AND((Planner!$C$60="Realistic"),Planner!$C$61&lt;1,'Food Data'!AL7&lt;&gt;""),INDEX($K$5:$K$10,MATCH('Food Data'!AL7,$G$5:$G$10,0))*INDEX($H$5:$H$10,MATCH('Food Data'!AL7,$G$5:$G$10,0))*'Food Data'!AM7/100,1000000000))*'Food Data'!AE7</f>
        <v>1.7</v>
      </c>
      <c r="H15" s="78" t="n">
        <f aca="false">MIN('Food Data'!R8*'Food Data'!T8/100,IF(AND((Planner!$C$60="Realistic"),Planner!$C$61&lt;1,'Food Data'!AL8&lt;&gt;""),INDEX($K$5:$K$10,MATCH('Food Data'!AL8,$G$5:$G$10,0))*INDEX($H$5:$H$10,MATCH('Food Data'!AL8,$G$5:$G$10,0))*'Food Data'!AM8/100,1000000000))*'Food Data'!AE8</f>
        <v>1.7</v>
      </c>
      <c r="I15" s="78" t="n">
        <f aca="false">MIN('Food Data'!R9*'Food Data'!T9/100,IF(AND((Planner!$C$60="Realistic"),Planner!$C$61&lt;1,'Food Data'!AL9&lt;&gt;""),INDEX($K$5:$K$10,MATCH('Food Data'!AL9,$G$5:$G$10,0))*INDEX($H$5:$H$10,MATCH('Food Data'!AL9,$G$5:$G$10,0))*'Food Data'!AM9/100,1000000000))*'Food Data'!AE9</f>
        <v>1.12</v>
      </c>
      <c r="J15" s="78" t="n">
        <f aca="false">MIN('Food Data'!R10*'Food Data'!T10/100,IF(AND((Planner!$C$60="Realistic"),Planner!$C$61&lt;1,'Food Data'!AL10&lt;&gt;""),INDEX($K$5:$K$10,MATCH('Food Data'!AL10,$G$5:$G$10,0))*INDEX($H$5:$H$10,MATCH('Food Data'!AL10,$G$5:$G$10,0))*'Food Data'!AM10/100,1000000000))*'Food Data'!AE10</f>
        <v>1.7</v>
      </c>
      <c r="K15" s="78" t="n">
        <f aca="false">MIN('Food Data'!R11*'Food Data'!T11/100,IF(AND((Planner!$C$60="Realistic"),Planner!$C$61&lt;1,'Food Data'!AL11&lt;&gt;""),INDEX($K$5:$K$10,MATCH('Food Data'!AL11,$G$5:$G$10,0))*INDEX($H$5:$H$10,MATCH('Food Data'!AL11,$G$5:$G$10,0))*'Food Data'!AM11/100,1000000000))*'Food Data'!AE11</f>
        <v>0.2875</v>
      </c>
      <c r="L15" s="78" t="n">
        <f aca="false">MIN('Food Data'!R12*'Food Data'!T12/100,IF(AND((Planner!$C$60="Realistic"),Planner!$C$61&lt;1,'Food Data'!AL12&lt;&gt;""),INDEX($K$5:$K$10,MATCH('Food Data'!AL12,$G$5:$G$10,0))*INDEX($H$5:$H$10,MATCH('Food Data'!AL12,$G$5:$G$10,0))*'Food Data'!AM12/100,1000000000))*'Food Data'!AE12</f>
        <v>1.275</v>
      </c>
      <c r="M15" s="78" t="n">
        <f aca="false">MIN('Food Data'!R13*'Food Data'!T13/100,IF(AND((Planner!$C$60="Realistic"),Planner!$C$61&lt;1,'Food Data'!AL13&lt;&gt;""),INDEX($K$5:$K$10,MATCH('Food Data'!AL13,$G$5:$G$10,0))*INDEX($H$5:$H$10,MATCH('Food Data'!AL13,$G$5:$G$10,0))*'Food Data'!AM13/100,1000000000))*'Food Data'!AE13</f>
        <v>1.7</v>
      </c>
      <c r="N15" s="78" t="n">
        <f aca="false">MIN('Food Data'!R14*'Food Data'!T14/100,IF(AND((Planner!$C$60="Realistic"),Planner!$C$61&lt;1,'Food Data'!AL14&lt;&gt;""),INDEX($K$5:$K$10,MATCH('Food Data'!AL14,$G$5:$G$10,0))*INDEX($H$5:$H$10,MATCH('Food Data'!AL14,$G$5:$G$10,0))*'Food Data'!AM14/100,1000000000))*'Food Data'!AE14</f>
        <v>1.12</v>
      </c>
      <c r="O15" s="78" t="n">
        <f aca="false">MIN('Food Data'!R15*'Food Data'!T15/100,IF(AND((Planner!$C$60="Realistic"),Planner!$C$61&lt;1,'Food Data'!AL15&lt;&gt;""),INDEX($K$5:$K$10,MATCH('Food Data'!AL15,$G$5:$G$10,0))*INDEX($H$5:$H$10,MATCH('Food Data'!AL15,$G$5:$G$10,0))*'Food Data'!AM15/100,1000000000))*'Food Data'!AE15</f>
        <v>1.7</v>
      </c>
      <c r="P15" s="78" t="n">
        <f aca="false">MIN('Food Data'!R16*'Food Data'!T16/100,IF(AND((Planner!$C$60="Realistic"),Planner!$C$61&lt;1,'Food Data'!AL16&lt;&gt;""),INDEX($K$5:$K$10,MATCH('Food Data'!AL16,$G$5:$G$10,0))*INDEX($H$5:$H$10,MATCH('Food Data'!AL16,$G$5:$G$10,0))*'Food Data'!AM16/100,1000000000))*'Food Data'!AE16</f>
        <v>1.7</v>
      </c>
      <c r="Q15" s="78" t="n">
        <f aca="false">MIN('Food Data'!R17*'Food Data'!T17/100,IF(AND((Planner!$C$60="Realistic"),Planner!$C$61&lt;1,'Food Data'!AL17&lt;&gt;""),INDEX($K$5:$K$10,MATCH('Food Data'!AL17,$G$5:$G$10,0))*INDEX($H$5:$H$10,MATCH('Food Data'!AL17,$G$5:$G$10,0))*'Food Data'!AM17/100,1000000000))*'Food Data'!AE17</f>
        <v>1.7</v>
      </c>
      <c r="R15" s="78" t="n">
        <f aca="false">MIN('Food Data'!R18*'Food Data'!T18/100,IF(AND((Planner!$C$60="Realistic"),Planner!$C$61&lt;1,'Food Data'!AL18&lt;&gt;""),INDEX($K$5:$K$10,MATCH('Food Data'!AL18,$G$5:$G$10,0))*INDEX($H$5:$H$10,MATCH('Food Data'!AL18,$G$5:$G$10,0))*'Food Data'!AM18/100,1000000000))*'Food Data'!AE18</f>
        <v>1.7</v>
      </c>
      <c r="S15" s="78" t="n">
        <f aca="false">MIN('Food Data'!R19*'Food Data'!T19/100,IF(AND((Planner!$C$60="Realistic"),Planner!$C$61&lt;1,'Food Data'!AL19&lt;&gt;""),INDEX($K$5:$K$10,MATCH('Food Data'!AL19,$G$5:$G$10,0))*INDEX($H$5:$H$10,MATCH('Food Data'!AL19,$G$5:$G$10,0))*'Food Data'!AM19/100,1000000000))*'Food Data'!AE19</f>
        <v>1.275</v>
      </c>
      <c r="T15" s="78" t="n">
        <f aca="false">MIN('Food Data'!R20*'Food Data'!T20/100,IF(AND((Planner!$C$60="Realistic"),Planner!$C$61&lt;1,'Food Data'!AL20&lt;&gt;""),INDEX($K$5:$K$10,MATCH('Food Data'!AL20,$G$5:$G$10,0))*INDEX($H$5:$H$10,MATCH('Food Data'!AL20,$G$5:$G$10,0))*'Food Data'!AM20/100,1000000000))*'Food Data'!AE20</f>
        <v>1.7</v>
      </c>
      <c r="U15" s="78" t="n">
        <f aca="false">MIN('Food Data'!R21*'Food Data'!T21/100,IF(AND((Planner!$C$60="Realistic"),Planner!$C$61&lt;1,'Food Data'!AL21&lt;&gt;""),INDEX($K$5:$K$10,MATCH('Food Data'!AL21,$G$5:$G$10,0))*INDEX($H$5:$H$10,MATCH('Food Data'!AL21,$G$5:$G$10,0))*'Food Data'!AM21/100,1000000000))*'Food Data'!AE21</f>
        <v>1</v>
      </c>
      <c r="V15" s="78" t="n">
        <f aca="false">MIN('Food Data'!R22*'Food Data'!T22/100,IF(AND((Planner!$C$60="Realistic"),Planner!$C$61&lt;1,'Food Data'!AL22&lt;&gt;""),INDEX($K$5:$K$10,MATCH('Food Data'!AL22,$G$5:$G$10,0))*INDEX($H$5:$H$10,MATCH('Food Data'!AL22,$G$5:$G$10,0))*'Food Data'!AM22/100,1000000000))*'Food Data'!AE22</f>
        <v>2.4</v>
      </c>
      <c r="W15" s="78" t="n">
        <f aca="false">MIN('Food Data'!R23*'Food Data'!T23/100,IF(AND((Planner!$C$60="Realistic"),Planner!$C$61&lt;1,'Food Data'!AL23&lt;&gt;""),INDEX($K$5:$K$10,MATCH('Food Data'!AL23,$G$5:$G$10,0))*INDEX($H$5:$H$10,MATCH('Food Data'!AL23,$G$5:$G$10,0))*'Food Data'!AM23/100,1000000000))*'Food Data'!AE23</f>
        <v>2.4</v>
      </c>
      <c r="X15" s="78" t="n">
        <f aca="false">MIN('Food Data'!R24*'Food Data'!T24/100,IF(AND((Planner!$C$60="Realistic"),Planner!$C$61&lt;1,'Food Data'!AL24&lt;&gt;""),INDEX($K$5:$K$10,MATCH('Food Data'!AL24,$G$5:$G$10,0))*INDEX($H$5:$H$10,MATCH('Food Data'!AL24,$G$5:$G$10,0))*'Food Data'!AM24/100,1000000000))*'Food Data'!AE24</f>
        <v>1.98</v>
      </c>
      <c r="Y15" s="78" t="n">
        <f aca="false">MIN('Food Data'!R25*'Food Data'!T25/100,IF(AND((Planner!$C$60="Realistic"),Planner!$C$61&lt;1,'Food Data'!AL25&lt;&gt;""),INDEX($K$5:$K$10,MATCH('Food Data'!AL25,$G$5:$G$10,0))*INDEX($H$5:$H$10,MATCH('Food Data'!AL25,$G$5:$G$10,0))*'Food Data'!AM25/100,1000000000))*'Food Data'!AE25</f>
        <v>0.64</v>
      </c>
      <c r="Z15" s="78" t="n">
        <f aca="false">MIN('Food Data'!R26*'Food Data'!T26/100,IF(AND((Planner!$C$60="Realistic"),Planner!$C$61&lt;1,'Food Data'!AL26&lt;&gt;""),INDEX($K$5:$K$10,MATCH('Food Data'!AL26,$G$5:$G$10,0))*INDEX($H$5:$H$10,MATCH('Food Data'!AL26,$G$5:$G$10,0))*'Food Data'!AM26/100,1000000000))*'Food Data'!AE26</f>
        <v>1.71</v>
      </c>
      <c r="AA15" s="78" t="n">
        <f aca="false">MIN('Food Data'!R27*'Food Data'!T27/100,IF(AND((Planner!$C$60="Realistic"),Planner!$C$61&lt;1,'Food Data'!AL27&lt;&gt;""),INDEX($K$5:$K$10,MATCH('Food Data'!AL27,$G$5:$G$10,0))*INDEX($H$5:$H$10,MATCH('Food Data'!AL27,$G$5:$G$10,0))*'Food Data'!AM27/100,1000000000))*'Food Data'!AE27</f>
        <v>1.7</v>
      </c>
      <c r="AB15" s="78" t="n">
        <f aca="false">MIN('Food Data'!R28*'Food Data'!T28/100,IF(AND((Planner!$C$60="Realistic"),Planner!$C$61&lt;1,'Food Data'!AL28&lt;&gt;""),INDEX($K$5:$K$10,MATCH('Food Data'!AL28,$G$5:$G$10,0))*INDEX($H$5:$H$10,MATCH('Food Data'!AL28,$G$5:$G$10,0))*'Food Data'!AM28/100,1000000000))*'Food Data'!AE28</f>
        <v>3.66</v>
      </c>
      <c r="AC15" s="78" t="n">
        <f aca="false">MIN('Food Data'!R29*'Food Data'!T29/100,IF(AND((Planner!$C$60="Realistic"),Planner!$C$61&lt;1,'Food Data'!AL29&lt;&gt;""),INDEX($K$5:$K$10,MATCH('Food Data'!AL29,$G$5:$G$10,0))*INDEX($H$5:$H$10,MATCH('Food Data'!AL29,$G$5:$G$10,0))*'Food Data'!AM29/100,1000000000))*'Food Data'!AE29</f>
        <v>2.55</v>
      </c>
      <c r="AD15" s="78" t="n">
        <f aca="false">MIN('Food Data'!R30*'Food Data'!T30/100,IF(AND((Planner!$C$60="Realistic"),Planner!$C$61&lt;1,'Food Data'!AL30&lt;&gt;""),INDEX($K$5:$K$10,MATCH('Food Data'!AL30,$G$5:$G$10,0))*INDEX($H$5:$H$10,MATCH('Food Data'!AL30,$G$5:$G$10,0))*'Food Data'!AM30/100,1000000000))*'Food Data'!AE30</f>
        <v>3.645</v>
      </c>
      <c r="AE15" s="78" t="n">
        <f aca="false">MIN('Food Data'!R31*'Food Data'!T31/100,IF(AND((Planner!$C$60="Realistic"),Planner!$C$61&lt;1,'Food Data'!AL31&lt;&gt;""),INDEX($K$5:$K$10,MATCH('Food Data'!AL31,$G$5:$G$10,0))*INDEX($H$5:$H$10,MATCH('Food Data'!AL31,$G$5:$G$10,0))*'Food Data'!AM31/100,1000000000))*'Food Data'!AE31</f>
        <v>3.66</v>
      </c>
      <c r="AF15" s="78" t="n">
        <f aca="false">MIN('Food Data'!R32*'Food Data'!T32/100,IF(AND((Planner!$C$60="Realistic"),Planner!$C$61&lt;1,'Food Data'!AL32&lt;&gt;""),INDEX($K$5:$K$10,MATCH('Food Data'!AL32,$G$5:$G$10,0))*INDEX($H$5:$H$10,MATCH('Food Data'!AL32,$G$5:$G$10,0))*'Food Data'!AM32/100,1000000000))*'Food Data'!AE32</f>
        <v>0.42</v>
      </c>
      <c r="AG15" s="78" t="n">
        <f aca="false">MIN('Food Data'!R33*'Food Data'!T33/100,IF(AND((Planner!$C$60="Realistic"),Planner!$C$61&lt;1,'Food Data'!AL33&lt;&gt;""),INDEX($K$5:$K$10,MATCH('Food Data'!AL33,$G$5:$G$10,0))*INDEX($H$5:$H$10,MATCH('Food Data'!AL33,$G$5:$G$10,0))*'Food Data'!AM33/100,1000000000))*'Food Data'!AE33</f>
        <v>0.42</v>
      </c>
      <c r="AH15" s="78" t="n">
        <f aca="false">MIN('Food Data'!R34*'Food Data'!T34/100,IF(AND((Planner!$C$60="Realistic"),Planner!$C$61&lt;1,'Food Data'!AL34&lt;&gt;""),INDEX($K$5:$K$10,MATCH('Food Data'!AL34,$G$5:$G$10,0))*INDEX($H$5:$H$10,MATCH('Food Data'!AL34,$G$5:$G$10,0))*'Food Data'!AM34/100,1000000000))*'Food Data'!AE34</f>
        <v>2.26</v>
      </c>
      <c r="AI15" s="78" t="n">
        <f aca="false">MIN('Food Data'!R35*'Food Data'!T35/100,IF(AND((Planner!$C$60="Realistic"),Planner!$C$61&lt;1,'Food Data'!AL35&lt;&gt;""),INDEX($K$5:$K$10,MATCH('Food Data'!AL35,$G$5:$G$10,0))*INDEX($H$5:$H$10,MATCH('Food Data'!AL35,$G$5:$G$10,0))*'Food Data'!AM35/100,1000000000))*'Food Data'!AE35</f>
        <v>0.42</v>
      </c>
      <c r="AJ15" s="78" t="n">
        <f aca="false">MIN('Food Data'!R36*'Food Data'!T36/100,IF(AND((Planner!$C$60="Realistic"),Planner!$C$61&lt;1,'Food Data'!AL36&lt;&gt;""),INDEX($K$5:$K$10,MATCH('Food Data'!AL36,$G$5:$G$10,0))*INDEX($H$5:$H$10,MATCH('Food Data'!AL36,$G$5:$G$10,0))*'Food Data'!AM36/100,1000000000))*'Food Data'!AE36</f>
        <v>0.94</v>
      </c>
      <c r="AK15" s="78" t="n">
        <f aca="false">MIN('Food Data'!R37*'Food Data'!T37/100,IF(AND((Planner!$C$60="Realistic"),Planner!$C$61&lt;1,'Food Data'!AL37&lt;&gt;""),INDEX($K$5:$K$10,MATCH('Food Data'!AL37,$G$5:$G$10,0))*INDEX($H$5:$H$10,MATCH('Food Data'!AL37,$G$5:$G$10,0))*'Food Data'!AM37/100,1000000000))*'Food Data'!AE37</f>
        <v>1.64125</v>
      </c>
      <c r="AL15" s="78" t="n">
        <f aca="false">MIN('Food Data'!R38*'Food Data'!T38/100,IF(AND((Planner!$C$60="Realistic"),Planner!$C$61&lt;1,'Food Data'!AL38&lt;&gt;""),INDEX($K$5:$K$10,MATCH('Food Data'!AL38,$G$5:$G$10,0))*INDEX($H$5:$H$10,MATCH('Food Data'!AL38,$G$5:$G$10,0))*'Food Data'!AM38/100,1000000000))*'Food Data'!AE38</f>
        <v>0.455</v>
      </c>
      <c r="AM15" s="78" t="n">
        <f aca="false">MIN('Food Data'!R39*'Food Data'!T39/100,IF(AND((Planner!$C$60="Realistic"),Planner!$C$61&lt;1,'Food Data'!AL39&lt;&gt;""),INDEX($K$5:$K$10,MATCH('Food Data'!AL39,$G$5:$G$10,0))*INDEX($H$5:$H$10,MATCH('Food Data'!AL39,$G$5:$G$10,0))*'Food Data'!AM39/100,1000000000))*'Food Data'!AE39</f>
        <v>1.56</v>
      </c>
      <c r="AN15" s="78" t="n">
        <f aca="false">MIN('Food Data'!R40*'Food Data'!T40/100,IF(AND((Planner!$C$60="Realistic"),Planner!$C$61&lt;1,'Food Data'!AL40&lt;&gt;""),INDEX($K$5:$K$10,MATCH('Food Data'!AL40,$G$5:$G$10,0))*INDEX($H$5:$H$10,MATCH('Food Data'!AL40,$G$5:$G$10,0))*'Food Data'!AM40/100,1000000000))*'Food Data'!AE40</f>
        <v>1.35</v>
      </c>
      <c r="AO15" s="78" t="n">
        <f aca="false">MIN('Food Data'!R41*'Food Data'!T41/100,IF(AND((Planner!$C$60="Realistic"),Planner!$C$61&lt;1,'Food Data'!AL41&lt;&gt;""),INDEX($K$5:$K$10,MATCH('Food Data'!AL41,$G$5:$G$10,0))*INDEX($H$5:$H$10,MATCH('Food Data'!AL41,$G$5:$G$10,0))*'Food Data'!AM41/100,1000000000))*'Food Data'!AE41</f>
        <v>1.90125</v>
      </c>
      <c r="AP15" s="78" t="n">
        <f aca="false">MIN('Food Data'!R42*'Food Data'!T42/100,IF(AND((Planner!$C$60="Realistic"),Planner!$C$61&lt;1,'Food Data'!AL42&lt;&gt;""),INDEX($K$5:$K$10,MATCH('Food Data'!AL42,$G$5:$G$10,0))*INDEX($H$5:$H$10,MATCH('Food Data'!AL42,$G$5:$G$10,0))*'Food Data'!AM42/100,1000000000))*'Food Data'!AE42</f>
        <v>1.503125</v>
      </c>
      <c r="AQ15" s="78" t="n">
        <f aca="false">MIN('Food Data'!R43*'Food Data'!T43/100,IF(AND((Planner!$C$60="Realistic"),Planner!$C$61&lt;1,'Food Data'!AL43&lt;&gt;""),INDEX($K$5:$K$10,MATCH('Food Data'!AL43,$G$5:$G$10,0))*INDEX($H$5:$H$10,MATCH('Food Data'!AL43,$G$5:$G$10,0))*'Food Data'!AM43/100,1000000000))*'Food Data'!AE43</f>
        <v>3.72</v>
      </c>
      <c r="AR15" s="78" t="n">
        <f aca="false">MIN('Food Data'!R44*'Food Data'!T44/100,IF(AND((Planner!$C$60="Realistic"),Planner!$C$61&lt;1,'Food Data'!AL44&lt;&gt;""),INDEX($K$5:$K$10,MATCH('Food Data'!AL44,$G$5:$G$10,0))*INDEX($H$5:$H$10,MATCH('Food Data'!AL44,$G$5:$G$10,0))*'Food Data'!AM44/100,1000000000))*'Food Data'!AE44</f>
        <v>1.12</v>
      </c>
      <c r="AS15" s="78" t="n">
        <f aca="false">MIN('Food Data'!R45*'Food Data'!T45/100,IF(AND((Planner!$C$60="Realistic"),Planner!$C$61&lt;1,'Food Data'!AL45&lt;&gt;""),INDEX($K$5:$K$10,MATCH('Food Data'!AL45,$G$5:$G$10,0))*INDEX($H$5:$H$10,MATCH('Food Data'!AL45,$G$5:$G$10,0))*'Food Data'!AM45/100,1000000000))*'Food Data'!AE45</f>
        <v>4.74</v>
      </c>
      <c r="AT15" s="78" t="n">
        <f aca="false">MIN('Food Data'!R46*'Food Data'!T46/100,IF(AND((Planner!$C$60="Realistic"),Planner!$C$61&lt;1,'Food Data'!AL46&lt;&gt;""),INDEX($K$5:$K$10,MATCH('Food Data'!AL46,$G$5:$G$10,0))*INDEX($H$5:$H$10,MATCH('Food Data'!AL46,$G$5:$G$10,0))*'Food Data'!AM46/100,1000000000))*'Food Data'!AE46</f>
        <v>0.52</v>
      </c>
      <c r="AU15" s="78" t="n">
        <f aca="false">MIN('Food Data'!R47*'Food Data'!T47/100,IF(AND((Planner!$C$60="Realistic"),Planner!$C$61&lt;1,'Food Data'!AL47&lt;&gt;""),INDEX($K$5:$K$10,MATCH('Food Data'!AL47,$G$5:$G$10,0))*INDEX($H$5:$H$10,MATCH('Food Data'!AL47,$G$5:$G$10,0))*'Food Data'!AM47/100,1000000000))*'Food Data'!AE47</f>
        <v>0.950625</v>
      </c>
      <c r="AV15" s="78" t="n">
        <f aca="false">MIN('Food Data'!R48*'Food Data'!T48/100,IF(AND((Planner!$C$60="Realistic"),Planner!$C$61&lt;1,'Food Data'!AL48&lt;&gt;""),INDEX($K$5:$K$10,MATCH('Food Data'!AL48,$G$5:$G$10,0))*INDEX($H$5:$H$10,MATCH('Food Data'!AL48,$G$5:$G$10,0))*'Food Data'!AM48/100,1000000000))*'Food Data'!AE48</f>
        <v>2.595</v>
      </c>
      <c r="AW15" s="78" t="n">
        <f aca="false">MIN('Food Data'!R49*'Food Data'!T49/100,IF(AND((Planner!$C$60="Realistic"),Planner!$C$61&lt;1,'Food Data'!AL49&lt;&gt;""),INDEX($K$5:$K$10,MATCH('Food Data'!AL49,$G$5:$G$10,0))*INDEX($H$5:$H$10,MATCH('Food Data'!AL49,$G$5:$G$10,0))*'Food Data'!AM49/100,1000000000))*'Food Data'!AE49</f>
        <v>2</v>
      </c>
      <c r="AX15" s="78" t="n">
        <f aca="false">MIN('Food Data'!R50*'Food Data'!T50/100,IF(AND((Planner!$C$60="Realistic"),Planner!$C$61&lt;1,'Food Data'!AL50&lt;&gt;""),INDEX($K$5:$K$10,MATCH('Food Data'!AL50,$G$5:$G$10,0))*INDEX($H$5:$H$10,MATCH('Food Data'!AL50,$G$5:$G$10,0))*'Food Data'!AM50/100,1000000000))*'Food Data'!AE50</f>
        <v>2.0625</v>
      </c>
      <c r="AY15" s="78" t="n">
        <f aca="false">MIN('Food Data'!R51*'Food Data'!T51/100,IF(AND((Planner!$C$60="Realistic"),Planner!$C$61&lt;1,'Food Data'!AL51&lt;&gt;""),INDEX($K$5:$K$10,MATCH('Food Data'!AL51,$G$5:$G$10,0))*INDEX($H$5:$H$10,MATCH('Food Data'!AL51,$G$5:$G$10,0))*'Food Data'!AM51/100,1000000000))*'Food Data'!AE51</f>
        <v>1.5625</v>
      </c>
      <c r="AZ15" s="78" t="n">
        <f aca="false">MIN('Food Data'!R52*'Food Data'!T52/100,IF(AND((Planner!$C$60="Realistic"),Planner!$C$61&lt;1,'Food Data'!AL52&lt;&gt;""),INDEX($K$5:$K$10,MATCH('Food Data'!AL52,$G$5:$G$10,0))*INDEX($H$5:$H$10,MATCH('Food Data'!AL52,$G$5:$G$10,0))*'Food Data'!AM52/100,1000000000))*'Food Data'!AE52</f>
        <v>1.475</v>
      </c>
      <c r="BA15" s="78" t="n">
        <f aca="false">MIN('Food Data'!R53*'Food Data'!T53/100,IF(AND((Planner!$C$60="Realistic"),Planner!$C$61&lt;1,'Food Data'!AL53&lt;&gt;""),INDEX($K$5:$K$10,MATCH('Food Data'!AL53,$G$5:$G$10,0))*INDEX($H$5:$H$10,MATCH('Food Data'!AL53,$G$5:$G$10,0))*'Food Data'!AM53/100,1000000000))*'Food Data'!AE53</f>
        <v>1.55</v>
      </c>
      <c r="BB15" s="78" t="n">
        <f aca="false">MIN('Food Data'!R54*'Food Data'!T54/100,IF(AND((Planner!$C$60="Realistic"),Planner!$C$61&lt;1,'Food Data'!AL54&lt;&gt;""),INDEX($K$5:$K$10,MATCH('Food Data'!AL54,$G$5:$G$10,0))*INDEX($H$5:$H$10,MATCH('Food Data'!AL54,$G$5:$G$10,0))*'Food Data'!AM54/100,1000000000))*'Food Data'!AE54</f>
        <v>1.8875</v>
      </c>
      <c r="BC15" s="78" t="n">
        <f aca="false">MIN('Food Data'!R55*'Food Data'!T55/100,IF(AND((Planner!$C$60="Realistic"),Planner!$C$61&lt;1,'Food Data'!AL55&lt;&gt;""),INDEX($K$5:$K$10,MATCH('Food Data'!AL55,$G$5:$G$10,0))*INDEX($H$5:$H$10,MATCH('Food Data'!AL55,$G$5:$G$10,0))*'Food Data'!AM55/100,1000000000))*'Food Data'!AE55</f>
        <v>2.49</v>
      </c>
      <c r="BD15" s="78" t="n">
        <f aca="false">MIN('Food Data'!R56*'Food Data'!T56/100,IF(AND((Planner!$C$60="Realistic"),Planner!$C$61&lt;1,'Food Data'!AL56&lt;&gt;""),INDEX($K$5:$K$10,MATCH('Food Data'!AL56,$G$5:$G$10,0))*INDEX($H$5:$H$10,MATCH('Food Data'!AL56,$G$5:$G$10,0))*'Food Data'!AM56/100,1000000000))*'Food Data'!AE56</f>
        <v>1.75</v>
      </c>
      <c r="BE15" s="78" t="n">
        <f aca="false">MIN('Food Data'!R57*'Food Data'!T57/100,IF(AND((Planner!$C$60="Realistic"),Planner!$C$61&lt;1,'Food Data'!AL57&lt;&gt;""),INDEX($K$5:$K$10,MATCH('Food Data'!AL57,$G$5:$G$10,0))*INDEX($H$5:$H$10,MATCH('Food Data'!AL57,$G$5:$G$10,0))*'Food Data'!AM57/100,1000000000))*'Food Data'!AE57</f>
        <v>0.41</v>
      </c>
      <c r="BF15" s="78" t="n">
        <f aca="false">MIN('Food Data'!R58*'Food Data'!T58/100,IF(AND((Planner!$C$60="Realistic"),Planner!$C$61&lt;1,'Food Data'!AL58&lt;&gt;""),INDEX($K$5:$K$10,MATCH('Food Data'!AL58,$G$5:$G$10,0))*INDEX($H$5:$H$10,MATCH('Food Data'!AL58,$G$5:$G$10,0))*'Food Data'!AM58/100,1000000000))*'Food Data'!AE58</f>
        <v>1.9</v>
      </c>
      <c r="BG15" s="78" t="n">
        <f aca="false">MIN('Food Data'!R59*'Food Data'!T59/100,IF(AND((Planner!$C$60="Realistic"),Planner!$C$61&lt;1,'Food Data'!AL59&lt;&gt;""),INDEX($K$5:$K$10,MATCH('Food Data'!AL59,$G$5:$G$10,0))*INDEX($H$5:$H$10,MATCH('Food Data'!AL59,$G$5:$G$10,0))*'Food Data'!AM59/100,1000000000))*'Food Data'!AE59</f>
        <v>1.84</v>
      </c>
      <c r="BH15" s="78" t="n">
        <f aca="false">MIN('Food Data'!R60*'Food Data'!T60/100,IF(AND((Planner!$C$60="Realistic"),Planner!$C$61&lt;1,'Food Data'!AL60&lt;&gt;""),INDEX($K$5:$K$10,MATCH('Food Data'!AL60,$G$5:$G$10,0))*INDEX($H$5:$H$10,MATCH('Food Data'!AL60,$G$5:$G$10,0))*'Food Data'!AM60/100,1000000000))*'Food Data'!AE60</f>
        <v>2.56</v>
      </c>
      <c r="BI15" s="78" t="n">
        <f aca="false">MIN('Food Data'!R61*'Food Data'!T61/100,IF(AND((Planner!$C$60="Realistic"),Planner!$C$61&lt;1,'Food Data'!AL61&lt;&gt;""),INDEX($K$5:$K$10,MATCH('Food Data'!AL61,$G$5:$G$10,0))*INDEX($H$5:$H$10,MATCH('Food Data'!AL61,$G$5:$G$10,0))*'Food Data'!AM61/100,1000000000))*'Food Data'!AE61</f>
        <v>2.7</v>
      </c>
      <c r="BJ15" s="78" t="n">
        <f aca="false">MIN('Food Data'!R62*'Food Data'!T62/100,IF(AND((Planner!$C$60="Realistic"),Planner!$C$61&lt;1,'Food Data'!AL62&lt;&gt;""),INDEX($K$5:$K$10,MATCH('Food Data'!AL62,$G$5:$G$10,0))*INDEX($H$5:$H$10,MATCH('Food Data'!AL62,$G$5:$G$10,0))*'Food Data'!AM62/100,1000000000))*'Food Data'!AE62</f>
        <v>1.49</v>
      </c>
      <c r="BK15" s="78" t="n">
        <f aca="false">MIN('Food Data'!R63*'Food Data'!T63/100,IF(AND((Planner!$C$60="Realistic"),Planner!$C$61&lt;1,'Food Data'!AL63&lt;&gt;""),INDEX($K$5:$K$10,MATCH('Food Data'!AL63,$G$5:$G$10,0))*INDEX($H$5:$H$10,MATCH('Food Data'!AL63,$G$5:$G$10,0))*'Food Data'!AM63/100,1000000000))*'Food Data'!AE63</f>
        <v>2.73</v>
      </c>
      <c r="BL15" s="78" t="n">
        <f aca="false">MIN('Food Data'!R64*'Food Data'!T64/100,IF(AND((Planner!$C$60="Realistic"),Planner!$C$61&lt;1,'Food Data'!AL64&lt;&gt;""),INDEX($K$5:$K$10,MATCH('Food Data'!AL64,$G$5:$G$10,0))*INDEX($H$5:$H$10,MATCH('Food Data'!AL64,$G$5:$G$10,0))*'Food Data'!AM64/100,1000000000))*'Food Data'!AE64</f>
        <v>1.6</v>
      </c>
      <c r="BM15" s="78" t="n">
        <f aca="false">MIN('Food Data'!R65*'Food Data'!T65/100,IF(AND((Planner!$C$60="Realistic"),Planner!$C$61&lt;1,'Food Data'!AL65&lt;&gt;""),INDEX($K$5:$K$10,MATCH('Food Data'!AL65,$G$5:$G$10,0))*INDEX($H$5:$H$10,MATCH('Food Data'!AL65,$G$5:$G$10,0))*'Food Data'!AM65/100,1000000000))*'Food Data'!AE65</f>
        <v>1.88</v>
      </c>
      <c r="BN15" s="78" t="n">
        <f aca="false">MIN('Food Data'!R66*'Food Data'!T66/100,IF(AND((Planner!$C$60="Realistic"),Planner!$C$61&lt;1,'Food Data'!AL66&lt;&gt;""),INDEX($K$5:$K$10,MATCH('Food Data'!AL66,$G$5:$G$10,0))*INDEX($H$5:$H$10,MATCH('Food Data'!AL66,$G$5:$G$10,0))*'Food Data'!AM66/100,1000000000))*'Food Data'!AE66</f>
        <v>1.425</v>
      </c>
      <c r="BO15" s="78" t="n">
        <f aca="false">MIN('Food Data'!R67*'Food Data'!T67/100,IF(AND((Planner!$C$60="Realistic"),Planner!$C$61&lt;1,'Food Data'!AL67&lt;&gt;""),INDEX($K$5:$K$10,MATCH('Food Data'!AL67,$G$5:$G$10,0))*INDEX($H$5:$H$10,MATCH('Food Data'!AL67,$G$5:$G$10,0))*'Food Data'!AM67/100,1000000000))*'Food Data'!AE67</f>
        <v>3.6</v>
      </c>
      <c r="BP15" s="78" t="n">
        <f aca="false">MIN('Food Data'!R68*'Food Data'!T68/100,IF(AND((Planner!$C$60="Realistic"),Planner!$C$61&lt;1,'Food Data'!AL68&lt;&gt;""),INDEX($K$5:$K$10,MATCH('Food Data'!AL68,$G$5:$G$10,0))*INDEX($H$5:$H$10,MATCH('Food Data'!AL68,$G$5:$G$10,0))*'Food Data'!AM68/100,1000000000))*'Food Data'!AE68</f>
        <v>0.165655</v>
      </c>
      <c r="BQ15" s="78" t="n">
        <f aca="false">MIN('Food Data'!R69*'Food Data'!T69/100,IF(AND((Planner!$C$60="Realistic"),Planner!$C$61&lt;1,'Food Data'!AL69&lt;&gt;""),INDEX($K$5:$K$10,MATCH('Food Data'!AL69,$G$5:$G$10,0))*INDEX($H$5:$H$10,MATCH('Food Data'!AL69,$G$5:$G$10,0))*'Food Data'!AM69/100,1000000000))*'Food Data'!AE69</f>
        <v>0.163345</v>
      </c>
      <c r="BR15" s="78" t="n">
        <f aca="false">MIN('Food Data'!R70*'Food Data'!T70/100,IF(AND((Planner!$C$60="Realistic"),Planner!$C$61&lt;1,'Food Data'!AL70&lt;&gt;""),INDEX($K$5:$K$10,MATCH('Food Data'!AL70,$G$5:$G$10,0))*INDEX($H$5:$H$10,MATCH('Food Data'!AL70,$G$5:$G$10,0))*'Food Data'!AM70/100,1000000000))*'Food Data'!AE70</f>
        <v>0.1575</v>
      </c>
      <c r="BS15" s="78" t="n">
        <f aca="false">MIN('Food Data'!R71*'Food Data'!T71/100,IF(AND((Planner!$C$60="Realistic"),Planner!$C$61&lt;1,'Food Data'!AL71&lt;&gt;""),INDEX($K$5:$K$10,MATCH('Food Data'!AL71,$G$5:$G$10,0))*INDEX($H$5:$H$10,MATCH('Food Data'!AL71,$G$5:$G$10,0))*'Food Data'!AM71/100,1000000000))*'Food Data'!AE71</f>
        <v>0.56</v>
      </c>
      <c r="BT15" s="78" t="n">
        <f aca="false">MIN('Food Data'!R72*'Food Data'!T72/100,IF(AND((Planner!$C$60="Realistic"),Planner!$C$61&lt;1,'Food Data'!AL72&lt;&gt;""),INDEX($K$5:$K$10,MATCH('Food Data'!AL72,$G$5:$G$10,0))*INDEX($H$5:$H$10,MATCH('Food Data'!AL72,$G$5:$G$10,0))*'Food Data'!AM72/100,1000000000))*'Food Data'!AE72</f>
        <v>1.36</v>
      </c>
      <c r="BU15" s="78" t="n">
        <f aca="false">MIN('Food Data'!R73*'Food Data'!T73/100,IF(AND((Planner!$C$60="Realistic"),Planner!$C$61&lt;1,'Food Data'!AL73&lt;&gt;""),INDEX($K$5:$K$10,MATCH('Food Data'!AL73,$G$5:$G$10,0))*INDEX($H$5:$H$10,MATCH('Food Data'!AL73,$G$5:$G$10,0))*'Food Data'!AM73/100,1000000000))*'Food Data'!AE73</f>
        <v>0.26</v>
      </c>
      <c r="BV15" s="78" t="n">
        <f aca="false">MIN('Food Data'!R74*'Food Data'!T74/100,IF(AND((Planner!$C$60="Realistic"),Planner!$C$61&lt;1,'Food Data'!AL74&lt;&gt;""),INDEX($K$5:$K$10,MATCH('Food Data'!AL74,$G$5:$G$10,0))*INDEX($H$5:$H$10,MATCH('Food Data'!AL74,$G$5:$G$10,0))*'Food Data'!AM74/100,1000000000))*'Food Data'!AE74</f>
        <v>0.48</v>
      </c>
      <c r="BW15" s="78" t="n">
        <f aca="false">MIN('Food Data'!R75*'Food Data'!T75/100,IF(AND((Planner!$C$60="Realistic"),Planner!$C$61&lt;1,'Food Data'!AL75&lt;&gt;""),INDEX($K$5:$K$10,MATCH('Food Data'!AL75,$G$5:$G$10,0))*INDEX($H$5:$H$10,MATCH('Food Data'!AL75,$G$5:$G$10,0))*'Food Data'!AM75/100,1000000000))*'Food Data'!AE75</f>
        <v>0.28</v>
      </c>
      <c r="BX15" s="78" t="n">
        <f aca="false">MIN('Food Data'!R76*'Food Data'!T76/100,IF(AND((Planner!$C$60="Realistic"),Planner!$C$61&lt;1,'Food Data'!AL76&lt;&gt;""),INDEX($K$5:$K$10,MATCH('Food Data'!AL76,$G$5:$G$10,0))*INDEX($H$5:$H$10,MATCH('Food Data'!AL76,$G$5:$G$10,0))*'Food Data'!AM76/100,1000000000))*'Food Data'!AE76</f>
        <v>0.66</v>
      </c>
    </row>
    <row r="16" customFormat="false" ht="15" hidden="false" customHeight="false" outlineLevel="0" collapsed="false">
      <c r="B16" s="69" t="s">
        <v>699</v>
      </c>
      <c r="F16" s="78" t="n">
        <f aca="false">MIN(F15,N('Food Data'!V6)*'Food Data'!R6/100)</f>
        <v>0</v>
      </c>
      <c r="G16" s="78" t="n">
        <f aca="false">MIN(G15,N('Food Data'!V7)*'Food Data'!R7/100)</f>
        <v>0</v>
      </c>
      <c r="H16" s="78" t="n">
        <f aca="false">MIN(H15,N('Food Data'!V8)*'Food Data'!R8/100)</f>
        <v>0</v>
      </c>
      <c r="I16" s="78" t="n">
        <f aca="false">MIN(I15,N('Food Data'!V9)*'Food Data'!R9/100)</f>
        <v>0</v>
      </c>
      <c r="J16" s="78" t="n">
        <f aca="false">MIN(J15,N('Food Data'!V10)*'Food Data'!R10/100)</f>
        <v>0</v>
      </c>
      <c r="K16" s="78" t="n">
        <f aca="false">MIN(K15,N('Food Data'!V11)*'Food Data'!R11/100)</f>
        <v>0</v>
      </c>
      <c r="L16" s="78" t="n">
        <f aca="false">MIN(L15,N('Food Data'!V12)*'Food Data'!R12/100)</f>
        <v>0</v>
      </c>
      <c r="M16" s="78" t="n">
        <f aca="false">MIN(M15,N('Food Data'!V13)*'Food Data'!R13/100)</f>
        <v>0</v>
      </c>
      <c r="N16" s="78" t="n">
        <f aca="false">MIN(N15,N('Food Data'!V14)*'Food Data'!R14/100)</f>
        <v>0</v>
      </c>
      <c r="O16" s="78" t="n">
        <f aca="false">MIN(O15,N('Food Data'!V15)*'Food Data'!R15/100)</f>
        <v>0</v>
      </c>
      <c r="P16" s="78" t="n">
        <f aca="false">MIN(P15,N('Food Data'!V16)*'Food Data'!R16/100)</f>
        <v>0</v>
      </c>
      <c r="Q16" s="78" t="n">
        <f aca="false">MIN(Q15,N('Food Data'!V17)*'Food Data'!R17/100)</f>
        <v>0</v>
      </c>
      <c r="R16" s="78" t="n">
        <f aca="false">MIN(R15,N('Food Data'!V18)*'Food Data'!R18/100)</f>
        <v>0</v>
      </c>
      <c r="S16" s="78" t="n">
        <f aca="false">MIN(S15,N('Food Data'!V19)*'Food Data'!R19/100)</f>
        <v>0</v>
      </c>
      <c r="T16" s="78" t="n">
        <f aca="false">MIN(T15,N('Food Data'!V20)*'Food Data'!R20/100)</f>
        <v>0</v>
      </c>
      <c r="U16" s="78" t="n">
        <f aca="false">MIN(U15,N('Food Data'!V21)*'Food Data'!R21/100)</f>
        <v>0</v>
      </c>
      <c r="V16" s="78" t="n">
        <f aca="false">MIN(V15,N('Food Data'!V22)*'Food Data'!R22/100)</f>
        <v>0</v>
      </c>
      <c r="W16" s="78" t="n">
        <f aca="false">MIN(W15,N('Food Data'!V23)*'Food Data'!R23/100)</f>
        <v>0</v>
      </c>
      <c r="X16" s="78" t="n">
        <f aca="false">MIN(X15,N('Food Data'!V24)*'Food Data'!R24/100)</f>
        <v>0</v>
      </c>
      <c r="Y16" s="78" t="n">
        <f aca="false">MIN(Y15,N('Food Data'!V25)*'Food Data'!R25/100)</f>
        <v>0</v>
      </c>
      <c r="Z16" s="78" t="n">
        <f aca="false">MIN(Z15,N('Food Data'!V26)*'Food Data'!R26/100)</f>
        <v>0</v>
      </c>
      <c r="AA16" s="78" t="n">
        <f aca="false">MIN(AA15,N('Food Data'!V27)*'Food Data'!R27/100)</f>
        <v>0</v>
      </c>
      <c r="AB16" s="78" t="n">
        <f aca="false">MIN(AB15,N('Food Data'!V28)*'Food Data'!R28/100)</f>
        <v>0</v>
      </c>
      <c r="AC16" s="78" t="n">
        <f aca="false">MIN(AC15,N('Food Data'!V29)*'Food Data'!R29/100)</f>
        <v>0</v>
      </c>
      <c r="AD16" s="78" t="n">
        <f aca="false">MIN(AD15,N('Food Data'!V30)*'Food Data'!R30/100)</f>
        <v>0</v>
      </c>
      <c r="AE16" s="78" t="n">
        <f aca="false">MIN(AE15,N('Food Data'!V31)*'Food Data'!R31/100)</f>
        <v>0</v>
      </c>
      <c r="AF16" s="78" t="n">
        <f aca="false">MIN(AF15,N('Food Data'!V32)*'Food Data'!R32/100)</f>
        <v>0</v>
      </c>
      <c r="AG16" s="78" t="n">
        <f aca="false">MIN(AG15,N('Food Data'!V33)*'Food Data'!R33/100)</f>
        <v>0</v>
      </c>
      <c r="AH16" s="78" t="n">
        <f aca="false">MIN(AH15,N('Food Data'!V34)*'Food Data'!R34/100)</f>
        <v>0</v>
      </c>
      <c r="AI16" s="78" t="n">
        <f aca="false">MIN(AI15,N('Food Data'!V35)*'Food Data'!R35/100)</f>
        <v>0</v>
      </c>
      <c r="AJ16" s="78" t="n">
        <f aca="false">MIN(AJ15,N('Food Data'!V36)*'Food Data'!R36/100)</f>
        <v>0</v>
      </c>
      <c r="AK16" s="78" t="n">
        <f aca="false">MIN(AK15,N('Food Data'!V37)*'Food Data'!R37/100)</f>
        <v>0</v>
      </c>
      <c r="AL16" s="78" t="n">
        <f aca="false">MIN(AL15,N('Food Data'!V38)*'Food Data'!R38/100)</f>
        <v>0</v>
      </c>
      <c r="AM16" s="78" t="n">
        <f aca="false">MIN(AM15,N('Food Data'!V39)*'Food Data'!R39/100)</f>
        <v>0</v>
      </c>
      <c r="AN16" s="78" t="n">
        <f aca="false">MIN(AN15,N('Food Data'!V40)*'Food Data'!R40/100)</f>
        <v>0</v>
      </c>
      <c r="AO16" s="78" t="n">
        <f aca="false">MIN(AO15,N('Food Data'!V41)*'Food Data'!R41/100)</f>
        <v>0</v>
      </c>
      <c r="AP16" s="78" t="n">
        <f aca="false">MIN(AP15,N('Food Data'!V42)*'Food Data'!R42/100)</f>
        <v>0</v>
      </c>
      <c r="AQ16" s="78" t="n">
        <f aca="false">MIN(AQ15,N('Food Data'!V43)*'Food Data'!R43/100)</f>
        <v>0</v>
      </c>
      <c r="AR16" s="78" t="n">
        <f aca="false">MIN(AR15,N('Food Data'!V44)*'Food Data'!R44/100)</f>
        <v>0</v>
      </c>
      <c r="AS16" s="78" t="n">
        <f aca="false">MIN(AS15,N('Food Data'!V45)*'Food Data'!R45/100)</f>
        <v>0</v>
      </c>
      <c r="AT16" s="78" t="n">
        <f aca="false">MIN(AT15,N('Food Data'!V46)*'Food Data'!R46/100)</f>
        <v>0</v>
      </c>
      <c r="AU16" s="78" t="n">
        <f aca="false">MIN(AU15,N('Food Data'!V47)*'Food Data'!R47/100)</f>
        <v>0</v>
      </c>
      <c r="AV16" s="78" t="n">
        <f aca="false">MIN(AV15,N('Food Data'!V48)*'Food Data'!R48/100)</f>
        <v>0</v>
      </c>
      <c r="AW16" s="78" t="n">
        <f aca="false">MIN(AW15,N('Food Data'!V49)*'Food Data'!R49/100)</f>
        <v>0</v>
      </c>
      <c r="AX16" s="78" t="n">
        <f aca="false">MIN(AX15,N('Food Data'!V50)*'Food Data'!R50/100)</f>
        <v>0</v>
      </c>
      <c r="AY16" s="78" t="n">
        <f aca="false">MIN(AY15,N('Food Data'!V51)*'Food Data'!R51/100)</f>
        <v>0</v>
      </c>
      <c r="AZ16" s="78" t="n">
        <f aca="false">MIN(AZ15,N('Food Data'!V52)*'Food Data'!R52/100)</f>
        <v>0</v>
      </c>
      <c r="BA16" s="78" t="n">
        <f aca="false">MIN(BA15,N('Food Data'!V53)*'Food Data'!R53/100)</f>
        <v>0</v>
      </c>
      <c r="BB16" s="78" t="n">
        <f aca="false">MIN(BB15,N('Food Data'!V54)*'Food Data'!R54/100)</f>
        <v>0</v>
      </c>
      <c r="BC16" s="78" t="n">
        <f aca="false">MIN(BC15,N('Food Data'!V55)*'Food Data'!R55/100)</f>
        <v>0</v>
      </c>
      <c r="BD16" s="78" t="n">
        <f aca="false">MIN(BD15,N('Food Data'!V56)*'Food Data'!R56/100)</f>
        <v>0</v>
      </c>
      <c r="BE16" s="78" t="n">
        <f aca="false">MIN(BE15,N('Food Data'!V57)*'Food Data'!R57/100)</f>
        <v>0</v>
      </c>
      <c r="BF16" s="78" t="n">
        <f aca="false">MIN(BF15,N('Food Data'!V58)*'Food Data'!R58/100)</f>
        <v>0</v>
      </c>
      <c r="BG16" s="78" t="n">
        <f aca="false">MIN(BG15,N('Food Data'!V59)*'Food Data'!R59/100)</f>
        <v>0</v>
      </c>
      <c r="BH16" s="78" t="n">
        <f aca="false">MIN(BH15,N('Food Data'!V60)*'Food Data'!R60/100)</f>
        <v>0</v>
      </c>
      <c r="BI16" s="78" t="n">
        <f aca="false">MIN(BI15,N('Food Data'!V61)*'Food Data'!R61/100)</f>
        <v>0</v>
      </c>
      <c r="BJ16" s="78" t="n">
        <f aca="false">MIN(BJ15,N('Food Data'!V62)*'Food Data'!R62/100)</f>
        <v>0</v>
      </c>
      <c r="BK16" s="78" t="n">
        <f aca="false">MIN(BK15,N('Food Data'!V63)*'Food Data'!R63/100)</f>
        <v>0</v>
      </c>
      <c r="BL16" s="78" t="n">
        <f aca="false">MIN(BL15,N('Food Data'!V64)*'Food Data'!R64/100)</f>
        <v>0</v>
      </c>
      <c r="BM16" s="78" t="n">
        <f aca="false">MIN(BM15,N('Food Data'!V65)*'Food Data'!R65/100)</f>
        <v>0</v>
      </c>
      <c r="BN16" s="78" t="n">
        <f aca="false">MIN(BN15,N('Food Data'!V66)*'Food Data'!R66/100)</f>
        <v>0</v>
      </c>
      <c r="BO16" s="78" t="n">
        <f aca="false">MIN(BO15,N('Food Data'!V67)*'Food Data'!R67/100)</f>
        <v>0</v>
      </c>
      <c r="BP16" s="78" t="n">
        <f aca="false">MIN(BP15,N('Food Data'!V68)*'Food Data'!R68/100)</f>
        <v>0</v>
      </c>
      <c r="BQ16" s="78" t="n">
        <f aca="false">MIN(BQ15,N('Food Data'!V69)*'Food Data'!R69/100)</f>
        <v>0</v>
      </c>
      <c r="BR16" s="78" t="n">
        <f aca="false">MIN(BR15,N('Food Data'!V70)*'Food Data'!R70/100)</f>
        <v>0</v>
      </c>
      <c r="BS16" s="78" t="n">
        <f aca="false">MIN(BS15,N('Food Data'!V71)*'Food Data'!R71/100)</f>
        <v>0</v>
      </c>
      <c r="BT16" s="78" t="n">
        <f aca="false">MIN(BT15,N('Food Data'!V72)*'Food Data'!R72/100)</f>
        <v>0</v>
      </c>
      <c r="BU16" s="78" t="n">
        <f aca="false">MIN(BU15,N('Food Data'!V73)*'Food Data'!R73/100)</f>
        <v>0</v>
      </c>
      <c r="BV16" s="78" t="n">
        <f aca="false">MIN(BV15,N('Food Data'!V74)*'Food Data'!R74/100)</f>
        <v>0</v>
      </c>
      <c r="BW16" s="78" t="n">
        <f aca="false">MIN(BW15,N('Food Data'!V75)*'Food Data'!R75/100)</f>
        <v>0</v>
      </c>
      <c r="BX16" s="78" t="n">
        <f aca="false">MIN(BX15,N('Food Data'!V76)*'Food Data'!R76/100)</f>
        <v>0</v>
      </c>
    </row>
    <row r="17" customFormat="false" ht="15" hidden="false" customHeight="false" outlineLevel="0" collapsed="false">
      <c r="B17" s="69" t="s">
        <v>700</v>
      </c>
      <c r="F17" s="79" t="n">
        <f aca="false">'Food Data'!AE6</f>
        <v>1</v>
      </c>
      <c r="G17" s="79" t="n">
        <f aca="false">'Food Data'!AE7</f>
        <v>1</v>
      </c>
      <c r="H17" s="79" t="n">
        <f aca="false">'Food Data'!AE8</f>
        <v>1</v>
      </c>
      <c r="I17" s="79" t="n">
        <f aca="false">'Food Data'!AE9</f>
        <v>1</v>
      </c>
      <c r="J17" s="79" t="n">
        <f aca="false">'Food Data'!AE10</f>
        <v>1</v>
      </c>
      <c r="K17" s="79" t="n">
        <f aca="false">'Food Data'!AE11</f>
        <v>1</v>
      </c>
      <c r="L17" s="79" t="n">
        <f aca="false">'Food Data'!AE12</f>
        <v>1</v>
      </c>
      <c r="M17" s="79" t="n">
        <f aca="false">'Food Data'!AE13</f>
        <v>1</v>
      </c>
      <c r="N17" s="79" t="n">
        <f aca="false">'Food Data'!AE14</f>
        <v>1</v>
      </c>
      <c r="O17" s="79" t="n">
        <f aca="false">'Food Data'!AE15</f>
        <v>1</v>
      </c>
      <c r="P17" s="79" t="n">
        <f aca="false">'Food Data'!AE16</f>
        <v>1</v>
      </c>
      <c r="Q17" s="79" t="n">
        <f aca="false">'Food Data'!AE17</f>
        <v>1</v>
      </c>
      <c r="R17" s="79" t="n">
        <f aca="false">'Food Data'!AE18</f>
        <v>1</v>
      </c>
      <c r="S17" s="79" t="n">
        <f aca="false">'Food Data'!AE19</f>
        <v>1</v>
      </c>
      <c r="T17" s="79" t="n">
        <f aca="false">'Food Data'!AE20</f>
        <v>1</v>
      </c>
      <c r="U17" s="79" t="n">
        <f aca="false">'Food Data'!AE21</f>
        <v>1</v>
      </c>
      <c r="V17" s="79" t="n">
        <f aca="false">'Food Data'!AE22</f>
        <v>1</v>
      </c>
      <c r="W17" s="79" t="n">
        <f aca="false">'Food Data'!AE23</f>
        <v>1</v>
      </c>
      <c r="X17" s="79" t="n">
        <f aca="false">'Food Data'!AE24</f>
        <v>1</v>
      </c>
      <c r="Y17" s="79" t="n">
        <f aca="false">'Food Data'!AE25</f>
        <v>1</v>
      </c>
      <c r="Z17" s="79" t="n">
        <f aca="false">'Food Data'!AE26</f>
        <v>1</v>
      </c>
      <c r="AA17" s="79" t="n">
        <f aca="false">'Food Data'!AE27</f>
        <v>1</v>
      </c>
      <c r="AB17" s="79" t="n">
        <f aca="false">'Food Data'!AE28</f>
        <v>1</v>
      </c>
      <c r="AC17" s="79" t="n">
        <f aca="false">'Food Data'!AE29</f>
        <v>1</v>
      </c>
      <c r="AD17" s="79" t="n">
        <f aca="false">'Food Data'!AE30</f>
        <v>1</v>
      </c>
      <c r="AE17" s="79" t="n">
        <f aca="false">'Food Data'!AE31</f>
        <v>1</v>
      </c>
      <c r="AF17" s="79" t="n">
        <f aca="false">'Food Data'!AE32</f>
        <v>1</v>
      </c>
      <c r="AG17" s="79" t="n">
        <f aca="false">'Food Data'!AE33</f>
        <v>1</v>
      </c>
      <c r="AH17" s="79" t="n">
        <f aca="false">'Food Data'!AE34</f>
        <v>1</v>
      </c>
      <c r="AI17" s="79" t="n">
        <f aca="false">'Food Data'!AE35</f>
        <v>1</v>
      </c>
      <c r="AJ17" s="79" t="n">
        <f aca="false">'Food Data'!AE36</f>
        <v>1</v>
      </c>
      <c r="AK17" s="79" t="n">
        <f aca="false">'Food Data'!AE37</f>
        <v>1</v>
      </c>
      <c r="AL17" s="79" t="n">
        <f aca="false">'Food Data'!AE38</f>
        <v>1</v>
      </c>
      <c r="AM17" s="79" t="n">
        <f aca="false">'Food Data'!AE39</f>
        <v>1</v>
      </c>
      <c r="AN17" s="79" t="n">
        <f aca="false">'Food Data'!AE40</f>
        <v>1</v>
      </c>
      <c r="AO17" s="79" t="n">
        <f aca="false">'Food Data'!AE41</f>
        <v>1</v>
      </c>
      <c r="AP17" s="79" t="n">
        <f aca="false">'Food Data'!AE42</f>
        <v>1</v>
      </c>
      <c r="AQ17" s="79" t="n">
        <f aca="false">'Food Data'!AE43</f>
        <v>1</v>
      </c>
      <c r="AR17" s="79" t="n">
        <f aca="false">'Food Data'!AE44</f>
        <v>1</v>
      </c>
      <c r="AS17" s="79" t="n">
        <f aca="false">'Food Data'!AE45</f>
        <v>1</v>
      </c>
      <c r="AT17" s="79" t="n">
        <f aca="false">'Food Data'!AE46</f>
        <v>1</v>
      </c>
      <c r="AU17" s="79" t="n">
        <f aca="false">'Food Data'!AE47</f>
        <v>1</v>
      </c>
      <c r="AV17" s="79" t="n">
        <f aca="false">'Food Data'!AE48</f>
        <v>1</v>
      </c>
      <c r="AW17" s="79" t="n">
        <f aca="false">'Food Data'!AE49</f>
        <v>1</v>
      </c>
      <c r="AX17" s="79" t="n">
        <f aca="false">'Food Data'!AE50</f>
        <v>1</v>
      </c>
      <c r="AY17" s="79" t="n">
        <f aca="false">'Food Data'!AE51</f>
        <v>1</v>
      </c>
      <c r="AZ17" s="79" t="n">
        <f aca="false">'Food Data'!AE52</f>
        <v>1</v>
      </c>
      <c r="BA17" s="79" t="n">
        <f aca="false">'Food Data'!AE53</f>
        <v>1</v>
      </c>
      <c r="BB17" s="79" t="n">
        <f aca="false">'Food Data'!AE54</f>
        <v>1</v>
      </c>
      <c r="BC17" s="79" t="n">
        <f aca="false">'Food Data'!AE55</f>
        <v>1</v>
      </c>
      <c r="BD17" s="79" t="n">
        <f aca="false">'Food Data'!AE56</f>
        <v>1</v>
      </c>
      <c r="BE17" s="79" t="n">
        <f aca="false">'Food Data'!AE57</f>
        <v>1</v>
      </c>
      <c r="BF17" s="79" t="n">
        <f aca="false">'Food Data'!AE58</f>
        <v>1</v>
      </c>
      <c r="BG17" s="79" t="n">
        <f aca="false">'Food Data'!AE59</f>
        <v>1</v>
      </c>
      <c r="BH17" s="79" t="n">
        <f aca="false">'Food Data'!AE60</f>
        <v>1</v>
      </c>
      <c r="BI17" s="79" t="n">
        <f aca="false">'Food Data'!AE61</f>
        <v>1</v>
      </c>
      <c r="BJ17" s="79" t="n">
        <f aca="false">'Food Data'!AE62</f>
        <v>1</v>
      </c>
      <c r="BK17" s="79" t="n">
        <f aca="false">'Food Data'!AE63</f>
        <v>1</v>
      </c>
      <c r="BL17" s="79" t="n">
        <f aca="false">'Food Data'!AE64</f>
        <v>1</v>
      </c>
      <c r="BM17" s="79" t="n">
        <f aca="false">'Food Data'!AE65</f>
        <v>1</v>
      </c>
      <c r="BN17" s="79" t="n">
        <f aca="false">'Food Data'!AE66</f>
        <v>1</v>
      </c>
      <c r="BO17" s="79" t="n">
        <f aca="false">'Food Data'!AE67</f>
        <v>1</v>
      </c>
      <c r="BP17" s="79" t="n">
        <f aca="false">'Food Data'!AE68</f>
        <v>1</v>
      </c>
      <c r="BQ17" s="79" t="n">
        <f aca="false">'Food Data'!AE69</f>
        <v>1</v>
      </c>
      <c r="BR17" s="79" t="n">
        <f aca="false">'Food Data'!AE70</f>
        <v>1</v>
      </c>
      <c r="BS17" s="79" t="n">
        <f aca="false">'Food Data'!AE71</f>
        <v>1</v>
      </c>
      <c r="BT17" s="79" t="n">
        <f aca="false">'Food Data'!AE72</f>
        <v>1</v>
      </c>
      <c r="BU17" s="79" t="n">
        <f aca="false">'Food Data'!AE73</f>
        <v>1</v>
      </c>
      <c r="BV17" s="79" t="n">
        <f aca="false">'Food Data'!AE74</f>
        <v>1</v>
      </c>
      <c r="BW17" s="79" t="n">
        <f aca="false">'Food Data'!AE75</f>
        <v>1</v>
      </c>
      <c r="BX17" s="79" t="n">
        <f aca="false">'Food Data'!AE76</f>
        <v>1</v>
      </c>
    </row>
    <row r="19" customFormat="false" ht="15" hidden="false" customHeight="false" outlineLevel="0" collapsed="false">
      <c r="A19" s="3" t="s">
        <v>701</v>
      </c>
    </row>
    <row r="20" customFormat="false" ht="15" hidden="false" customHeight="false" outlineLevel="0" collapsed="false">
      <c r="B20" s="14" t="s">
        <v>35</v>
      </c>
      <c r="F20" s="66" t="n">
        <f aca="false">'Food Data'!AQ6</f>
        <v>165</v>
      </c>
      <c r="G20" s="66" t="n">
        <f aca="false">'Food Data'!AQ7</f>
        <v>191</v>
      </c>
      <c r="H20" s="66" t="n">
        <f aca="false">'Food Data'!AQ8</f>
        <v>179</v>
      </c>
      <c r="I20" s="66" t="n">
        <f aca="false">'Food Data'!AQ9</f>
        <v>100</v>
      </c>
      <c r="J20" s="66" t="n">
        <f aca="false">'Food Data'!AQ10</f>
        <v>213</v>
      </c>
      <c r="K20" s="66" t="n">
        <f aca="false">'Food Data'!AQ11</f>
        <v>468</v>
      </c>
      <c r="L20" s="66" t="n">
        <f aca="false">'Food Data'!AQ12</f>
        <v>272</v>
      </c>
      <c r="M20" s="66" t="n">
        <f aca="false">'Food Data'!AQ13</f>
        <v>209</v>
      </c>
      <c r="N20" s="66" t="n">
        <f aca="false">'Food Data'!AQ14</f>
        <v>163</v>
      </c>
      <c r="O20" s="66" t="n">
        <f aca="false">'Food Data'!AQ15</f>
        <v>229</v>
      </c>
      <c r="P20" s="66" t="n">
        <f aca="false">'Food Data'!AQ16</f>
        <v>257</v>
      </c>
      <c r="Q20" s="66" t="n">
        <f aca="false">'Food Data'!AQ17</f>
        <v>86</v>
      </c>
      <c r="R20" s="66" t="n">
        <f aca="false">'Food Data'!AQ18</f>
        <v>206</v>
      </c>
      <c r="S20" s="66" t="n">
        <f aca="false">'Food Data'!AQ19</f>
        <v>119</v>
      </c>
      <c r="T20" s="66" t="n">
        <f aca="false">'Food Data'!AQ20</f>
        <v>128</v>
      </c>
      <c r="U20" s="66" t="n">
        <f aca="false">'Food Data'!AQ21</f>
        <v>143</v>
      </c>
      <c r="V20" s="66" t="n">
        <f aca="false">'Food Data'!AQ22</f>
        <v>91</v>
      </c>
      <c r="W20" s="66" t="n">
        <f aca="false">'Food Data'!AQ23</f>
        <v>88</v>
      </c>
      <c r="X20" s="66" t="n">
        <f aca="false">'Food Data'!AQ24</f>
        <v>116</v>
      </c>
      <c r="Y20" s="66" t="n">
        <f aca="false">'Food Data'!AQ25</f>
        <v>598</v>
      </c>
      <c r="Z20" s="66" t="n">
        <f aca="false">'Food Data'!AQ26</f>
        <v>143</v>
      </c>
      <c r="AA20" s="66" t="n">
        <f aca="false">'Food Data'!AQ27</f>
        <v>98</v>
      </c>
      <c r="AB20" s="66" t="n">
        <f aca="false">'Food Data'!AQ28</f>
        <v>50</v>
      </c>
      <c r="AC20" s="66" t="n">
        <f aca="false">'Food Data'!AQ29</f>
        <v>59</v>
      </c>
      <c r="AD20" s="66" t="n">
        <f aca="false">'Food Data'!AQ30</f>
        <v>43</v>
      </c>
      <c r="AE20" s="66" t="n">
        <f aca="false">'Food Data'!AQ31</f>
        <v>61</v>
      </c>
      <c r="AF20" s="66" t="n">
        <f aca="false">'Food Data'!AQ32</f>
        <v>366</v>
      </c>
      <c r="AG20" s="66" t="n">
        <f aca="false">'Food Data'!AQ33</f>
        <v>404</v>
      </c>
      <c r="AH20" s="66" t="n">
        <f aca="false">'Food Data'!AQ34</f>
        <v>81</v>
      </c>
      <c r="AI20" s="66" t="n">
        <f aca="false">'Food Data'!AQ35</f>
        <v>295</v>
      </c>
      <c r="AJ20" s="66" t="n">
        <f aca="false">'Food Data'!AQ36</f>
        <v>264</v>
      </c>
      <c r="AK20" s="66" t="n">
        <f aca="false">'Food Data'!AQ37</f>
        <v>123</v>
      </c>
      <c r="AL20" s="66" t="n">
        <f aca="false">'Food Data'!AQ38</f>
        <v>376</v>
      </c>
      <c r="AM20" s="66" t="n">
        <f aca="false">'Food Data'!AQ39</f>
        <v>218</v>
      </c>
      <c r="AN20" s="66" t="n">
        <f aca="false">'Food Data'!AQ40</f>
        <v>297</v>
      </c>
      <c r="AO20" s="66" t="n">
        <f aca="false">'Food Data'!AQ41</f>
        <v>71</v>
      </c>
      <c r="AP20" s="66" t="n">
        <f aca="false">'Food Data'!AQ42</f>
        <v>120</v>
      </c>
      <c r="AQ20" s="66" t="n">
        <f aca="false">'Food Data'!AQ43</f>
        <v>158</v>
      </c>
      <c r="AR20" s="66" t="n">
        <f aca="false">'Food Data'!AQ44</f>
        <v>266</v>
      </c>
      <c r="AS20" s="66" t="n">
        <f aca="false">'Food Data'!AQ45</f>
        <v>130</v>
      </c>
      <c r="AT20" s="66" t="n">
        <f aca="false">'Food Data'!AQ46</f>
        <v>252</v>
      </c>
      <c r="AU20" s="66" t="n">
        <f aca="false">'Food Data'!AQ47</f>
        <v>149</v>
      </c>
      <c r="AV20" s="66" t="n">
        <f aca="false">'Food Data'!AQ48</f>
        <v>93</v>
      </c>
      <c r="AW20" s="66" t="n">
        <f aca="false">'Food Data'!AQ49</f>
        <v>90</v>
      </c>
      <c r="AX20" s="66" t="n">
        <f aca="false">'Food Data'!AQ50</f>
        <v>81</v>
      </c>
      <c r="AY20" s="66" t="n">
        <f aca="false">'Food Data'!AQ51</f>
        <v>52</v>
      </c>
      <c r="AZ20" s="66" t="n">
        <f aca="false">'Food Data'!AQ52</f>
        <v>89</v>
      </c>
      <c r="BA20" s="66" t="n">
        <f aca="false">'Food Data'!AQ53</f>
        <v>51</v>
      </c>
      <c r="BB20" s="66" t="n">
        <f aca="false">'Food Data'!AQ54</f>
        <v>69</v>
      </c>
      <c r="BC20" s="66" t="n">
        <f aca="false">'Food Data'!AQ55</f>
        <v>49</v>
      </c>
      <c r="BD20" s="66" t="n">
        <f aca="false">'Food Data'!AQ56</f>
        <v>49</v>
      </c>
      <c r="BE20" s="66" t="n">
        <f aca="false">'Food Data'!AQ57</f>
        <v>299</v>
      </c>
      <c r="BF20" s="66" t="n">
        <f aca="false">'Food Data'!AQ58</f>
        <v>32</v>
      </c>
      <c r="BG20" s="66" t="n">
        <f aca="false">'Food Data'!AQ59</f>
        <v>28</v>
      </c>
      <c r="BH20" s="66" t="n">
        <f aca="false">'Food Data'!AQ60</f>
        <v>41</v>
      </c>
      <c r="BI20" s="66" t="n">
        <f aca="false">'Food Data'!AQ61</f>
        <v>22</v>
      </c>
      <c r="BJ20" s="66" t="n">
        <f aca="false">'Food Data'!AQ62</f>
        <v>20</v>
      </c>
      <c r="BK20" s="66" t="n">
        <f aca="false">'Food Data'!AQ63</f>
        <v>65</v>
      </c>
      <c r="BL20" s="66" t="n">
        <f aca="false">'Food Data'!AQ64</f>
        <v>40</v>
      </c>
      <c r="BM20" s="66" t="n">
        <f aca="false">'Food Data'!AQ65</f>
        <v>17</v>
      </c>
      <c r="BN20" s="66" t="n">
        <f aca="false">'Food Data'!AQ66</f>
        <v>23</v>
      </c>
      <c r="BO20" s="66" t="n">
        <f aca="false">'Food Data'!AQ67</f>
        <v>18</v>
      </c>
      <c r="BP20" s="66" t="n">
        <f aca="false">'Food Data'!AQ68</f>
        <v>717</v>
      </c>
      <c r="BQ20" s="66" t="n">
        <f aca="false">'Food Data'!AQ69</f>
        <v>884</v>
      </c>
      <c r="BR20" s="66" t="n">
        <f aca="false">'Food Data'!AQ70</f>
        <v>884</v>
      </c>
      <c r="BS20" s="66" t="n">
        <f aca="false">'Food Data'!AQ71</f>
        <v>579</v>
      </c>
      <c r="BT20" s="66" t="n">
        <f aca="false">'Food Data'!AQ72</f>
        <v>167</v>
      </c>
      <c r="BU20" s="66" t="n">
        <f aca="false">'Food Data'!AQ73</f>
        <v>492</v>
      </c>
      <c r="BV20" s="66" t="n">
        <f aca="false">'Food Data'!AQ74</f>
        <v>418</v>
      </c>
      <c r="BW20" s="66" t="n">
        <f aca="false">'Food Data'!AQ75</f>
        <v>532</v>
      </c>
      <c r="BX20" s="66" t="n">
        <f aca="false">'Food Data'!AQ76</f>
        <v>207</v>
      </c>
    </row>
    <row r="21" customFormat="false" ht="15" hidden="false" customHeight="false" outlineLevel="0" collapsed="false">
      <c r="B21" s="14" t="s">
        <v>37</v>
      </c>
      <c r="F21" s="66" t="n">
        <f aca="false">'Food Data'!AR6</f>
        <v>31.02</v>
      </c>
      <c r="G21" s="66" t="n">
        <f aca="false">'Food Data'!AR7</f>
        <v>23.35</v>
      </c>
      <c r="H21" s="66" t="n">
        <f aca="false">'Food Data'!AR8</f>
        <v>24.76</v>
      </c>
      <c r="I21" s="66" t="n">
        <f aca="false">'Food Data'!AR9</f>
        <v>16.33</v>
      </c>
      <c r="J21" s="66" t="n">
        <f aca="false">'Food Data'!AR10</f>
        <v>27.1</v>
      </c>
      <c r="K21" s="66" t="n">
        <f aca="false">'Food Data'!AR11</f>
        <v>33.92</v>
      </c>
      <c r="L21" s="66" t="n">
        <f aca="false">'Food Data'!AR12</f>
        <v>27</v>
      </c>
      <c r="M21" s="66" t="n">
        <f aca="false">'Food Data'!AR13</f>
        <v>28.88</v>
      </c>
      <c r="N21" s="66" t="n">
        <f aca="false">'Food Data'!AR14</f>
        <v>16.6</v>
      </c>
      <c r="O21" s="66" t="n">
        <f aca="false">'Food Data'!AR15</f>
        <v>26.68</v>
      </c>
      <c r="P21" s="66" t="n">
        <f aca="false">'Food Data'!AR16</f>
        <v>26.8</v>
      </c>
      <c r="Q21" s="66" t="n">
        <f aca="false">'Food Data'!AR17</f>
        <v>19.44</v>
      </c>
      <c r="R21" s="66" t="n">
        <f aca="false">'Food Data'!AR18</f>
        <v>22.1</v>
      </c>
      <c r="S21" s="66" t="n">
        <f aca="false">'Food Data'!AR19</f>
        <v>22.78</v>
      </c>
      <c r="T21" s="66" t="n">
        <f aca="false">'Food Data'!AR20</f>
        <v>26.15</v>
      </c>
      <c r="U21" s="66" t="n">
        <f aca="false">'Food Data'!AR21</f>
        <v>12.56</v>
      </c>
      <c r="V21" s="66" t="n">
        <f aca="false">'Food Data'!AR22</f>
        <v>6.03</v>
      </c>
      <c r="W21" s="66" t="n">
        <f aca="false">'Food Data'!AR23</f>
        <v>4.92</v>
      </c>
      <c r="X21" s="66" t="n">
        <f aca="false">'Food Data'!AR24</f>
        <v>9.02</v>
      </c>
      <c r="Y21" s="66" t="n">
        <f aca="false">'Food Data'!AR25</f>
        <v>22.21</v>
      </c>
      <c r="Z21" s="66" t="n">
        <f aca="false">'Food Data'!AR26</f>
        <v>9.01</v>
      </c>
      <c r="AA21" s="66" t="n">
        <f aca="false">'Food Data'!AR27</f>
        <v>10.1</v>
      </c>
      <c r="AB21" s="66" t="n">
        <f aca="false">'Food Data'!AR28</f>
        <v>3.3</v>
      </c>
      <c r="AC21" s="66" t="n">
        <f aca="false">'Food Data'!AR29</f>
        <v>10.19</v>
      </c>
      <c r="AD21" s="66" t="n">
        <f aca="false">'Food Data'!AR30</f>
        <v>2.6</v>
      </c>
      <c r="AE21" s="66" t="n">
        <f aca="false">'Food Data'!AR31</f>
        <v>3.15</v>
      </c>
      <c r="AF21" s="66" t="n">
        <f aca="false">'Food Data'!AR32</f>
        <v>18.13</v>
      </c>
      <c r="AG21" s="66" t="n">
        <f aca="false">'Food Data'!AR33</f>
        <v>22.87</v>
      </c>
      <c r="AH21" s="66" t="n">
        <f aca="false">'Food Data'!AR34</f>
        <v>10.45</v>
      </c>
      <c r="AI21" s="66" t="n">
        <f aca="false">'Food Data'!AR35</f>
        <v>23.75</v>
      </c>
      <c r="AJ21" s="66" t="n">
        <f aca="false">'Food Data'!AR36</f>
        <v>10.56</v>
      </c>
      <c r="AK21" s="66" t="n">
        <f aca="false">'Food Data'!AR37</f>
        <v>2.74</v>
      </c>
      <c r="AL21" s="66" t="n">
        <f aca="false">'Food Data'!AR38</f>
        <v>12.09</v>
      </c>
      <c r="AM21" s="66" t="n">
        <f aca="false">'Food Data'!AR39</f>
        <v>5.7</v>
      </c>
      <c r="AN21" s="66" t="n">
        <f aca="false">'Food Data'!AR40</f>
        <v>8.01</v>
      </c>
      <c r="AO21" s="66" t="n">
        <f aca="false">'Food Data'!AR41</f>
        <v>2.54</v>
      </c>
      <c r="AP21" s="66" t="n">
        <f aca="false">'Food Data'!AR42</f>
        <v>4.4</v>
      </c>
      <c r="AQ21" s="66" t="n">
        <f aca="false">'Food Data'!AR43</f>
        <v>5.8</v>
      </c>
      <c r="AR21" s="66" t="n">
        <f aca="false">'Food Data'!AR44</f>
        <v>8.85</v>
      </c>
      <c r="AS21" s="66" t="n">
        <f aca="false">'Food Data'!AR45</f>
        <v>2.69</v>
      </c>
      <c r="AT21" s="66" t="n">
        <f aca="false">'Food Data'!AR46</f>
        <v>12.45</v>
      </c>
      <c r="AU21" s="66" t="n">
        <f aca="false">'Food Data'!AR47</f>
        <v>5.99</v>
      </c>
      <c r="AV21" s="66" t="n">
        <f aca="false">'Food Data'!AR48</f>
        <v>2.5</v>
      </c>
      <c r="AW21" s="66" t="n">
        <f aca="false">'Food Data'!AR49</f>
        <v>2.01</v>
      </c>
      <c r="AX21" s="66" t="n">
        <f aca="false">'Food Data'!AR50</f>
        <v>2.55</v>
      </c>
      <c r="AY21" s="66" t="n">
        <f aca="false">'Food Data'!AR51</f>
        <v>0.26</v>
      </c>
      <c r="AZ21" s="66" t="n">
        <f aca="false">'Food Data'!AR52</f>
        <v>1.09</v>
      </c>
      <c r="BA21" s="66" t="n">
        <f aca="false">'Food Data'!AR53</f>
        <v>0.42</v>
      </c>
      <c r="BB21" s="66" t="n">
        <f aca="false">'Food Data'!AR54</f>
        <v>0.72</v>
      </c>
      <c r="BC21" s="66" t="n">
        <f aca="false">'Food Data'!AR55</f>
        <v>0.68</v>
      </c>
      <c r="BD21" s="66" t="n">
        <f aca="false">'Food Data'!AR56</f>
        <v>0.91</v>
      </c>
      <c r="BE21" s="66" t="n">
        <f aca="false">'Food Data'!AR57</f>
        <v>3.07</v>
      </c>
      <c r="BF21" s="66" t="n">
        <f aca="false">'Food Data'!AR58</f>
        <v>0.67</v>
      </c>
      <c r="BG21" s="66" t="n">
        <f aca="false">'Food Data'!AR59</f>
        <v>3.1</v>
      </c>
      <c r="BH21" s="66" t="n">
        <f aca="false">'Food Data'!AR60</f>
        <v>0.93</v>
      </c>
      <c r="BI21" s="66" t="n">
        <f aca="false">'Food Data'!AR61</f>
        <v>1.12</v>
      </c>
      <c r="BJ21" s="66" t="n">
        <f aca="false">'Food Data'!AR62</f>
        <v>0.86</v>
      </c>
      <c r="BK21" s="66" t="n">
        <f aca="false">'Food Data'!AR63</f>
        <v>2.86</v>
      </c>
      <c r="BL21" s="66" t="n">
        <f aca="false">'Food Data'!AR64</f>
        <v>1.1</v>
      </c>
      <c r="BM21" s="66" t="n">
        <f aca="false">'Food Data'!AR65</f>
        <v>1.23</v>
      </c>
      <c r="BN21" s="66" t="n">
        <f aca="false">'Food Data'!AR66</f>
        <v>2.86</v>
      </c>
      <c r="BO21" s="66" t="n">
        <f aca="false">'Food Data'!AR67</f>
        <v>0.88</v>
      </c>
      <c r="BP21" s="66" t="n">
        <f aca="false">'Food Data'!AR68</f>
        <v>0.85</v>
      </c>
      <c r="BQ21" s="66" t="n">
        <f aca="false">'Food Data'!AR69</f>
        <v>0</v>
      </c>
      <c r="BR21" s="66" t="n">
        <f aca="false">'Food Data'!AR70</f>
        <v>0</v>
      </c>
      <c r="BS21" s="66" t="n">
        <f aca="false">'Food Data'!AR71</f>
        <v>21.15</v>
      </c>
      <c r="BT21" s="66" t="n">
        <f aca="false">'Food Data'!AR72</f>
        <v>1.96</v>
      </c>
      <c r="BU21" s="66" t="n">
        <f aca="false">'Food Data'!AR73</f>
        <v>5.1</v>
      </c>
      <c r="BV21" s="66" t="n">
        <f aca="false">'Food Data'!AR74</f>
        <v>5.65</v>
      </c>
      <c r="BW21" s="66" t="n">
        <f aca="false">'Food Data'!AR75</f>
        <v>6.39</v>
      </c>
      <c r="BX21" s="66" t="n">
        <f aca="false">'Food Data'!AR76</f>
        <v>3.5</v>
      </c>
    </row>
    <row r="22" customFormat="false" ht="15" hidden="false" customHeight="false" outlineLevel="0" collapsed="false">
      <c r="B22" s="14" t="s">
        <v>40</v>
      </c>
      <c r="F22" s="66" t="n">
        <f aca="false">'Food Data'!AS6</f>
        <v>0</v>
      </c>
      <c r="G22" s="66" t="n">
        <f aca="false">'Food Data'!AS7</f>
        <v>0</v>
      </c>
      <c r="H22" s="66" t="n">
        <f aca="false">'Food Data'!AS8</f>
        <v>0</v>
      </c>
      <c r="I22" s="66" t="n">
        <f aca="false">'Food Data'!AS9</f>
        <v>2.34</v>
      </c>
      <c r="J22" s="66" t="n">
        <f aca="false">'Food Data'!AS10</f>
        <v>0</v>
      </c>
      <c r="K22" s="66" t="n">
        <f aca="false">'Food Data'!AS11</f>
        <v>1.7</v>
      </c>
      <c r="L22" s="66" t="n">
        <f aca="false">'Food Data'!AS12</f>
        <v>0</v>
      </c>
      <c r="M22" s="66" t="n">
        <f aca="false">'Food Data'!AS13</f>
        <v>0</v>
      </c>
      <c r="N22" s="66" t="n">
        <f aca="false">'Food Data'!AS14</f>
        <v>3.83</v>
      </c>
      <c r="O22" s="66" t="n">
        <f aca="false">'Food Data'!AS15</f>
        <v>0</v>
      </c>
      <c r="P22" s="66" t="n">
        <f aca="false">'Food Data'!AS16</f>
        <v>0</v>
      </c>
      <c r="Q22" s="66" t="n">
        <f aca="false">'Food Data'!AS17</f>
        <v>0</v>
      </c>
      <c r="R22" s="66" t="n">
        <f aca="false">'Food Data'!AS18</f>
        <v>0</v>
      </c>
      <c r="S22" s="66" t="n">
        <f aca="false">'Food Data'!AS19</f>
        <v>1.52</v>
      </c>
      <c r="T22" s="66" t="n">
        <f aca="false">'Food Data'!AS20</f>
        <v>0</v>
      </c>
      <c r="U22" s="66" t="n">
        <f aca="false">'Food Data'!AS21</f>
        <v>0.72</v>
      </c>
      <c r="V22" s="66" t="n">
        <f aca="false">'Food Data'!AS22</f>
        <v>16.55</v>
      </c>
      <c r="W22" s="66" t="n">
        <f aca="false">'Food Data'!AS23</f>
        <v>13.49</v>
      </c>
      <c r="X22" s="66" t="n">
        <f aca="false">'Food Data'!AS24</f>
        <v>20.13</v>
      </c>
      <c r="Y22" s="66" t="n">
        <f aca="false">'Food Data'!AS25</f>
        <v>22.31</v>
      </c>
      <c r="Z22" s="66" t="n">
        <f aca="false">'Food Data'!AS26</f>
        <v>26.22</v>
      </c>
      <c r="AA22" s="66" t="n">
        <f aca="false">'Food Data'!AS27</f>
        <v>2.6</v>
      </c>
      <c r="AB22" s="66" t="n">
        <f aca="false">'Food Data'!AS28</f>
        <v>4.8</v>
      </c>
      <c r="AC22" s="66" t="n">
        <f aca="false">'Food Data'!AS29</f>
        <v>3.6</v>
      </c>
      <c r="AD22" s="66" t="n">
        <f aca="false">'Food Data'!AS30</f>
        <v>4.92</v>
      </c>
      <c r="AE22" s="66" t="n">
        <f aca="false">'Food Data'!AS31</f>
        <v>4.8</v>
      </c>
      <c r="AF22" s="66" t="n">
        <f aca="false">'Food Data'!AS32</f>
        <v>4.78</v>
      </c>
      <c r="AG22" s="66" t="n">
        <f aca="false">'Food Data'!AS33</f>
        <v>3.09</v>
      </c>
      <c r="AH22" s="66" t="n">
        <f aca="false">'Food Data'!AS34</f>
        <v>4.76</v>
      </c>
      <c r="AI22" s="66" t="n">
        <f aca="false">'Food Data'!AS35</f>
        <v>5.58</v>
      </c>
      <c r="AJ22" s="66" t="n">
        <f aca="false">'Food Data'!AS36</f>
        <v>52.38</v>
      </c>
      <c r="AK22" s="66" t="n">
        <f aca="false">'Food Data'!AS37</f>
        <v>25.58</v>
      </c>
      <c r="AL22" s="66" t="n">
        <f aca="false">'Food Data'!AS38</f>
        <v>73.23</v>
      </c>
      <c r="AM22" s="66" t="n">
        <f aca="false">'Food Data'!AS39</f>
        <v>44.64</v>
      </c>
      <c r="AN22" s="66" t="n">
        <f aca="false">'Food Data'!AS40</f>
        <v>49.27</v>
      </c>
      <c r="AO22" s="66" t="n">
        <f aca="false">'Food Data'!AS41</f>
        <v>12</v>
      </c>
      <c r="AP22" s="66" t="n">
        <f aca="false">'Food Data'!AS42</f>
        <v>21.3</v>
      </c>
      <c r="AQ22" s="66" t="n">
        <f aca="false">'Food Data'!AS43</f>
        <v>30.86</v>
      </c>
      <c r="AR22" s="66" t="n">
        <f aca="false">'Food Data'!AS44</f>
        <v>49.42</v>
      </c>
      <c r="AS22" s="66" t="n">
        <f aca="false">'Food Data'!AS45</f>
        <v>28.17</v>
      </c>
      <c r="AT22" s="66" t="n">
        <f aca="false">'Food Data'!AS46</f>
        <v>42.71</v>
      </c>
      <c r="AU22" s="66" t="n">
        <f aca="false">'Food Data'!AS47</f>
        <v>30.07</v>
      </c>
      <c r="AV22" s="66" t="n">
        <f aca="false">'Food Data'!AS48</f>
        <v>21.15</v>
      </c>
      <c r="AW22" s="66" t="n">
        <f aca="false">'Food Data'!AS49</f>
        <v>20.71</v>
      </c>
      <c r="AX22" s="66" t="n">
        <f aca="false">'Food Data'!AS50</f>
        <v>19.3</v>
      </c>
      <c r="AY22" s="66" t="n">
        <f aca="false">'Food Data'!AS51</f>
        <v>13.81</v>
      </c>
      <c r="AZ22" s="66" t="n">
        <f aca="false">'Food Data'!AS52</f>
        <v>22.84</v>
      </c>
      <c r="BA22" s="66" t="n">
        <f aca="false">'Food Data'!AS53</f>
        <v>12.17</v>
      </c>
      <c r="BB22" s="66" t="n">
        <f aca="false">'Food Data'!AS54</f>
        <v>18.1</v>
      </c>
      <c r="BC22" s="66" t="n">
        <f aca="false">'Food Data'!AS55</f>
        <v>11.54</v>
      </c>
      <c r="BD22" s="66" t="n">
        <f aca="false">'Food Data'!AS56</f>
        <v>12.54</v>
      </c>
      <c r="BE22" s="66" t="n">
        <f aca="false">'Food Data'!AS57</f>
        <v>79.18</v>
      </c>
      <c r="BF22" s="66" t="n">
        <f aca="false">'Food Data'!AS58</f>
        <v>7.68</v>
      </c>
      <c r="BG22" s="66" t="n">
        <f aca="false">'Food Data'!AS59</f>
        <v>5.36</v>
      </c>
      <c r="BH22" s="66" t="n">
        <f aca="false">'Food Data'!AS60</f>
        <v>9.58</v>
      </c>
      <c r="BI22" s="66" t="n">
        <f aca="false">'Food Data'!AS61</f>
        <v>4.32</v>
      </c>
      <c r="BJ22" s="66" t="n">
        <f aca="false">'Food Data'!AS62</f>
        <v>4.64</v>
      </c>
      <c r="BK22" s="66" t="n">
        <f aca="false">'Food Data'!AS63</f>
        <v>13.09</v>
      </c>
      <c r="BL22" s="66" t="n">
        <f aca="false">'Food Data'!AS64</f>
        <v>9.34</v>
      </c>
      <c r="BM22" s="66" t="n">
        <f aca="false">'Food Data'!AS65</f>
        <v>3.29</v>
      </c>
      <c r="BN22" s="66" t="n">
        <f aca="false">'Food Data'!AS66</f>
        <v>3.63</v>
      </c>
      <c r="BO22" s="66" t="n">
        <f aca="false">'Food Data'!AS67</f>
        <v>3.89</v>
      </c>
      <c r="BP22" s="66" t="n">
        <f aca="false">'Food Data'!AS68</f>
        <v>0.06</v>
      </c>
      <c r="BQ22" s="66" t="n">
        <f aca="false">'Food Data'!AS69</f>
        <v>0</v>
      </c>
      <c r="BR22" s="66" t="n">
        <f aca="false">'Food Data'!AS70</f>
        <v>0</v>
      </c>
      <c r="BS22" s="66" t="n">
        <f aca="false">'Food Data'!AS71</f>
        <v>21.55</v>
      </c>
      <c r="BT22" s="66" t="n">
        <f aca="false">'Food Data'!AS72</f>
        <v>8.64</v>
      </c>
      <c r="BU22" s="66" t="n">
        <f aca="false">'Food Data'!AS73</f>
        <v>65.36</v>
      </c>
      <c r="BV22" s="66" t="n">
        <f aca="false">'Food Data'!AS74</f>
        <v>70.2</v>
      </c>
      <c r="BW22" s="66" t="n">
        <f aca="false">'Food Data'!AS75</f>
        <v>53.83</v>
      </c>
      <c r="BX22" s="66" t="n">
        <f aca="false">'Food Data'!AS76</f>
        <v>23.6</v>
      </c>
    </row>
    <row r="23" customFormat="false" ht="15" hidden="false" customHeight="false" outlineLevel="0" collapsed="false">
      <c r="B23" s="14" t="s">
        <v>46</v>
      </c>
      <c r="F23" s="66" t="n">
        <f aca="false">'Food Data'!AT6</f>
        <v>3.57</v>
      </c>
      <c r="G23" s="66" t="n">
        <f aca="false">'Food Data'!AT7</f>
        <v>10.15</v>
      </c>
      <c r="H23" s="66" t="n">
        <f aca="false">'Food Data'!AT8</f>
        <v>8.15</v>
      </c>
      <c r="I23" s="66" t="n">
        <f aca="false">'Food Data'!AT9</f>
        <v>2.37</v>
      </c>
      <c r="J23" s="66" t="n">
        <f aca="false">'Food Data'!AT10</f>
        <v>11.6</v>
      </c>
      <c r="K23" s="66" t="n">
        <f aca="false">'Food Data'!AT11</f>
        <v>35.09</v>
      </c>
      <c r="L23" s="66" t="n">
        <f aca="false">'Food Data'!AT12</f>
        <v>17.36</v>
      </c>
      <c r="M23" s="66" t="n">
        <f aca="false">'Food Data'!AT13</f>
        <v>9.51</v>
      </c>
      <c r="N23" s="66" t="n">
        <f aca="false">'Food Data'!AT14</f>
        <v>8.6</v>
      </c>
      <c r="O23" s="66" t="n">
        <f aca="false">'Food Data'!AT15</f>
        <v>13.6</v>
      </c>
      <c r="P23" s="66" t="n">
        <f aca="false">'Food Data'!AT16</f>
        <v>15.75</v>
      </c>
      <c r="Q23" s="66" t="n">
        <f aca="false">'Food Data'!AT17</f>
        <v>0.96</v>
      </c>
      <c r="R23" s="66" t="n">
        <f aca="false">'Food Data'!AT18</f>
        <v>12.35</v>
      </c>
      <c r="S23" s="66" t="n">
        <f aca="false">'Food Data'!AT19</f>
        <v>1.7</v>
      </c>
      <c r="T23" s="66" t="n">
        <f aca="false">'Food Data'!AT20</f>
        <v>2.65</v>
      </c>
      <c r="U23" s="66" t="n">
        <f aca="false">'Food Data'!AT21</f>
        <v>9.51</v>
      </c>
      <c r="V23" s="66" t="n">
        <f aca="false">'Food Data'!AT22</f>
        <v>0.29</v>
      </c>
      <c r="W23" s="66" t="n">
        <f aca="false">'Food Data'!AT23</f>
        <v>1.95</v>
      </c>
      <c r="X23" s="66" t="n">
        <f aca="false">'Food Data'!AT24</f>
        <v>0.38</v>
      </c>
      <c r="Y23" s="66" t="n">
        <f aca="false">'Food Data'!AT25</f>
        <v>51.36</v>
      </c>
      <c r="Z23" s="66" t="n">
        <f aca="false">'Food Data'!AT26</f>
        <v>0.65</v>
      </c>
      <c r="AA23" s="66" t="n">
        <f aca="false">'Food Data'!AT27</f>
        <v>5.2</v>
      </c>
      <c r="AB23" s="66" t="n">
        <f aca="false">'Food Data'!AT28</f>
        <v>1.98</v>
      </c>
      <c r="AC23" s="66" t="n">
        <f aca="false">'Food Data'!AT29</f>
        <v>0.39</v>
      </c>
      <c r="AD23" s="66" t="n">
        <f aca="false">'Food Data'!AT30</f>
        <v>1.47</v>
      </c>
      <c r="AE23" s="66" t="n">
        <f aca="false">'Food Data'!AT31</f>
        <v>3.25</v>
      </c>
      <c r="AF23" s="66" t="n">
        <f aca="false">'Food Data'!AT32</f>
        <v>30.71</v>
      </c>
      <c r="AG23" s="66" t="n">
        <f aca="false">'Food Data'!AT33</f>
        <v>33.31</v>
      </c>
      <c r="AH23" s="66" t="n">
        <f aca="false">'Food Data'!AT34</f>
        <v>2.27</v>
      </c>
      <c r="AI23" s="66" t="n">
        <f aca="false">'Food Data'!AT35</f>
        <v>19.78</v>
      </c>
      <c r="AJ23" s="66" t="n">
        <f aca="false">'Food Data'!AT36</f>
        <v>1.32</v>
      </c>
      <c r="AK23" s="66" t="n">
        <f aca="false">'Food Data'!AT37</f>
        <v>0.97</v>
      </c>
      <c r="AL23" s="66" t="n">
        <f aca="false">'Food Data'!AT38</f>
        <v>6.73</v>
      </c>
      <c r="AM23" s="66" t="n">
        <f aca="false">'Food Data'!AT39</f>
        <v>2.85</v>
      </c>
      <c r="AN23" s="66" t="n">
        <f aca="false">'Food Data'!AT40</f>
        <v>7.58</v>
      </c>
      <c r="AO23" s="66" t="n">
        <f aca="false">'Food Data'!AT41</f>
        <v>1.52</v>
      </c>
      <c r="AP23" s="66" t="n">
        <f aca="false">'Food Data'!AT42</f>
        <v>1.92</v>
      </c>
      <c r="AQ23" s="66" t="n">
        <f aca="false">'Food Data'!AT43</f>
        <v>0.93</v>
      </c>
      <c r="AR23" s="66" t="n">
        <f aca="false">'Food Data'!AT44</f>
        <v>3.33</v>
      </c>
      <c r="AS23" s="66" t="n">
        <f aca="false">'Food Data'!AT45</f>
        <v>0.28</v>
      </c>
      <c r="AT23" s="66" t="n">
        <f aca="false">'Food Data'!AT46</f>
        <v>3.5</v>
      </c>
      <c r="AU23" s="66" t="n">
        <f aca="false">'Food Data'!AT47</f>
        <v>1.71</v>
      </c>
      <c r="AV23" s="66" t="n">
        <f aca="false">'Food Data'!AT48</f>
        <v>0.13</v>
      </c>
      <c r="AW23" s="66" t="n">
        <f aca="false">'Food Data'!AT49</f>
        <v>0.15</v>
      </c>
      <c r="AX23" s="66" t="n">
        <f aca="false">'Food Data'!AT50</f>
        <v>0.67</v>
      </c>
      <c r="AY23" s="66" t="n">
        <f aca="false">'Food Data'!AT51</f>
        <v>0.17</v>
      </c>
      <c r="AZ23" s="66" t="n">
        <f aca="false">'Food Data'!AT52</f>
        <v>0.33</v>
      </c>
      <c r="BA23" s="66" t="n">
        <f aca="false">'Food Data'!AT53</f>
        <v>0.64</v>
      </c>
      <c r="BB23" s="66" t="n">
        <f aca="false">'Food Data'!AT54</f>
        <v>0.16</v>
      </c>
      <c r="BC23" s="66" t="n">
        <f aca="false">'Food Data'!AT55</f>
        <v>0.12</v>
      </c>
      <c r="BD23" s="66" t="n">
        <f aca="false">'Food Data'!AT56</f>
        <v>0.15</v>
      </c>
      <c r="BE23" s="66" t="n">
        <f aca="false">'Food Data'!AT57</f>
        <v>0.46</v>
      </c>
      <c r="BF23" s="66" t="n">
        <f aca="false">'Food Data'!AT58</f>
        <v>0.3</v>
      </c>
      <c r="BG23" s="66" t="n">
        <f aca="false">'Food Data'!AT59</f>
        <v>0.11</v>
      </c>
      <c r="BH23" s="66" t="n">
        <f aca="false">'Food Data'!AT60</f>
        <v>0.24</v>
      </c>
      <c r="BI23" s="66" t="n">
        <f aca="false">'Food Data'!AT61</f>
        <v>0.46</v>
      </c>
      <c r="BJ23" s="66" t="n">
        <f aca="false">'Food Data'!AT62</f>
        <v>0.17</v>
      </c>
      <c r="BK23" s="66" t="n">
        <f aca="false">'Food Data'!AT63</f>
        <v>0.15</v>
      </c>
      <c r="BL23" s="66" t="n">
        <f aca="false">'Food Data'!AT64</f>
        <v>0.1</v>
      </c>
      <c r="BM23" s="66" t="n">
        <f aca="false">'Food Data'!AT65</f>
        <v>0.3</v>
      </c>
      <c r="BN23" s="66" t="n">
        <f aca="false">'Food Data'!AT66</f>
        <v>0.39</v>
      </c>
      <c r="BO23" s="66" t="n">
        <f aca="false">'Food Data'!AT67</f>
        <v>0.2</v>
      </c>
      <c r="BP23" s="66" t="n">
        <f aca="false">'Food Data'!AT68</f>
        <v>81.11</v>
      </c>
      <c r="BQ23" s="66" t="n">
        <f aca="false">'Food Data'!AT69</f>
        <v>100</v>
      </c>
      <c r="BR23" s="66" t="n">
        <f aca="false">'Food Data'!AT70</f>
        <v>100</v>
      </c>
      <c r="BS23" s="66" t="n">
        <f aca="false">'Food Data'!AT71</f>
        <v>49.93</v>
      </c>
      <c r="BT23" s="66" t="n">
        <f aca="false">'Food Data'!AT72</f>
        <v>15.41</v>
      </c>
      <c r="BU23" s="66" t="n">
        <f aca="false">'Food Data'!AT73</f>
        <v>24.72</v>
      </c>
      <c r="BV23" s="66" t="n">
        <f aca="false">'Food Data'!AT74</f>
        <v>16.57</v>
      </c>
      <c r="BW23" s="66" t="n">
        <f aca="false">'Food Data'!AT75</f>
        <v>33.98</v>
      </c>
      <c r="BX23" s="66" t="n">
        <f aca="false">'Food Data'!AT76</f>
        <v>11</v>
      </c>
    </row>
    <row r="24" customFormat="false" ht="15" hidden="false" customHeight="false" outlineLevel="0" collapsed="false">
      <c r="B24" s="14" t="s">
        <v>49</v>
      </c>
      <c r="F24" s="66" t="n">
        <f aca="false">'Food Data'!AU6</f>
        <v>0</v>
      </c>
      <c r="G24" s="66" t="n">
        <f aca="false">'Food Data'!AU7</f>
        <v>0</v>
      </c>
      <c r="H24" s="66" t="n">
        <f aca="false">'Food Data'!AU8</f>
        <v>0</v>
      </c>
      <c r="I24" s="66" t="n">
        <f aca="false">'Food Data'!AU9</f>
        <v>0</v>
      </c>
      <c r="J24" s="66" t="n">
        <f aca="false">'Food Data'!AU10</f>
        <v>0</v>
      </c>
      <c r="K24" s="66" t="n">
        <f aca="false">'Food Data'!AU11</f>
        <v>0</v>
      </c>
      <c r="L24" s="66" t="n">
        <f aca="false">'Food Data'!AU12</f>
        <v>0</v>
      </c>
      <c r="M24" s="66" t="n">
        <f aca="false">'Food Data'!AU13</f>
        <v>0</v>
      </c>
      <c r="N24" s="66" t="n">
        <f aca="false">'Food Data'!AU14</f>
        <v>1.3</v>
      </c>
      <c r="O24" s="66" t="n">
        <f aca="false">'Food Data'!AU15</f>
        <v>0</v>
      </c>
      <c r="P24" s="66" t="n">
        <f aca="false">'Food Data'!AU16</f>
        <v>0</v>
      </c>
      <c r="Q24" s="66" t="n">
        <f aca="false">'Food Data'!AU17</f>
        <v>0</v>
      </c>
      <c r="R24" s="66" t="n">
        <f aca="false">'Food Data'!AU18</f>
        <v>0</v>
      </c>
      <c r="S24" s="66" t="n">
        <f aca="false">'Food Data'!AU19</f>
        <v>0</v>
      </c>
      <c r="T24" s="66" t="n">
        <f aca="false">'Food Data'!AU20</f>
        <v>0</v>
      </c>
      <c r="U24" s="66" t="n">
        <f aca="false">'Food Data'!AU21</f>
        <v>0</v>
      </c>
      <c r="V24" s="66" t="n">
        <f aca="false">'Food Data'!AU22</f>
        <v>6.9</v>
      </c>
      <c r="W24" s="66" t="n">
        <f aca="false">'Food Data'!AU23</f>
        <v>4.4</v>
      </c>
      <c r="X24" s="66" t="n">
        <f aca="false">'Food Data'!AU24</f>
        <v>7.9</v>
      </c>
      <c r="Y24" s="66" t="n">
        <f aca="false">'Food Data'!AU25</f>
        <v>5</v>
      </c>
      <c r="Z24" s="66" t="n">
        <f aca="false">'Food Data'!AU26</f>
        <v>9</v>
      </c>
      <c r="AA24" s="66" t="n">
        <f aca="false">'Food Data'!AU27</f>
        <v>1.3</v>
      </c>
      <c r="AB24" s="66" t="n">
        <f aca="false">'Food Data'!AU28</f>
        <v>0</v>
      </c>
      <c r="AC24" s="66" t="n">
        <f aca="false">'Food Data'!AU29</f>
        <v>0</v>
      </c>
      <c r="AD24" s="66" t="n">
        <f aca="false">'Food Data'!AU30</f>
        <v>0.2</v>
      </c>
      <c r="AE24" s="66" t="n">
        <f aca="false">'Food Data'!AU31</f>
        <v>0</v>
      </c>
      <c r="AF24" s="66" t="n">
        <f aca="false">'Food Data'!AU32</f>
        <v>0</v>
      </c>
      <c r="AG24" s="66" t="n">
        <f aca="false">'Food Data'!AU33</f>
        <v>0</v>
      </c>
      <c r="AH24" s="66" t="n">
        <f aca="false">'Food Data'!AU34</f>
        <v>0</v>
      </c>
      <c r="AI24" s="66" t="n">
        <f aca="false">'Food Data'!AU35</f>
        <v>0</v>
      </c>
      <c r="AJ24" s="66" t="n">
        <f aca="false">'Food Data'!AU36</f>
        <v>1.6</v>
      </c>
      <c r="AK24" s="66" t="n">
        <f aca="false">'Food Data'!AU37</f>
        <v>1.6</v>
      </c>
      <c r="AL24" s="66" t="n">
        <f aca="false">'Food Data'!AU38</f>
        <v>9.4</v>
      </c>
      <c r="AM24" s="66" t="n">
        <f aca="false">'Food Data'!AU39</f>
        <v>6.3</v>
      </c>
      <c r="AN24" s="66" t="n">
        <f aca="false">'Food Data'!AU40</f>
        <v>2.4</v>
      </c>
      <c r="AO24" s="66" t="n">
        <f aca="false">'Food Data'!AU41</f>
        <v>1.7</v>
      </c>
      <c r="AP24" s="66" t="n">
        <f aca="false">'Food Data'!AU42</f>
        <v>2.8</v>
      </c>
      <c r="AQ24" s="66" t="n">
        <f aca="false">'Food Data'!AU43</f>
        <v>1.8</v>
      </c>
      <c r="AR24" s="66" t="n">
        <f aca="false">'Food Data'!AU44</f>
        <v>2.7</v>
      </c>
      <c r="AS24" s="66" t="n">
        <f aca="false">'Food Data'!AU45</f>
        <v>0.4</v>
      </c>
      <c r="AT24" s="66" t="n">
        <f aca="false">'Food Data'!AU46</f>
        <v>6</v>
      </c>
      <c r="AU24" s="66" t="n">
        <f aca="false">'Food Data'!AU47</f>
        <v>3.9</v>
      </c>
      <c r="AV24" s="66" t="n">
        <f aca="false">'Food Data'!AU48</f>
        <v>2.2</v>
      </c>
      <c r="AW24" s="66" t="n">
        <f aca="false">'Food Data'!AU49</f>
        <v>3.3</v>
      </c>
      <c r="AX24" s="66" t="n">
        <f aca="false">'Food Data'!AU50</f>
        <v>2.4</v>
      </c>
      <c r="AY24" s="66" t="n">
        <f aca="false">'Food Data'!AU51</f>
        <v>2.4</v>
      </c>
      <c r="AZ24" s="66" t="n">
        <f aca="false">'Food Data'!AU52</f>
        <v>2.6</v>
      </c>
      <c r="BA24" s="66" t="n">
        <f aca="false">'Food Data'!AU53</f>
        <v>2.7</v>
      </c>
      <c r="BB24" s="66" t="n">
        <f aca="false">'Food Data'!AU54</f>
        <v>0.9</v>
      </c>
      <c r="BC24" s="66" t="n">
        <f aca="false">'Food Data'!AU55</f>
        <v>0.3</v>
      </c>
      <c r="BD24" s="66" t="n">
        <f aca="false">'Food Data'!AU56</f>
        <v>2.2</v>
      </c>
      <c r="BE24" s="66" t="n">
        <f aca="false">'Food Data'!AU57</f>
        <v>3.7</v>
      </c>
      <c r="BF24" s="66" t="n">
        <f aca="false">'Food Data'!AU58</f>
        <v>2</v>
      </c>
      <c r="BG24" s="66" t="n">
        <f aca="false">'Food Data'!AU59</f>
        <v>3</v>
      </c>
      <c r="BH24" s="66" t="n">
        <f aca="false">'Food Data'!AU60</f>
        <v>2.8</v>
      </c>
      <c r="BI24" s="66" t="n">
        <f aca="false">'Food Data'!AU61</f>
        <v>1.9</v>
      </c>
      <c r="BJ24" s="66" t="n">
        <f aca="false">'Food Data'!AU62</f>
        <v>1.7</v>
      </c>
      <c r="BK24" s="66" t="n">
        <f aca="false">'Food Data'!AU63</f>
        <v>4.4</v>
      </c>
      <c r="BL24" s="66" t="n">
        <f aca="false">'Food Data'!AU64</f>
        <v>1.7</v>
      </c>
      <c r="BM24" s="66" t="n">
        <f aca="false">'Food Data'!AU65</f>
        <v>2.1</v>
      </c>
      <c r="BN24" s="66" t="n">
        <f aca="false">'Food Data'!AU66</f>
        <v>2.2</v>
      </c>
      <c r="BO24" s="66" t="n">
        <f aca="false">'Food Data'!AU67</f>
        <v>1.2</v>
      </c>
      <c r="BP24" s="66" t="n">
        <f aca="false">'Food Data'!AU68</f>
        <v>0</v>
      </c>
      <c r="BQ24" s="66" t="n">
        <f aca="false">'Food Data'!AU69</f>
        <v>0</v>
      </c>
      <c r="BR24" s="66" t="n">
        <f aca="false">'Food Data'!AU70</f>
        <v>0</v>
      </c>
      <c r="BS24" s="66" t="n">
        <f aca="false">'Food Data'!AU71</f>
        <v>12.5</v>
      </c>
      <c r="BT24" s="66" t="n">
        <f aca="false">'Food Data'!AU72</f>
        <v>6.8</v>
      </c>
      <c r="BU24" s="66" t="n">
        <f aca="false">'Food Data'!AU73</f>
        <v>2</v>
      </c>
      <c r="BV24" s="66" t="n">
        <f aca="false">'Food Data'!AU74</f>
        <v>3.8</v>
      </c>
      <c r="BW24" s="66" t="n">
        <f aca="false">'Food Data'!AU75</f>
        <v>3.1</v>
      </c>
      <c r="BX24" s="66" t="n">
        <f aca="false">'Food Data'!AU76</f>
        <v>0.7</v>
      </c>
    </row>
    <row r="25" customFormat="false" ht="15" hidden="false" customHeight="false" outlineLevel="0" collapsed="false">
      <c r="B25" s="14" t="s">
        <v>52</v>
      </c>
      <c r="F25" s="66" t="n">
        <f aca="false">'Food Data'!AV6</f>
        <v>0</v>
      </c>
      <c r="G25" s="66" t="n">
        <f aca="false">'Food Data'!AV7</f>
        <v>0</v>
      </c>
      <c r="H25" s="66" t="n">
        <f aca="false">'Food Data'!AV8</f>
        <v>0</v>
      </c>
      <c r="I25" s="66" t="n">
        <f aca="false">'Food Data'!AV9</f>
        <v>3.28</v>
      </c>
      <c r="J25" s="66" t="n">
        <f aca="false">'Food Data'!AV10</f>
        <v>0</v>
      </c>
      <c r="K25" s="66" t="n">
        <f aca="false">'Food Data'!AV11</f>
        <v>0</v>
      </c>
      <c r="L25" s="66" t="n">
        <f aca="false">'Food Data'!AV12</f>
        <v>0</v>
      </c>
      <c r="M25" s="66" t="n">
        <f aca="false">'Food Data'!AV13</f>
        <v>0</v>
      </c>
      <c r="N25" s="66" t="n">
        <f aca="false">'Food Data'!AV14</f>
        <v>0</v>
      </c>
      <c r="O25" s="66" t="n">
        <f aca="false">'Food Data'!AV15</f>
        <v>0</v>
      </c>
      <c r="P25" s="66" t="n">
        <f aca="false">'Food Data'!AV16</f>
        <v>0</v>
      </c>
      <c r="Q25" s="66" t="n">
        <f aca="false">'Food Data'!AV17</f>
        <v>0</v>
      </c>
      <c r="R25" s="66" t="n">
        <f aca="false">'Food Data'!AV18</f>
        <v>0</v>
      </c>
      <c r="S25" s="66" t="n">
        <f aca="false">'Food Data'!AV19</f>
        <v>0</v>
      </c>
      <c r="T25" s="66" t="n">
        <f aca="false">'Food Data'!AV20</f>
        <v>0</v>
      </c>
      <c r="U25" s="66" t="n">
        <f aca="false">'Food Data'!AV21</f>
        <v>0.37</v>
      </c>
      <c r="V25" s="66" t="n">
        <f aca="false">'Food Data'!AV22</f>
        <v>0.23</v>
      </c>
      <c r="W25" s="66" t="n">
        <f aca="false">'Food Data'!AV23</f>
        <v>0</v>
      </c>
      <c r="X25" s="66" t="n">
        <f aca="false">'Food Data'!AV24</f>
        <v>1.8</v>
      </c>
      <c r="Y25" s="66" t="n">
        <f aca="false">'Food Data'!AV25</f>
        <v>10.49</v>
      </c>
      <c r="Z25" s="66" t="n">
        <f aca="false">'Food Data'!AV26</f>
        <v>0.34</v>
      </c>
      <c r="AA25" s="66" t="n">
        <f aca="false">'Food Data'!AV27</f>
        <v>0.4</v>
      </c>
      <c r="AB25" s="66" t="n">
        <f aca="false">'Food Data'!AV28</f>
        <v>5.06</v>
      </c>
      <c r="AC25" s="66" t="n">
        <f aca="false">'Food Data'!AV29</f>
        <v>3.24</v>
      </c>
      <c r="AD25" s="66" t="n">
        <f aca="false">'Food Data'!AV30</f>
        <v>3.65</v>
      </c>
      <c r="AE25" s="66" t="n">
        <f aca="false">'Food Data'!AV31</f>
        <v>5.05</v>
      </c>
      <c r="AF25" s="66" t="n">
        <f aca="false">'Food Data'!AV32</f>
        <v>2.26</v>
      </c>
      <c r="AG25" s="66" t="n">
        <f aca="false">'Food Data'!AV33</f>
        <v>0.48</v>
      </c>
      <c r="AH25" s="66" t="n">
        <f aca="false">'Food Data'!AV34</f>
        <v>4</v>
      </c>
      <c r="AI25" s="66" t="n">
        <f aca="false">'Food Data'!AV35</f>
        <v>1.9</v>
      </c>
      <c r="AJ25" s="66" t="n">
        <f aca="false">'Food Data'!AV36</f>
        <v>8.43</v>
      </c>
      <c r="AK25" s="66" t="n">
        <f aca="false">'Food Data'!AV37</f>
        <v>0.24</v>
      </c>
      <c r="AL25" s="66" t="n">
        <f aca="false">'Food Data'!AV38</f>
        <v>4.36</v>
      </c>
      <c r="AM25" s="66" t="n">
        <f aca="false">'Food Data'!AV39</f>
        <v>0.88</v>
      </c>
      <c r="AN25" s="66" t="n">
        <f aca="false">'Food Data'!AV40</f>
        <v>2.66</v>
      </c>
      <c r="AO25" s="66" t="n">
        <f aca="false">'Food Data'!AV41</f>
        <v>0.27</v>
      </c>
      <c r="AP25" s="66" t="n">
        <f aca="false">'Food Data'!AV42</f>
        <v>0.87</v>
      </c>
      <c r="AQ25" s="66" t="n">
        <f aca="false">'Food Data'!AV43</f>
        <v>0.56</v>
      </c>
      <c r="AR25" s="66" t="n">
        <f aca="false">'Food Data'!AV44</f>
        <v>5.67</v>
      </c>
      <c r="AS25" s="66" t="n">
        <f aca="false">'Food Data'!AV45</f>
        <v>0.05</v>
      </c>
      <c r="AT25" s="66" t="n">
        <f aca="false">'Food Data'!AV46</f>
        <v>4.34</v>
      </c>
      <c r="AU25" s="66" t="n">
        <f aca="false">'Food Data'!AV47</f>
        <v>0.75</v>
      </c>
      <c r="AV25" s="66" t="n">
        <f aca="false">'Food Data'!AV48</f>
        <v>1.18</v>
      </c>
      <c r="AW25" s="66" t="n">
        <f aca="false">'Food Data'!AV49</f>
        <v>6.48</v>
      </c>
      <c r="AX25" s="66" t="n">
        <f aca="false">'Food Data'!AV50</f>
        <v>3.07</v>
      </c>
      <c r="AY25" s="66" t="n">
        <f aca="false">'Food Data'!AV51</f>
        <v>10.39</v>
      </c>
      <c r="AZ25" s="66" t="n">
        <f aca="false">'Food Data'!AV52</f>
        <v>12.23</v>
      </c>
      <c r="BA25" s="66" t="n">
        <f aca="false">'Food Data'!AV53</f>
        <v>8.45</v>
      </c>
      <c r="BB25" s="66" t="n">
        <f aca="false">'Food Data'!AV54</f>
        <v>15.48</v>
      </c>
      <c r="BC25" s="66" t="n">
        <f aca="false">'Food Data'!AV55</f>
        <v>8.31</v>
      </c>
      <c r="BD25" s="66" t="n">
        <f aca="false">'Food Data'!AV56</f>
        <v>8.5</v>
      </c>
      <c r="BE25" s="66" t="n">
        <f aca="false">'Food Data'!AV57</f>
        <v>59.19</v>
      </c>
      <c r="BF25" s="66" t="n">
        <f aca="false">'Food Data'!AV58</f>
        <v>4.89</v>
      </c>
      <c r="BG25" s="66" t="n">
        <f aca="false">'Food Data'!AV59</f>
        <v>1.47</v>
      </c>
      <c r="BH25" s="66" t="n">
        <f aca="false">'Food Data'!AV60</f>
        <v>4.74</v>
      </c>
      <c r="BI25" s="66" t="n">
        <f aca="false">'Food Data'!AV61</f>
        <v>0.78</v>
      </c>
      <c r="BJ25" s="66" t="n">
        <f aca="false">'Food Data'!AV62</f>
        <v>2.4</v>
      </c>
      <c r="BK25" s="66" t="n">
        <f aca="false">'Food Data'!AV63</f>
        <v>3.12</v>
      </c>
      <c r="BL25" s="66" t="n">
        <f aca="false">'Food Data'!AV64</f>
        <v>4.24</v>
      </c>
      <c r="BM25" s="66" t="n">
        <f aca="false">'Food Data'!AV65</f>
        <v>1.19</v>
      </c>
      <c r="BN25" s="66" t="n">
        <f aca="false">'Food Data'!AV66</f>
        <v>0.42</v>
      </c>
      <c r="BO25" s="66" t="n">
        <f aca="false">'Food Data'!AV67</f>
        <v>2.63</v>
      </c>
      <c r="BP25" s="66" t="n">
        <f aca="false">'Food Data'!AV68</f>
        <v>0.06</v>
      </c>
      <c r="BQ25" s="66" t="n">
        <f aca="false">'Food Data'!AV69</f>
        <v>0</v>
      </c>
      <c r="BR25" s="66" t="n">
        <f aca="false">'Food Data'!AV70</f>
        <v>0</v>
      </c>
      <c r="BS25" s="66" t="n">
        <f aca="false">'Food Data'!AV71</f>
        <v>4.35</v>
      </c>
      <c r="BT25" s="66" t="n">
        <f aca="false">'Food Data'!AV72</f>
        <v>0.3</v>
      </c>
      <c r="BU25" s="66" t="n">
        <f aca="false">'Food Data'!AV73</f>
        <v>32.9</v>
      </c>
      <c r="BV25" s="66" t="n">
        <f aca="false">'Food Data'!AV74</f>
        <v>28.92</v>
      </c>
      <c r="BW25" s="66" t="n">
        <f aca="false">'Food Data'!AV75</f>
        <v>0.33</v>
      </c>
      <c r="BX25" s="66" t="n">
        <f aca="false">'Food Data'!AV76</f>
        <v>21.22</v>
      </c>
    </row>
    <row r="26" customFormat="false" ht="15" hidden="false" customHeight="false" outlineLevel="0" collapsed="false">
      <c r="B26" s="14" t="s">
        <v>54</v>
      </c>
      <c r="F26" s="66" t="n">
        <f aca="false">'Food Data'!AW6</f>
        <v>15</v>
      </c>
      <c r="G26" s="66" t="n">
        <f aca="false">'Food Data'!AW7</f>
        <v>11</v>
      </c>
      <c r="H26" s="66" t="n">
        <f aca="false">'Food Data'!AW8</f>
        <v>9</v>
      </c>
      <c r="I26" s="66" t="n">
        <f aca="false">'Food Data'!AW9</f>
        <v>7</v>
      </c>
      <c r="J26" s="66" t="n">
        <f aca="false">'Food Data'!AW10</f>
        <v>31</v>
      </c>
      <c r="K26" s="66" t="n">
        <f aca="false">'Food Data'!AW11</f>
        <v>11</v>
      </c>
      <c r="L26" s="66" t="n">
        <f aca="false">'Food Data'!AW12</f>
        <v>28</v>
      </c>
      <c r="M26" s="66" t="n">
        <f aca="false">'Food Data'!AW13</f>
        <v>12</v>
      </c>
      <c r="N26" s="66" t="n">
        <f aca="false">'Food Data'!AW14</f>
        <v>24</v>
      </c>
      <c r="O26" s="66" t="n">
        <f aca="false">'Food Data'!AW15</f>
        <v>9</v>
      </c>
      <c r="P26" s="66" t="n">
        <f aca="false">'Food Data'!AW16</f>
        <v>18</v>
      </c>
      <c r="Q26" s="66" t="n">
        <f aca="false">'Food Data'!AW17</f>
        <v>17</v>
      </c>
      <c r="R26" s="66" t="n">
        <f aca="false">'Food Data'!AW18</f>
        <v>15</v>
      </c>
      <c r="S26" s="66" t="n">
        <f aca="false">'Food Data'!AW19</f>
        <v>91</v>
      </c>
      <c r="T26" s="66" t="n">
        <f aca="false">'Food Data'!AW20</f>
        <v>14</v>
      </c>
      <c r="U26" s="66" t="n">
        <f aca="false">'Food Data'!AW21</f>
        <v>56</v>
      </c>
      <c r="V26" s="66" t="n">
        <f aca="false">'Food Data'!AW22</f>
        <v>35</v>
      </c>
      <c r="W26" s="66" t="n">
        <f aca="false">'Food Data'!AW23</f>
        <v>35</v>
      </c>
      <c r="X26" s="66" t="n">
        <f aca="false">'Food Data'!AW24</f>
        <v>19</v>
      </c>
      <c r="Y26" s="66" t="n">
        <f aca="false">'Food Data'!AW25</f>
        <v>49</v>
      </c>
      <c r="Z26" s="66" t="n">
        <f aca="false">'Food Data'!AW26</f>
        <v>46</v>
      </c>
      <c r="AA26" s="66" t="n">
        <f aca="false">'Food Data'!AW27</f>
        <v>77</v>
      </c>
      <c r="AB26" s="66" t="n">
        <f aca="false">'Food Data'!AW28</f>
        <v>120</v>
      </c>
      <c r="AC26" s="66" t="n">
        <f aca="false">'Food Data'!AW29</f>
        <v>110</v>
      </c>
      <c r="AD26" s="66" t="n">
        <f aca="false">'Food Data'!AW30</f>
        <v>123</v>
      </c>
      <c r="AE26" s="66" t="n">
        <f aca="false">'Food Data'!AW31</f>
        <v>113</v>
      </c>
      <c r="AF26" s="66" t="n">
        <f aca="false">'Food Data'!AW32</f>
        <v>1045</v>
      </c>
      <c r="AG26" s="66" t="n">
        <f aca="false">'Food Data'!AW33</f>
        <v>710</v>
      </c>
      <c r="AH26" s="66" t="n">
        <f aca="false">'Food Data'!AW34</f>
        <v>111</v>
      </c>
      <c r="AI26" s="66" t="n">
        <f aca="false">'Food Data'!AW35</f>
        <v>697</v>
      </c>
      <c r="AJ26" s="66" t="n">
        <f aca="false">'Food Data'!AW36</f>
        <v>219</v>
      </c>
      <c r="AK26" s="66" t="n">
        <f aca="false">'Food Data'!AW37</f>
        <v>3</v>
      </c>
      <c r="AL26" s="66" t="n">
        <f aca="false">'Food Data'!AW38</f>
        <v>401</v>
      </c>
      <c r="AM26" s="66" t="n">
        <f aca="false">'Food Data'!AW39</f>
        <v>81</v>
      </c>
      <c r="AN26" s="66" t="n">
        <f aca="false">'Food Data'!AW40</f>
        <v>163</v>
      </c>
      <c r="AO26" s="66" t="n">
        <f aca="false">'Food Data'!AW41</f>
        <v>9</v>
      </c>
      <c r="AP26" s="66" t="n">
        <f aca="false">'Food Data'!AW42</f>
        <v>17</v>
      </c>
      <c r="AQ26" s="66" t="n">
        <f aca="false">'Food Data'!AW43</f>
        <v>7</v>
      </c>
      <c r="AR26" s="66" t="n">
        <f aca="false">'Food Data'!AW44</f>
        <v>144</v>
      </c>
      <c r="AS26" s="66" t="n">
        <f aca="false">'Food Data'!AW45</f>
        <v>10</v>
      </c>
      <c r="AT26" s="66" t="n">
        <f aca="false">'Food Data'!AW46</f>
        <v>161</v>
      </c>
      <c r="AU26" s="66" t="n">
        <f aca="false">'Food Data'!AW47</f>
        <v>13</v>
      </c>
      <c r="AV26" s="66" t="n">
        <f aca="false">'Food Data'!AW48</f>
        <v>15</v>
      </c>
      <c r="AW26" s="66" t="n">
        <f aca="false">'Food Data'!AW49</f>
        <v>38</v>
      </c>
      <c r="AX26" s="66" t="n">
        <f aca="false">'Food Data'!AW50</f>
        <v>3</v>
      </c>
      <c r="AY26" s="66" t="n">
        <f aca="false">'Food Data'!AW51</f>
        <v>6</v>
      </c>
      <c r="AZ26" s="66" t="n">
        <f aca="false">'Food Data'!AW52</f>
        <v>5</v>
      </c>
      <c r="BA26" s="66" t="n">
        <f aca="false">'Food Data'!AW53</f>
        <v>8</v>
      </c>
      <c r="BB26" s="66" t="n">
        <f aca="false">'Food Data'!AW54</f>
        <v>10</v>
      </c>
      <c r="BC26" s="66" t="n">
        <f aca="false">'Food Data'!AW55</f>
        <v>11</v>
      </c>
      <c r="BD26" s="66" t="n">
        <f aca="false">'Food Data'!AW56</f>
        <v>43</v>
      </c>
      <c r="BE26" s="66" t="n">
        <f aca="false">'Food Data'!AW57</f>
        <v>50</v>
      </c>
      <c r="BF26" s="66" t="n">
        <f aca="false">'Food Data'!AW58</f>
        <v>16</v>
      </c>
      <c r="BG26" s="66" t="n">
        <f aca="false">'Food Data'!AW59</f>
        <v>51</v>
      </c>
      <c r="BH26" s="66" t="n">
        <f aca="false">'Food Data'!AW60</f>
        <v>33</v>
      </c>
      <c r="BI26" s="66" t="n">
        <f aca="false">'Food Data'!AW61</f>
        <v>38</v>
      </c>
      <c r="BJ26" s="66" t="n">
        <f aca="false">'Food Data'!AW62</f>
        <v>10</v>
      </c>
      <c r="BK26" s="66" t="n">
        <f aca="false">'Food Data'!AW63</f>
        <v>25</v>
      </c>
      <c r="BL26" s="66" t="n">
        <f aca="false">'Food Data'!AW64</f>
        <v>23</v>
      </c>
      <c r="BM26" s="66" t="n">
        <f aca="false">'Food Data'!AW65</f>
        <v>33</v>
      </c>
      <c r="BN26" s="66" t="n">
        <f aca="false">'Food Data'!AW66</f>
        <v>99</v>
      </c>
      <c r="BO26" s="66" t="n">
        <f aca="false">'Food Data'!AW67</f>
        <v>10</v>
      </c>
      <c r="BP26" s="66" t="n">
        <f aca="false">'Food Data'!AW68</f>
        <v>24</v>
      </c>
      <c r="BQ26" s="66" t="n">
        <f aca="false">'Food Data'!AW69</f>
        <v>0</v>
      </c>
      <c r="BR26" s="66" t="n">
        <f aca="false">'Food Data'!AW70</f>
        <v>1</v>
      </c>
      <c r="BS26" s="66" t="n">
        <f aca="false">'Food Data'!AW71</f>
        <v>269</v>
      </c>
      <c r="BT26" s="66" t="n">
        <f aca="false">'Food Data'!AW72</f>
        <v>13</v>
      </c>
      <c r="BU26" s="66" t="n">
        <f aca="false">'Food Data'!AW73</f>
        <v>21</v>
      </c>
      <c r="BV26" s="66" t="n">
        <f aca="false">'Food Data'!AW74</f>
        <v>41</v>
      </c>
      <c r="BW26" s="66" t="n">
        <f aca="false">'Food Data'!AW75</f>
        <v>21</v>
      </c>
      <c r="BX26" s="66" t="n">
        <f aca="false">'Food Data'!AW76</f>
        <v>128</v>
      </c>
    </row>
    <row r="27" customFormat="false" ht="15" hidden="false" customHeight="false" outlineLevel="0" collapsed="false">
      <c r="B27" s="14" t="s">
        <v>56</v>
      </c>
      <c r="F27" s="66" t="n">
        <f aca="false">'Food Data'!AX6</f>
        <v>1.04</v>
      </c>
      <c r="G27" s="66" t="n">
        <f aca="false">'Food Data'!AX7</f>
        <v>1.11</v>
      </c>
      <c r="H27" s="66" t="n">
        <f aca="false">'Food Data'!AX8</f>
        <v>1.13</v>
      </c>
      <c r="I27" s="66" t="n">
        <f aca="false">'Food Data'!AX9</f>
        <v>0.34</v>
      </c>
      <c r="J27" s="66" t="n">
        <f aca="false">'Food Data'!AX10</f>
        <v>1.56</v>
      </c>
      <c r="K27" s="66" t="n">
        <f aca="false">'Food Data'!AX11</f>
        <v>0.95</v>
      </c>
      <c r="L27" s="66" t="n">
        <f aca="false">'Food Data'!AX12</f>
        <v>2.78</v>
      </c>
      <c r="M27" s="66" t="n">
        <f aca="false">'Food Data'!AX13</f>
        <v>3.17</v>
      </c>
      <c r="N27" s="66" t="n">
        <f aca="false">'Food Data'!AX14</f>
        <v>1.02</v>
      </c>
      <c r="O27" s="66" t="n">
        <f aca="false">'Food Data'!AX15</f>
        <v>0.62</v>
      </c>
      <c r="P27" s="66" t="n">
        <f aca="false">'Food Data'!AX16</f>
        <v>1.81</v>
      </c>
      <c r="Q27" s="66" t="n">
        <f aca="false">'Food Data'!AX17</f>
        <v>1.63</v>
      </c>
      <c r="R27" s="66" t="n">
        <f aca="false">'Food Data'!AX18</f>
        <v>0.34</v>
      </c>
      <c r="S27" s="66" t="n">
        <f aca="false">'Food Data'!AX19</f>
        <v>0.32</v>
      </c>
      <c r="T27" s="66" t="n">
        <f aca="false">'Food Data'!AX20</f>
        <v>0.69</v>
      </c>
      <c r="U27" s="66" t="n">
        <f aca="false">'Food Data'!AX21</f>
        <v>1.75</v>
      </c>
      <c r="V27" s="66" t="n">
        <f aca="false">'Food Data'!AX22</f>
        <v>1.9</v>
      </c>
      <c r="W27" s="66" t="n">
        <f aca="false">'Food Data'!AX23</f>
        <v>1.23</v>
      </c>
      <c r="X27" s="66" t="n">
        <f aca="false">'Food Data'!AX24</f>
        <v>3.33</v>
      </c>
      <c r="Y27" s="66" t="n">
        <f aca="false">'Food Data'!AX25</f>
        <v>1.74</v>
      </c>
      <c r="Z27" s="66" t="n">
        <f aca="false">'Food Data'!AX26</f>
        <v>2.09</v>
      </c>
      <c r="AA27" s="66" t="n">
        <f aca="false">'Food Data'!AX27</f>
        <v>1.6</v>
      </c>
      <c r="AB27" s="66" t="n">
        <f aca="false">'Food Data'!AX28</f>
        <v>0.02</v>
      </c>
      <c r="AC27" s="66" t="n">
        <f aca="false">'Food Data'!AX29</f>
        <v>0.07</v>
      </c>
      <c r="AD27" s="66" t="n">
        <f aca="false">'Food Data'!AX30</f>
        <v>0.42</v>
      </c>
      <c r="AE27" s="66" t="n">
        <f aca="false">'Food Data'!AX31</f>
        <v>0.03</v>
      </c>
      <c r="AF27" s="66" t="n">
        <f aca="false">'Food Data'!AX32</f>
        <v>0.63</v>
      </c>
      <c r="AG27" s="66" t="n">
        <f aca="false">'Food Data'!AX33</f>
        <v>0.14</v>
      </c>
      <c r="AH27" s="66" t="n">
        <f aca="false">'Food Data'!AX34</f>
        <v>0.13</v>
      </c>
      <c r="AI27" s="66" t="n">
        <f aca="false">'Food Data'!AX35</f>
        <v>0.22</v>
      </c>
      <c r="AJ27" s="66" t="n">
        <f aca="false">'Food Data'!AX36</f>
        <v>3.57</v>
      </c>
      <c r="AK27" s="66" t="n">
        <f aca="false">'Food Data'!AX37</f>
        <v>0.56</v>
      </c>
      <c r="AL27" s="66" t="n">
        <f aca="false">'Food Data'!AX38</f>
        <v>33.17</v>
      </c>
      <c r="AM27" s="66" t="n">
        <f aca="false">'Food Data'!AX39</f>
        <v>1.23</v>
      </c>
      <c r="AN27" s="66" t="n">
        <f aca="false">'Food Data'!AX40</f>
        <v>3.32</v>
      </c>
      <c r="AO27" s="66" t="n">
        <f aca="false">'Food Data'!AX41</f>
        <v>0.9</v>
      </c>
      <c r="AP27" s="66" t="n">
        <f aca="false">'Food Data'!AX42</f>
        <v>1.49</v>
      </c>
      <c r="AQ27" s="66" t="n">
        <f aca="false">'Food Data'!AX43</f>
        <v>1.28</v>
      </c>
      <c r="AR27" s="66" t="n">
        <f aca="false">'Food Data'!AX44</f>
        <v>3.61</v>
      </c>
      <c r="AS27" s="66" t="n">
        <f aca="false">'Food Data'!AX45</f>
        <v>1.2</v>
      </c>
      <c r="AT27" s="66" t="n">
        <f aca="false">'Food Data'!AX46</f>
        <v>2.47</v>
      </c>
      <c r="AU27" s="66" t="n">
        <f aca="false">'Food Data'!AX47</f>
        <v>1.72</v>
      </c>
      <c r="AV27" s="66" t="n">
        <f aca="false">'Food Data'!AX48</f>
        <v>1.08</v>
      </c>
      <c r="AW27" s="66" t="n">
        <f aca="false">'Food Data'!AX49</f>
        <v>0.69</v>
      </c>
      <c r="AX27" s="66" t="n">
        <f aca="false">'Food Data'!AX50</f>
        <v>0.47</v>
      </c>
      <c r="AY27" s="66" t="n">
        <f aca="false">'Food Data'!AX51</f>
        <v>0.12</v>
      </c>
      <c r="AZ27" s="66" t="n">
        <f aca="false">'Food Data'!AX52</f>
        <v>0.26</v>
      </c>
      <c r="BA27" s="66" t="n">
        <f aca="false">'Food Data'!AX53</f>
        <v>0.18</v>
      </c>
      <c r="BB27" s="66" t="n">
        <f aca="false">'Food Data'!AX54</f>
        <v>0.36</v>
      </c>
      <c r="BC27" s="66" t="n">
        <f aca="false">'Food Data'!AX55</f>
        <v>0.13</v>
      </c>
      <c r="BD27" s="66" t="n">
        <f aca="false">'Food Data'!AX56</f>
        <v>0.13</v>
      </c>
      <c r="BE27" s="66" t="n">
        <f aca="false">'Food Data'!AX57</f>
        <v>1.88</v>
      </c>
      <c r="BF27" s="66" t="n">
        <f aca="false">'Food Data'!AX58</f>
        <v>0.41</v>
      </c>
      <c r="BG27" s="66" t="n">
        <f aca="false">'Food Data'!AX59</f>
        <v>0.61</v>
      </c>
      <c r="BH27" s="66" t="n">
        <f aca="false">'Food Data'!AX60</f>
        <v>0.3</v>
      </c>
      <c r="BI27" s="66" t="n">
        <f aca="false">'Food Data'!AX61</f>
        <v>1.06</v>
      </c>
      <c r="BJ27" s="66" t="n">
        <f aca="false">'Food Data'!AX62</f>
        <v>0.34</v>
      </c>
      <c r="BK27" s="66" t="n">
        <f aca="false">'Food Data'!AX63</f>
        <v>0.82</v>
      </c>
      <c r="BL27" s="66" t="n">
        <f aca="false">'Food Data'!AX64</f>
        <v>0.21</v>
      </c>
      <c r="BM27" s="66" t="n">
        <f aca="false">'Food Data'!AX65</f>
        <v>0.97</v>
      </c>
      <c r="BN27" s="66" t="n">
        <f aca="false">'Food Data'!AX66</f>
        <v>2.71</v>
      </c>
      <c r="BO27" s="66" t="n">
        <f aca="false">'Food Data'!AX67</f>
        <v>0.27</v>
      </c>
      <c r="BP27" s="66" t="n">
        <f aca="false">'Food Data'!AX68</f>
        <v>0.02</v>
      </c>
      <c r="BQ27" s="66" t="n">
        <f aca="false">'Food Data'!AX69</f>
        <v>0</v>
      </c>
      <c r="BR27" s="66" t="n">
        <f aca="false">'Food Data'!AX70</f>
        <v>0.56</v>
      </c>
      <c r="BS27" s="66" t="n">
        <f aca="false">'Food Data'!AX71</f>
        <v>3.71</v>
      </c>
      <c r="BT27" s="66" t="n">
        <f aca="false">'Food Data'!AX72</f>
        <v>0.61</v>
      </c>
      <c r="BU27" s="66" t="n">
        <f aca="false">'Food Data'!AX73</f>
        <v>5.58</v>
      </c>
      <c r="BV27" s="66" t="n">
        <f aca="false">'Food Data'!AX74</f>
        <v>2.19</v>
      </c>
      <c r="BW27" s="66" t="n">
        <f aca="false">'Food Data'!AX75</f>
        <v>1.28</v>
      </c>
      <c r="BX27" s="66" t="n">
        <f aca="false">'Food Data'!AX76</f>
        <v>0.09</v>
      </c>
    </row>
    <row r="28" customFormat="false" ht="15" hidden="false" customHeight="false" outlineLevel="0" collapsed="false">
      <c r="B28" s="14" t="s">
        <v>58</v>
      </c>
      <c r="F28" s="66" t="n">
        <f aca="false">'Food Data'!AY6</f>
        <v>256</v>
      </c>
      <c r="G28" s="66" t="n">
        <f aca="false">'Food Data'!AY7</f>
        <v>247</v>
      </c>
      <c r="H28" s="66" t="n">
        <f aca="false">'Food Data'!AY8</f>
        <v>269</v>
      </c>
      <c r="I28" s="66" t="n">
        <f aca="false">'Food Data'!AY9</f>
        <v>401</v>
      </c>
      <c r="J28" s="66" t="n">
        <f aca="false">'Food Data'!AY10</f>
        <v>304</v>
      </c>
      <c r="K28" s="66" t="n">
        <f aca="false">'Food Data'!AY11</f>
        <v>499</v>
      </c>
      <c r="L28" s="66" t="n">
        <f aca="false">'Food Data'!AY12</f>
        <v>380</v>
      </c>
      <c r="M28" s="66" t="n">
        <f aca="false">'Food Data'!AY13</f>
        <v>449</v>
      </c>
      <c r="N28" s="66" t="n">
        <f aca="false">'Food Data'!AY14</f>
        <v>287</v>
      </c>
      <c r="O28" s="66" t="n">
        <f aca="false">'Food Data'!AY15</f>
        <v>366</v>
      </c>
      <c r="P28" s="66" t="n">
        <f aca="false">'Food Data'!AY16</f>
        <v>327</v>
      </c>
      <c r="Q28" s="66" t="n">
        <f aca="false">'Food Data'!AY17</f>
        <v>179</v>
      </c>
      <c r="R28" s="66" t="n">
        <f aca="false">'Food Data'!AY18</f>
        <v>384</v>
      </c>
      <c r="S28" s="66" t="n">
        <f aca="false">'Food Data'!AY19</f>
        <v>170</v>
      </c>
      <c r="T28" s="66" t="n">
        <f aca="false">'Food Data'!AY20</f>
        <v>380</v>
      </c>
      <c r="U28" s="66" t="n">
        <f aca="false">'Food Data'!AY21</f>
        <v>138</v>
      </c>
      <c r="V28" s="66" t="n">
        <f aca="false">'Food Data'!AY22</f>
        <v>308</v>
      </c>
      <c r="W28" s="66" t="n">
        <f aca="false">'Food Data'!AY23</f>
        <v>144</v>
      </c>
      <c r="X28" s="66" t="n">
        <f aca="false">'Food Data'!AY24</f>
        <v>369</v>
      </c>
      <c r="Y28" s="66" t="n">
        <f aca="false">'Food Data'!AY25</f>
        <v>558</v>
      </c>
      <c r="Z28" s="66" t="n">
        <f aca="false">'Food Data'!AY26</f>
        <v>436</v>
      </c>
      <c r="AA28" s="66" t="n">
        <f aca="false">'Food Data'!AY27</f>
        <v>0</v>
      </c>
      <c r="AB28" s="66" t="n">
        <f aca="false">'Food Data'!AY28</f>
        <v>140</v>
      </c>
      <c r="AC28" s="66" t="n">
        <f aca="false">'Food Data'!AY29</f>
        <v>141</v>
      </c>
      <c r="AD28" s="66" t="n">
        <f aca="false">'Food Data'!AY30</f>
        <v>122</v>
      </c>
      <c r="AE28" s="66" t="n">
        <f aca="false">'Food Data'!AY31</f>
        <v>132</v>
      </c>
      <c r="AF28" s="66" t="n">
        <f aca="false">'Food Data'!AY32</f>
        <v>132</v>
      </c>
      <c r="AG28" s="66" t="n">
        <f aca="false">'Food Data'!AY33</f>
        <v>76</v>
      </c>
      <c r="AH28" s="66" t="n">
        <f aca="false">'Food Data'!AY34</f>
        <v>125</v>
      </c>
      <c r="AI28" s="66" t="n">
        <f aca="false">'Food Data'!AY35</f>
        <v>188</v>
      </c>
      <c r="AJ28" s="66" t="n">
        <f aca="false">'Food Data'!AY36</f>
        <v>107</v>
      </c>
      <c r="AK28" s="66" t="n">
        <f aca="false">'Food Data'!AY37</f>
        <v>86</v>
      </c>
      <c r="AL28" s="66" t="n">
        <f aca="false">'Food Data'!AY38</f>
        <v>641</v>
      </c>
      <c r="AM28" s="66" t="n">
        <f aca="false">'Food Data'!AY39</f>
        <v>186</v>
      </c>
      <c r="AN28" s="66" t="n">
        <f aca="false">'Food Data'!AY40</f>
        <v>133</v>
      </c>
      <c r="AO28" s="66" t="n">
        <f aca="false">'Food Data'!AY41</f>
        <v>70</v>
      </c>
      <c r="AP28" s="66" t="n">
        <f aca="false">'Food Data'!AY42</f>
        <v>172</v>
      </c>
      <c r="AQ28" s="66" t="n">
        <f aca="false">'Food Data'!AY43</f>
        <v>44</v>
      </c>
      <c r="AR28" s="66" t="n">
        <f aca="false">'Food Data'!AY44</f>
        <v>126</v>
      </c>
      <c r="AS28" s="66" t="n">
        <f aca="false">'Food Data'!AY45</f>
        <v>35</v>
      </c>
      <c r="AT28" s="66" t="n">
        <f aca="false">'Food Data'!AY46</f>
        <v>254</v>
      </c>
      <c r="AU28" s="66" t="n">
        <f aca="false">'Food Data'!AY47</f>
        <v>96</v>
      </c>
      <c r="AV28" s="66" t="n">
        <f aca="false">'Food Data'!AY48</f>
        <v>535</v>
      </c>
      <c r="AW28" s="66" t="n">
        <f aca="false">'Food Data'!AY49</f>
        <v>475</v>
      </c>
      <c r="AX28" s="66" t="n">
        <f aca="false">'Food Data'!AY50</f>
        <v>233</v>
      </c>
      <c r="AY28" s="66" t="n">
        <f aca="false">'Food Data'!AY51</f>
        <v>107</v>
      </c>
      <c r="AZ28" s="66" t="n">
        <f aca="false">'Food Data'!AY52</f>
        <v>358</v>
      </c>
      <c r="BA28" s="66" t="n">
        <f aca="false">'Food Data'!AY53</f>
        <v>54</v>
      </c>
      <c r="BB28" s="66" t="n">
        <f aca="false">'Food Data'!AY54</f>
        <v>191</v>
      </c>
      <c r="BC28" s="66" t="n">
        <f aca="false">'Food Data'!AY55</f>
        <v>178</v>
      </c>
      <c r="BD28" s="66" t="n">
        <f aca="false">'Food Data'!AY56</f>
        <v>166</v>
      </c>
      <c r="BE28" s="66" t="n">
        <f aca="false">'Food Data'!AY57</f>
        <v>749</v>
      </c>
      <c r="BF28" s="66" t="n">
        <f aca="false">'Food Data'!AY58</f>
        <v>153</v>
      </c>
      <c r="BG28" s="66" t="n">
        <f aca="false">'Food Data'!AY59</f>
        <v>180</v>
      </c>
      <c r="BH28" s="66" t="n">
        <f aca="false">'Food Data'!AY60</f>
        <v>320</v>
      </c>
      <c r="BI28" s="66" t="n">
        <f aca="false">'Food Data'!AY61</f>
        <v>96</v>
      </c>
      <c r="BJ28" s="66" t="n">
        <f aca="false">'Food Data'!AY62</f>
        <v>175</v>
      </c>
      <c r="BK28" s="66" t="n">
        <f aca="false">'Food Data'!AY63</f>
        <v>169</v>
      </c>
      <c r="BL28" s="66" t="n">
        <f aca="false">'Food Data'!AY64</f>
        <v>146</v>
      </c>
      <c r="BM28" s="66" t="n">
        <f aca="false">'Food Data'!AY65</f>
        <v>247</v>
      </c>
      <c r="BN28" s="66" t="n">
        <f aca="false">'Food Data'!AY66</f>
        <v>558</v>
      </c>
      <c r="BO28" s="66" t="n">
        <f aca="false">'Food Data'!AY67</f>
        <v>237</v>
      </c>
      <c r="BP28" s="66" t="n">
        <f aca="false">'Food Data'!AY68</f>
        <v>24</v>
      </c>
      <c r="BQ28" s="66" t="n">
        <f aca="false">'Food Data'!AY69</f>
        <v>0</v>
      </c>
      <c r="BR28" s="66" t="n">
        <f aca="false">'Food Data'!AY70</f>
        <v>1</v>
      </c>
      <c r="BS28" s="66" t="n">
        <f aca="false">'Food Data'!AY71</f>
        <v>733</v>
      </c>
      <c r="BT28" s="66" t="n">
        <f aca="false">'Food Data'!AY72</f>
        <v>507</v>
      </c>
      <c r="BU28" s="66" t="n">
        <f aca="false">'Food Data'!AY73</f>
        <v>171</v>
      </c>
      <c r="BV28" s="66" t="n">
        <f aca="false">'Food Data'!AY74</f>
        <v>237</v>
      </c>
      <c r="BW28" s="66" t="n">
        <f aca="false">'Food Data'!AY75</f>
        <v>1196</v>
      </c>
      <c r="BX28" s="66" t="n">
        <f aca="false">'Food Data'!AY76</f>
        <v>199</v>
      </c>
    </row>
    <row r="29" customFormat="false" ht="15" hidden="false" customHeight="false" outlineLevel="0" collapsed="false">
      <c r="B29" s="14" t="s">
        <v>60</v>
      </c>
      <c r="F29" s="66" t="n">
        <f aca="false">'Food Data'!AZ6</f>
        <v>74</v>
      </c>
      <c r="G29" s="66" t="n">
        <f aca="false">'Food Data'!AZ7</f>
        <v>123</v>
      </c>
      <c r="H29" s="66" t="n">
        <f aca="false">'Food Data'!AZ8</f>
        <v>106</v>
      </c>
      <c r="I29" s="66" t="n">
        <f aca="false">'Food Data'!AZ9</f>
        <v>922</v>
      </c>
      <c r="J29" s="66" t="n">
        <f aca="false">'Food Data'!AZ10</f>
        <v>90</v>
      </c>
      <c r="K29" s="66" t="n">
        <f aca="false">'Food Data'!AZ11</f>
        <v>1684</v>
      </c>
      <c r="L29" s="66" t="n">
        <f aca="false">'Food Data'!AZ12</f>
        <v>91</v>
      </c>
      <c r="M29" s="66" t="n">
        <f aca="false">'Food Data'!AZ13</f>
        <v>86</v>
      </c>
      <c r="N29" s="66" t="n">
        <f aca="false">'Food Data'!AZ14</f>
        <v>1143</v>
      </c>
      <c r="O29" s="66" t="n">
        <f aca="false">'Food Data'!AZ15</f>
        <v>86</v>
      </c>
      <c r="P29" s="66" t="n">
        <f aca="false">'Food Data'!AZ16</f>
        <v>54</v>
      </c>
      <c r="Q29" s="66" t="n">
        <f aca="false">'Food Data'!AZ17</f>
        <v>247</v>
      </c>
      <c r="R29" s="66" t="n">
        <f aca="false">'Food Data'!AZ18</f>
        <v>61</v>
      </c>
      <c r="S29" s="66" t="n">
        <f aca="false">'Food Data'!AZ19</f>
        <v>947</v>
      </c>
      <c r="T29" s="66" t="n">
        <f aca="false">'Food Data'!AZ20</f>
        <v>56</v>
      </c>
      <c r="U29" s="66" t="n">
        <f aca="false">'Food Data'!AZ21</f>
        <v>142</v>
      </c>
      <c r="V29" s="66" t="n">
        <f aca="false">'Food Data'!AZ22</f>
        <v>138</v>
      </c>
      <c r="W29" s="66" t="n">
        <f aca="false">'Food Data'!AZ23</f>
        <v>278</v>
      </c>
      <c r="X29" s="66" t="n">
        <f aca="false">'Food Data'!AZ24</f>
        <v>2</v>
      </c>
      <c r="Y29" s="66" t="n">
        <f aca="false">'Food Data'!AZ25</f>
        <v>426</v>
      </c>
      <c r="Z29" s="66" t="n">
        <f aca="false">'Food Data'!AZ26</f>
        <v>1</v>
      </c>
      <c r="AA29" s="66" t="n">
        <f aca="false">'Food Data'!AZ27</f>
        <v>4</v>
      </c>
      <c r="AB29" s="66" t="n">
        <f aca="false">'Food Data'!AZ28</f>
        <v>47</v>
      </c>
      <c r="AC29" s="66" t="n">
        <f aca="false">'Food Data'!AZ29</f>
        <v>36</v>
      </c>
      <c r="AD29" s="66" t="n">
        <f aca="false">'Food Data'!AZ30</f>
        <v>47</v>
      </c>
      <c r="AE29" s="66" t="n">
        <f aca="false">'Food Data'!AZ31</f>
        <v>43</v>
      </c>
      <c r="AF29" s="66" t="n">
        <f aca="false">'Food Data'!AZ32</f>
        <v>1671</v>
      </c>
      <c r="AG29" s="66" t="n">
        <f aca="false">'Food Data'!AZ33</f>
        <v>653</v>
      </c>
      <c r="AH29" s="66" t="n">
        <f aca="false">'Food Data'!AZ34</f>
        <v>308</v>
      </c>
      <c r="AI29" s="66" t="n">
        <f aca="false">'Food Data'!AZ35</f>
        <v>666</v>
      </c>
      <c r="AJ29" s="66" t="n">
        <f aca="false">'Food Data'!AZ36</f>
        <v>422</v>
      </c>
      <c r="AK29" s="66" t="n">
        <f aca="false">'Food Data'!AZ37</f>
        <v>4</v>
      </c>
      <c r="AL29" s="66" t="n">
        <f aca="false">'Food Data'!AZ38</f>
        <v>497</v>
      </c>
      <c r="AM29" s="66" t="n">
        <f aca="false">'Food Data'!AZ39</f>
        <v>45</v>
      </c>
      <c r="AN29" s="66" t="n">
        <f aca="false">'Food Data'!AZ40</f>
        <v>742</v>
      </c>
      <c r="AO29" s="66" t="n">
        <f aca="false">'Food Data'!AZ41</f>
        <v>4</v>
      </c>
      <c r="AP29" s="66" t="n">
        <f aca="false">'Food Data'!AZ42</f>
        <v>7</v>
      </c>
      <c r="AQ29" s="66" t="n">
        <f aca="false">'Food Data'!AZ43</f>
        <v>1</v>
      </c>
      <c r="AR29" s="66" t="n">
        <f aca="false">'Food Data'!AZ44</f>
        <v>490</v>
      </c>
      <c r="AS29" s="66" t="n">
        <f aca="false">'Food Data'!AZ45</f>
        <v>1</v>
      </c>
      <c r="AT29" s="66" t="n">
        <f aca="false">'Food Data'!AZ46</f>
        <v>455</v>
      </c>
      <c r="AU29" s="66" t="n">
        <f aca="false">'Food Data'!AZ47</f>
        <v>4</v>
      </c>
      <c r="AV29" s="66" t="n">
        <f aca="false">'Food Data'!AZ48</f>
        <v>10</v>
      </c>
      <c r="AW29" s="66" t="n">
        <f aca="false">'Food Data'!AZ49</f>
        <v>36</v>
      </c>
      <c r="AX29" s="66" t="n">
        <f aca="false">'Food Data'!AZ50</f>
        <v>1</v>
      </c>
      <c r="AY29" s="66" t="n">
        <f aca="false">'Food Data'!AZ51</f>
        <v>1</v>
      </c>
      <c r="AZ29" s="66" t="n">
        <f aca="false">'Food Data'!AZ52</f>
        <v>1</v>
      </c>
      <c r="BA29" s="66" t="n">
        <f aca="false">'Food Data'!AZ53</f>
        <v>1</v>
      </c>
      <c r="BB29" s="66" t="n">
        <f aca="false">'Food Data'!AZ54</f>
        <v>2</v>
      </c>
      <c r="BC29" s="66" t="n">
        <f aca="false">'Food Data'!AZ55</f>
        <v>2</v>
      </c>
      <c r="BD29" s="66" t="n">
        <f aca="false">'Food Data'!AZ56</f>
        <v>1</v>
      </c>
      <c r="BE29" s="66" t="n">
        <f aca="false">'Food Data'!AZ57</f>
        <v>11</v>
      </c>
      <c r="BF29" s="66" t="n">
        <f aca="false">'Food Data'!AZ58</f>
        <v>1</v>
      </c>
      <c r="BG29" s="66" t="n">
        <f aca="false">'Food Data'!AZ59</f>
        <v>24</v>
      </c>
      <c r="BH29" s="66" t="n">
        <f aca="false">'Food Data'!AZ60</f>
        <v>69</v>
      </c>
      <c r="BI29" s="66" t="n">
        <f aca="false">'Food Data'!AZ61</f>
        <v>230</v>
      </c>
      <c r="BJ29" s="66" t="n">
        <f aca="false">'Food Data'!AZ62</f>
        <v>3</v>
      </c>
      <c r="BK29" s="66" t="n">
        <f aca="false">'Food Data'!AZ63</f>
        <v>35</v>
      </c>
      <c r="BL29" s="66" t="n">
        <f aca="false">'Food Data'!AZ64</f>
        <v>4</v>
      </c>
      <c r="BM29" s="66" t="n">
        <f aca="false">'Food Data'!AZ65</f>
        <v>8</v>
      </c>
      <c r="BN29" s="66" t="n">
        <f aca="false">'Food Data'!AZ66</f>
        <v>79</v>
      </c>
      <c r="BO29" s="66" t="n">
        <f aca="false">'Food Data'!AZ67</f>
        <v>5</v>
      </c>
      <c r="BP29" s="66" t="n">
        <f aca="false">'Food Data'!AZ68</f>
        <v>643</v>
      </c>
      <c r="BQ29" s="66" t="n">
        <f aca="false">'Food Data'!AZ69</f>
        <v>0</v>
      </c>
      <c r="BR29" s="66" t="n">
        <f aca="false">'Food Data'!AZ70</f>
        <v>2</v>
      </c>
      <c r="BS29" s="66" t="n">
        <f aca="false">'Food Data'!AZ71</f>
        <v>1</v>
      </c>
      <c r="BT29" s="66" t="n">
        <f aca="false">'Food Data'!AZ72</f>
        <v>8</v>
      </c>
      <c r="BU29" s="66" t="n">
        <f aca="false">'Food Data'!AZ73</f>
        <v>311</v>
      </c>
      <c r="BV29" s="66" t="n">
        <f aca="false">'Food Data'!AZ74</f>
        <v>251</v>
      </c>
      <c r="BW29" s="66" t="n">
        <f aca="false">'Food Data'!AZ75</f>
        <v>527</v>
      </c>
      <c r="BX29" s="66" t="n">
        <f aca="false">'Food Data'!AZ76</f>
        <v>80</v>
      </c>
    </row>
    <row r="30" customFormat="false" ht="15" hidden="false" customHeight="false" outlineLevel="0" collapsed="false">
      <c r="B30" s="14" t="s">
        <v>62</v>
      </c>
      <c r="F30" s="66" t="n">
        <f aca="false">'Food Data'!BA6</f>
        <v>0</v>
      </c>
      <c r="G30" s="66" t="n">
        <f aca="false">'Food Data'!BA7</f>
        <v>0</v>
      </c>
      <c r="H30" s="66" t="n">
        <f aca="false">'Food Data'!BA8</f>
        <v>0</v>
      </c>
      <c r="I30" s="66" t="n">
        <f aca="false">'Food Data'!BA9</f>
        <v>0</v>
      </c>
      <c r="J30" s="66" t="n">
        <f aca="false">'Food Data'!BA10</f>
        <v>0</v>
      </c>
      <c r="K30" s="66" t="n">
        <f aca="false">'Food Data'!BA11</f>
        <v>0</v>
      </c>
      <c r="L30" s="66" t="n">
        <f aca="false">'Food Data'!BA12</f>
        <v>0</v>
      </c>
      <c r="M30" s="66" t="n">
        <f aca="false">'Food Data'!BA13</f>
        <v>0</v>
      </c>
      <c r="N30" s="66" t="n">
        <f aca="false">'Food Data'!BA14</f>
        <v>4</v>
      </c>
      <c r="O30" s="66" t="n">
        <f aca="false">'Food Data'!BA15</f>
        <v>0</v>
      </c>
      <c r="P30" s="66" t="n">
        <f aca="false">'Food Data'!BA16</f>
        <v>0</v>
      </c>
      <c r="Q30" s="66" t="n">
        <f aca="false">'Food Data'!BA17</f>
        <v>0</v>
      </c>
      <c r="R30" s="66" t="n">
        <f aca="false">'Food Data'!BA18</f>
        <v>3.7</v>
      </c>
      <c r="S30" s="66" t="n">
        <f aca="false">'Food Data'!BA19</f>
        <v>0</v>
      </c>
      <c r="T30" s="66" t="n">
        <f aca="false">'Food Data'!BA20</f>
        <v>0</v>
      </c>
      <c r="U30" s="66" t="n">
        <f aca="false">'Food Data'!BA21</f>
        <v>0</v>
      </c>
      <c r="V30" s="66" t="n">
        <f aca="false">'Food Data'!BA22</f>
        <v>2.7</v>
      </c>
      <c r="W30" s="66" t="n">
        <f aca="false">'Food Data'!BA23</f>
        <v>0.1</v>
      </c>
      <c r="X30" s="66" t="n">
        <f aca="false">'Food Data'!BA24</f>
        <v>1.5</v>
      </c>
      <c r="Y30" s="66" t="n">
        <f aca="false">'Food Data'!BA25</f>
        <v>0</v>
      </c>
      <c r="Z30" s="66" t="n">
        <f aca="false">'Food Data'!BA26</f>
        <v>0.8</v>
      </c>
      <c r="AA30" s="66" t="n">
        <f aca="false">'Food Data'!BA27</f>
        <v>0</v>
      </c>
      <c r="AB30" s="66" t="n">
        <f aca="false">'Food Data'!BA28</f>
        <v>0.2</v>
      </c>
      <c r="AC30" s="66" t="n">
        <f aca="false">'Food Data'!BA29</f>
        <v>0</v>
      </c>
      <c r="AD30" s="66" t="n">
        <f aca="false">'Food Data'!BA30</f>
        <v>0</v>
      </c>
      <c r="AE30" s="66" t="n">
        <f aca="false">'Food Data'!BA31</f>
        <v>0</v>
      </c>
      <c r="AF30" s="66" t="n">
        <f aca="false">'Food Data'!BA32</f>
        <v>0</v>
      </c>
      <c r="AG30" s="66" t="n">
        <f aca="false">'Food Data'!BA33</f>
        <v>0</v>
      </c>
      <c r="AH30" s="66" t="n">
        <f aca="false">'Food Data'!BA34</f>
        <v>0</v>
      </c>
      <c r="AI30" s="66" t="n">
        <f aca="false">'Food Data'!BA35</f>
        <v>0</v>
      </c>
      <c r="AJ30" s="66" t="n">
        <f aca="false">'Food Data'!BA36</f>
        <v>0</v>
      </c>
      <c r="AK30" s="66" t="n">
        <f aca="false">'Food Data'!BA37</f>
        <v>0</v>
      </c>
      <c r="AL30" s="66" t="n">
        <f aca="false">'Food Data'!BA38</f>
        <v>21.6</v>
      </c>
      <c r="AM30" s="66" t="n">
        <f aca="false">'Food Data'!BA39</f>
        <v>0</v>
      </c>
      <c r="AN30" s="66" t="n">
        <f aca="false">'Food Data'!BA40</f>
        <v>0</v>
      </c>
      <c r="AO30" s="66" t="n">
        <f aca="false">'Food Data'!BA41</f>
        <v>0</v>
      </c>
      <c r="AP30" s="66" t="n">
        <f aca="false">'Food Data'!BA42</f>
        <v>0</v>
      </c>
      <c r="AQ30" s="66" t="n">
        <f aca="false">'Food Data'!BA43</f>
        <v>0</v>
      </c>
      <c r="AR30" s="66" t="n">
        <f aca="false">'Food Data'!BA44</f>
        <v>0</v>
      </c>
      <c r="AS30" s="66" t="n">
        <f aca="false">'Food Data'!BA45</f>
        <v>0</v>
      </c>
      <c r="AT30" s="66" t="n">
        <f aca="false">'Food Data'!BA46</f>
        <v>0</v>
      </c>
      <c r="AU30" s="66" t="n">
        <f aca="false">'Food Data'!BA47</f>
        <v>0</v>
      </c>
      <c r="AV30" s="66" t="n">
        <f aca="false">'Food Data'!BA48</f>
        <v>9.6</v>
      </c>
      <c r="AW30" s="66" t="n">
        <f aca="false">'Food Data'!BA49</f>
        <v>19.6</v>
      </c>
      <c r="AX30" s="66" t="n">
        <f aca="false">'Food Data'!BA50</f>
        <v>3.5</v>
      </c>
      <c r="AY30" s="66" t="n">
        <f aca="false">'Food Data'!BA51</f>
        <v>4.6</v>
      </c>
      <c r="AZ30" s="66" t="n">
        <f aca="false">'Food Data'!BA52</f>
        <v>8.7</v>
      </c>
      <c r="BA30" s="66" t="n">
        <f aca="false">'Food Data'!BA53</f>
        <v>2.5</v>
      </c>
      <c r="BB30" s="66" t="n">
        <f aca="false">'Food Data'!BA54</f>
        <v>3.2</v>
      </c>
      <c r="BC30" s="66" t="n">
        <f aca="false">'Food Data'!BA55</f>
        <v>33.6</v>
      </c>
      <c r="BD30" s="66" t="n">
        <f aca="false">'Food Data'!BA56</f>
        <v>59.1</v>
      </c>
      <c r="BE30" s="66" t="n">
        <f aca="false">'Food Data'!BA57</f>
        <v>2.3</v>
      </c>
      <c r="BF30" s="66" t="n">
        <f aca="false">'Food Data'!BA58</f>
        <v>58.8</v>
      </c>
      <c r="BG30" s="66" t="n">
        <f aca="false">'Food Data'!BA59</f>
        <v>40.1</v>
      </c>
      <c r="BH30" s="66" t="n">
        <f aca="false">'Food Data'!BA60</f>
        <v>5.9</v>
      </c>
      <c r="BI30" s="66" t="n">
        <f aca="false">'Food Data'!BA61</f>
        <v>2.8</v>
      </c>
      <c r="BJ30" s="66" t="n">
        <f aca="false">'Food Data'!BA62</f>
        <v>80.4</v>
      </c>
      <c r="BK30" s="66" t="n">
        <f aca="false">'Food Data'!BA63</f>
        <v>3.2</v>
      </c>
      <c r="BL30" s="66" t="n">
        <f aca="false">'Food Data'!BA64</f>
        <v>7.4</v>
      </c>
      <c r="BM30" s="66" t="n">
        <f aca="false">'Food Data'!BA65</f>
        <v>4</v>
      </c>
      <c r="BN30" s="66" t="n">
        <f aca="false">'Food Data'!BA66</f>
        <v>28.1</v>
      </c>
      <c r="BO30" s="66" t="n">
        <f aca="false">'Food Data'!BA67</f>
        <v>13.7</v>
      </c>
      <c r="BP30" s="66" t="n">
        <f aca="false">'Food Data'!BA68</f>
        <v>0</v>
      </c>
      <c r="BQ30" s="66" t="n">
        <f aca="false">'Food Data'!BA69</f>
        <v>0</v>
      </c>
      <c r="BR30" s="66" t="n">
        <f aca="false">'Food Data'!BA70</f>
        <v>0</v>
      </c>
      <c r="BS30" s="66" t="n">
        <f aca="false">'Food Data'!BA71</f>
        <v>0</v>
      </c>
      <c r="BT30" s="66" t="n">
        <f aca="false">'Food Data'!BA72</f>
        <v>8.8</v>
      </c>
      <c r="BU30" s="66" t="n">
        <f aca="false">'Food Data'!BA73</f>
        <v>0</v>
      </c>
      <c r="BV30" s="66" t="n">
        <f aca="false">'Food Data'!BA74</f>
        <v>0</v>
      </c>
      <c r="BW30" s="66" t="n">
        <f aca="false">'Food Data'!BA75</f>
        <v>21.6</v>
      </c>
      <c r="BX30" s="66" t="n">
        <f aca="false">'Food Data'!BA76</f>
        <v>0.6</v>
      </c>
    </row>
    <row r="32" customFormat="false" ht="15" hidden="false" customHeight="false" outlineLevel="0" collapsed="false">
      <c r="A32" s="3" t="s">
        <v>702</v>
      </c>
    </row>
    <row r="33" customFormat="false" ht="15" hidden="false" customHeight="false" outlineLevel="0" collapsed="false">
      <c r="B33" s="14" t="s">
        <v>81</v>
      </c>
      <c r="F33" s="68" t="n">
        <f aca="false">'Food Data'!AF6</f>
        <v>0</v>
      </c>
      <c r="G33" s="68" t="n">
        <f aca="false">'Food Data'!AF7</f>
        <v>0</v>
      </c>
      <c r="H33" s="68" t="n">
        <f aca="false">'Food Data'!AF8</f>
        <v>0</v>
      </c>
      <c r="I33" s="68" t="n">
        <f aca="false">'Food Data'!AF9</f>
        <v>0</v>
      </c>
      <c r="J33" s="68" t="n">
        <f aca="false">'Food Data'!AF10</f>
        <v>0</v>
      </c>
      <c r="K33" s="68" t="n">
        <f aca="false">'Food Data'!AF11</f>
        <v>1</v>
      </c>
      <c r="L33" s="68" t="n">
        <f aca="false">'Food Data'!AF12</f>
        <v>0</v>
      </c>
      <c r="M33" s="68" t="n">
        <f aca="false">'Food Data'!AF13</f>
        <v>0</v>
      </c>
      <c r="N33" s="68" t="n">
        <f aca="false">'Food Data'!AF14</f>
        <v>0</v>
      </c>
      <c r="O33" s="68" t="n">
        <f aca="false">'Food Data'!AF15</f>
        <v>0</v>
      </c>
      <c r="P33" s="68" t="n">
        <f aca="false">'Food Data'!AF16</f>
        <v>0</v>
      </c>
      <c r="Q33" s="68" t="n">
        <f aca="false">'Food Data'!AF17</f>
        <v>0</v>
      </c>
      <c r="R33" s="68" t="n">
        <f aca="false">'Food Data'!AF18</f>
        <v>0</v>
      </c>
      <c r="S33" s="68" t="n">
        <f aca="false">'Food Data'!AF19</f>
        <v>0</v>
      </c>
      <c r="T33" s="68" t="n">
        <f aca="false">'Food Data'!AF20</f>
        <v>0</v>
      </c>
      <c r="U33" s="68" t="n">
        <f aca="false">'Food Data'!AF21</f>
        <v>1</v>
      </c>
      <c r="V33" s="68" t="n">
        <f aca="false">'Food Data'!AF22</f>
        <v>0</v>
      </c>
      <c r="W33" s="68" t="n">
        <f aca="false">'Food Data'!AF23</f>
        <v>0</v>
      </c>
      <c r="X33" s="68" t="n">
        <f aca="false">'Food Data'!AF24</f>
        <v>0</v>
      </c>
      <c r="Y33" s="68" t="n">
        <f aca="false">'Food Data'!AF25</f>
        <v>0.5</v>
      </c>
      <c r="Z33" s="68" t="n">
        <f aca="false">'Food Data'!AF26</f>
        <v>0</v>
      </c>
      <c r="AA33" s="68" t="n">
        <f aca="false">'Food Data'!AF27</f>
        <v>0</v>
      </c>
      <c r="AB33" s="68" t="n">
        <f aca="false">'Food Data'!AF28</f>
        <v>0.5</v>
      </c>
      <c r="AC33" s="68" t="n">
        <f aca="false">'Food Data'!AF29</f>
        <v>0.5</v>
      </c>
      <c r="AD33" s="68" t="n">
        <f aca="false">'Food Data'!AF30</f>
        <v>0.5</v>
      </c>
      <c r="AE33" s="68" t="n">
        <f aca="false">'Food Data'!AF31</f>
        <v>0.5</v>
      </c>
      <c r="AF33" s="68" t="n">
        <f aca="false">'Food Data'!AF32</f>
        <v>0</v>
      </c>
      <c r="AG33" s="68" t="n">
        <f aca="false">'Food Data'!AF33</f>
        <v>0</v>
      </c>
      <c r="AH33" s="68" t="n">
        <f aca="false">'Food Data'!AF34</f>
        <v>0</v>
      </c>
      <c r="AI33" s="68" t="n">
        <f aca="false">'Food Data'!AF35</f>
        <v>0</v>
      </c>
      <c r="AJ33" s="68" t="n">
        <f aca="false">'Food Data'!AF36</f>
        <v>1</v>
      </c>
      <c r="AK33" s="68" t="n">
        <f aca="false">'Food Data'!AF37</f>
        <v>0</v>
      </c>
      <c r="AL33" s="68" t="n">
        <f aca="false">'Food Data'!AF38</f>
        <v>1</v>
      </c>
      <c r="AM33" s="68" t="n">
        <f aca="false">'Food Data'!AF39</f>
        <v>0</v>
      </c>
      <c r="AN33" s="68" t="n">
        <f aca="false">'Food Data'!AF40</f>
        <v>0</v>
      </c>
      <c r="AO33" s="68" t="n">
        <f aca="false">'Food Data'!AF41</f>
        <v>1</v>
      </c>
      <c r="AP33" s="68" t="n">
        <f aca="false">'Food Data'!AF42</f>
        <v>0</v>
      </c>
      <c r="AQ33" s="68" t="n">
        <f aca="false">'Food Data'!AF43</f>
        <v>0</v>
      </c>
      <c r="AR33" s="68" t="n">
        <f aca="false">'Food Data'!AF44</f>
        <v>0.5</v>
      </c>
      <c r="AS33" s="68" t="n">
        <f aca="false">'Food Data'!AF45</f>
        <v>0</v>
      </c>
      <c r="AT33" s="68" t="n">
        <f aca="false">'Food Data'!AF46</f>
        <v>0.5</v>
      </c>
      <c r="AU33" s="68" t="n">
        <f aca="false">'Food Data'!AF47</f>
        <v>0</v>
      </c>
      <c r="AV33" s="68" t="n">
        <f aca="false">'Food Data'!AF48</f>
        <v>0</v>
      </c>
      <c r="AW33" s="68" t="n">
        <f aca="false">'Food Data'!AF49</f>
        <v>0</v>
      </c>
      <c r="AX33" s="68" t="n">
        <f aca="false">'Food Data'!AF50</f>
        <v>0</v>
      </c>
      <c r="AY33" s="68" t="n">
        <f aca="false">'Food Data'!AF51</f>
        <v>0</v>
      </c>
      <c r="AZ33" s="68" t="n">
        <f aca="false">'Food Data'!AF52</f>
        <v>0.5</v>
      </c>
      <c r="BA33" s="68" t="n">
        <f aca="false">'Food Data'!AF53</f>
        <v>1</v>
      </c>
      <c r="BB33" s="68" t="n">
        <f aca="false">'Food Data'!AF54</f>
        <v>0</v>
      </c>
      <c r="BC33" s="68" t="n">
        <f aca="false">'Food Data'!AF55</f>
        <v>1</v>
      </c>
      <c r="BD33" s="68" t="n">
        <f aca="false">'Food Data'!AF56</f>
        <v>0</v>
      </c>
      <c r="BE33" s="68" t="n">
        <f aca="false">'Food Data'!AF57</f>
        <v>0</v>
      </c>
      <c r="BF33" s="68" t="n">
        <f aca="false">'Food Data'!AF58</f>
        <v>0.5</v>
      </c>
      <c r="BG33" s="68" t="n">
        <f aca="false">'Food Data'!AF59</f>
        <v>0</v>
      </c>
      <c r="BH33" s="68" t="n">
        <f aca="false">'Food Data'!AF60</f>
        <v>0</v>
      </c>
      <c r="BI33" s="68" t="n">
        <f aca="false">'Food Data'!AF61</f>
        <v>0</v>
      </c>
      <c r="BJ33" s="68" t="n">
        <f aca="false">'Food Data'!AF62</f>
        <v>0</v>
      </c>
      <c r="BK33" s="68" t="n">
        <f aca="false">'Food Data'!AF63</f>
        <v>0</v>
      </c>
      <c r="BL33" s="68" t="n">
        <f aca="false">'Food Data'!AF64</f>
        <v>0</v>
      </c>
      <c r="BM33" s="68" t="n">
        <f aca="false">'Food Data'!AF65</f>
        <v>0</v>
      </c>
      <c r="BN33" s="68" t="n">
        <f aca="false">'Food Data'!AF66</f>
        <v>0</v>
      </c>
      <c r="BO33" s="68" t="n">
        <f aca="false">'Food Data'!AF67</f>
        <v>0</v>
      </c>
      <c r="BP33" s="68" t="n">
        <f aca="false">'Food Data'!AF68</f>
        <v>0.5</v>
      </c>
      <c r="BQ33" s="68" t="n">
        <f aca="false">'Food Data'!AF69</f>
        <v>0</v>
      </c>
      <c r="BR33" s="68" t="n">
        <f aca="false">'Food Data'!AF70</f>
        <v>0</v>
      </c>
      <c r="BS33" s="68" t="n">
        <f aca="false">'Food Data'!AF71</f>
        <v>0</v>
      </c>
      <c r="BT33" s="68" t="n">
        <f aca="false">'Food Data'!AF72</f>
        <v>0</v>
      </c>
      <c r="BU33" s="68" t="n">
        <f aca="false">'Food Data'!AF73</f>
        <v>0</v>
      </c>
      <c r="BV33" s="68" t="n">
        <f aca="false">'Food Data'!AF74</f>
        <v>0</v>
      </c>
      <c r="BW33" s="68" t="n">
        <f aca="false">'Food Data'!AF75</f>
        <v>0</v>
      </c>
      <c r="BX33" s="68" t="n">
        <f aca="false">'Food Data'!AF76</f>
        <v>0</v>
      </c>
    </row>
    <row r="34" customFormat="false" ht="15" hidden="false" customHeight="false" outlineLevel="0" collapsed="false">
      <c r="B34" s="14" t="s">
        <v>101</v>
      </c>
      <c r="F34" s="68" t="n">
        <f aca="false">'Food Data'!AG6</f>
        <v>0.5</v>
      </c>
      <c r="G34" s="68" t="n">
        <f aca="false">'Food Data'!AG7</f>
        <v>0.5</v>
      </c>
      <c r="H34" s="68" t="n">
        <f aca="false">'Food Data'!AG8</f>
        <v>0.5</v>
      </c>
      <c r="I34" s="68" t="n">
        <f aca="false">'Food Data'!AG9</f>
        <v>1</v>
      </c>
      <c r="J34" s="68" t="n">
        <f aca="false">'Food Data'!AG10</f>
        <v>0.5</v>
      </c>
      <c r="K34" s="68" t="n">
        <f aca="false">'Food Data'!AG11</f>
        <v>0</v>
      </c>
      <c r="L34" s="68" t="n">
        <f aca="false">'Food Data'!AG12</f>
        <v>0.5</v>
      </c>
      <c r="M34" s="68" t="n">
        <f aca="false">'Food Data'!AG13</f>
        <v>0.5</v>
      </c>
      <c r="N34" s="68" t="n">
        <f aca="false">'Food Data'!AG14</f>
        <v>1</v>
      </c>
      <c r="O34" s="68" t="n">
        <f aca="false">'Food Data'!AG15</f>
        <v>0.5</v>
      </c>
      <c r="P34" s="68" t="n">
        <f aca="false">'Food Data'!AG16</f>
        <v>0</v>
      </c>
      <c r="Q34" s="68" t="n">
        <f aca="false">'Food Data'!AG17</f>
        <v>1</v>
      </c>
      <c r="R34" s="68" t="n">
        <f aca="false">'Food Data'!AG18</f>
        <v>0</v>
      </c>
      <c r="S34" s="68" t="n">
        <f aca="false">'Food Data'!AG19</f>
        <v>0</v>
      </c>
      <c r="T34" s="68" t="n">
        <f aca="false">'Food Data'!AG20</f>
        <v>0.5</v>
      </c>
      <c r="U34" s="68" t="n">
        <f aca="false">'Food Data'!AG21</f>
        <v>0</v>
      </c>
      <c r="V34" s="68" t="n">
        <f aca="false">'Food Data'!AG22</f>
        <v>0.5</v>
      </c>
      <c r="W34" s="68" t="n">
        <f aca="false">'Food Data'!AG23</f>
        <v>0.5</v>
      </c>
      <c r="X34" s="68" t="n">
        <f aca="false">'Food Data'!AG24</f>
        <v>0.5</v>
      </c>
      <c r="Y34" s="68" t="n">
        <f aca="false">'Food Data'!AG25</f>
        <v>0</v>
      </c>
      <c r="Z34" s="68" t="n">
        <f aca="false">'Food Data'!AG26</f>
        <v>0.5</v>
      </c>
      <c r="AA34" s="68" t="n">
        <f aca="false">'Food Data'!AG27</f>
        <v>0.5</v>
      </c>
      <c r="AB34" s="68" t="n">
        <f aca="false">'Food Data'!AG28</f>
        <v>0</v>
      </c>
      <c r="AC34" s="68" t="n">
        <f aca="false">'Food Data'!AG29</f>
        <v>0</v>
      </c>
      <c r="AD34" s="68" t="n">
        <f aca="false">'Food Data'!AG30</f>
        <v>0</v>
      </c>
      <c r="AE34" s="68" t="n">
        <f aca="false">'Food Data'!AG31</f>
        <v>0</v>
      </c>
      <c r="AF34" s="68" t="n">
        <f aca="false">'Food Data'!AG32</f>
        <v>1</v>
      </c>
      <c r="AG34" s="68" t="n">
        <f aca="false">'Food Data'!AG33</f>
        <v>0.5</v>
      </c>
      <c r="AH34" s="68" t="n">
        <f aca="false">'Food Data'!AG34</f>
        <v>0.5</v>
      </c>
      <c r="AI34" s="68" t="n">
        <f aca="false">'Food Data'!AG35</f>
        <v>0</v>
      </c>
      <c r="AJ34" s="68" t="n">
        <f aca="false">'Food Data'!AG36</f>
        <v>0</v>
      </c>
      <c r="AK34" s="68" t="n">
        <f aca="false">'Food Data'!AG37</f>
        <v>0.5</v>
      </c>
      <c r="AL34" s="68" t="n">
        <f aca="false">'Food Data'!AG38</f>
        <v>0</v>
      </c>
      <c r="AM34" s="68" t="n">
        <f aca="false">'Food Data'!AG39</f>
        <v>0.5</v>
      </c>
      <c r="AN34" s="68" t="n">
        <f aca="false">'Food Data'!AG40</f>
        <v>0.5</v>
      </c>
      <c r="AO34" s="68" t="n">
        <f aca="false">'Food Data'!AG41</f>
        <v>0</v>
      </c>
      <c r="AP34" s="68" t="n">
        <f aca="false">'Food Data'!AG42</f>
        <v>0.5</v>
      </c>
      <c r="AQ34" s="68" t="n">
        <f aca="false">'Food Data'!AG43</f>
        <v>0.5</v>
      </c>
      <c r="AR34" s="68" t="n">
        <f aca="false">'Food Data'!AG44</f>
        <v>0.5</v>
      </c>
      <c r="AS34" s="68" t="n">
        <f aca="false">'Food Data'!AG45</f>
        <v>0.5</v>
      </c>
      <c r="AT34" s="68" t="n">
        <f aca="false">'Food Data'!AG46</f>
        <v>0.5</v>
      </c>
      <c r="AU34" s="68" t="n">
        <f aca="false">'Food Data'!AG47</f>
        <v>0.5</v>
      </c>
      <c r="AV34" s="68" t="n">
        <f aca="false">'Food Data'!AG48</f>
        <v>0.5</v>
      </c>
      <c r="AW34" s="68" t="n">
        <f aca="false">'Food Data'!AG49</f>
        <v>0.5</v>
      </c>
      <c r="AX34" s="68" t="n">
        <f aca="false">'Food Data'!AG50</f>
        <v>0.5</v>
      </c>
      <c r="AY34" s="68" t="n">
        <f aca="false">'Food Data'!AG51</f>
        <v>0.5</v>
      </c>
      <c r="AZ34" s="68" t="n">
        <f aca="false">'Food Data'!AG52</f>
        <v>0</v>
      </c>
      <c r="BA34" s="68" t="n">
        <f aca="false">'Food Data'!AG53</f>
        <v>0</v>
      </c>
      <c r="BB34" s="68" t="n">
        <f aca="false">'Food Data'!AG54</f>
        <v>0</v>
      </c>
      <c r="BC34" s="68" t="n">
        <f aca="false">'Food Data'!AG55</f>
        <v>0</v>
      </c>
      <c r="BD34" s="68" t="n">
        <f aca="false">'Food Data'!AG56</f>
        <v>0.5</v>
      </c>
      <c r="BE34" s="68" t="n">
        <f aca="false">'Food Data'!AG57</f>
        <v>0</v>
      </c>
      <c r="BF34" s="68" t="n">
        <f aca="false">'Food Data'!AG58</f>
        <v>0</v>
      </c>
      <c r="BG34" s="68" t="n">
        <f aca="false">'Food Data'!AG59</f>
        <v>0.5</v>
      </c>
      <c r="BH34" s="68" t="n">
        <f aca="false">'Food Data'!AG60</f>
        <v>0.5</v>
      </c>
      <c r="BI34" s="68" t="n">
        <f aca="false">'Food Data'!AG61</f>
        <v>0.5</v>
      </c>
      <c r="BJ34" s="68" t="n">
        <f aca="false">'Food Data'!AG62</f>
        <v>0.5</v>
      </c>
      <c r="BK34" s="68" t="n">
        <f aca="false">'Food Data'!AG63</f>
        <v>0.5</v>
      </c>
      <c r="BL34" s="68" t="n">
        <f aca="false">'Food Data'!AG64</f>
        <v>0.5</v>
      </c>
      <c r="BM34" s="68" t="n">
        <f aca="false">'Food Data'!AG65</f>
        <v>0.5</v>
      </c>
      <c r="BN34" s="68" t="n">
        <f aca="false">'Food Data'!AG66</f>
        <v>0.5</v>
      </c>
      <c r="BO34" s="68" t="n">
        <f aca="false">'Food Data'!AG67</f>
        <v>0.5</v>
      </c>
      <c r="BP34" s="68" t="n">
        <f aca="false">'Food Data'!AG68</f>
        <v>0</v>
      </c>
      <c r="BQ34" s="68" t="n">
        <f aca="false">'Food Data'!AG69</f>
        <v>0.5</v>
      </c>
      <c r="BR34" s="68" t="n">
        <f aca="false">'Food Data'!AG70</f>
        <v>0.5</v>
      </c>
      <c r="BS34" s="68" t="n">
        <f aca="false">'Food Data'!AG71</f>
        <v>0</v>
      </c>
      <c r="BT34" s="68" t="n">
        <f aca="false">'Food Data'!AG72</f>
        <v>0.5</v>
      </c>
      <c r="BU34" s="68" t="n">
        <f aca="false">'Food Data'!AG73</f>
        <v>0</v>
      </c>
      <c r="BV34" s="68" t="n">
        <f aca="false">'Food Data'!AG74</f>
        <v>0</v>
      </c>
      <c r="BW34" s="68" t="n">
        <f aca="false">'Food Data'!AG75</f>
        <v>0</v>
      </c>
      <c r="BX34" s="68" t="n">
        <f aca="false">'Food Data'!AG76</f>
        <v>0</v>
      </c>
    </row>
    <row r="35" customFormat="false" ht="15" hidden="false" customHeight="false" outlineLevel="0" collapsed="false">
      <c r="B35" s="14" t="s">
        <v>120</v>
      </c>
      <c r="F35" s="68" t="n">
        <f aca="false">'Food Data'!AH6</f>
        <v>0.5</v>
      </c>
      <c r="G35" s="68" t="n">
        <f aca="false">'Food Data'!AH7</f>
        <v>0.5</v>
      </c>
      <c r="H35" s="68" t="n">
        <f aca="false">'Food Data'!AH8</f>
        <v>0.5</v>
      </c>
      <c r="I35" s="68" t="n">
        <f aca="false">'Food Data'!AH9</f>
        <v>0</v>
      </c>
      <c r="J35" s="68" t="n">
        <f aca="false">'Food Data'!AH10</f>
        <v>0.5</v>
      </c>
      <c r="K35" s="68" t="n">
        <f aca="false">'Food Data'!AH11</f>
        <v>0</v>
      </c>
      <c r="L35" s="68" t="n">
        <f aca="false">'Food Data'!AH12</f>
        <v>0.5</v>
      </c>
      <c r="M35" s="68" t="n">
        <f aca="false">'Food Data'!AH13</f>
        <v>0.5</v>
      </c>
      <c r="N35" s="68" t="n">
        <f aca="false">'Food Data'!AH14</f>
        <v>0</v>
      </c>
      <c r="O35" s="68" t="n">
        <f aca="false">'Food Data'!AH15</f>
        <v>0.5</v>
      </c>
      <c r="P35" s="68" t="n">
        <f aca="false">'Food Data'!AH16</f>
        <v>1</v>
      </c>
      <c r="Q35" s="68" t="n">
        <f aca="false">'Food Data'!AH17</f>
        <v>0</v>
      </c>
      <c r="R35" s="68" t="n">
        <f aca="false">'Food Data'!AH18</f>
        <v>1</v>
      </c>
      <c r="S35" s="68" t="n">
        <f aca="false">'Food Data'!AH19</f>
        <v>1</v>
      </c>
      <c r="T35" s="68" t="n">
        <f aca="false">'Food Data'!AH20</f>
        <v>0.5</v>
      </c>
      <c r="U35" s="68" t="n">
        <f aca="false">'Food Data'!AH21</f>
        <v>0</v>
      </c>
      <c r="V35" s="68" t="n">
        <f aca="false">'Food Data'!AH22</f>
        <v>0.5</v>
      </c>
      <c r="W35" s="68" t="n">
        <f aca="false">'Food Data'!AH23</f>
        <v>0.5</v>
      </c>
      <c r="X35" s="68" t="n">
        <f aca="false">'Food Data'!AH24</f>
        <v>0.5</v>
      </c>
      <c r="Y35" s="68" t="n">
        <f aca="false">'Food Data'!AH25</f>
        <v>0</v>
      </c>
      <c r="Z35" s="68" t="n">
        <f aca="false">'Food Data'!AH26</f>
        <v>0.5</v>
      </c>
      <c r="AA35" s="68" t="n">
        <f aca="false">'Food Data'!AH27</f>
        <v>0.5</v>
      </c>
      <c r="AB35" s="68" t="n">
        <f aca="false">'Food Data'!AH28</f>
        <v>0</v>
      </c>
      <c r="AC35" s="68" t="n">
        <f aca="false">'Food Data'!AH29</f>
        <v>0</v>
      </c>
      <c r="AD35" s="68" t="n">
        <f aca="false">'Food Data'!AH30</f>
        <v>0</v>
      </c>
      <c r="AE35" s="68" t="n">
        <f aca="false">'Food Data'!AH31</f>
        <v>0</v>
      </c>
      <c r="AF35" s="68" t="n">
        <f aca="false">'Food Data'!AH32</f>
        <v>0</v>
      </c>
      <c r="AG35" s="68" t="n">
        <f aca="false">'Food Data'!AH33</f>
        <v>0.5</v>
      </c>
      <c r="AH35" s="68" t="n">
        <f aca="false">'Food Data'!AH34</f>
        <v>0</v>
      </c>
      <c r="AI35" s="68" t="n">
        <f aca="false">'Food Data'!AH35</f>
        <v>0</v>
      </c>
      <c r="AJ35" s="68" t="n">
        <f aca="false">'Food Data'!AH36</f>
        <v>0</v>
      </c>
      <c r="AK35" s="68" t="n">
        <f aca="false">'Food Data'!AH37</f>
        <v>0.5</v>
      </c>
      <c r="AL35" s="68" t="n">
        <f aca="false">'Food Data'!AH38</f>
        <v>0</v>
      </c>
      <c r="AM35" s="68" t="n">
        <f aca="false">'Food Data'!AH39</f>
        <v>0.5</v>
      </c>
      <c r="AN35" s="68" t="n">
        <f aca="false">'Food Data'!AH40</f>
        <v>0.5</v>
      </c>
      <c r="AO35" s="68" t="n">
        <f aca="false">'Food Data'!AH41</f>
        <v>0</v>
      </c>
      <c r="AP35" s="68" t="n">
        <f aca="false">'Food Data'!AH42</f>
        <v>0.5</v>
      </c>
      <c r="AQ35" s="68" t="n">
        <f aca="false">'Food Data'!AH43</f>
        <v>0.5</v>
      </c>
      <c r="AR35" s="68" t="n">
        <f aca="false">'Food Data'!AH44</f>
        <v>0</v>
      </c>
      <c r="AS35" s="68" t="n">
        <f aca="false">'Food Data'!AH45</f>
        <v>0.5</v>
      </c>
      <c r="AT35" s="68" t="n">
        <f aca="false">'Food Data'!AH46</f>
        <v>0</v>
      </c>
      <c r="AU35" s="68" t="n">
        <f aca="false">'Food Data'!AH47</f>
        <v>0.5</v>
      </c>
      <c r="AV35" s="68" t="n">
        <f aca="false">'Food Data'!AH48</f>
        <v>0.5</v>
      </c>
      <c r="AW35" s="68" t="n">
        <f aca="false">'Food Data'!AH49</f>
        <v>0.5</v>
      </c>
      <c r="AX35" s="68" t="n">
        <f aca="false">'Food Data'!AH50</f>
        <v>0.5</v>
      </c>
      <c r="AY35" s="68" t="n">
        <f aca="false">'Food Data'!AH51</f>
        <v>0</v>
      </c>
      <c r="AZ35" s="68" t="n">
        <f aca="false">'Food Data'!AH52</f>
        <v>0</v>
      </c>
      <c r="BA35" s="68" t="n">
        <f aca="false">'Food Data'!AH53</f>
        <v>0</v>
      </c>
      <c r="BB35" s="68" t="n">
        <f aca="false">'Food Data'!AH54</f>
        <v>0</v>
      </c>
      <c r="BC35" s="68" t="n">
        <f aca="false">'Food Data'!AH55</f>
        <v>0</v>
      </c>
      <c r="BD35" s="68" t="n">
        <f aca="false">'Food Data'!AH56</f>
        <v>0</v>
      </c>
      <c r="BE35" s="68" t="n">
        <f aca="false">'Food Data'!AH57</f>
        <v>0</v>
      </c>
      <c r="BF35" s="68" t="n">
        <f aca="false">'Food Data'!AH58</f>
        <v>0</v>
      </c>
      <c r="BG35" s="68" t="n">
        <f aca="false">'Food Data'!AH59</f>
        <v>0.5</v>
      </c>
      <c r="BH35" s="68" t="n">
        <f aca="false">'Food Data'!AH60</f>
        <v>0</v>
      </c>
      <c r="BI35" s="68" t="n">
        <f aca="false">'Food Data'!AH61</f>
        <v>0.5</v>
      </c>
      <c r="BJ35" s="68" t="n">
        <f aca="false">'Food Data'!AH62</f>
        <v>0.5</v>
      </c>
      <c r="BK35" s="68" t="n">
        <f aca="false">'Food Data'!AH63</f>
        <v>0.5</v>
      </c>
      <c r="BL35" s="68" t="n">
        <f aca="false">'Food Data'!AH64</f>
        <v>0.5</v>
      </c>
      <c r="BM35" s="68" t="n">
        <f aca="false">'Food Data'!AH65</f>
        <v>0.5</v>
      </c>
      <c r="BN35" s="68" t="n">
        <f aca="false">'Food Data'!AH66</f>
        <v>0.5</v>
      </c>
      <c r="BO35" s="68" t="n">
        <f aca="false">'Food Data'!AH67</f>
        <v>0.5</v>
      </c>
      <c r="BP35" s="68" t="n">
        <f aca="false">'Food Data'!AH68</f>
        <v>0.5</v>
      </c>
      <c r="BQ35" s="68" t="n">
        <f aca="false">'Food Data'!AH69</f>
        <v>0.5</v>
      </c>
      <c r="BR35" s="68" t="n">
        <f aca="false">'Food Data'!AH70</f>
        <v>0.5</v>
      </c>
      <c r="BS35" s="68" t="n">
        <f aca="false">'Food Data'!AH71</f>
        <v>0</v>
      </c>
      <c r="BT35" s="68" t="n">
        <f aca="false">'Food Data'!AH72</f>
        <v>0.5</v>
      </c>
      <c r="BU35" s="68" t="n">
        <f aca="false">'Food Data'!AH73</f>
        <v>0</v>
      </c>
      <c r="BV35" s="68" t="n">
        <f aca="false">'Food Data'!AH74</f>
        <v>0</v>
      </c>
      <c r="BW35" s="68" t="n">
        <f aca="false">'Food Data'!AH75</f>
        <v>0</v>
      </c>
      <c r="BX35" s="68" t="n">
        <f aca="false">'Food Data'!AH76</f>
        <v>0</v>
      </c>
    </row>
    <row r="36" customFormat="false" ht="15" hidden="false" customHeight="false" outlineLevel="0" collapsed="false">
      <c r="B36" s="14" t="s">
        <v>136</v>
      </c>
      <c r="F36" s="68" t="n">
        <f aca="false">'Food Data'!AI6</f>
        <v>0</v>
      </c>
      <c r="G36" s="68" t="n">
        <f aca="false">'Food Data'!AI7</f>
        <v>0</v>
      </c>
      <c r="H36" s="68" t="n">
        <f aca="false">'Food Data'!AI8</f>
        <v>0</v>
      </c>
      <c r="I36" s="68" t="n">
        <f aca="false">'Food Data'!AI9</f>
        <v>0</v>
      </c>
      <c r="J36" s="68" t="n">
        <f aca="false">'Food Data'!AI10</f>
        <v>0</v>
      </c>
      <c r="K36" s="68" t="n">
        <f aca="false">'Food Data'!AI11</f>
        <v>0</v>
      </c>
      <c r="L36" s="68" t="n">
        <f aca="false">'Food Data'!AI12</f>
        <v>0</v>
      </c>
      <c r="M36" s="68" t="n">
        <f aca="false">'Food Data'!AI13</f>
        <v>0</v>
      </c>
      <c r="N36" s="68" t="n">
        <f aca="false">'Food Data'!AI14</f>
        <v>0</v>
      </c>
      <c r="O36" s="68" t="n">
        <f aca="false">'Food Data'!AI15</f>
        <v>0</v>
      </c>
      <c r="P36" s="68" t="n">
        <f aca="false">'Food Data'!AI16</f>
        <v>0</v>
      </c>
      <c r="Q36" s="68" t="n">
        <f aca="false">'Food Data'!AI17</f>
        <v>0</v>
      </c>
      <c r="R36" s="68" t="n">
        <f aca="false">'Food Data'!AI18</f>
        <v>0</v>
      </c>
      <c r="S36" s="68" t="n">
        <f aca="false">'Food Data'!AI19</f>
        <v>0</v>
      </c>
      <c r="T36" s="68" t="n">
        <f aca="false">'Food Data'!AI20</f>
        <v>0</v>
      </c>
      <c r="U36" s="68" t="n">
        <f aca="false">'Food Data'!AI21</f>
        <v>0</v>
      </c>
      <c r="V36" s="68" t="n">
        <f aca="false">'Food Data'!AI22</f>
        <v>0</v>
      </c>
      <c r="W36" s="68" t="n">
        <f aca="false">'Food Data'!AI23</f>
        <v>0</v>
      </c>
      <c r="X36" s="68" t="n">
        <f aca="false">'Food Data'!AI24</f>
        <v>0</v>
      </c>
      <c r="Y36" s="68" t="n">
        <f aca="false">'Food Data'!AI25</f>
        <v>0.5</v>
      </c>
      <c r="Z36" s="68" t="n">
        <f aca="false">'Food Data'!AI26</f>
        <v>0</v>
      </c>
      <c r="AA36" s="68" t="n">
        <f aca="false">'Food Data'!AI27</f>
        <v>0</v>
      </c>
      <c r="AB36" s="68" t="n">
        <f aca="false">'Food Data'!AI28</f>
        <v>0.5</v>
      </c>
      <c r="AC36" s="68" t="n">
        <f aca="false">'Food Data'!AI29</f>
        <v>0.5</v>
      </c>
      <c r="AD36" s="68" t="n">
        <f aca="false">'Food Data'!AI30</f>
        <v>0.5</v>
      </c>
      <c r="AE36" s="68" t="n">
        <f aca="false">'Food Data'!AI31</f>
        <v>0.5</v>
      </c>
      <c r="AF36" s="68" t="n">
        <f aca="false">'Food Data'!AI32</f>
        <v>0</v>
      </c>
      <c r="AG36" s="68" t="n">
        <f aca="false">'Food Data'!AI33</f>
        <v>0</v>
      </c>
      <c r="AH36" s="68" t="n">
        <f aca="false">'Food Data'!AI34</f>
        <v>0.5</v>
      </c>
      <c r="AI36" s="68" t="n">
        <f aca="false">'Food Data'!AI35</f>
        <v>1</v>
      </c>
      <c r="AJ36" s="68" t="n">
        <f aca="false">'Food Data'!AI36</f>
        <v>0</v>
      </c>
      <c r="AK36" s="68" t="n">
        <f aca="false">'Food Data'!AI37</f>
        <v>0</v>
      </c>
      <c r="AL36" s="68" t="n">
        <f aca="false">'Food Data'!AI38</f>
        <v>0</v>
      </c>
      <c r="AM36" s="68" t="n">
        <f aca="false">'Food Data'!AI39</f>
        <v>0</v>
      </c>
      <c r="AN36" s="68" t="n">
        <f aca="false">'Food Data'!AI40</f>
        <v>0</v>
      </c>
      <c r="AO36" s="68" t="n">
        <f aca="false">'Food Data'!AI41</f>
        <v>0</v>
      </c>
      <c r="AP36" s="68" t="n">
        <f aca="false">'Food Data'!AI42</f>
        <v>0</v>
      </c>
      <c r="AQ36" s="68" t="n">
        <f aca="false">'Food Data'!AI43</f>
        <v>0</v>
      </c>
      <c r="AR36" s="68" t="n">
        <f aca="false">'Food Data'!AI44</f>
        <v>0</v>
      </c>
      <c r="AS36" s="68" t="n">
        <f aca="false">'Food Data'!AI45</f>
        <v>0</v>
      </c>
      <c r="AT36" s="68" t="n">
        <f aca="false">'Food Data'!AI46</f>
        <v>0</v>
      </c>
      <c r="AU36" s="68" t="n">
        <f aca="false">'Food Data'!AI47</f>
        <v>0</v>
      </c>
      <c r="AV36" s="68" t="n">
        <f aca="false">'Food Data'!AI48</f>
        <v>0</v>
      </c>
      <c r="AW36" s="68" t="n">
        <f aca="false">'Food Data'!AI49</f>
        <v>0</v>
      </c>
      <c r="AX36" s="68" t="n">
        <f aca="false">'Food Data'!AI50</f>
        <v>0</v>
      </c>
      <c r="AY36" s="68" t="n">
        <f aca="false">'Food Data'!AI51</f>
        <v>0.5</v>
      </c>
      <c r="AZ36" s="68" t="n">
        <f aca="false">'Food Data'!AI52</f>
        <v>0.5</v>
      </c>
      <c r="BA36" s="68" t="n">
        <f aca="false">'Food Data'!AI53</f>
        <v>0</v>
      </c>
      <c r="BB36" s="68" t="n">
        <f aca="false">'Food Data'!AI54</f>
        <v>1</v>
      </c>
      <c r="BC36" s="68" t="n">
        <f aca="false">'Food Data'!AI55</f>
        <v>0</v>
      </c>
      <c r="BD36" s="68" t="n">
        <f aca="false">'Food Data'!AI56</f>
        <v>0.5</v>
      </c>
      <c r="BE36" s="68" t="n">
        <f aca="false">'Food Data'!AI57</f>
        <v>1</v>
      </c>
      <c r="BF36" s="68" t="n">
        <f aca="false">'Food Data'!AI58</f>
        <v>0.5</v>
      </c>
      <c r="BG36" s="68" t="n">
        <f aca="false">'Food Data'!AI59</f>
        <v>0</v>
      </c>
      <c r="BH36" s="68" t="n">
        <f aca="false">'Food Data'!AI60</f>
        <v>0.5</v>
      </c>
      <c r="BI36" s="68" t="n">
        <f aca="false">'Food Data'!AI61</f>
        <v>0</v>
      </c>
      <c r="BJ36" s="68" t="n">
        <f aca="false">'Food Data'!AI62</f>
        <v>0</v>
      </c>
      <c r="BK36" s="68" t="n">
        <f aca="false">'Food Data'!AI63</f>
        <v>0</v>
      </c>
      <c r="BL36" s="68" t="n">
        <f aca="false">'Food Data'!AI64</f>
        <v>0</v>
      </c>
      <c r="BM36" s="68" t="n">
        <f aca="false">'Food Data'!AI65</f>
        <v>0</v>
      </c>
      <c r="BN36" s="68" t="n">
        <f aca="false">'Food Data'!AI66</f>
        <v>0</v>
      </c>
      <c r="BO36" s="68" t="n">
        <f aca="false">'Food Data'!AI67</f>
        <v>0</v>
      </c>
      <c r="BP36" s="68" t="n">
        <f aca="false">'Food Data'!AI68</f>
        <v>0</v>
      </c>
      <c r="BQ36" s="68" t="n">
        <f aca="false">'Food Data'!AI69</f>
        <v>0</v>
      </c>
      <c r="BR36" s="68" t="n">
        <f aca="false">'Food Data'!AI70</f>
        <v>0</v>
      </c>
      <c r="BS36" s="68" t="n">
        <f aca="false">'Food Data'!AI71</f>
        <v>1</v>
      </c>
      <c r="BT36" s="68" t="n">
        <f aca="false">'Food Data'!AI72</f>
        <v>0</v>
      </c>
      <c r="BU36" s="68" t="n">
        <f aca="false">'Food Data'!AI73</f>
        <v>1</v>
      </c>
      <c r="BV36" s="68" t="n">
        <f aca="false">'Food Data'!AI74</f>
        <v>1</v>
      </c>
      <c r="BW36" s="68" t="n">
        <f aca="false">'Food Data'!AI75</f>
        <v>1</v>
      </c>
      <c r="BX36" s="68" t="n">
        <f aca="false">'Food Data'!AI76</f>
        <v>1</v>
      </c>
    </row>
    <row r="38" customFormat="false" ht="15" hidden="false" customHeight="false" outlineLevel="0" collapsed="false">
      <c r="A38" s="3" t="s">
        <v>703</v>
      </c>
    </row>
    <row r="39" customFormat="false" ht="57.75" hidden="false" customHeight="true" outlineLevel="0" collapsed="false">
      <c r="A39" s="16" t="s">
        <v>704</v>
      </c>
      <c r="B39" s="16" t="s">
        <v>705</v>
      </c>
      <c r="C39" s="16" t="s">
        <v>706</v>
      </c>
      <c r="D39" s="16" t="s">
        <v>707</v>
      </c>
      <c r="E39" s="16" t="s">
        <v>16</v>
      </c>
      <c r="F39" s="80" t="str">
        <f aca="false">F13</f>
        <v>Chicken breast, roasted</v>
      </c>
      <c r="G39" s="80" t="str">
        <f aca="false">G13</f>
        <v>Chicken drumsticks, roasted (meat &amp; skin)</v>
      </c>
      <c r="H39" s="80" t="str">
        <f aca="false">H13</f>
        <v>Chicken thighs, roasted</v>
      </c>
      <c r="I39" s="80" t="str">
        <f aca="false">I13</f>
        <v>Deli turkey breast (sliced)</v>
      </c>
      <c r="J39" s="80" t="str">
        <f aca="false">J13</f>
        <v>Ground turkey 93/7, cooked</v>
      </c>
      <c r="K39" s="80" t="str">
        <f aca="false">K13</f>
        <v>Bacon, cooked</v>
      </c>
      <c r="L39" s="80" t="str">
        <f aca="false">L13</f>
        <v>Ground beef 80/20, cooked</v>
      </c>
      <c r="M39" s="80" t="str">
        <f aca="false">M13</f>
        <v>Ground beef 93/7, cooked</v>
      </c>
      <c r="N39" s="80" t="str">
        <f aca="false">N13</f>
        <v>Ham (sliced, cooked)</v>
      </c>
      <c r="O39" s="80" t="str">
        <f aca="false">O13</f>
        <v>Pork loin chops, pan-cooked</v>
      </c>
      <c r="P39" s="80" t="str">
        <f aca="false">P13</f>
        <v>Top sirloin steak, broiled</v>
      </c>
      <c r="Q39" s="80" t="str">
        <f aca="false">Q13</f>
        <v>Canned light tuna (in water)</v>
      </c>
      <c r="R39" s="80" t="str">
        <f aca="false">R13</f>
        <v>Salmon, baked</v>
      </c>
      <c r="S39" s="80" t="str">
        <f aca="false">S13</f>
        <v>Shrimp, cooked</v>
      </c>
      <c r="T39" s="80" t="str">
        <f aca="false">T13</f>
        <v>Tilapia, baked</v>
      </c>
      <c r="U39" s="80" t="str">
        <f aca="false">U13</f>
        <v>Eggs (large)</v>
      </c>
      <c r="V39" s="80" t="str">
        <f aca="false">V13</f>
        <v>Black beans (canned)</v>
      </c>
      <c r="W39" s="80" t="str">
        <f aca="false">W13</f>
        <v>Chickpeas (canned)</v>
      </c>
      <c r="X39" s="80" t="str">
        <f aca="false">X13</f>
        <v>Lentils, cooked</v>
      </c>
      <c r="Y39" s="80" t="str">
        <f aca="false">Y13</f>
        <v>Peanut butter</v>
      </c>
      <c r="Z39" s="80" t="str">
        <f aca="false">Z13</f>
        <v>Pinto beans, cooked</v>
      </c>
      <c r="AA39" s="80" t="str">
        <f aca="false">AA13</f>
        <v>Tofu (extra firm)</v>
      </c>
      <c r="AB39" s="80" t="str">
        <f aca="false">AB13</f>
        <v>2% milk</v>
      </c>
      <c r="AC39" s="80" t="str">
        <f aca="false">AC13</f>
        <v>Greek yogurt (plain, nonfat)</v>
      </c>
      <c r="AD39" s="80" t="str">
        <f aca="false">AD13</f>
        <v>Soy milk (calcium-fortified)</v>
      </c>
      <c r="AE39" s="80" t="str">
        <f aca="false">AE13</f>
        <v>Whole milk</v>
      </c>
      <c r="AF39" s="80" t="str">
        <f aca="false">AF13</f>
        <v>American cheese (singles)</v>
      </c>
      <c r="AG39" s="80" t="str">
        <f aca="false">AG13</f>
        <v>Cheddar cheese</v>
      </c>
      <c r="AH39" s="80" t="str">
        <f aca="false">AH13</f>
        <v>Cottage cheese (2%)</v>
      </c>
      <c r="AI39" s="80" t="str">
        <f aca="false">AI13</f>
        <v>Mozzarella string cheese</v>
      </c>
      <c r="AJ39" s="80" t="str">
        <f aca="false">AJ13</f>
        <v>Bagels (plain)</v>
      </c>
      <c r="AK39" s="80" t="str">
        <f aca="false">AK13</f>
        <v>Brown rice, cooked</v>
      </c>
      <c r="AL39" s="80" t="str">
        <f aca="false">AL13</f>
        <v>Cheerios</v>
      </c>
      <c r="AM39" s="80" t="str">
        <f aca="false">AM13</f>
        <v>Corn tortillas</v>
      </c>
      <c r="AN39" s="80" t="str">
        <f aca="false">AN13</f>
        <v>Flour tortillas</v>
      </c>
      <c r="AO39" s="80" t="str">
        <f aca="false">AO13</f>
        <v>Oatmeal (made with water)</v>
      </c>
      <c r="AP39" s="80" t="str">
        <f aca="false">AP13</f>
        <v>Quinoa, cooked</v>
      </c>
      <c r="AQ39" s="80" t="str">
        <f aca="false">AQ13</f>
        <v>Spaghetti, cooked</v>
      </c>
      <c r="AR39" s="80" t="str">
        <f aca="false">AR13</f>
        <v>White bread</v>
      </c>
      <c r="AS39" s="80" t="str">
        <f aca="false">AS13</f>
        <v>White rice, cooked</v>
      </c>
      <c r="AT39" s="80" t="str">
        <f aca="false">AT13</f>
        <v>Whole-wheat bread</v>
      </c>
      <c r="AU39" s="80" t="str">
        <f aca="false">AU13</f>
        <v>Whole-wheat spaghetti, cooked</v>
      </c>
      <c r="AV39" s="80" t="str">
        <f aca="false">AV13</f>
        <v>Baked potato (with skin)</v>
      </c>
      <c r="AW39" s="80" t="str">
        <f aca="false">AW13</f>
        <v>Baked sweet potato</v>
      </c>
      <c r="AX39" s="80" t="str">
        <f aca="false">AX13</f>
        <v>Corn, cooked (from frozen)</v>
      </c>
      <c r="AY39" s="80" t="str">
        <f aca="false">AY13</f>
        <v>Apples (Gala)</v>
      </c>
      <c r="AZ39" s="80" t="str">
        <f aca="false">AZ13</f>
        <v>Bananas</v>
      </c>
      <c r="BA39" s="80" t="str">
        <f aca="false">BA13</f>
        <v>Blueberries (frozen)</v>
      </c>
      <c r="BB39" s="80" t="str">
        <f aca="false">BB13</f>
        <v>Grapes (red seedless)</v>
      </c>
      <c r="BC39" s="80" t="str">
        <f aca="false">BC13</f>
        <v>Orange juice (100%)</v>
      </c>
      <c r="BD39" s="80" t="str">
        <f aca="false">BD13</f>
        <v>Oranges (navel)</v>
      </c>
      <c r="BE39" s="80" t="str">
        <f aca="false">BE13</f>
        <v>Raisins</v>
      </c>
      <c r="BF39" s="80" t="str">
        <f aca="false">BF13</f>
        <v>Strawberries</v>
      </c>
      <c r="BG39" s="80" t="str">
        <f aca="false">BG13</f>
        <v>Broccoli, cooked (from frozen)</v>
      </c>
      <c r="BH39" s="80" t="str">
        <f aca="false">BH13</f>
        <v>Carrots</v>
      </c>
      <c r="BI39" s="80" t="str">
        <f aca="false">BI13</f>
        <v>Green beans (canned, drained)</v>
      </c>
      <c r="BJ39" s="80" t="str">
        <f aca="false">BJ13</f>
        <v>Green bell pepper</v>
      </c>
      <c r="BK39" s="80" t="str">
        <f aca="false">BK13</f>
        <v>Mixed vegetables, cooked (from frozen)</v>
      </c>
      <c r="BL39" s="80" t="str">
        <f aca="false">BL13</f>
        <v>Onions (yellow)</v>
      </c>
      <c r="BM39" s="80" t="str">
        <f aca="false">BM13</f>
        <v>Romaine lettuce</v>
      </c>
      <c r="BN39" s="80" t="str">
        <f aca="false">BN13</f>
        <v>Spinach (fresh)</v>
      </c>
      <c r="BO39" s="80" t="str">
        <f aca="false">BO13</f>
        <v>Tomatoes (roma)</v>
      </c>
      <c r="BP39" s="80" t="str">
        <f aca="false">BP13</f>
        <v>Butter (salted)</v>
      </c>
      <c r="BQ39" s="80" t="str">
        <f aca="false">BQ13</f>
        <v>Canola oil</v>
      </c>
      <c r="BR39" s="80" t="str">
        <f aca="false">BR13</f>
        <v>Olive oil (extra virgin)</v>
      </c>
      <c r="BS39" s="80" t="str">
        <f aca="false">BS13</f>
        <v>Almonds</v>
      </c>
      <c r="BT39" s="80" t="str">
        <f aca="false">BT13</f>
        <v>Avocado (Hass)</v>
      </c>
      <c r="BU39" s="80" t="str">
        <f aca="false">BU13</f>
        <v>Chocolate chip cookies</v>
      </c>
      <c r="BV39" s="80" t="str">
        <f aca="false">BV13</f>
        <v>Granola bars (chocolate chip)</v>
      </c>
      <c r="BW39" s="80" t="str">
        <f aca="false">BW13</f>
        <v>Potato chips</v>
      </c>
      <c r="BX39" s="80" t="str">
        <f aca="false">BX13</f>
        <v>Vanilla ice cream</v>
      </c>
    </row>
    <row r="40" customFormat="false" ht="15" hidden="false" customHeight="false" outlineLevel="0" collapsed="false">
      <c r="A40" s="4" t="s">
        <v>708</v>
      </c>
      <c r="B40" s="81" t="s">
        <v>709</v>
      </c>
      <c r="C40" s="82" t="n">
        <f aca="false">Planner!$E$16*(1-Planner!$C$42)</f>
        <v>2878.5</v>
      </c>
      <c r="D40" s="83" t="n">
        <f aca="false" t="array" ref="D40:D116">MMULT(F40:BX116,C121:C191)</f>
        <v>2945.578089719</v>
      </c>
      <c r="E40" s="81" t="str">
        <f aca="false">IF(D40&gt;=C40-0.000001*MAX(1,ABS(C40)),IF(ABS(D40-C40)&lt;=0.000001*MAX(1,ABS(C40)),"tight","ok"),"VIOLATED")</f>
        <v>ok</v>
      </c>
      <c r="F40" s="23" t="n">
        <f aca="false">F$20</f>
        <v>165</v>
      </c>
      <c r="G40" s="23" t="n">
        <f aca="false">G$20</f>
        <v>191</v>
      </c>
      <c r="H40" s="23" t="n">
        <f aca="false">H$20</f>
        <v>179</v>
      </c>
      <c r="I40" s="23" t="n">
        <f aca="false">I$20</f>
        <v>100</v>
      </c>
      <c r="J40" s="23" t="n">
        <f aca="false">J$20</f>
        <v>213</v>
      </c>
      <c r="K40" s="23" t="n">
        <f aca="false">K$20</f>
        <v>468</v>
      </c>
      <c r="L40" s="23" t="n">
        <f aca="false">L$20</f>
        <v>272</v>
      </c>
      <c r="M40" s="23" t="n">
        <f aca="false">M$20</f>
        <v>209</v>
      </c>
      <c r="N40" s="23" t="n">
        <f aca="false">N$20</f>
        <v>163</v>
      </c>
      <c r="O40" s="23" t="n">
        <f aca="false">O$20</f>
        <v>229</v>
      </c>
      <c r="P40" s="23" t="n">
        <f aca="false">P$20</f>
        <v>257</v>
      </c>
      <c r="Q40" s="23" t="n">
        <f aca="false">Q$20</f>
        <v>86</v>
      </c>
      <c r="R40" s="23" t="n">
        <f aca="false">R$20</f>
        <v>206</v>
      </c>
      <c r="S40" s="23" t="n">
        <f aca="false">S$20</f>
        <v>119</v>
      </c>
      <c r="T40" s="23" t="n">
        <f aca="false">T$20</f>
        <v>128</v>
      </c>
      <c r="U40" s="23" t="n">
        <f aca="false">U$20</f>
        <v>143</v>
      </c>
      <c r="V40" s="23" t="n">
        <f aca="false">V$20</f>
        <v>91</v>
      </c>
      <c r="W40" s="23" t="n">
        <f aca="false">W$20</f>
        <v>88</v>
      </c>
      <c r="X40" s="23" t="n">
        <f aca="false">X$20</f>
        <v>116</v>
      </c>
      <c r="Y40" s="23" t="n">
        <f aca="false">Y$20</f>
        <v>598</v>
      </c>
      <c r="Z40" s="23" t="n">
        <f aca="false">Z$20</f>
        <v>143</v>
      </c>
      <c r="AA40" s="23" t="n">
        <f aca="false">AA$20</f>
        <v>98</v>
      </c>
      <c r="AB40" s="23" t="n">
        <f aca="false">AB$20</f>
        <v>50</v>
      </c>
      <c r="AC40" s="23" t="n">
        <f aca="false">AC$20</f>
        <v>59</v>
      </c>
      <c r="AD40" s="23" t="n">
        <f aca="false">AD$20</f>
        <v>43</v>
      </c>
      <c r="AE40" s="23" t="n">
        <f aca="false">AE$20</f>
        <v>61</v>
      </c>
      <c r="AF40" s="23" t="n">
        <f aca="false">AF$20</f>
        <v>366</v>
      </c>
      <c r="AG40" s="23" t="n">
        <f aca="false">AG$20</f>
        <v>404</v>
      </c>
      <c r="AH40" s="23" t="n">
        <f aca="false">AH$20</f>
        <v>81</v>
      </c>
      <c r="AI40" s="23" t="n">
        <f aca="false">AI$20</f>
        <v>295</v>
      </c>
      <c r="AJ40" s="23" t="n">
        <f aca="false">AJ$20</f>
        <v>264</v>
      </c>
      <c r="AK40" s="23" t="n">
        <f aca="false">AK$20</f>
        <v>123</v>
      </c>
      <c r="AL40" s="23" t="n">
        <f aca="false">AL$20</f>
        <v>376</v>
      </c>
      <c r="AM40" s="23" t="n">
        <f aca="false">AM$20</f>
        <v>218</v>
      </c>
      <c r="AN40" s="23" t="n">
        <f aca="false">AN$20</f>
        <v>297</v>
      </c>
      <c r="AO40" s="23" t="n">
        <f aca="false">AO$20</f>
        <v>71</v>
      </c>
      <c r="AP40" s="23" t="n">
        <f aca="false">AP$20</f>
        <v>120</v>
      </c>
      <c r="AQ40" s="23" t="n">
        <f aca="false">AQ$20</f>
        <v>158</v>
      </c>
      <c r="AR40" s="23" t="n">
        <f aca="false">AR$20</f>
        <v>266</v>
      </c>
      <c r="AS40" s="23" t="n">
        <f aca="false">AS$20</f>
        <v>130</v>
      </c>
      <c r="AT40" s="23" t="n">
        <f aca="false">AT$20</f>
        <v>252</v>
      </c>
      <c r="AU40" s="23" t="n">
        <f aca="false">AU$20</f>
        <v>149</v>
      </c>
      <c r="AV40" s="23" t="n">
        <f aca="false">AV$20</f>
        <v>93</v>
      </c>
      <c r="AW40" s="23" t="n">
        <f aca="false">AW$20</f>
        <v>90</v>
      </c>
      <c r="AX40" s="23" t="n">
        <f aca="false">AX$20</f>
        <v>81</v>
      </c>
      <c r="AY40" s="23" t="n">
        <f aca="false">AY$20</f>
        <v>52</v>
      </c>
      <c r="AZ40" s="23" t="n">
        <f aca="false">AZ$20</f>
        <v>89</v>
      </c>
      <c r="BA40" s="23" t="n">
        <f aca="false">BA$20</f>
        <v>51</v>
      </c>
      <c r="BB40" s="23" t="n">
        <f aca="false">BB$20</f>
        <v>69</v>
      </c>
      <c r="BC40" s="23" t="n">
        <f aca="false">BC$20</f>
        <v>49</v>
      </c>
      <c r="BD40" s="23" t="n">
        <f aca="false">BD$20</f>
        <v>49</v>
      </c>
      <c r="BE40" s="23" t="n">
        <f aca="false">BE$20</f>
        <v>299</v>
      </c>
      <c r="BF40" s="23" t="n">
        <f aca="false">BF$20</f>
        <v>32</v>
      </c>
      <c r="BG40" s="23" t="n">
        <f aca="false">BG$20</f>
        <v>28</v>
      </c>
      <c r="BH40" s="23" t="n">
        <f aca="false">BH$20</f>
        <v>41</v>
      </c>
      <c r="BI40" s="23" t="n">
        <f aca="false">BI$20</f>
        <v>22</v>
      </c>
      <c r="BJ40" s="23" t="n">
        <f aca="false">BJ$20</f>
        <v>20</v>
      </c>
      <c r="BK40" s="23" t="n">
        <f aca="false">BK$20</f>
        <v>65</v>
      </c>
      <c r="BL40" s="23" t="n">
        <f aca="false">BL$20</f>
        <v>40</v>
      </c>
      <c r="BM40" s="23" t="n">
        <f aca="false">BM$20</f>
        <v>17</v>
      </c>
      <c r="BN40" s="23" t="n">
        <f aca="false">BN$20</f>
        <v>23</v>
      </c>
      <c r="BO40" s="23" t="n">
        <f aca="false">BO$20</f>
        <v>18</v>
      </c>
      <c r="BP40" s="23" t="n">
        <f aca="false">BP$20</f>
        <v>717</v>
      </c>
      <c r="BQ40" s="23" t="n">
        <f aca="false">BQ$20</f>
        <v>884</v>
      </c>
      <c r="BR40" s="23" t="n">
        <f aca="false">BR$20</f>
        <v>884</v>
      </c>
      <c r="BS40" s="23" t="n">
        <f aca="false">BS$20</f>
        <v>579</v>
      </c>
      <c r="BT40" s="23" t="n">
        <f aca="false">BT$20</f>
        <v>167</v>
      </c>
      <c r="BU40" s="23" t="n">
        <f aca="false">BU$20</f>
        <v>492</v>
      </c>
      <c r="BV40" s="23" t="n">
        <f aca="false">BV$20</f>
        <v>418</v>
      </c>
      <c r="BW40" s="23" t="n">
        <f aca="false">BW$20</f>
        <v>532</v>
      </c>
      <c r="BX40" s="23" t="n">
        <f aca="false">BX$20</f>
        <v>207</v>
      </c>
    </row>
    <row r="41" customFormat="false" ht="15" hidden="false" customHeight="false" outlineLevel="0" collapsed="false">
      <c r="A41" s="4" t="s">
        <v>710</v>
      </c>
      <c r="B41" s="81" t="s">
        <v>709</v>
      </c>
      <c r="C41" s="82" t="n">
        <f aca="false">N(Planner!$E$17)</f>
        <v>112</v>
      </c>
      <c r="D41" s="83" t="n">
        <v>111.99999997945</v>
      </c>
      <c r="E41" s="81" t="str">
        <f aca="false">IF(D41&gt;=C41-0.000001*MAX(1,ABS(C41)),IF(ABS(D41-C41)&lt;=0.000001*MAX(1,ABS(C41)),"tight","ok"),"VIOLATED")</f>
        <v>tight</v>
      </c>
      <c r="F41" s="23" t="n">
        <f aca="false">F$21</f>
        <v>31.02</v>
      </c>
      <c r="G41" s="23" t="n">
        <f aca="false">G$21</f>
        <v>23.35</v>
      </c>
      <c r="H41" s="23" t="n">
        <f aca="false">H$21</f>
        <v>24.76</v>
      </c>
      <c r="I41" s="23" t="n">
        <f aca="false">I$21</f>
        <v>16.33</v>
      </c>
      <c r="J41" s="23" t="n">
        <f aca="false">J$21</f>
        <v>27.1</v>
      </c>
      <c r="K41" s="23" t="n">
        <f aca="false">K$21</f>
        <v>33.92</v>
      </c>
      <c r="L41" s="23" t="n">
        <f aca="false">L$21</f>
        <v>27</v>
      </c>
      <c r="M41" s="23" t="n">
        <f aca="false">M$21</f>
        <v>28.88</v>
      </c>
      <c r="N41" s="23" t="n">
        <f aca="false">N$21</f>
        <v>16.6</v>
      </c>
      <c r="O41" s="23" t="n">
        <f aca="false">O$21</f>
        <v>26.68</v>
      </c>
      <c r="P41" s="23" t="n">
        <f aca="false">P$21</f>
        <v>26.8</v>
      </c>
      <c r="Q41" s="23" t="n">
        <f aca="false">Q$21</f>
        <v>19.44</v>
      </c>
      <c r="R41" s="23" t="n">
        <f aca="false">R$21</f>
        <v>22.1</v>
      </c>
      <c r="S41" s="23" t="n">
        <f aca="false">S$21</f>
        <v>22.78</v>
      </c>
      <c r="T41" s="23" t="n">
        <f aca="false">T$21</f>
        <v>26.15</v>
      </c>
      <c r="U41" s="23" t="n">
        <f aca="false">U$21</f>
        <v>12.56</v>
      </c>
      <c r="V41" s="23" t="n">
        <f aca="false">V$21</f>
        <v>6.03</v>
      </c>
      <c r="W41" s="23" t="n">
        <f aca="false">W$21</f>
        <v>4.92</v>
      </c>
      <c r="X41" s="23" t="n">
        <f aca="false">X$21</f>
        <v>9.02</v>
      </c>
      <c r="Y41" s="23" t="n">
        <f aca="false">Y$21</f>
        <v>22.21</v>
      </c>
      <c r="Z41" s="23" t="n">
        <f aca="false">Z$21</f>
        <v>9.01</v>
      </c>
      <c r="AA41" s="23" t="n">
        <f aca="false">AA$21</f>
        <v>10.1</v>
      </c>
      <c r="AB41" s="23" t="n">
        <f aca="false">AB$21</f>
        <v>3.3</v>
      </c>
      <c r="AC41" s="23" t="n">
        <f aca="false">AC$21</f>
        <v>10.19</v>
      </c>
      <c r="AD41" s="23" t="n">
        <f aca="false">AD$21</f>
        <v>2.6</v>
      </c>
      <c r="AE41" s="23" t="n">
        <f aca="false">AE$21</f>
        <v>3.15</v>
      </c>
      <c r="AF41" s="23" t="n">
        <f aca="false">AF$21</f>
        <v>18.13</v>
      </c>
      <c r="AG41" s="23" t="n">
        <f aca="false">AG$21</f>
        <v>22.87</v>
      </c>
      <c r="AH41" s="23" t="n">
        <f aca="false">AH$21</f>
        <v>10.45</v>
      </c>
      <c r="AI41" s="23" t="n">
        <f aca="false">AI$21</f>
        <v>23.75</v>
      </c>
      <c r="AJ41" s="23" t="n">
        <f aca="false">AJ$21</f>
        <v>10.56</v>
      </c>
      <c r="AK41" s="23" t="n">
        <f aca="false">AK$21</f>
        <v>2.74</v>
      </c>
      <c r="AL41" s="23" t="n">
        <f aca="false">AL$21</f>
        <v>12.09</v>
      </c>
      <c r="AM41" s="23" t="n">
        <f aca="false">AM$21</f>
        <v>5.7</v>
      </c>
      <c r="AN41" s="23" t="n">
        <f aca="false">AN$21</f>
        <v>8.01</v>
      </c>
      <c r="AO41" s="23" t="n">
        <f aca="false">AO$21</f>
        <v>2.54</v>
      </c>
      <c r="AP41" s="23" t="n">
        <f aca="false">AP$21</f>
        <v>4.4</v>
      </c>
      <c r="AQ41" s="23" t="n">
        <f aca="false">AQ$21</f>
        <v>5.8</v>
      </c>
      <c r="AR41" s="23" t="n">
        <f aca="false">AR$21</f>
        <v>8.85</v>
      </c>
      <c r="AS41" s="23" t="n">
        <f aca="false">AS$21</f>
        <v>2.69</v>
      </c>
      <c r="AT41" s="23" t="n">
        <f aca="false">AT$21</f>
        <v>12.45</v>
      </c>
      <c r="AU41" s="23" t="n">
        <f aca="false">AU$21</f>
        <v>5.99</v>
      </c>
      <c r="AV41" s="23" t="n">
        <f aca="false">AV$21</f>
        <v>2.5</v>
      </c>
      <c r="AW41" s="23" t="n">
        <f aca="false">AW$21</f>
        <v>2.01</v>
      </c>
      <c r="AX41" s="23" t="n">
        <f aca="false">AX$21</f>
        <v>2.55</v>
      </c>
      <c r="AY41" s="23" t="n">
        <f aca="false">AY$21</f>
        <v>0.26</v>
      </c>
      <c r="AZ41" s="23" t="n">
        <f aca="false">AZ$21</f>
        <v>1.09</v>
      </c>
      <c r="BA41" s="23" t="n">
        <f aca="false">BA$21</f>
        <v>0.42</v>
      </c>
      <c r="BB41" s="23" t="n">
        <f aca="false">BB$21</f>
        <v>0.72</v>
      </c>
      <c r="BC41" s="23" t="n">
        <f aca="false">BC$21</f>
        <v>0.68</v>
      </c>
      <c r="BD41" s="23" t="n">
        <f aca="false">BD$21</f>
        <v>0.91</v>
      </c>
      <c r="BE41" s="23" t="n">
        <f aca="false">BE$21</f>
        <v>3.07</v>
      </c>
      <c r="BF41" s="23" t="n">
        <f aca="false">BF$21</f>
        <v>0.67</v>
      </c>
      <c r="BG41" s="23" t="n">
        <f aca="false">BG$21</f>
        <v>3.1</v>
      </c>
      <c r="BH41" s="23" t="n">
        <f aca="false">BH$21</f>
        <v>0.93</v>
      </c>
      <c r="BI41" s="23" t="n">
        <f aca="false">BI$21</f>
        <v>1.12</v>
      </c>
      <c r="BJ41" s="23" t="n">
        <f aca="false">BJ$21</f>
        <v>0.86</v>
      </c>
      <c r="BK41" s="23" t="n">
        <f aca="false">BK$21</f>
        <v>2.86</v>
      </c>
      <c r="BL41" s="23" t="n">
        <f aca="false">BL$21</f>
        <v>1.1</v>
      </c>
      <c r="BM41" s="23" t="n">
        <f aca="false">BM$21</f>
        <v>1.23</v>
      </c>
      <c r="BN41" s="23" t="n">
        <f aca="false">BN$21</f>
        <v>2.86</v>
      </c>
      <c r="BO41" s="23" t="n">
        <f aca="false">BO$21</f>
        <v>0.88</v>
      </c>
      <c r="BP41" s="23" t="n">
        <f aca="false">BP$21</f>
        <v>0.85</v>
      </c>
      <c r="BQ41" s="23" t="n">
        <f aca="false">BQ$21</f>
        <v>0</v>
      </c>
      <c r="BR41" s="23" t="n">
        <f aca="false">BR$21</f>
        <v>0</v>
      </c>
      <c r="BS41" s="23" t="n">
        <f aca="false">BS$21</f>
        <v>21.15</v>
      </c>
      <c r="BT41" s="23" t="n">
        <f aca="false">BT$21</f>
        <v>1.96</v>
      </c>
      <c r="BU41" s="23" t="n">
        <f aca="false">BU$21</f>
        <v>5.1</v>
      </c>
      <c r="BV41" s="23" t="n">
        <f aca="false">BV$21</f>
        <v>5.65</v>
      </c>
      <c r="BW41" s="23" t="n">
        <f aca="false">BW$21</f>
        <v>6.39</v>
      </c>
      <c r="BX41" s="23" t="n">
        <f aca="false">BX$21</f>
        <v>3.5</v>
      </c>
    </row>
    <row r="42" customFormat="false" ht="15" hidden="false" customHeight="false" outlineLevel="0" collapsed="false">
      <c r="A42" s="4" t="s">
        <v>711</v>
      </c>
      <c r="B42" s="81" t="s">
        <v>712</v>
      </c>
      <c r="C42" s="84" t="n">
        <v>0</v>
      </c>
      <c r="D42" s="83" t="n">
        <v>153.4421909459</v>
      </c>
      <c r="E42" s="81" t="str">
        <f aca="false">IF(D42&gt;=C42-0.000001*MAX(1,ABS(C42)),IF(ABS(D42-C42)&lt;=0.000001*MAX(1,ABS(C42)),"tight","ok"),"VIOLATED")</f>
        <v>ok</v>
      </c>
      <c r="F42" s="23" t="n">
        <f aca="false">4*F$21-$C$8*F$20</f>
        <v>107.58</v>
      </c>
      <c r="G42" s="23" t="n">
        <f aca="false">4*G$21-$C$8*G$20</f>
        <v>74.3</v>
      </c>
      <c r="H42" s="23" t="n">
        <f aca="false">4*H$21-$C$8*H$20</f>
        <v>81.14</v>
      </c>
      <c r="I42" s="23" t="n">
        <f aca="false">4*I$21-$C$8*I$20</f>
        <v>55.32</v>
      </c>
      <c r="J42" s="23" t="n">
        <f aca="false">4*J$21-$C$8*J$20</f>
        <v>87.1</v>
      </c>
      <c r="K42" s="23" t="n">
        <f aca="false">4*K$21-$C$8*K$20</f>
        <v>88.88</v>
      </c>
      <c r="L42" s="23" t="n">
        <f aca="false">4*L$21-$C$8*L$20</f>
        <v>80.8</v>
      </c>
      <c r="M42" s="23" t="n">
        <f aca="false">4*M$21-$C$8*M$20</f>
        <v>94.62</v>
      </c>
      <c r="N42" s="23" t="n">
        <f aca="false">4*N$21-$C$8*N$20</f>
        <v>50.1</v>
      </c>
      <c r="O42" s="23" t="n">
        <f aca="false">4*O$21-$C$8*O$20</f>
        <v>83.82</v>
      </c>
      <c r="P42" s="23" t="n">
        <f aca="false">4*P$21-$C$8*P$20</f>
        <v>81.5</v>
      </c>
      <c r="Q42" s="23" t="n">
        <f aca="false">4*Q$21-$C$8*Q$20</f>
        <v>69.16</v>
      </c>
      <c r="R42" s="23" t="n">
        <f aca="false">4*R$21-$C$8*R$20</f>
        <v>67.8</v>
      </c>
      <c r="S42" s="23" t="n">
        <f aca="false">4*S$21-$C$8*S$20</f>
        <v>79.22</v>
      </c>
      <c r="T42" s="23" t="n">
        <f aca="false">4*T$21-$C$8*T$20</f>
        <v>91.8</v>
      </c>
      <c r="U42" s="23" t="n">
        <f aca="false">4*U$21-$C$8*U$20</f>
        <v>35.94</v>
      </c>
      <c r="V42" s="23" t="n">
        <f aca="false">4*V$21-$C$8*V$20</f>
        <v>15.02</v>
      </c>
      <c r="W42" s="23" t="n">
        <f aca="false">4*W$21-$C$8*W$20</f>
        <v>10.88</v>
      </c>
      <c r="X42" s="23" t="n">
        <f aca="false">4*X$21-$C$8*X$20</f>
        <v>24.48</v>
      </c>
      <c r="Y42" s="23" t="n">
        <f aca="false">4*Y$21-$C$8*Y$20</f>
        <v>29.04</v>
      </c>
      <c r="Z42" s="23" t="n">
        <f aca="false">4*Z$21-$C$8*Z$20</f>
        <v>21.74</v>
      </c>
      <c r="AA42" s="23" t="n">
        <f aca="false">4*AA$21-$C$8*AA$20</f>
        <v>30.6</v>
      </c>
      <c r="AB42" s="23" t="n">
        <f aca="false">4*AB$21-$C$8*AB$20</f>
        <v>8.2</v>
      </c>
      <c r="AC42" s="23" t="n">
        <f aca="false">4*AC$21-$C$8*AC$20</f>
        <v>34.86</v>
      </c>
      <c r="AD42" s="23" t="n">
        <f aca="false">4*AD$21-$C$8*AD$20</f>
        <v>6.1</v>
      </c>
      <c r="AE42" s="23" t="n">
        <f aca="false">4*AE$21-$C$8*AE$20</f>
        <v>6.5</v>
      </c>
      <c r="AF42" s="23" t="n">
        <f aca="false">4*AF$21-$C$8*AF$20</f>
        <v>35.92</v>
      </c>
      <c r="AG42" s="23" t="n">
        <f aca="false">4*AG$21-$C$8*AG$20</f>
        <v>51.08</v>
      </c>
      <c r="AH42" s="23" t="n">
        <f aca="false">4*AH$21-$C$8*AH$20</f>
        <v>33.7</v>
      </c>
      <c r="AI42" s="23" t="n">
        <f aca="false">4*AI$21-$C$8*AI$20</f>
        <v>65.5</v>
      </c>
      <c r="AJ42" s="23" t="n">
        <f aca="false">4*AJ$21-$C$8*AJ$20</f>
        <v>15.84</v>
      </c>
      <c r="AK42" s="23" t="n">
        <f aca="false">4*AK$21-$C$8*AK$20</f>
        <v>-1.34</v>
      </c>
      <c r="AL42" s="23" t="n">
        <f aca="false">4*AL$21-$C$8*AL$20</f>
        <v>10.76</v>
      </c>
      <c r="AM42" s="23" t="n">
        <f aca="false">4*AM$21-$C$8*AM$20</f>
        <v>1</v>
      </c>
      <c r="AN42" s="23" t="n">
        <f aca="false">4*AN$21-$C$8*AN$20</f>
        <v>2.34</v>
      </c>
      <c r="AO42" s="23" t="n">
        <f aca="false">4*AO$21-$C$8*AO$20</f>
        <v>3.06</v>
      </c>
      <c r="AP42" s="23" t="n">
        <f aca="false">4*AP$21-$C$8*AP$20</f>
        <v>5.6</v>
      </c>
      <c r="AQ42" s="23" t="n">
        <f aca="false">4*AQ$21-$C$8*AQ$20</f>
        <v>7.4</v>
      </c>
      <c r="AR42" s="23" t="n">
        <f aca="false">4*AR$21-$C$8*AR$20</f>
        <v>8.8</v>
      </c>
      <c r="AS42" s="23" t="n">
        <f aca="false">4*AS$21-$C$8*AS$20</f>
        <v>-2.24</v>
      </c>
      <c r="AT42" s="23" t="n">
        <f aca="false">4*AT$21-$C$8*AT$20</f>
        <v>24.6</v>
      </c>
      <c r="AU42" s="23" t="n">
        <f aca="false">4*AU$21-$C$8*AU$20</f>
        <v>9.06</v>
      </c>
      <c r="AV42" s="23" t="n">
        <f aca="false">4*AV$21-$C$8*AV$20</f>
        <v>0.699999999999999</v>
      </c>
      <c r="AW42" s="23" t="n">
        <f aca="false">4*AW$21-$C$8*AW$20</f>
        <v>-0.960000000000001</v>
      </c>
      <c r="AX42" s="23" t="n">
        <f aca="false">4*AX$21-$C$8*AX$20</f>
        <v>2.1</v>
      </c>
      <c r="AY42" s="23" t="n">
        <f aca="false">4*AY$21-$C$8*AY$20</f>
        <v>-4.16</v>
      </c>
      <c r="AZ42" s="23" t="n">
        <f aca="false">4*AZ$21-$C$8*AZ$20</f>
        <v>-4.54</v>
      </c>
      <c r="BA42" s="23" t="n">
        <f aca="false">4*BA$21-$C$8*BA$20</f>
        <v>-3.42</v>
      </c>
      <c r="BB42" s="23" t="n">
        <f aca="false">4*BB$21-$C$8*BB$20</f>
        <v>-4.02</v>
      </c>
      <c r="BC42" s="23" t="n">
        <f aca="false">4*BC$21-$C$8*BC$20</f>
        <v>-2.18</v>
      </c>
      <c r="BD42" s="23" t="n">
        <f aca="false">4*BD$21-$C$8*BD$20</f>
        <v>-1.26</v>
      </c>
      <c r="BE42" s="23" t="n">
        <f aca="false">4*BE$21-$C$8*BE$20</f>
        <v>-17.62</v>
      </c>
      <c r="BF42" s="23" t="n">
        <f aca="false">4*BF$21-$C$8*BF$20</f>
        <v>-0.52</v>
      </c>
      <c r="BG42" s="23" t="n">
        <f aca="false">4*BG$21-$C$8*BG$20</f>
        <v>9.6</v>
      </c>
      <c r="BH42" s="23" t="n">
        <f aca="false">4*BH$21-$C$8*BH$20</f>
        <v>-0.38</v>
      </c>
      <c r="BI42" s="23" t="n">
        <f aca="false">4*BI$21-$C$8*BI$20</f>
        <v>2.28</v>
      </c>
      <c r="BJ42" s="23" t="n">
        <f aca="false">4*BJ$21-$C$8*BJ$20</f>
        <v>1.44</v>
      </c>
      <c r="BK42" s="23" t="n">
        <f aca="false">4*BK$21-$C$8*BK$20</f>
        <v>4.94</v>
      </c>
      <c r="BL42" s="23" t="n">
        <f aca="false">4*BL$21-$C$8*BL$20</f>
        <v>0.4</v>
      </c>
      <c r="BM42" s="23" t="n">
        <f aca="false">4*BM$21-$C$8*BM$20</f>
        <v>3.22</v>
      </c>
      <c r="BN42" s="23" t="n">
        <f aca="false">4*BN$21-$C$8*BN$20</f>
        <v>9.14</v>
      </c>
      <c r="BO42" s="23" t="n">
        <f aca="false">4*BO$21-$C$8*BO$20</f>
        <v>1.72</v>
      </c>
      <c r="BP42" s="23" t="n">
        <f aca="false">4*BP$21-$C$8*BP$20</f>
        <v>-68.3</v>
      </c>
      <c r="BQ42" s="23" t="n">
        <f aca="false">4*BQ$21-$C$8*BQ$20</f>
        <v>-88.4</v>
      </c>
      <c r="BR42" s="23" t="n">
        <f aca="false">4*BR$21-$C$8*BR$20</f>
        <v>-88.4</v>
      </c>
      <c r="BS42" s="23" t="n">
        <f aca="false">4*BS$21-$C$8*BS$20</f>
        <v>26.7</v>
      </c>
      <c r="BT42" s="23" t="n">
        <f aca="false">4*BT$21-$C$8*BT$20</f>
        <v>-8.86</v>
      </c>
      <c r="BU42" s="23" t="n">
        <f aca="false">4*BU$21-$C$8*BU$20</f>
        <v>-28.8</v>
      </c>
      <c r="BV42" s="23" t="n">
        <f aca="false">4*BV$21-$C$8*BV$20</f>
        <v>-19.2</v>
      </c>
      <c r="BW42" s="23" t="n">
        <f aca="false">4*BW$21-$C$8*BW$20</f>
        <v>-27.64</v>
      </c>
      <c r="BX42" s="23" t="n">
        <f aca="false">4*BX$21-$C$8*BX$20</f>
        <v>-6.7</v>
      </c>
    </row>
    <row r="43" customFormat="false" ht="15" hidden="false" customHeight="false" outlineLevel="0" collapsed="false">
      <c r="A43" s="4" t="s">
        <v>713</v>
      </c>
      <c r="B43" s="81" t="s">
        <v>712</v>
      </c>
      <c r="C43" s="84" t="n">
        <v>0</v>
      </c>
      <c r="D43" s="83" t="n">
        <v>321.84644929769</v>
      </c>
      <c r="E43" s="81" t="str">
        <f aca="false">IF(D43&gt;=C43-0.000001*MAX(1,ABS(C43)),IF(ABS(D43-C43)&lt;=0.000001*MAX(1,ABS(C43)),"tight","ok"),"VIOLATED")</f>
        <v>ok</v>
      </c>
      <c r="F43" s="23" t="n">
        <f aca="false">4*F$22-$C$9*F$20</f>
        <v>-74.25</v>
      </c>
      <c r="G43" s="23" t="n">
        <f aca="false">4*G$22-$C$9*G$20</f>
        <v>-85.95</v>
      </c>
      <c r="H43" s="23" t="n">
        <f aca="false">4*H$22-$C$9*H$20</f>
        <v>-80.55</v>
      </c>
      <c r="I43" s="23" t="n">
        <f aca="false">4*I$22-$C$9*I$20</f>
        <v>-35.64</v>
      </c>
      <c r="J43" s="23" t="n">
        <f aca="false">4*J$22-$C$9*J$20</f>
        <v>-95.85</v>
      </c>
      <c r="K43" s="23" t="n">
        <f aca="false">4*K$22-$C$9*K$20</f>
        <v>-203.8</v>
      </c>
      <c r="L43" s="23" t="n">
        <f aca="false">4*L$22-$C$9*L$20</f>
        <v>-122.4</v>
      </c>
      <c r="M43" s="23" t="n">
        <f aca="false">4*M$22-$C$9*M$20</f>
        <v>-94.05</v>
      </c>
      <c r="N43" s="23" t="n">
        <f aca="false">4*N$22-$C$9*N$20</f>
        <v>-58.03</v>
      </c>
      <c r="O43" s="23" t="n">
        <f aca="false">4*O$22-$C$9*O$20</f>
        <v>-103.05</v>
      </c>
      <c r="P43" s="23" t="n">
        <f aca="false">4*P$22-$C$9*P$20</f>
        <v>-115.65</v>
      </c>
      <c r="Q43" s="23" t="n">
        <f aca="false">4*Q$22-$C$9*Q$20</f>
        <v>-38.7</v>
      </c>
      <c r="R43" s="23" t="n">
        <f aca="false">4*R$22-$C$9*R$20</f>
        <v>-92.7</v>
      </c>
      <c r="S43" s="23" t="n">
        <f aca="false">4*S$22-$C$9*S$20</f>
        <v>-47.47</v>
      </c>
      <c r="T43" s="23" t="n">
        <f aca="false">4*T$22-$C$9*T$20</f>
        <v>-57.6</v>
      </c>
      <c r="U43" s="23" t="n">
        <f aca="false">4*U$22-$C$9*U$20</f>
        <v>-61.47</v>
      </c>
      <c r="V43" s="23" t="n">
        <f aca="false">4*V$22-$C$9*V$20</f>
        <v>25.25</v>
      </c>
      <c r="W43" s="23" t="n">
        <f aca="false">4*W$22-$C$9*W$20</f>
        <v>14.36</v>
      </c>
      <c r="X43" s="23" t="n">
        <f aca="false">4*X$22-$C$9*X$20</f>
        <v>28.32</v>
      </c>
      <c r="Y43" s="23" t="n">
        <f aca="false">4*Y$22-$C$9*Y$20</f>
        <v>-179.86</v>
      </c>
      <c r="Z43" s="23" t="n">
        <f aca="false">4*Z$22-$C$9*Z$20</f>
        <v>40.53</v>
      </c>
      <c r="AA43" s="23" t="n">
        <f aca="false">4*AA$22-$C$9*AA$20</f>
        <v>-33.7</v>
      </c>
      <c r="AB43" s="23" t="n">
        <f aca="false">4*AB$22-$C$9*AB$20</f>
        <v>-3.3</v>
      </c>
      <c r="AC43" s="23" t="n">
        <f aca="false">4*AC$22-$C$9*AC$20</f>
        <v>-12.15</v>
      </c>
      <c r="AD43" s="23" t="n">
        <f aca="false">4*AD$22-$C$9*AD$20</f>
        <v>0.329999999999998</v>
      </c>
      <c r="AE43" s="23" t="n">
        <f aca="false">4*AE$22-$C$9*AE$20</f>
        <v>-8.25</v>
      </c>
      <c r="AF43" s="23" t="n">
        <f aca="false">4*AF$22-$C$9*AF$20</f>
        <v>-145.58</v>
      </c>
      <c r="AG43" s="23" t="n">
        <f aca="false">4*AG$22-$C$9*AG$20</f>
        <v>-169.44</v>
      </c>
      <c r="AH43" s="23" t="n">
        <f aca="false">4*AH$22-$C$9*AH$20</f>
        <v>-17.41</v>
      </c>
      <c r="AI43" s="23" t="n">
        <f aca="false">4*AI$22-$C$9*AI$20</f>
        <v>-110.43</v>
      </c>
      <c r="AJ43" s="23" t="n">
        <f aca="false">4*AJ$22-$C$9*AJ$20</f>
        <v>90.72</v>
      </c>
      <c r="AK43" s="23" t="n">
        <f aca="false">4*AK$22-$C$9*AK$20</f>
        <v>46.97</v>
      </c>
      <c r="AL43" s="23" t="n">
        <f aca="false">4*AL$22-$C$9*AL$20</f>
        <v>123.72</v>
      </c>
      <c r="AM43" s="23" t="n">
        <f aca="false">4*AM$22-$C$9*AM$20</f>
        <v>80.46</v>
      </c>
      <c r="AN43" s="23" t="n">
        <f aca="false">4*AN$22-$C$9*AN$20</f>
        <v>63.43</v>
      </c>
      <c r="AO43" s="23" t="n">
        <f aca="false">4*AO$22-$C$9*AO$20</f>
        <v>16.05</v>
      </c>
      <c r="AP43" s="23" t="n">
        <f aca="false">4*AP$22-$C$9*AP$20</f>
        <v>31.2</v>
      </c>
      <c r="AQ43" s="23" t="n">
        <f aca="false">4*AQ$22-$C$9*AQ$20</f>
        <v>52.34</v>
      </c>
      <c r="AR43" s="23" t="n">
        <f aca="false">4*AR$22-$C$9*AR$20</f>
        <v>77.98</v>
      </c>
      <c r="AS43" s="23" t="n">
        <f aca="false">4*AS$22-$C$9*AS$20</f>
        <v>54.18</v>
      </c>
      <c r="AT43" s="23" t="n">
        <f aca="false">4*AT$22-$C$9*AT$20</f>
        <v>57.44</v>
      </c>
      <c r="AU43" s="23" t="n">
        <f aca="false">4*AU$22-$C$9*AU$20</f>
        <v>53.23</v>
      </c>
      <c r="AV43" s="23" t="n">
        <f aca="false">4*AV$22-$C$9*AV$20</f>
        <v>42.75</v>
      </c>
      <c r="AW43" s="23" t="n">
        <f aca="false">4*AW$22-$C$9*AW$20</f>
        <v>42.34</v>
      </c>
      <c r="AX43" s="23" t="n">
        <f aca="false">4*AX$22-$C$9*AX$20</f>
        <v>40.75</v>
      </c>
      <c r="AY43" s="23" t="n">
        <f aca="false">4*AY$22-$C$9*AY$20</f>
        <v>31.84</v>
      </c>
      <c r="AZ43" s="23" t="n">
        <f aca="false">4*AZ$22-$C$9*AZ$20</f>
        <v>51.31</v>
      </c>
      <c r="BA43" s="23" t="n">
        <f aca="false">4*BA$22-$C$9*BA$20</f>
        <v>25.73</v>
      </c>
      <c r="BB43" s="23" t="n">
        <f aca="false">4*BB$22-$C$9*BB$20</f>
        <v>41.35</v>
      </c>
      <c r="BC43" s="23" t="n">
        <f aca="false">4*BC$22-$C$9*BC$20</f>
        <v>24.11</v>
      </c>
      <c r="BD43" s="23" t="n">
        <f aca="false">4*BD$22-$C$9*BD$20</f>
        <v>28.11</v>
      </c>
      <c r="BE43" s="23" t="n">
        <f aca="false">4*BE$22-$C$9*BE$20</f>
        <v>182.17</v>
      </c>
      <c r="BF43" s="23" t="n">
        <f aca="false">4*BF$22-$C$9*BF$20</f>
        <v>16.32</v>
      </c>
      <c r="BG43" s="23" t="n">
        <f aca="false">4*BG$22-$C$9*BG$20</f>
        <v>8.84</v>
      </c>
      <c r="BH43" s="23" t="n">
        <f aca="false">4*BH$22-$C$9*BH$20</f>
        <v>19.87</v>
      </c>
      <c r="BI43" s="23" t="n">
        <f aca="false">4*BI$22-$C$9*BI$20</f>
        <v>7.38</v>
      </c>
      <c r="BJ43" s="23" t="n">
        <f aca="false">4*BJ$22-$C$9*BJ$20</f>
        <v>9.56</v>
      </c>
      <c r="BK43" s="23" t="n">
        <f aca="false">4*BK$22-$C$9*BK$20</f>
        <v>23.11</v>
      </c>
      <c r="BL43" s="23" t="n">
        <f aca="false">4*BL$22-$C$9*BL$20</f>
        <v>19.36</v>
      </c>
      <c r="BM43" s="23" t="n">
        <f aca="false">4*BM$22-$C$9*BM$20</f>
        <v>5.51</v>
      </c>
      <c r="BN43" s="23" t="n">
        <f aca="false">4*BN$22-$C$9*BN$20</f>
        <v>4.17</v>
      </c>
      <c r="BO43" s="23" t="n">
        <f aca="false">4*BO$22-$C$9*BO$20</f>
        <v>7.46</v>
      </c>
      <c r="BP43" s="23" t="n">
        <f aca="false">4*BP$22-$C$9*BP$20</f>
        <v>-322.41</v>
      </c>
      <c r="BQ43" s="23" t="n">
        <f aca="false">4*BQ$22-$C$9*BQ$20</f>
        <v>-397.8</v>
      </c>
      <c r="BR43" s="23" t="n">
        <f aca="false">4*BR$22-$C$9*BR$20</f>
        <v>-397.8</v>
      </c>
      <c r="BS43" s="23" t="n">
        <f aca="false">4*BS$22-$C$9*BS$20</f>
        <v>-174.35</v>
      </c>
      <c r="BT43" s="23" t="n">
        <f aca="false">4*BT$22-$C$9*BT$20</f>
        <v>-40.59</v>
      </c>
      <c r="BU43" s="23" t="n">
        <f aca="false">4*BU$22-$C$9*BU$20</f>
        <v>40.04</v>
      </c>
      <c r="BV43" s="23" t="n">
        <f aca="false">4*BV$22-$C$9*BV$20</f>
        <v>92.7</v>
      </c>
      <c r="BW43" s="23" t="n">
        <f aca="false">4*BW$22-$C$9*BW$20</f>
        <v>-24.08</v>
      </c>
      <c r="BX43" s="23" t="n">
        <f aca="false">4*BX$22-$C$9*BX$20</f>
        <v>1.25</v>
      </c>
    </row>
    <row r="44" customFormat="false" ht="15" hidden="false" customHeight="false" outlineLevel="0" collapsed="false">
      <c r="A44" s="4" t="s">
        <v>714</v>
      </c>
      <c r="B44" s="81" t="s">
        <v>712</v>
      </c>
      <c r="C44" s="84" t="n">
        <v>0</v>
      </c>
      <c r="D44" s="83" t="n">
        <v>333.95465701634</v>
      </c>
      <c r="E44" s="81" t="str">
        <f aca="false">IF(D44&gt;=C44-0.000001*MAX(1,ABS(C44)),IF(ABS(D44-C44)&lt;=0.000001*MAX(1,ABS(C44)),"tight","ok"),"VIOLATED")</f>
        <v>ok</v>
      </c>
      <c r="F44" s="23" t="n">
        <f aca="false">9*F$23-$C$10*F$20</f>
        <v>-0.870000000000005</v>
      </c>
      <c r="G44" s="23" t="n">
        <f aca="false">9*G$23-$C$10*G$20</f>
        <v>53.15</v>
      </c>
      <c r="H44" s="23" t="n">
        <f aca="false">9*H$23-$C$10*H$20</f>
        <v>37.55</v>
      </c>
      <c r="I44" s="23" t="n">
        <f aca="false">9*I$23-$C$10*I$20</f>
        <v>1.33</v>
      </c>
      <c r="J44" s="23" t="n">
        <f aca="false">9*J$23-$C$10*J$20</f>
        <v>61.8</v>
      </c>
      <c r="K44" s="23" t="n">
        <f aca="false">9*K$23-$C$10*K$20</f>
        <v>222.21</v>
      </c>
      <c r="L44" s="23" t="n">
        <f aca="false">9*L$23-$C$10*L$20</f>
        <v>101.84</v>
      </c>
      <c r="M44" s="23" t="n">
        <f aca="false">9*M$23-$C$10*M$20</f>
        <v>43.79</v>
      </c>
      <c r="N44" s="23" t="n">
        <f aca="false">9*N$23-$C$10*N$20</f>
        <v>44.8</v>
      </c>
      <c r="O44" s="23" t="n">
        <f aca="false">9*O$23-$C$10*O$20</f>
        <v>76.6</v>
      </c>
      <c r="P44" s="23" t="n">
        <f aca="false">9*P$23-$C$10*P$20</f>
        <v>90.35</v>
      </c>
      <c r="Q44" s="23" t="n">
        <f aca="false">9*Q$23-$C$10*Q$20</f>
        <v>-8.56</v>
      </c>
      <c r="R44" s="23" t="n">
        <f aca="false">9*R$23-$C$10*R$20</f>
        <v>69.95</v>
      </c>
      <c r="S44" s="23" t="n">
        <f aca="false">9*S$23-$C$10*S$20</f>
        <v>-8.5</v>
      </c>
      <c r="T44" s="23" t="n">
        <f aca="false">9*T$23-$C$10*T$20</f>
        <v>-1.75</v>
      </c>
      <c r="U44" s="23" t="n">
        <f aca="false">9*U$23-$C$10*U$20</f>
        <v>56.99</v>
      </c>
      <c r="V44" s="23" t="n">
        <f aca="false">9*V$23-$C$10*V$20</f>
        <v>-15.59</v>
      </c>
      <c r="W44" s="23" t="n">
        <f aca="false">9*W$23-$C$10*W$20</f>
        <v>-0.0500000000000007</v>
      </c>
      <c r="X44" s="23" t="n">
        <f aca="false">9*X$23-$C$10*X$20</f>
        <v>-19.78</v>
      </c>
      <c r="Y44" s="23" t="n">
        <f aca="false">9*Y$23-$C$10*Y$20</f>
        <v>342.64</v>
      </c>
      <c r="Z44" s="23" t="n">
        <f aca="false">9*Z$23-$C$10*Z$20</f>
        <v>-22.75</v>
      </c>
      <c r="AA44" s="23" t="n">
        <f aca="false">9*AA$23-$C$10*AA$20</f>
        <v>27.2</v>
      </c>
      <c r="AB44" s="23" t="n">
        <f aca="false">9*AB$23-$C$10*AB$20</f>
        <v>7.82</v>
      </c>
      <c r="AC44" s="23" t="n">
        <f aca="false">9*AC$23-$C$10*AC$20</f>
        <v>-8.29</v>
      </c>
      <c r="AD44" s="23" t="n">
        <f aca="false">9*AD$23-$C$10*AD$20</f>
        <v>4.63</v>
      </c>
      <c r="AE44" s="23" t="n">
        <f aca="false">9*AE$23-$C$10*AE$20</f>
        <v>17.05</v>
      </c>
      <c r="AF44" s="23" t="n">
        <f aca="false">9*AF$23-$C$10*AF$20</f>
        <v>203.19</v>
      </c>
      <c r="AG44" s="23" t="n">
        <f aca="false">9*AG$23-$C$10*AG$20</f>
        <v>218.99</v>
      </c>
      <c r="AH44" s="23" t="n">
        <f aca="false">9*AH$23-$C$10*AH$20</f>
        <v>4.23</v>
      </c>
      <c r="AI44" s="23" t="n">
        <f aca="false">9*AI$23-$C$10*AI$20</f>
        <v>119.02</v>
      </c>
      <c r="AJ44" s="23" t="n">
        <f aca="false">9*AJ$23-$C$10*AJ$20</f>
        <v>-40.92</v>
      </c>
      <c r="AK44" s="23" t="n">
        <f aca="false">9*AK$23-$C$10*AK$20</f>
        <v>-15.87</v>
      </c>
      <c r="AL44" s="23" t="n">
        <f aca="false">9*AL$23-$C$10*AL$20</f>
        <v>-14.63</v>
      </c>
      <c r="AM44" s="23" t="n">
        <f aca="false">9*AM$23-$C$10*AM$20</f>
        <v>-17.95</v>
      </c>
      <c r="AN44" s="23" t="n">
        <f aca="false">9*AN$23-$C$10*AN$20</f>
        <v>8.81999999999999</v>
      </c>
      <c r="AO44" s="23" t="n">
        <f aca="false">9*AO$23-$C$10*AO$20</f>
        <v>-0.520000000000001</v>
      </c>
      <c r="AP44" s="23" t="n">
        <f aca="false">9*AP$23-$C$10*AP$20</f>
        <v>-6.72</v>
      </c>
      <c r="AQ44" s="23" t="n">
        <f aca="false">9*AQ$23-$C$10*AQ$20</f>
        <v>-23.23</v>
      </c>
      <c r="AR44" s="23" t="n">
        <f aca="false">9*AR$23-$C$10*AR$20</f>
        <v>-23.23</v>
      </c>
      <c r="AS44" s="23" t="n">
        <f aca="false">9*AS$23-$C$10*AS$20</f>
        <v>-23.48</v>
      </c>
      <c r="AT44" s="23" t="n">
        <f aca="false">9*AT$23-$C$10*AT$20</f>
        <v>-18.9</v>
      </c>
      <c r="AU44" s="23" t="n">
        <f aca="false">9*AU$23-$C$10*AU$20</f>
        <v>-14.41</v>
      </c>
      <c r="AV44" s="23" t="n">
        <f aca="false">9*AV$23-$C$10*AV$20</f>
        <v>-17.43</v>
      </c>
      <c r="AW44" s="23" t="n">
        <f aca="false">9*AW$23-$C$10*AW$20</f>
        <v>-16.65</v>
      </c>
      <c r="AX44" s="23" t="n">
        <f aca="false">9*AX$23-$C$10*AX$20</f>
        <v>-10.17</v>
      </c>
      <c r="AY44" s="23" t="n">
        <f aca="false">9*AY$23-$C$10*AY$20</f>
        <v>-8.87</v>
      </c>
      <c r="AZ44" s="23" t="n">
        <f aca="false">9*AZ$23-$C$10*AZ$20</f>
        <v>-14.83</v>
      </c>
      <c r="BA44" s="23" t="n">
        <f aca="false">9*BA$23-$C$10*BA$20</f>
        <v>-4.44</v>
      </c>
      <c r="BB44" s="23" t="n">
        <f aca="false">9*BB$23-$C$10*BB$20</f>
        <v>-12.36</v>
      </c>
      <c r="BC44" s="23" t="n">
        <f aca="false">9*BC$23-$C$10*BC$20</f>
        <v>-8.72</v>
      </c>
      <c r="BD44" s="23" t="n">
        <f aca="false">9*BD$23-$C$10*BD$20</f>
        <v>-8.45</v>
      </c>
      <c r="BE44" s="23" t="n">
        <f aca="false">9*BE$23-$C$10*BE$20</f>
        <v>-55.66</v>
      </c>
      <c r="BF44" s="23" t="n">
        <f aca="false">9*BF$23-$C$10*BF$20</f>
        <v>-3.7</v>
      </c>
      <c r="BG44" s="23" t="n">
        <f aca="false">9*BG$23-$C$10*BG$20</f>
        <v>-4.61</v>
      </c>
      <c r="BH44" s="23" t="n">
        <f aca="false">9*BH$23-$C$10*BH$20</f>
        <v>-6.04</v>
      </c>
      <c r="BI44" s="23" t="n">
        <f aca="false">9*BI$23-$C$10*BI$20</f>
        <v>-0.26</v>
      </c>
      <c r="BJ44" s="23" t="n">
        <f aca="false">9*BJ$23-$C$10*BJ$20</f>
        <v>-2.47</v>
      </c>
      <c r="BK44" s="23" t="n">
        <f aca="false">9*BK$23-$C$10*BK$20</f>
        <v>-11.65</v>
      </c>
      <c r="BL44" s="23" t="n">
        <f aca="false">9*BL$23-$C$10*BL$20</f>
        <v>-7.1</v>
      </c>
      <c r="BM44" s="23" t="n">
        <f aca="false">9*BM$23-$C$10*BM$20</f>
        <v>-0.700000000000001</v>
      </c>
      <c r="BN44" s="23" t="n">
        <f aca="false">9*BN$23-$C$10*BN$20</f>
        <v>-1.09</v>
      </c>
      <c r="BO44" s="23" t="n">
        <f aca="false">9*BO$23-$C$10*BO$20</f>
        <v>-1.8</v>
      </c>
      <c r="BP44" s="23" t="n">
        <f aca="false">9*BP$23-$C$10*BP$20</f>
        <v>586.59</v>
      </c>
      <c r="BQ44" s="23" t="n">
        <f aca="false">9*BQ$23-$C$10*BQ$20</f>
        <v>723.2</v>
      </c>
      <c r="BR44" s="23" t="n">
        <f aca="false">9*BR$23-$C$10*BR$20</f>
        <v>723.2</v>
      </c>
      <c r="BS44" s="23" t="n">
        <f aca="false">9*BS$23-$C$10*BS$20</f>
        <v>333.57</v>
      </c>
      <c r="BT44" s="23" t="n">
        <f aca="false">9*BT$23-$C$10*BT$20</f>
        <v>105.29</v>
      </c>
      <c r="BU44" s="23" t="n">
        <f aca="false">9*BU$23-$C$10*BU$20</f>
        <v>124.08</v>
      </c>
      <c r="BV44" s="23" t="n">
        <f aca="false">9*BV$23-$C$10*BV$20</f>
        <v>65.53</v>
      </c>
      <c r="BW44" s="23" t="n">
        <f aca="false">9*BW$23-$C$10*BW$20</f>
        <v>199.42</v>
      </c>
      <c r="BX44" s="23" t="n">
        <f aca="false">9*BX$23-$C$10*BX$20</f>
        <v>57.6</v>
      </c>
    </row>
    <row r="45" customFormat="false" ht="15" hidden="false" customHeight="false" outlineLevel="0" collapsed="false">
      <c r="A45" s="4" t="s">
        <v>715</v>
      </c>
      <c r="B45" s="81" t="s">
        <v>709</v>
      </c>
      <c r="C45" s="82" t="n">
        <f aca="false">N(Planner!$E$18)</f>
        <v>42</v>
      </c>
      <c r="D45" s="83" t="n">
        <v>53.4172112457</v>
      </c>
      <c r="E45" s="81" t="str">
        <f aca="false">IF(D45&gt;=C45-0.000001*MAX(1,ABS(C45)),IF(ABS(D45-C45)&lt;=0.000001*MAX(1,ABS(C45)),"tight","ok"),"VIOLATED")</f>
        <v>ok</v>
      </c>
      <c r="F45" s="23" t="n">
        <f aca="false">F$24</f>
        <v>0</v>
      </c>
      <c r="G45" s="23" t="n">
        <f aca="false">G$24</f>
        <v>0</v>
      </c>
      <c r="H45" s="23" t="n">
        <f aca="false">H$24</f>
        <v>0</v>
      </c>
      <c r="I45" s="23" t="n">
        <f aca="false">I$24</f>
        <v>0</v>
      </c>
      <c r="J45" s="23" t="n">
        <f aca="false">J$24</f>
        <v>0</v>
      </c>
      <c r="K45" s="23" t="n">
        <f aca="false">K$24</f>
        <v>0</v>
      </c>
      <c r="L45" s="23" t="n">
        <f aca="false">L$24</f>
        <v>0</v>
      </c>
      <c r="M45" s="23" t="n">
        <f aca="false">M$24</f>
        <v>0</v>
      </c>
      <c r="N45" s="23" t="n">
        <f aca="false">N$24</f>
        <v>1.3</v>
      </c>
      <c r="O45" s="23" t="n">
        <f aca="false">O$24</f>
        <v>0</v>
      </c>
      <c r="P45" s="23" t="n">
        <f aca="false">P$24</f>
        <v>0</v>
      </c>
      <c r="Q45" s="23" t="n">
        <f aca="false">Q$24</f>
        <v>0</v>
      </c>
      <c r="R45" s="23" t="n">
        <f aca="false">R$24</f>
        <v>0</v>
      </c>
      <c r="S45" s="23" t="n">
        <f aca="false">S$24</f>
        <v>0</v>
      </c>
      <c r="T45" s="23" t="n">
        <f aca="false">T$24</f>
        <v>0</v>
      </c>
      <c r="U45" s="23" t="n">
        <f aca="false">U$24</f>
        <v>0</v>
      </c>
      <c r="V45" s="23" t="n">
        <f aca="false">V$24</f>
        <v>6.9</v>
      </c>
      <c r="W45" s="23" t="n">
        <f aca="false">W$24</f>
        <v>4.4</v>
      </c>
      <c r="X45" s="23" t="n">
        <f aca="false">X$24</f>
        <v>7.9</v>
      </c>
      <c r="Y45" s="23" t="n">
        <f aca="false">Y$24</f>
        <v>5</v>
      </c>
      <c r="Z45" s="23" t="n">
        <f aca="false">Z$24</f>
        <v>9</v>
      </c>
      <c r="AA45" s="23" t="n">
        <f aca="false">AA$24</f>
        <v>1.3</v>
      </c>
      <c r="AB45" s="23" t="n">
        <f aca="false">AB$24</f>
        <v>0</v>
      </c>
      <c r="AC45" s="23" t="n">
        <f aca="false">AC$24</f>
        <v>0</v>
      </c>
      <c r="AD45" s="23" t="n">
        <f aca="false">AD$24</f>
        <v>0.2</v>
      </c>
      <c r="AE45" s="23" t="n">
        <f aca="false">AE$24</f>
        <v>0</v>
      </c>
      <c r="AF45" s="23" t="n">
        <f aca="false">AF$24</f>
        <v>0</v>
      </c>
      <c r="AG45" s="23" t="n">
        <f aca="false">AG$24</f>
        <v>0</v>
      </c>
      <c r="AH45" s="23" t="n">
        <f aca="false">AH$24</f>
        <v>0</v>
      </c>
      <c r="AI45" s="23" t="n">
        <f aca="false">AI$24</f>
        <v>0</v>
      </c>
      <c r="AJ45" s="23" t="n">
        <f aca="false">AJ$24</f>
        <v>1.6</v>
      </c>
      <c r="AK45" s="23" t="n">
        <f aca="false">AK$24</f>
        <v>1.6</v>
      </c>
      <c r="AL45" s="23" t="n">
        <f aca="false">AL$24</f>
        <v>9.4</v>
      </c>
      <c r="AM45" s="23" t="n">
        <f aca="false">AM$24</f>
        <v>6.3</v>
      </c>
      <c r="AN45" s="23" t="n">
        <f aca="false">AN$24</f>
        <v>2.4</v>
      </c>
      <c r="AO45" s="23" t="n">
        <f aca="false">AO$24</f>
        <v>1.7</v>
      </c>
      <c r="AP45" s="23" t="n">
        <f aca="false">AP$24</f>
        <v>2.8</v>
      </c>
      <c r="AQ45" s="23" t="n">
        <f aca="false">AQ$24</f>
        <v>1.8</v>
      </c>
      <c r="AR45" s="23" t="n">
        <f aca="false">AR$24</f>
        <v>2.7</v>
      </c>
      <c r="AS45" s="23" t="n">
        <f aca="false">AS$24</f>
        <v>0.4</v>
      </c>
      <c r="AT45" s="23" t="n">
        <f aca="false">AT$24</f>
        <v>6</v>
      </c>
      <c r="AU45" s="23" t="n">
        <f aca="false">AU$24</f>
        <v>3.9</v>
      </c>
      <c r="AV45" s="23" t="n">
        <f aca="false">AV$24</f>
        <v>2.2</v>
      </c>
      <c r="AW45" s="23" t="n">
        <f aca="false">AW$24</f>
        <v>3.3</v>
      </c>
      <c r="AX45" s="23" t="n">
        <f aca="false">AX$24</f>
        <v>2.4</v>
      </c>
      <c r="AY45" s="23" t="n">
        <f aca="false">AY$24</f>
        <v>2.4</v>
      </c>
      <c r="AZ45" s="23" t="n">
        <f aca="false">AZ$24</f>
        <v>2.6</v>
      </c>
      <c r="BA45" s="23" t="n">
        <f aca="false">BA$24</f>
        <v>2.7</v>
      </c>
      <c r="BB45" s="23" t="n">
        <f aca="false">BB$24</f>
        <v>0.9</v>
      </c>
      <c r="BC45" s="23" t="n">
        <f aca="false">BC$24</f>
        <v>0.3</v>
      </c>
      <c r="BD45" s="23" t="n">
        <f aca="false">BD$24</f>
        <v>2.2</v>
      </c>
      <c r="BE45" s="23" t="n">
        <f aca="false">BE$24</f>
        <v>3.7</v>
      </c>
      <c r="BF45" s="23" t="n">
        <f aca="false">BF$24</f>
        <v>2</v>
      </c>
      <c r="BG45" s="23" t="n">
        <f aca="false">BG$24</f>
        <v>3</v>
      </c>
      <c r="BH45" s="23" t="n">
        <f aca="false">BH$24</f>
        <v>2.8</v>
      </c>
      <c r="BI45" s="23" t="n">
        <f aca="false">BI$24</f>
        <v>1.9</v>
      </c>
      <c r="BJ45" s="23" t="n">
        <f aca="false">BJ$24</f>
        <v>1.7</v>
      </c>
      <c r="BK45" s="23" t="n">
        <f aca="false">BK$24</f>
        <v>4.4</v>
      </c>
      <c r="BL45" s="23" t="n">
        <f aca="false">BL$24</f>
        <v>1.7</v>
      </c>
      <c r="BM45" s="23" t="n">
        <f aca="false">BM$24</f>
        <v>2.1</v>
      </c>
      <c r="BN45" s="23" t="n">
        <f aca="false">BN$24</f>
        <v>2.2</v>
      </c>
      <c r="BO45" s="23" t="n">
        <f aca="false">BO$24</f>
        <v>1.2</v>
      </c>
      <c r="BP45" s="23" t="n">
        <f aca="false">BP$24</f>
        <v>0</v>
      </c>
      <c r="BQ45" s="23" t="n">
        <f aca="false">BQ$24</f>
        <v>0</v>
      </c>
      <c r="BR45" s="23" t="n">
        <f aca="false">BR$24</f>
        <v>0</v>
      </c>
      <c r="BS45" s="23" t="n">
        <f aca="false">BS$24</f>
        <v>12.5</v>
      </c>
      <c r="BT45" s="23" t="n">
        <f aca="false">BT$24</f>
        <v>6.8</v>
      </c>
      <c r="BU45" s="23" t="n">
        <f aca="false">BU$24</f>
        <v>2</v>
      </c>
      <c r="BV45" s="23" t="n">
        <f aca="false">BV$24</f>
        <v>3.8</v>
      </c>
      <c r="BW45" s="23" t="n">
        <f aca="false">BW$24</f>
        <v>3.1</v>
      </c>
      <c r="BX45" s="23" t="n">
        <f aca="false">BX$24</f>
        <v>0.7</v>
      </c>
    </row>
    <row r="46" customFormat="false" ht="15" hidden="false" customHeight="false" outlineLevel="0" collapsed="false">
      <c r="A46" s="4" t="s">
        <v>716</v>
      </c>
      <c r="B46" s="81" t="s">
        <v>709</v>
      </c>
      <c r="C46" s="82" t="n">
        <f aca="false">N(Planner!$E$19)</f>
        <v>1000</v>
      </c>
      <c r="D46" s="83" t="n">
        <v>1327.102298212</v>
      </c>
      <c r="E46" s="81" t="str">
        <f aca="false">IF(D46&gt;=C46-0.000001*MAX(1,ABS(C46)),IF(ABS(D46-C46)&lt;=0.000001*MAX(1,ABS(C46)),"tight","ok"),"VIOLATED")</f>
        <v>ok</v>
      </c>
      <c r="F46" s="23" t="n">
        <f aca="false">F$26</f>
        <v>15</v>
      </c>
      <c r="G46" s="23" t="n">
        <f aca="false">G$26</f>
        <v>11</v>
      </c>
      <c r="H46" s="23" t="n">
        <f aca="false">H$26</f>
        <v>9</v>
      </c>
      <c r="I46" s="23" t="n">
        <f aca="false">I$26</f>
        <v>7</v>
      </c>
      <c r="J46" s="23" t="n">
        <f aca="false">J$26</f>
        <v>31</v>
      </c>
      <c r="K46" s="23" t="n">
        <f aca="false">K$26</f>
        <v>11</v>
      </c>
      <c r="L46" s="23" t="n">
        <f aca="false">L$26</f>
        <v>28</v>
      </c>
      <c r="M46" s="23" t="n">
        <f aca="false">M$26</f>
        <v>12</v>
      </c>
      <c r="N46" s="23" t="n">
        <f aca="false">N$26</f>
        <v>24</v>
      </c>
      <c r="O46" s="23" t="n">
        <f aca="false">O$26</f>
        <v>9</v>
      </c>
      <c r="P46" s="23" t="n">
        <f aca="false">P$26</f>
        <v>18</v>
      </c>
      <c r="Q46" s="23" t="n">
        <f aca="false">Q$26</f>
        <v>17</v>
      </c>
      <c r="R46" s="23" t="n">
        <f aca="false">R$26</f>
        <v>15</v>
      </c>
      <c r="S46" s="23" t="n">
        <f aca="false">S$26</f>
        <v>91</v>
      </c>
      <c r="T46" s="23" t="n">
        <f aca="false">T$26</f>
        <v>14</v>
      </c>
      <c r="U46" s="23" t="n">
        <f aca="false">U$26</f>
        <v>56</v>
      </c>
      <c r="V46" s="23" t="n">
        <f aca="false">V$26</f>
        <v>35</v>
      </c>
      <c r="W46" s="23" t="n">
        <f aca="false">W$26</f>
        <v>35</v>
      </c>
      <c r="X46" s="23" t="n">
        <f aca="false">X$26</f>
        <v>19</v>
      </c>
      <c r="Y46" s="23" t="n">
        <f aca="false">Y$26</f>
        <v>49</v>
      </c>
      <c r="Z46" s="23" t="n">
        <f aca="false">Z$26</f>
        <v>46</v>
      </c>
      <c r="AA46" s="23" t="n">
        <f aca="false">AA$26</f>
        <v>77</v>
      </c>
      <c r="AB46" s="23" t="n">
        <f aca="false">AB$26</f>
        <v>120</v>
      </c>
      <c r="AC46" s="23" t="n">
        <f aca="false">AC$26</f>
        <v>110</v>
      </c>
      <c r="AD46" s="23" t="n">
        <f aca="false">AD$26</f>
        <v>123</v>
      </c>
      <c r="AE46" s="23" t="n">
        <f aca="false">AE$26</f>
        <v>113</v>
      </c>
      <c r="AF46" s="23" t="n">
        <f aca="false">AF$26</f>
        <v>1045</v>
      </c>
      <c r="AG46" s="23" t="n">
        <f aca="false">AG$26</f>
        <v>710</v>
      </c>
      <c r="AH46" s="23" t="n">
        <f aca="false">AH$26</f>
        <v>111</v>
      </c>
      <c r="AI46" s="23" t="n">
        <f aca="false">AI$26</f>
        <v>697</v>
      </c>
      <c r="AJ46" s="23" t="n">
        <f aca="false">AJ$26</f>
        <v>219</v>
      </c>
      <c r="AK46" s="23" t="n">
        <f aca="false">AK$26</f>
        <v>3</v>
      </c>
      <c r="AL46" s="23" t="n">
        <f aca="false">AL$26</f>
        <v>401</v>
      </c>
      <c r="AM46" s="23" t="n">
        <f aca="false">AM$26</f>
        <v>81</v>
      </c>
      <c r="AN46" s="23" t="n">
        <f aca="false">AN$26</f>
        <v>163</v>
      </c>
      <c r="AO46" s="23" t="n">
        <f aca="false">AO$26</f>
        <v>9</v>
      </c>
      <c r="AP46" s="23" t="n">
        <f aca="false">AP$26</f>
        <v>17</v>
      </c>
      <c r="AQ46" s="23" t="n">
        <f aca="false">AQ$26</f>
        <v>7</v>
      </c>
      <c r="AR46" s="23" t="n">
        <f aca="false">AR$26</f>
        <v>144</v>
      </c>
      <c r="AS46" s="23" t="n">
        <f aca="false">AS$26</f>
        <v>10</v>
      </c>
      <c r="AT46" s="23" t="n">
        <f aca="false">AT$26</f>
        <v>161</v>
      </c>
      <c r="AU46" s="23" t="n">
        <f aca="false">AU$26</f>
        <v>13</v>
      </c>
      <c r="AV46" s="23" t="n">
        <f aca="false">AV$26</f>
        <v>15</v>
      </c>
      <c r="AW46" s="23" t="n">
        <f aca="false">AW$26</f>
        <v>38</v>
      </c>
      <c r="AX46" s="23" t="n">
        <f aca="false">AX$26</f>
        <v>3</v>
      </c>
      <c r="AY46" s="23" t="n">
        <f aca="false">AY$26</f>
        <v>6</v>
      </c>
      <c r="AZ46" s="23" t="n">
        <f aca="false">AZ$26</f>
        <v>5</v>
      </c>
      <c r="BA46" s="23" t="n">
        <f aca="false">BA$26</f>
        <v>8</v>
      </c>
      <c r="BB46" s="23" t="n">
        <f aca="false">BB$26</f>
        <v>10</v>
      </c>
      <c r="BC46" s="23" t="n">
        <f aca="false">BC$26</f>
        <v>11</v>
      </c>
      <c r="BD46" s="23" t="n">
        <f aca="false">BD$26</f>
        <v>43</v>
      </c>
      <c r="BE46" s="23" t="n">
        <f aca="false">BE$26</f>
        <v>50</v>
      </c>
      <c r="BF46" s="23" t="n">
        <f aca="false">BF$26</f>
        <v>16</v>
      </c>
      <c r="BG46" s="23" t="n">
        <f aca="false">BG$26</f>
        <v>51</v>
      </c>
      <c r="BH46" s="23" t="n">
        <f aca="false">BH$26</f>
        <v>33</v>
      </c>
      <c r="BI46" s="23" t="n">
        <f aca="false">BI$26</f>
        <v>38</v>
      </c>
      <c r="BJ46" s="23" t="n">
        <f aca="false">BJ$26</f>
        <v>10</v>
      </c>
      <c r="BK46" s="23" t="n">
        <f aca="false">BK$26</f>
        <v>25</v>
      </c>
      <c r="BL46" s="23" t="n">
        <f aca="false">BL$26</f>
        <v>23</v>
      </c>
      <c r="BM46" s="23" t="n">
        <f aca="false">BM$26</f>
        <v>33</v>
      </c>
      <c r="BN46" s="23" t="n">
        <f aca="false">BN$26</f>
        <v>99</v>
      </c>
      <c r="BO46" s="23" t="n">
        <f aca="false">BO$26</f>
        <v>10</v>
      </c>
      <c r="BP46" s="23" t="n">
        <f aca="false">BP$26</f>
        <v>24</v>
      </c>
      <c r="BQ46" s="23" t="n">
        <f aca="false">BQ$26</f>
        <v>0</v>
      </c>
      <c r="BR46" s="23" t="n">
        <f aca="false">BR$26</f>
        <v>1</v>
      </c>
      <c r="BS46" s="23" t="n">
        <f aca="false">BS$26</f>
        <v>269</v>
      </c>
      <c r="BT46" s="23" t="n">
        <f aca="false">BT$26</f>
        <v>13</v>
      </c>
      <c r="BU46" s="23" t="n">
        <f aca="false">BU$26</f>
        <v>21</v>
      </c>
      <c r="BV46" s="23" t="n">
        <f aca="false">BV$26</f>
        <v>41</v>
      </c>
      <c r="BW46" s="23" t="n">
        <f aca="false">BW$26</f>
        <v>21</v>
      </c>
      <c r="BX46" s="23" t="n">
        <f aca="false">BX$26</f>
        <v>128</v>
      </c>
    </row>
    <row r="47" customFormat="false" ht="15" hidden="false" customHeight="false" outlineLevel="0" collapsed="false">
      <c r="A47" s="4" t="s">
        <v>717</v>
      </c>
      <c r="B47" s="81" t="s">
        <v>709</v>
      </c>
      <c r="C47" s="82" t="n">
        <f aca="false">N(Planner!$E$20)</f>
        <v>8</v>
      </c>
      <c r="D47" s="83" t="n">
        <v>20.28119106197</v>
      </c>
      <c r="E47" s="81" t="str">
        <f aca="false">IF(D47&gt;=C47-0.000001*MAX(1,ABS(C47)),IF(ABS(D47-C47)&lt;=0.000001*MAX(1,ABS(C47)),"tight","ok"),"VIOLATED")</f>
        <v>ok</v>
      </c>
      <c r="F47" s="23" t="n">
        <f aca="false">F$27</f>
        <v>1.04</v>
      </c>
      <c r="G47" s="23" t="n">
        <f aca="false">G$27</f>
        <v>1.11</v>
      </c>
      <c r="H47" s="23" t="n">
        <f aca="false">H$27</f>
        <v>1.13</v>
      </c>
      <c r="I47" s="23" t="n">
        <f aca="false">I$27</f>
        <v>0.34</v>
      </c>
      <c r="J47" s="23" t="n">
        <f aca="false">J$27</f>
        <v>1.56</v>
      </c>
      <c r="K47" s="23" t="n">
        <f aca="false">K$27</f>
        <v>0.95</v>
      </c>
      <c r="L47" s="23" t="n">
        <f aca="false">L$27</f>
        <v>2.78</v>
      </c>
      <c r="M47" s="23" t="n">
        <f aca="false">M$27</f>
        <v>3.17</v>
      </c>
      <c r="N47" s="23" t="n">
        <f aca="false">N$27</f>
        <v>1.02</v>
      </c>
      <c r="O47" s="23" t="n">
        <f aca="false">O$27</f>
        <v>0.62</v>
      </c>
      <c r="P47" s="23" t="n">
        <f aca="false">P$27</f>
        <v>1.81</v>
      </c>
      <c r="Q47" s="23" t="n">
        <f aca="false">Q$27</f>
        <v>1.63</v>
      </c>
      <c r="R47" s="23" t="n">
        <f aca="false">R$27</f>
        <v>0.34</v>
      </c>
      <c r="S47" s="23" t="n">
        <f aca="false">S$27</f>
        <v>0.32</v>
      </c>
      <c r="T47" s="23" t="n">
        <f aca="false">T$27</f>
        <v>0.69</v>
      </c>
      <c r="U47" s="23" t="n">
        <f aca="false">U$27</f>
        <v>1.75</v>
      </c>
      <c r="V47" s="23" t="n">
        <f aca="false">V$27</f>
        <v>1.9</v>
      </c>
      <c r="W47" s="23" t="n">
        <f aca="false">W$27</f>
        <v>1.23</v>
      </c>
      <c r="X47" s="23" t="n">
        <f aca="false">X$27</f>
        <v>3.33</v>
      </c>
      <c r="Y47" s="23" t="n">
        <f aca="false">Y$27</f>
        <v>1.74</v>
      </c>
      <c r="Z47" s="23" t="n">
        <f aca="false">Z$27</f>
        <v>2.09</v>
      </c>
      <c r="AA47" s="23" t="n">
        <f aca="false">AA$27</f>
        <v>1.6</v>
      </c>
      <c r="AB47" s="23" t="n">
        <f aca="false">AB$27</f>
        <v>0.02</v>
      </c>
      <c r="AC47" s="23" t="n">
        <f aca="false">AC$27</f>
        <v>0.07</v>
      </c>
      <c r="AD47" s="23" t="n">
        <f aca="false">AD$27</f>
        <v>0.42</v>
      </c>
      <c r="AE47" s="23" t="n">
        <f aca="false">AE$27</f>
        <v>0.03</v>
      </c>
      <c r="AF47" s="23" t="n">
        <f aca="false">AF$27</f>
        <v>0.63</v>
      </c>
      <c r="AG47" s="23" t="n">
        <f aca="false">AG$27</f>
        <v>0.14</v>
      </c>
      <c r="AH47" s="23" t="n">
        <f aca="false">AH$27</f>
        <v>0.13</v>
      </c>
      <c r="AI47" s="23" t="n">
        <f aca="false">AI$27</f>
        <v>0.22</v>
      </c>
      <c r="AJ47" s="23" t="n">
        <f aca="false">AJ$27</f>
        <v>3.57</v>
      </c>
      <c r="AK47" s="23" t="n">
        <f aca="false">AK$27</f>
        <v>0.56</v>
      </c>
      <c r="AL47" s="23" t="n">
        <f aca="false">AL$27</f>
        <v>33.17</v>
      </c>
      <c r="AM47" s="23" t="n">
        <f aca="false">AM$27</f>
        <v>1.23</v>
      </c>
      <c r="AN47" s="23" t="n">
        <f aca="false">AN$27</f>
        <v>3.32</v>
      </c>
      <c r="AO47" s="23" t="n">
        <f aca="false">AO$27</f>
        <v>0.9</v>
      </c>
      <c r="AP47" s="23" t="n">
        <f aca="false">AP$27</f>
        <v>1.49</v>
      </c>
      <c r="AQ47" s="23" t="n">
        <f aca="false">AQ$27</f>
        <v>1.28</v>
      </c>
      <c r="AR47" s="23" t="n">
        <f aca="false">AR$27</f>
        <v>3.61</v>
      </c>
      <c r="AS47" s="23" t="n">
        <f aca="false">AS$27</f>
        <v>1.2</v>
      </c>
      <c r="AT47" s="23" t="n">
        <f aca="false">AT$27</f>
        <v>2.47</v>
      </c>
      <c r="AU47" s="23" t="n">
        <f aca="false">AU$27</f>
        <v>1.72</v>
      </c>
      <c r="AV47" s="23" t="n">
        <f aca="false">AV$27</f>
        <v>1.08</v>
      </c>
      <c r="AW47" s="23" t="n">
        <f aca="false">AW$27</f>
        <v>0.69</v>
      </c>
      <c r="AX47" s="23" t="n">
        <f aca="false">AX$27</f>
        <v>0.47</v>
      </c>
      <c r="AY47" s="23" t="n">
        <f aca="false">AY$27</f>
        <v>0.12</v>
      </c>
      <c r="AZ47" s="23" t="n">
        <f aca="false">AZ$27</f>
        <v>0.26</v>
      </c>
      <c r="BA47" s="23" t="n">
        <f aca="false">BA$27</f>
        <v>0.18</v>
      </c>
      <c r="BB47" s="23" t="n">
        <f aca="false">BB$27</f>
        <v>0.36</v>
      </c>
      <c r="BC47" s="23" t="n">
        <f aca="false">BC$27</f>
        <v>0.13</v>
      </c>
      <c r="BD47" s="23" t="n">
        <f aca="false">BD$27</f>
        <v>0.13</v>
      </c>
      <c r="BE47" s="23" t="n">
        <f aca="false">BE$27</f>
        <v>1.88</v>
      </c>
      <c r="BF47" s="23" t="n">
        <f aca="false">BF$27</f>
        <v>0.41</v>
      </c>
      <c r="BG47" s="23" t="n">
        <f aca="false">BG$27</f>
        <v>0.61</v>
      </c>
      <c r="BH47" s="23" t="n">
        <f aca="false">BH$27</f>
        <v>0.3</v>
      </c>
      <c r="BI47" s="23" t="n">
        <f aca="false">BI$27</f>
        <v>1.06</v>
      </c>
      <c r="BJ47" s="23" t="n">
        <f aca="false">BJ$27</f>
        <v>0.34</v>
      </c>
      <c r="BK47" s="23" t="n">
        <f aca="false">BK$27</f>
        <v>0.82</v>
      </c>
      <c r="BL47" s="23" t="n">
        <f aca="false">BL$27</f>
        <v>0.21</v>
      </c>
      <c r="BM47" s="23" t="n">
        <f aca="false">BM$27</f>
        <v>0.97</v>
      </c>
      <c r="BN47" s="23" t="n">
        <f aca="false">BN$27</f>
        <v>2.71</v>
      </c>
      <c r="BO47" s="23" t="n">
        <f aca="false">BO$27</f>
        <v>0.27</v>
      </c>
      <c r="BP47" s="23" t="n">
        <f aca="false">BP$27</f>
        <v>0.02</v>
      </c>
      <c r="BQ47" s="23" t="n">
        <f aca="false">BQ$27</f>
        <v>0</v>
      </c>
      <c r="BR47" s="23" t="n">
        <f aca="false">BR$27</f>
        <v>0.56</v>
      </c>
      <c r="BS47" s="23" t="n">
        <f aca="false">BS$27</f>
        <v>3.71</v>
      </c>
      <c r="BT47" s="23" t="n">
        <f aca="false">BT$27</f>
        <v>0.61</v>
      </c>
      <c r="BU47" s="23" t="n">
        <f aca="false">BU$27</f>
        <v>5.58</v>
      </c>
      <c r="BV47" s="23" t="n">
        <f aca="false">BV$27</f>
        <v>2.19</v>
      </c>
      <c r="BW47" s="23" t="n">
        <f aca="false">BW$27</f>
        <v>1.28</v>
      </c>
      <c r="BX47" s="23" t="n">
        <f aca="false">BX$27</f>
        <v>0.09</v>
      </c>
    </row>
    <row r="48" customFormat="false" ht="15" hidden="false" customHeight="false" outlineLevel="0" collapsed="false">
      <c r="A48" s="4" t="s">
        <v>718</v>
      </c>
      <c r="B48" s="81" t="s">
        <v>709</v>
      </c>
      <c r="C48" s="82" t="n">
        <f aca="false">N(Planner!$E$21)</f>
        <v>3400</v>
      </c>
      <c r="D48" s="83" t="n">
        <v>4995.983882091</v>
      </c>
      <c r="E48" s="81" t="str">
        <f aca="false">IF(D48&gt;=C48-0.000001*MAX(1,ABS(C48)),IF(ABS(D48-C48)&lt;=0.000001*MAX(1,ABS(C48)),"tight","ok"),"VIOLATED")</f>
        <v>ok</v>
      </c>
      <c r="F48" s="23" t="n">
        <f aca="false">F$28</f>
        <v>256</v>
      </c>
      <c r="G48" s="23" t="n">
        <f aca="false">G$28</f>
        <v>247</v>
      </c>
      <c r="H48" s="23" t="n">
        <f aca="false">H$28</f>
        <v>269</v>
      </c>
      <c r="I48" s="23" t="n">
        <f aca="false">I$28</f>
        <v>401</v>
      </c>
      <c r="J48" s="23" t="n">
        <f aca="false">J$28</f>
        <v>304</v>
      </c>
      <c r="K48" s="23" t="n">
        <f aca="false">K$28</f>
        <v>499</v>
      </c>
      <c r="L48" s="23" t="n">
        <f aca="false">L$28</f>
        <v>380</v>
      </c>
      <c r="M48" s="23" t="n">
        <f aca="false">M$28</f>
        <v>449</v>
      </c>
      <c r="N48" s="23" t="n">
        <f aca="false">N$28</f>
        <v>287</v>
      </c>
      <c r="O48" s="23" t="n">
        <f aca="false">O$28</f>
        <v>366</v>
      </c>
      <c r="P48" s="23" t="n">
        <f aca="false">P$28</f>
        <v>327</v>
      </c>
      <c r="Q48" s="23" t="n">
        <f aca="false">Q$28</f>
        <v>179</v>
      </c>
      <c r="R48" s="23" t="n">
        <f aca="false">R$28</f>
        <v>384</v>
      </c>
      <c r="S48" s="23" t="n">
        <f aca="false">S$28</f>
        <v>170</v>
      </c>
      <c r="T48" s="23" t="n">
        <f aca="false">T$28</f>
        <v>380</v>
      </c>
      <c r="U48" s="23" t="n">
        <f aca="false">U$28</f>
        <v>138</v>
      </c>
      <c r="V48" s="23" t="n">
        <f aca="false">V$28</f>
        <v>308</v>
      </c>
      <c r="W48" s="23" t="n">
        <f aca="false">W$28</f>
        <v>144</v>
      </c>
      <c r="X48" s="23" t="n">
        <f aca="false">X$28</f>
        <v>369</v>
      </c>
      <c r="Y48" s="23" t="n">
        <f aca="false">Y$28</f>
        <v>558</v>
      </c>
      <c r="Z48" s="23" t="n">
        <f aca="false">Z$28</f>
        <v>436</v>
      </c>
      <c r="AA48" s="23" t="n">
        <f aca="false">AA$28</f>
        <v>0</v>
      </c>
      <c r="AB48" s="23" t="n">
        <f aca="false">AB$28</f>
        <v>140</v>
      </c>
      <c r="AC48" s="23" t="n">
        <f aca="false">AC$28</f>
        <v>141</v>
      </c>
      <c r="AD48" s="23" t="n">
        <f aca="false">AD$28</f>
        <v>122</v>
      </c>
      <c r="AE48" s="23" t="n">
        <f aca="false">AE$28</f>
        <v>132</v>
      </c>
      <c r="AF48" s="23" t="n">
        <f aca="false">AF$28</f>
        <v>132</v>
      </c>
      <c r="AG48" s="23" t="n">
        <f aca="false">AG$28</f>
        <v>76</v>
      </c>
      <c r="AH48" s="23" t="n">
        <f aca="false">AH$28</f>
        <v>125</v>
      </c>
      <c r="AI48" s="23" t="n">
        <f aca="false">AI$28</f>
        <v>188</v>
      </c>
      <c r="AJ48" s="23" t="n">
        <f aca="false">AJ$28</f>
        <v>107</v>
      </c>
      <c r="AK48" s="23" t="n">
        <f aca="false">AK$28</f>
        <v>86</v>
      </c>
      <c r="AL48" s="23" t="n">
        <f aca="false">AL$28</f>
        <v>641</v>
      </c>
      <c r="AM48" s="23" t="n">
        <f aca="false">AM$28</f>
        <v>186</v>
      </c>
      <c r="AN48" s="23" t="n">
        <f aca="false">AN$28</f>
        <v>133</v>
      </c>
      <c r="AO48" s="23" t="n">
        <f aca="false">AO$28</f>
        <v>70</v>
      </c>
      <c r="AP48" s="23" t="n">
        <f aca="false">AP$28</f>
        <v>172</v>
      </c>
      <c r="AQ48" s="23" t="n">
        <f aca="false">AQ$28</f>
        <v>44</v>
      </c>
      <c r="AR48" s="23" t="n">
        <f aca="false">AR$28</f>
        <v>126</v>
      </c>
      <c r="AS48" s="23" t="n">
        <f aca="false">AS$28</f>
        <v>35</v>
      </c>
      <c r="AT48" s="23" t="n">
        <f aca="false">AT$28</f>
        <v>254</v>
      </c>
      <c r="AU48" s="23" t="n">
        <f aca="false">AU$28</f>
        <v>96</v>
      </c>
      <c r="AV48" s="23" t="n">
        <f aca="false">AV$28</f>
        <v>535</v>
      </c>
      <c r="AW48" s="23" t="n">
        <f aca="false">AW$28</f>
        <v>475</v>
      </c>
      <c r="AX48" s="23" t="n">
        <f aca="false">AX$28</f>
        <v>233</v>
      </c>
      <c r="AY48" s="23" t="n">
        <f aca="false">AY$28</f>
        <v>107</v>
      </c>
      <c r="AZ48" s="23" t="n">
        <f aca="false">AZ$28</f>
        <v>358</v>
      </c>
      <c r="BA48" s="23" t="n">
        <f aca="false">BA$28</f>
        <v>54</v>
      </c>
      <c r="BB48" s="23" t="n">
        <f aca="false">BB$28</f>
        <v>191</v>
      </c>
      <c r="BC48" s="23" t="n">
        <f aca="false">BC$28</f>
        <v>178</v>
      </c>
      <c r="BD48" s="23" t="n">
        <f aca="false">BD$28</f>
        <v>166</v>
      </c>
      <c r="BE48" s="23" t="n">
        <f aca="false">BE$28</f>
        <v>749</v>
      </c>
      <c r="BF48" s="23" t="n">
        <f aca="false">BF$28</f>
        <v>153</v>
      </c>
      <c r="BG48" s="23" t="n">
        <f aca="false">BG$28</f>
        <v>180</v>
      </c>
      <c r="BH48" s="23" t="n">
        <f aca="false">BH$28</f>
        <v>320</v>
      </c>
      <c r="BI48" s="23" t="n">
        <f aca="false">BI$28</f>
        <v>96</v>
      </c>
      <c r="BJ48" s="23" t="n">
        <f aca="false">BJ$28</f>
        <v>175</v>
      </c>
      <c r="BK48" s="23" t="n">
        <f aca="false">BK$28</f>
        <v>169</v>
      </c>
      <c r="BL48" s="23" t="n">
        <f aca="false">BL$28</f>
        <v>146</v>
      </c>
      <c r="BM48" s="23" t="n">
        <f aca="false">BM$28</f>
        <v>247</v>
      </c>
      <c r="BN48" s="23" t="n">
        <f aca="false">BN$28</f>
        <v>558</v>
      </c>
      <c r="BO48" s="23" t="n">
        <f aca="false">BO$28</f>
        <v>237</v>
      </c>
      <c r="BP48" s="23" t="n">
        <f aca="false">BP$28</f>
        <v>24</v>
      </c>
      <c r="BQ48" s="23" t="n">
        <f aca="false">BQ$28</f>
        <v>0</v>
      </c>
      <c r="BR48" s="23" t="n">
        <f aca="false">BR$28</f>
        <v>1</v>
      </c>
      <c r="BS48" s="23" t="n">
        <f aca="false">BS$28</f>
        <v>733</v>
      </c>
      <c r="BT48" s="23" t="n">
        <f aca="false">BT$28</f>
        <v>507</v>
      </c>
      <c r="BU48" s="23" t="n">
        <f aca="false">BU$28</f>
        <v>171</v>
      </c>
      <c r="BV48" s="23" t="n">
        <f aca="false">BV$28</f>
        <v>237</v>
      </c>
      <c r="BW48" s="23" t="n">
        <f aca="false">BW$28</f>
        <v>1196</v>
      </c>
      <c r="BX48" s="23" t="n">
        <f aca="false">BX$28</f>
        <v>199</v>
      </c>
    </row>
    <row r="49" customFormat="false" ht="15" hidden="false" customHeight="false" outlineLevel="0" collapsed="false">
      <c r="A49" s="4" t="s">
        <v>719</v>
      </c>
      <c r="B49" s="81" t="s">
        <v>709</v>
      </c>
      <c r="C49" s="82" t="n">
        <f aca="false">N(Planner!$E$22)</f>
        <v>90</v>
      </c>
      <c r="D49" s="83" t="n">
        <v>89.9999999906</v>
      </c>
      <c r="E49" s="81" t="str">
        <f aca="false">IF(D49&gt;=C49-0.000001*MAX(1,ABS(C49)),IF(ABS(D49-C49)&lt;=0.000001*MAX(1,ABS(C49)),"tight","ok"),"VIOLATED")</f>
        <v>tight</v>
      </c>
      <c r="F49" s="23" t="n">
        <f aca="false">F$30</f>
        <v>0</v>
      </c>
      <c r="G49" s="23" t="n">
        <f aca="false">G$30</f>
        <v>0</v>
      </c>
      <c r="H49" s="23" t="n">
        <f aca="false">H$30</f>
        <v>0</v>
      </c>
      <c r="I49" s="23" t="n">
        <f aca="false">I$30</f>
        <v>0</v>
      </c>
      <c r="J49" s="23" t="n">
        <f aca="false">J$30</f>
        <v>0</v>
      </c>
      <c r="K49" s="23" t="n">
        <f aca="false">K$30</f>
        <v>0</v>
      </c>
      <c r="L49" s="23" t="n">
        <f aca="false">L$30</f>
        <v>0</v>
      </c>
      <c r="M49" s="23" t="n">
        <f aca="false">M$30</f>
        <v>0</v>
      </c>
      <c r="N49" s="23" t="n">
        <f aca="false">N$30</f>
        <v>4</v>
      </c>
      <c r="O49" s="23" t="n">
        <f aca="false">O$30</f>
        <v>0</v>
      </c>
      <c r="P49" s="23" t="n">
        <f aca="false">P$30</f>
        <v>0</v>
      </c>
      <c r="Q49" s="23" t="n">
        <f aca="false">Q$30</f>
        <v>0</v>
      </c>
      <c r="R49" s="23" t="n">
        <f aca="false">R$30</f>
        <v>3.7</v>
      </c>
      <c r="S49" s="23" t="n">
        <f aca="false">S$30</f>
        <v>0</v>
      </c>
      <c r="T49" s="23" t="n">
        <f aca="false">T$30</f>
        <v>0</v>
      </c>
      <c r="U49" s="23" t="n">
        <f aca="false">U$30</f>
        <v>0</v>
      </c>
      <c r="V49" s="23" t="n">
        <f aca="false">V$30</f>
        <v>2.7</v>
      </c>
      <c r="W49" s="23" t="n">
        <f aca="false">W$30</f>
        <v>0.1</v>
      </c>
      <c r="X49" s="23" t="n">
        <f aca="false">X$30</f>
        <v>1.5</v>
      </c>
      <c r="Y49" s="23" t="n">
        <f aca="false">Y$30</f>
        <v>0</v>
      </c>
      <c r="Z49" s="23" t="n">
        <f aca="false">Z$30</f>
        <v>0.8</v>
      </c>
      <c r="AA49" s="23" t="n">
        <f aca="false">AA$30</f>
        <v>0</v>
      </c>
      <c r="AB49" s="23" t="n">
        <f aca="false">AB$30</f>
        <v>0.2</v>
      </c>
      <c r="AC49" s="23" t="n">
        <f aca="false">AC$30</f>
        <v>0</v>
      </c>
      <c r="AD49" s="23" t="n">
        <f aca="false">AD$30</f>
        <v>0</v>
      </c>
      <c r="AE49" s="23" t="n">
        <f aca="false">AE$30</f>
        <v>0</v>
      </c>
      <c r="AF49" s="23" t="n">
        <f aca="false">AF$30</f>
        <v>0</v>
      </c>
      <c r="AG49" s="23" t="n">
        <f aca="false">AG$30</f>
        <v>0</v>
      </c>
      <c r="AH49" s="23" t="n">
        <f aca="false">AH$30</f>
        <v>0</v>
      </c>
      <c r="AI49" s="23" t="n">
        <f aca="false">AI$30</f>
        <v>0</v>
      </c>
      <c r="AJ49" s="23" t="n">
        <f aca="false">AJ$30</f>
        <v>0</v>
      </c>
      <c r="AK49" s="23" t="n">
        <f aca="false">AK$30</f>
        <v>0</v>
      </c>
      <c r="AL49" s="23" t="n">
        <f aca="false">AL$30</f>
        <v>21.6</v>
      </c>
      <c r="AM49" s="23" t="n">
        <f aca="false">AM$30</f>
        <v>0</v>
      </c>
      <c r="AN49" s="23" t="n">
        <f aca="false">AN$30</f>
        <v>0</v>
      </c>
      <c r="AO49" s="23" t="n">
        <f aca="false">AO$30</f>
        <v>0</v>
      </c>
      <c r="AP49" s="23" t="n">
        <f aca="false">AP$30</f>
        <v>0</v>
      </c>
      <c r="AQ49" s="23" t="n">
        <f aca="false">AQ$30</f>
        <v>0</v>
      </c>
      <c r="AR49" s="23" t="n">
        <f aca="false">AR$30</f>
        <v>0</v>
      </c>
      <c r="AS49" s="23" t="n">
        <f aca="false">AS$30</f>
        <v>0</v>
      </c>
      <c r="AT49" s="23" t="n">
        <f aca="false">AT$30</f>
        <v>0</v>
      </c>
      <c r="AU49" s="23" t="n">
        <f aca="false">AU$30</f>
        <v>0</v>
      </c>
      <c r="AV49" s="23" t="n">
        <f aca="false">AV$30</f>
        <v>9.6</v>
      </c>
      <c r="AW49" s="23" t="n">
        <f aca="false">AW$30</f>
        <v>19.6</v>
      </c>
      <c r="AX49" s="23" t="n">
        <f aca="false">AX$30</f>
        <v>3.5</v>
      </c>
      <c r="AY49" s="23" t="n">
        <f aca="false">AY$30</f>
        <v>4.6</v>
      </c>
      <c r="AZ49" s="23" t="n">
        <f aca="false">AZ$30</f>
        <v>8.7</v>
      </c>
      <c r="BA49" s="23" t="n">
        <f aca="false">BA$30</f>
        <v>2.5</v>
      </c>
      <c r="BB49" s="23" t="n">
        <f aca="false">BB$30</f>
        <v>3.2</v>
      </c>
      <c r="BC49" s="23" t="n">
        <f aca="false">BC$30</f>
        <v>33.6</v>
      </c>
      <c r="BD49" s="23" t="n">
        <f aca="false">BD$30</f>
        <v>59.1</v>
      </c>
      <c r="BE49" s="23" t="n">
        <f aca="false">BE$30</f>
        <v>2.3</v>
      </c>
      <c r="BF49" s="23" t="n">
        <f aca="false">BF$30</f>
        <v>58.8</v>
      </c>
      <c r="BG49" s="23" t="n">
        <f aca="false">BG$30</f>
        <v>40.1</v>
      </c>
      <c r="BH49" s="23" t="n">
        <f aca="false">BH$30</f>
        <v>5.9</v>
      </c>
      <c r="BI49" s="23" t="n">
        <f aca="false">BI$30</f>
        <v>2.8</v>
      </c>
      <c r="BJ49" s="23" t="n">
        <f aca="false">BJ$30</f>
        <v>80.4</v>
      </c>
      <c r="BK49" s="23" t="n">
        <f aca="false">BK$30</f>
        <v>3.2</v>
      </c>
      <c r="BL49" s="23" t="n">
        <f aca="false">BL$30</f>
        <v>7.4</v>
      </c>
      <c r="BM49" s="23" t="n">
        <f aca="false">BM$30</f>
        <v>4</v>
      </c>
      <c r="BN49" s="23" t="n">
        <f aca="false">BN$30</f>
        <v>28.1</v>
      </c>
      <c r="BO49" s="23" t="n">
        <f aca="false">BO$30</f>
        <v>13.7</v>
      </c>
      <c r="BP49" s="23" t="n">
        <f aca="false">BP$30</f>
        <v>0</v>
      </c>
      <c r="BQ49" s="23" t="n">
        <f aca="false">BQ$30</f>
        <v>0</v>
      </c>
      <c r="BR49" s="23" t="n">
        <f aca="false">BR$30</f>
        <v>0</v>
      </c>
      <c r="BS49" s="23" t="n">
        <f aca="false">BS$30</f>
        <v>0</v>
      </c>
      <c r="BT49" s="23" t="n">
        <f aca="false">BT$30</f>
        <v>8.8</v>
      </c>
      <c r="BU49" s="23" t="n">
        <f aca="false">BU$30</f>
        <v>0</v>
      </c>
      <c r="BV49" s="23" t="n">
        <f aca="false">BV$30</f>
        <v>0</v>
      </c>
      <c r="BW49" s="23" t="n">
        <f aca="false">BW$30</f>
        <v>21.6</v>
      </c>
      <c r="BX49" s="23" t="n">
        <f aca="false">BX$30</f>
        <v>0.6</v>
      </c>
    </row>
    <row r="50" customFormat="false" ht="15" hidden="false" customHeight="false" outlineLevel="0" collapsed="false">
      <c r="A50" s="4" t="s">
        <v>720</v>
      </c>
      <c r="B50" s="81" t="s">
        <v>721</v>
      </c>
      <c r="C50" s="82" t="n">
        <f aca="false">Planner!$E$16*Planner!$C$45</f>
        <v>606</v>
      </c>
      <c r="D50" s="83" t="n">
        <v>615.8985135275</v>
      </c>
      <c r="E50" s="81" t="str">
        <f aca="false">IF(D50&gt;=C50-0.000001*MAX(1,ABS(C50)),IF(ABS(D50-C50)&lt;=0.000001*MAX(1,ABS(C50)),"tight","ok"),"VIOLATED")</f>
        <v>ok</v>
      </c>
      <c r="F50" s="23" t="n">
        <f aca="false">F$20*F$33</f>
        <v>0</v>
      </c>
      <c r="G50" s="23" t="n">
        <f aca="false">G$20*G$33</f>
        <v>0</v>
      </c>
      <c r="H50" s="23" t="n">
        <f aca="false">H$20*H$33</f>
        <v>0</v>
      </c>
      <c r="I50" s="23" t="n">
        <f aca="false">I$20*I$33</f>
        <v>0</v>
      </c>
      <c r="J50" s="23" t="n">
        <f aca="false">J$20*J$33</f>
        <v>0</v>
      </c>
      <c r="K50" s="23" t="n">
        <f aca="false">K$20*K$33</f>
        <v>468</v>
      </c>
      <c r="L50" s="23" t="n">
        <f aca="false">L$20*L$33</f>
        <v>0</v>
      </c>
      <c r="M50" s="23" t="n">
        <f aca="false">M$20*M$33</f>
        <v>0</v>
      </c>
      <c r="N50" s="23" t="n">
        <f aca="false">N$20*N$33</f>
        <v>0</v>
      </c>
      <c r="O50" s="23" t="n">
        <f aca="false">O$20*O$33</f>
        <v>0</v>
      </c>
      <c r="P50" s="23" t="n">
        <f aca="false">P$20*P$33</f>
        <v>0</v>
      </c>
      <c r="Q50" s="23" t="n">
        <f aca="false">Q$20*Q$33</f>
        <v>0</v>
      </c>
      <c r="R50" s="23" t="n">
        <f aca="false">R$20*R$33</f>
        <v>0</v>
      </c>
      <c r="S50" s="23" t="n">
        <f aca="false">S$20*S$33</f>
        <v>0</v>
      </c>
      <c r="T50" s="23" t="n">
        <f aca="false">T$20*T$33</f>
        <v>0</v>
      </c>
      <c r="U50" s="23" t="n">
        <f aca="false">U$20*U$33</f>
        <v>143</v>
      </c>
      <c r="V50" s="23" t="n">
        <f aca="false">V$20*V$33</f>
        <v>0</v>
      </c>
      <c r="W50" s="23" t="n">
        <f aca="false">W$20*W$33</f>
        <v>0</v>
      </c>
      <c r="X50" s="23" t="n">
        <f aca="false">X$20*X$33</f>
        <v>0</v>
      </c>
      <c r="Y50" s="23" t="n">
        <f aca="false">Y$20*Y$33</f>
        <v>299</v>
      </c>
      <c r="Z50" s="23" t="n">
        <f aca="false">Z$20*Z$33</f>
        <v>0</v>
      </c>
      <c r="AA50" s="23" t="n">
        <f aca="false">AA$20*AA$33</f>
        <v>0</v>
      </c>
      <c r="AB50" s="23" t="n">
        <f aca="false">AB$20*AB$33</f>
        <v>25</v>
      </c>
      <c r="AC50" s="23" t="n">
        <f aca="false">AC$20*AC$33</f>
        <v>29.5</v>
      </c>
      <c r="AD50" s="23" t="n">
        <f aca="false">AD$20*AD$33</f>
        <v>21.5</v>
      </c>
      <c r="AE50" s="23" t="n">
        <f aca="false">AE$20*AE$33</f>
        <v>30.5</v>
      </c>
      <c r="AF50" s="23" t="n">
        <f aca="false">AF$20*AF$33</f>
        <v>0</v>
      </c>
      <c r="AG50" s="23" t="n">
        <f aca="false">AG$20*AG$33</f>
        <v>0</v>
      </c>
      <c r="AH50" s="23" t="n">
        <f aca="false">AH$20*AH$33</f>
        <v>0</v>
      </c>
      <c r="AI50" s="23" t="n">
        <f aca="false">AI$20*AI$33</f>
        <v>0</v>
      </c>
      <c r="AJ50" s="23" t="n">
        <f aca="false">AJ$20*AJ$33</f>
        <v>264</v>
      </c>
      <c r="AK50" s="23" t="n">
        <f aca="false">AK$20*AK$33</f>
        <v>0</v>
      </c>
      <c r="AL50" s="23" t="n">
        <f aca="false">AL$20*AL$33</f>
        <v>376</v>
      </c>
      <c r="AM50" s="23" t="n">
        <f aca="false">AM$20*AM$33</f>
        <v>0</v>
      </c>
      <c r="AN50" s="23" t="n">
        <f aca="false">AN$20*AN$33</f>
        <v>0</v>
      </c>
      <c r="AO50" s="23" t="n">
        <f aca="false">AO$20*AO$33</f>
        <v>71</v>
      </c>
      <c r="AP50" s="23" t="n">
        <f aca="false">AP$20*AP$33</f>
        <v>0</v>
      </c>
      <c r="AQ50" s="23" t="n">
        <f aca="false">AQ$20*AQ$33</f>
        <v>0</v>
      </c>
      <c r="AR50" s="23" t="n">
        <f aca="false">AR$20*AR$33</f>
        <v>133</v>
      </c>
      <c r="AS50" s="23" t="n">
        <f aca="false">AS$20*AS$33</f>
        <v>0</v>
      </c>
      <c r="AT50" s="23" t="n">
        <f aca="false">AT$20*AT$33</f>
        <v>126</v>
      </c>
      <c r="AU50" s="23" t="n">
        <f aca="false">AU$20*AU$33</f>
        <v>0</v>
      </c>
      <c r="AV50" s="23" t="n">
        <f aca="false">AV$20*AV$33</f>
        <v>0</v>
      </c>
      <c r="AW50" s="23" t="n">
        <f aca="false">AW$20*AW$33</f>
        <v>0</v>
      </c>
      <c r="AX50" s="23" t="n">
        <f aca="false">AX$20*AX$33</f>
        <v>0</v>
      </c>
      <c r="AY50" s="23" t="n">
        <f aca="false">AY$20*AY$33</f>
        <v>0</v>
      </c>
      <c r="AZ50" s="23" t="n">
        <f aca="false">AZ$20*AZ$33</f>
        <v>44.5</v>
      </c>
      <c r="BA50" s="23" t="n">
        <f aca="false">BA$20*BA$33</f>
        <v>51</v>
      </c>
      <c r="BB50" s="23" t="n">
        <f aca="false">BB$20*BB$33</f>
        <v>0</v>
      </c>
      <c r="BC50" s="23" t="n">
        <f aca="false">BC$20*BC$33</f>
        <v>49</v>
      </c>
      <c r="BD50" s="23" t="n">
        <f aca="false">BD$20*BD$33</f>
        <v>0</v>
      </c>
      <c r="BE50" s="23" t="n">
        <f aca="false">BE$20*BE$33</f>
        <v>0</v>
      </c>
      <c r="BF50" s="23" t="n">
        <f aca="false">BF$20*BF$33</f>
        <v>16</v>
      </c>
      <c r="BG50" s="23" t="n">
        <f aca="false">BG$20*BG$33</f>
        <v>0</v>
      </c>
      <c r="BH50" s="23" t="n">
        <f aca="false">BH$20*BH$33</f>
        <v>0</v>
      </c>
      <c r="BI50" s="23" t="n">
        <f aca="false">BI$20*BI$33</f>
        <v>0</v>
      </c>
      <c r="BJ50" s="23" t="n">
        <f aca="false">BJ$20*BJ$33</f>
        <v>0</v>
      </c>
      <c r="BK50" s="23" t="n">
        <f aca="false">BK$20*BK$33</f>
        <v>0</v>
      </c>
      <c r="BL50" s="23" t="n">
        <f aca="false">BL$20*BL$33</f>
        <v>0</v>
      </c>
      <c r="BM50" s="23" t="n">
        <f aca="false">BM$20*BM$33</f>
        <v>0</v>
      </c>
      <c r="BN50" s="23" t="n">
        <f aca="false">BN$20*BN$33</f>
        <v>0</v>
      </c>
      <c r="BO50" s="23" t="n">
        <f aca="false">BO$20*BO$33</f>
        <v>0</v>
      </c>
      <c r="BP50" s="23" t="n">
        <f aca="false">BP$20*BP$33</f>
        <v>358.5</v>
      </c>
      <c r="BQ50" s="23" t="n">
        <f aca="false">BQ$20*BQ$33</f>
        <v>0</v>
      </c>
      <c r="BR50" s="23" t="n">
        <f aca="false">BR$20*BR$33</f>
        <v>0</v>
      </c>
      <c r="BS50" s="23" t="n">
        <f aca="false">BS$20*BS$33</f>
        <v>0</v>
      </c>
      <c r="BT50" s="23" t="n">
        <f aca="false">BT$20*BT$33</f>
        <v>0</v>
      </c>
      <c r="BU50" s="23" t="n">
        <f aca="false">BU$20*BU$33</f>
        <v>0</v>
      </c>
      <c r="BV50" s="23" t="n">
        <f aca="false">BV$20*BV$33</f>
        <v>0</v>
      </c>
      <c r="BW50" s="23" t="n">
        <f aca="false">BW$20*BW$33</f>
        <v>0</v>
      </c>
      <c r="BX50" s="23" t="n">
        <f aca="false">BX$20*BX$33</f>
        <v>0</v>
      </c>
    </row>
    <row r="51" customFormat="false" ht="15" hidden="false" customHeight="false" outlineLevel="0" collapsed="false">
      <c r="A51" s="4" t="s">
        <v>722</v>
      </c>
      <c r="B51" s="81" t="s">
        <v>721</v>
      </c>
      <c r="C51" s="82" t="n">
        <f aca="false">Planner!$E$16*Planner!$C$46</f>
        <v>757.5</v>
      </c>
      <c r="D51" s="83" t="n">
        <v>1060.4999998985</v>
      </c>
      <c r="E51" s="81" t="str">
        <f aca="false">IF(D51&gt;=C51-0.000001*MAX(1,ABS(C51)),IF(ABS(D51-C51)&lt;=0.000001*MAX(1,ABS(C51)),"tight","ok"),"VIOLATED")</f>
        <v>ok</v>
      </c>
      <c r="F51" s="23" t="n">
        <f aca="false">F$20*F$34</f>
        <v>82.5</v>
      </c>
      <c r="G51" s="23" t="n">
        <f aca="false">G$20*G$34</f>
        <v>95.5</v>
      </c>
      <c r="H51" s="23" t="n">
        <f aca="false">H$20*H$34</f>
        <v>89.5</v>
      </c>
      <c r="I51" s="23" t="n">
        <f aca="false">I$20*I$34</f>
        <v>100</v>
      </c>
      <c r="J51" s="23" t="n">
        <f aca="false">J$20*J$34</f>
        <v>106.5</v>
      </c>
      <c r="K51" s="23" t="n">
        <f aca="false">K$20*K$34</f>
        <v>0</v>
      </c>
      <c r="L51" s="23" t="n">
        <f aca="false">L$20*L$34</f>
        <v>136</v>
      </c>
      <c r="M51" s="23" t="n">
        <f aca="false">M$20*M$34</f>
        <v>104.5</v>
      </c>
      <c r="N51" s="23" t="n">
        <f aca="false">N$20*N$34</f>
        <v>163</v>
      </c>
      <c r="O51" s="23" t="n">
        <f aca="false">O$20*O$34</f>
        <v>114.5</v>
      </c>
      <c r="P51" s="23" t="n">
        <f aca="false">P$20*P$34</f>
        <v>0</v>
      </c>
      <c r="Q51" s="23" t="n">
        <f aca="false">Q$20*Q$34</f>
        <v>86</v>
      </c>
      <c r="R51" s="23" t="n">
        <f aca="false">R$20*R$34</f>
        <v>0</v>
      </c>
      <c r="S51" s="23" t="n">
        <f aca="false">S$20*S$34</f>
        <v>0</v>
      </c>
      <c r="T51" s="23" t="n">
        <f aca="false">T$20*T$34</f>
        <v>64</v>
      </c>
      <c r="U51" s="23" t="n">
        <f aca="false">U$20*U$34</f>
        <v>0</v>
      </c>
      <c r="V51" s="23" t="n">
        <f aca="false">V$20*V$34</f>
        <v>45.5</v>
      </c>
      <c r="W51" s="23" t="n">
        <f aca="false">W$20*W$34</f>
        <v>44</v>
      </c>
      <c r="X51" s="23" t="n">
        <f aca="false">X$20*X$34</f>
        <v>58</v>
      </c>
      <c r="Y51" s="23" t="n">
        <f aca="false">Y$20*Y$34</f>
        <v>0</v>
      </c>
      <c r="Z51" s="23" t="n">
        <f aca="false">Z$20*Z$34</f>
        <v>71.5</v>
      </c>
      <c r="AA51" s="23" t="n">
        <f aca="false">AA$20*AA$34</f>
        <v>49</v>
      </c>
      <c r="AB51" s="23" t="n">
        <f aca="false">AB$20*AB$34</f>
        <v>0</v>
      </c>
      <c r="AC51" s="23" t="n">
        <f aca="false">AC$20*AC$34</f>
        <v>0</v>
      </c>
      <c r="AD51" s="23" t="n">
        <f aca="false">AD$20*AD$34</f>
        <v>0</v>
      </c>
      <c r="AE51" s="23" t="n">
        <f aca="false">AE$20*AE$34</f>
        <v>0</v>
      </c>
      <c r="AF51" s="23" t="n">
        <f aca="false">AF$20*AF$34</f>
        <v>366</v>
      </c>
      <c r="AG51" s="23" t="n">
        <f aca="false">AG$20*AG$34</f>
        <v>202</v>
      </c>
      <c r="AH51" s="23" t="n">
        <f aca="false">AH$20*AH$34</f>
        <v>40.5</v>
      </c>
      <c r="AI51" s="23" t="n">
        <f aca="false">AI$20*AI$34</f>
        <v>0</v>
      </c>
      <c r="AJ51" s="23" t="n">
        <f aca="false">AJ$20*AJ$34</f>
        <v>0</v>
      </c>
      <c r="AK51" s="23" t="n">
        <f aca="false">AK$20*AK$34</f>
        <v>61.5</v>
      </c>
      <c r="AL51" s="23" t="n">
        <f aca="false">AL$20*AL$34</f>
        <v>0</v>
      </c>
      <c r="AM51" s="23" t="n">
        <f aca="false">AM$20*AM$34</f>
        <v>109</v>
      </c>
      <c r="AN51" s="23" t="n">
        <f aca="false">AN$20*AN$34</f>
        <v>148.5</v>
      </c>
      <c r="AO51" s="23" t="n">
        <f aca="false">AO$20*AO$34</f>
        <v>0</v>
      </c>
      <c r="AP51" s="23" t="n">
        <f aca="false">AP$20*AP$34</f>
        <v>60</v>
      </c>
      <c r="AQ51" s="23" t="n">
        <f aca="false">AQ$20*AQ$34</f>
        <v>79</v>
      </c>
      <c r="AR51" s="23" t="n">
        <f aca="false">AR$20*AR$34</f>
        <v>133</v>
      </c>
      <c r="AS51" s="23" t="n">
        <f aca="false">AS$20*AS$34</f>
        <v>65</v>
      </c>
      <c r="AT51" s="23" t="n">
        <f aca="false">AT$20*AT$34</f>
        <v>126</v>
      </c>
      <c r="AU51" s="23" t="n">
        <f aca="false">AU$20*AU$34</f>
        <v>74.5</v>
      </c>
      <c r="AV51" s="23" t="n">
        <f aca="false">AV$20*AV$34</f>
        <v>46.5</v>
      </c>
      <c r="AW51" s="23" t="n">
        <f aca="false">AW$20*AW$34</f>
        <v>45</v>
      </c>
      <c r="AX51" s="23" t="n">
        <f aca="false">AX$20*AX$34</f>
        <v>40.5</v>
      </c>
      <c r="AY51" s="23" t="n">
        <f aca="false">AY$20*AY$34</f>
        <v>26</v>
      </c>
      <c r="AZ51" s="23" t="n">
        <f aca="false">AZ$20*AZ$34</f>
        <v>0</v>
      </c>
      <c r="BA51" s="23" t="n">
        <f aca="false">BA$20*BA$34</f>
        <v>0</v>
      </c>
      <c r="BB51" s="23" t="n">
        <f aca="false">BB$20*BB$34</f>
        <v>0</v>
      </c>
      <c r="BC51" s="23" t="n">
        <f aca="false">BC$20*BC$34</f>
        <v>0</v>
      </c>
      <c r="BD51" s="23" t="n">
        <f aca="false">BD$20*BD$34</f>
        <v>24.5</v>
      </c>
      <c r="BE51" s="23" t="n">
        <f aca="false">BE$20*BE$34</f>
        <v>0</v>
      </c>
      <c r="BF51" s="23" t="n">
        <f aca="false">BF$20*BF$34</f>
        <v>0</v>
      </c>
      <c r="BG51" s="23" t="n">
        <f aca="false">BG$20*BG$34</f>
        <v>14</v>
      </c>
      <c r="BH51" s="23" t="n">
        <f aca="false">BH$20*BH$34</f>
        <v>20.5</v>
      </c>
      <c r="BI51" s="23" t="n">
        <f aca="false">BI$20*BI$34</f>
        <v>11</v>
      </c>
      <c r="BJ51" s="23" t="n">
        <f aca="false">BJ$20*BJ$34</f>
        <v>10</v>
      </c>
      <c r="BK51" s="23" t="n">
        <f aca="false">BK$20*BK$34</f>
        <v>32.5</v>
      </c>
      <c r="BL51" s="23" t="n">
        <f aca="false">BL$20*BL$34</f>
        <v>20</v>
      </c>
      <c r="BM51" s="23" t="n">
        <f aca="false">BM$20*BM$34</f>
        <v>8.5</v>
      </c>
      <c r="BN51" s="23" t="n">
        <f aca="false">BN$20*BN$34</f>
        <v>11.5</v>
      </c>
      <c r="BO51" s="23" t="n">
        <f aca="false">BO$20*BO$34</f>
        <v>9</v>
      </c>
      <c r="BP51" s="23" t="n">
        <f aca="false">BP$20*BP$34</f>
        <v>0</v>
      </c>
      <c r="BQ51" s="23" t="n">
        <f aca="false">BQ$20*BQ$34</f>
        <v>442</v>
      </c>
      <c r="BR51" s="23" t="n">
        <f aca="false">BR$20*BR$34</f>
        <v>442</v>
      </c>
      <c r="BS51" s="23" t="n">
        <f aca="false">BS$20*BS$34</f>
        <v>0</v>
      </c>
      <c r="BT51" s="23" t="n">
        <f aca="false">BT$20*BT$34</f>
        <v>83.5</v>
      </c>
      <c r="BU51" s="23" t="n">
        <f aca="false">BU$20*BU$34</f>
        <v>0</v>
      </c>
      <c r="BV51" s="23" t="n">
        <f aca="false">BV$20*BV$34</f>
        <v>0</v>
      </c>
      <c r="BW51" s="23" t="n">
        <f aca="false">BW$20*BW$34</f>
        <v>0</v>
      </c>
      <c r="BX51" s="23" t="n">
        <f aca="false">BX$20*BX$34</f>
        <v>0</v>
      </c>
    </row>
    <row r="52" customFormat="false" ht="15" hidden="false" customHeight="false" outlineLevel="0" collapsed="false">
      <c r="A52" s="4" t="s">
        <v>723</v>
      </c>
      <c r="B52" s="81" t="s">
        <v>721</v>
      </c>
      <c r="C52" s="82" t="n">
        <f aca="false">Planner!$E$16*Planner!$C$47</f>
        <v>757.5</v>
      </c>
      <c r="D52" s="83" t="n">
        <v>821.2398235945</v>
      </c>
      <c r="E52" s="81" t="str">
        <f aca="false">IF(D52&gt;=C52-0.000001*MAX(1,ABS(C52)),IF(ABS(D52-C52)&lt;=0.000001*MAX(1,ABS(C52)),"tight","ok"),"VIOLATED")</f>
        <v>ok</v>
      </c>
      <c r="F52" s="23" t="n">
        <f aca="false">F$20*F$35</f>
        <v>82.5</v>
      </c>
      <c r="G52" s="23" t="n">
        <f aca="false">G$20*G$35</f>
        <v>95.5</v>
      </c>
      <c r="H52" s="23" t="n">
        <f aca="false">H$20*H$35</f>
        <v>89.5</v>
      </c>
      <c r="I52" s="23" t="n">
        <f aca="false">I$20*I$35</f>
        <v>0</v>
      </c>
      <c r="J52" s="23" t="n">
        <f aca="false">J$20*J$35</f>
        <v>106.5</v>
      </c>
      <c r="K52" s="23" t="n">
        <f aca="false">K$20*K$35</f>
        <v>0</v>
      </c>
      <c r="L52" s="23" t="n">
        <f aca="false">L$20*L$35</f>
        <v>136</v>
      </c>
      <c r="M52" s="23" t="n">
        <f aca="false">M$20*M$35</f>
        <v>104.5</v>
      </c>
      <c r="N52" s="23" t="n">
        <f aca="false">N$20*N$35</f>
        <v>0</v>
      </c>
      <c r="O52" s="23" t="n">
        <f aca="false">O$20*O$35</f>
        <v>114.5</v>
      </c>
      <c r="P52" s="23" t="n">
        <f aca="false">P$20*P$35</f>
        <v>257</v>
      </c>
      <c r="Q52" s="23" t="n">
        <f aca="false">Q$20*Q$35</f>
        <v>0</v>
      </c>
      <c r="R52" s="23" t="n">
        <f aca="false">R$20*R$35</f>
        <v>206</v>
      </c>
      <c r="S52" s="23" t="n">
        <f aca="false">S$20*S$35</f>
        <v>119</v>
      </c>
      <c r="T52" s="23" t="n">
        <f aca="false">T$20*T$35</f>
        <v>64</v>
      </c>
      <c r="U52" s="23" t="n">
        <f aca="false">U$20*U$35</f>
        <v>0</v>
      </c>
      <c r="V52" s="23" t="n">
        <f aca="false">V$20*V$35</f>
        <v>45.5</v>
      </c>
      <c r="W52" s="23" t="n">
        <f aca="false">W$20*W$35</f>
        <v>44</v>
      </c>
      <c r="X52" s="23" t="n">
        <f aca="false">X$20*X$35</f>
        <v>58</v>
      </c>
      <c r="Y52" s="23" t="n">
        <f aca="false">Y$20*Y$35</f>
        <v>0</v>
      </c>
      <c r="Z52" s="23" t="n">
        <f aca="false">Z$20*Z$35</f>
        <v>71.5</v>
      </c>
      <c r="AA52" s="23" t="n">
        <f aca="false">AA$20*AA$35</f>
        <v>49</v>
      </c>
      <c r="AB52" s="23" t="n">
        <f aca="false">AB$20*AB$35</f>
        <v>0</v>
      </c>
      <c r="AC52" s="23" t="n">
        <f aca="false">AC$20*AC$35</f>
        <v>0</v>
      </c>
      <c r="AD52" s="23" t="n">
        <f aca="false">AD$20*AD$35</f>
        <v>0</v>
      </c>
      <c r="AE52" s="23" t="n">
        <f aca="false">AE$20*AE$35</f>
        <v>0</v>
      </c>
      <c r="AF52" s="23" t="n">
        <f aca="false">AF$20*AF$35</f>
        <v>0</v>
      </c>
      <c r="AG52" s="23" t="n">
        <f aca="false">AG$20*AG$35</f>
        <v>202</v>
      </c>
      <c r="AH52" s="23" t="n">
        <f aca="false">AH$20*AH$35</f>
        <v>0</v>
      </c>
      <c r="AI52" s="23" t="n">
        <f aca="false">AI$20*AI$35</f>
        <v>0</v>
      </c>
      <c r="AJ52" s="23" t="n">
        <f aca="false">AJ$20*AJ$35</f>
        <v>0</v>
      </c>
      <c r="AK52" s="23" t="n">
        <f aca="false">AK$20*AK$35</f>
        <v>61.5</v>
      </c>
      <c r="AL52" s="23" t="n">
        <f aca="false">AL$20*AL$35</f>
        <v>0</v>
      </c>
      <c r="AM52" s="23" t="n">
        <f aca="false">AM$20*AM$35</f>
        <v>109</v>
      </c>
      <c r="AN52" s="23" t="n">
        <f aca="false">AN$20*AN$35</f>
        <v>148.5</v>
      </c>
      <c r="AO52" s="23" t="n">
        <f aca="false">AO$20*AO$35</f>
        <v>0</v>
      </c>
      <c r="AP52" s="23" t="n">
        <f aca="false">AP$20*AP$35</f>
        <v>60</v>
      </c>
      <c r="AQ52" s="23" t="n">
        <f aca="false">AQ$20*AQ$35</f>
        <v>79</v>
      </c>
      <c r="AR52" s="23" t="n">
        <f aca="false">AR$20*AR$35</f>
        <v>0</v>
      </c>
      <c r="AS52" s="23" t="n">
        <f aca="false">AS$20*AS$35</f>
        <v>65</v>
      </c>
      <c r="AT52" s="23" t="n">
        <f aca="false">AT$20*AT$35</f>
        <v>0</v>
      </c>
      <c r="AU52" s="23" t="n">
        <f aca="false">AU$20*AU$35</f>
        <v>74.5</v>
      </c>
      <c r="AV52" s="23" t="n">
        <f aca="false">AV$20*AV$35</f>
        <v>46.5</v>
      </c>
      <c r="AW52" s="23" t="n">
        <f aca="false">AW$20*AW$35</f>
        <v>45</v>
      </c>
      <c r="AX52" s="23" t="n">
        <f aca="false">AX$20*AX$35</f>
        <v>40.5</v>
      </c>
      <c r="AY52" s="23" t="n">
        <f aca="false">AY$20*AY$35</f>
        <v>0</v>
      </c>
      <c r="AZ52" s="23" t="n">
        <f aca="false">AZ$20*AZ$35</f>
        <v>0</v>
      </c>
      <c r="BA52" s="23" t="n">
        <f aca="false">BA$20*BA$35</f>
        <v>0</v>
      </c>
      <c r="BB52" s="23" t="n">
        <f aca="false">BB$20*BB$35</f>
        <v>0</v>
      </c>
      <c r="BC52" s="23" t="n">
        <f aca="false">BC$20*BC$35</f>
        <v>0</v>
      </c>
      <c r="BD52" s="23" t="n">
        <f aca="false">BD$20*BD$35</f>
        <v>0</v>
      </c>
      <c r="BE52" s="23" t="n">
        <f aca="false">BE$20*BE$35</f>
        <v>0</v>
      </c>
      <c r="BF52" s="23" t="n">
        <f aca="false">BF$20*BF$35</f>
        <v>0</v>
      </c>
      <c r="BG52" s="23" t="n">
        <f aca="false">BG$20*BG$35</f>
        <v>14</v>
      </c>
      <c r="BH52" s="23" t="n">
        <f aca="false">BH$20*BH$35</f>
        <v>0</v>
      </c>
      <c r="BI52" s="23" t="n">
        <f aca="false">BI$20*BI$35</f>
        <v>11</v>
      </c>
      <c r="BJ52" s="23" t="n">
        <f aca="false">BJ$20*BJ$35</f>
        <v>10</v>
      </c>
      <c r="BK52" s="23" t="n">
        <f aca="false">BK$20*BK$35</f>
        <v>32.5</v>
      </c>
      <c r="BL52" s="23" t="n">
        <f aca="false">BL$20*BL$35</f>
        <v>20</v>
      </c>
      <c r="BM52" s="23" t="n">
        <f aca="false">BM$20*BM$35</f>
        <v>8.5</v>
      </c>
      <c r="BN52" s="23" t="n">
        <f aca="false">BN$20*BN$35</f>
        <v>11.5</v>
      </c>
      <c r="BO52" s="23" t="n">
        <f aca="false">BO$20*BO$35</f>
        <v>9</v>
      </c>
      <c r="BP52" s="23" t="n">
        <f aca="false">BP$20*BP$35</f>
        <v>358.5</v>
      </c>
      <c r="BQ52" s="23" t="n">
        <f aca="false">BQ$20*BQ$35</f>
        <v>442</v>
      </c>
      <c r="BR52" s="23" t="n">
        <f aca="false">BR$20*BR$35</f>
        <v>442</v>
      </c>
      <c r="BS52" s="23" t="n">
        <f aca="false">BS$20*BS$35</f>
        <v>0</v>
      </c>
      <c r="BT52" s="23" t="n">
        <f aca="false">BT$20*BT$35</f>
        <v>83.5</v>
      </c>
      <c r="BU52" s="23" t="n">
        <f aca="false">BU$20*BU$35</f>
        <v>0</v>
      </c>
      <c r="BV52" s="23" t="n">
        <f aca="false">BV$20*BV$35</f>
        <v>0</v>
      </c>
      <c r="BW52" s="23" t="n">
        <f aca="false">BW$20*BW$35</f>
        <v>0</v>
      </c>
      <c r="BX52" s="23" t="n">
        <f aca="false">BX$20*BX$35</f>
        <v>0</v>
      </c>
    </row>
    <row r="53" customFormat="false" ht="15" hidden="false" customHeight="false" outlineLevel="0" collapsed="false">
      <c r="A53" s="4" t="s">
        <v>724</v>
      </c>
      <c r="B53" s="81" t="s">
        <v>721</v>
      </c>
      <c r="C53" s="82" t="n">
        <f aca="false">Planner!$E$16*Planner!$C$48</f>
        <v>151.5</v>
      </c>
      <c r="D53" s="83" t="n">
        <v>447.9397526985</v>
      </c>
      <c r="E53" s="81" t="str">
        <f aca="false">IF(D53&gt;=C53-0.000001*MAX(1,ABS(C53)),IF(ABS(D53-C53)&lt;=0.000001*MAX(1,ABS(C53)),"tight","ok"),"VIOLATED")</f>
        <v>ok</v>
      </c>
      <c r="F53" s="23" t="n">
        <f aca="false">F$20*F$36</f>
        <v>0</v>
      </c>
      <c r="G53" s="23" t="n">
        <f aca="false">G$20*G$36</f>
        <v>0</v>
      </c>
      <c r="H53" s="23" t="n">
        <f aca="false">H$20*H$36</f>
        <v>0</v>
      </c>
      <c r="I53" s="23" t="n">
        <f aca="false">I$20*I$36</f>
        <v>0</v>
      </c>
      <c r="J53" s="23" t="n">
        <f aca="false">J$20*J$36</f>
        <v>0</v>
      </c>
      <c r="K53" s="23" t="n">
        <f aca="false">K$20*K$36</f>
        <v>0</v>
      </c>
      <c r="L53" s="23" t="n">
        <f aca="false">L$20*L$36</f>
        <v>0</v>
      </c>
      <c r="M53" s="23" t="n">
        <f aca="false">M$20*M$36</f>
        <v>0</v>
      </c>
      <c r="N53" s="23" t="n">
        <f aca="false">N$20*N$36</f>
        <v>0</v>
      </c>
      <c r="O53" s="23" t="n">
        <f aca="false">O$20*O$36</f>
        <v>0</v>
      </c>
      <c r="P53" s="23" t="n">
        <f aca="false">P$20*P$36</f>
        <v>0</v>
      </c>
      <c r="Q53" s="23" t="n">
        <f aca="false">Q$20*Q$36</f>
        <v>0</v>
      </c>
      <c r="R53" s="23" t="n">
        <f aca="false">R$20*R$36</f>
        <v>0</v>
      </c>
      <c r="S53" s="23" t="n">
        <f aca="false">S$20*S$36</f>
        <v>0</v>
      </c>
      <c r="T53" s="23" t="n">
        <f aca="false">T$20*T$36</f>
        <v>0</v>
      </c>
      <c r="U53" s="23" t="n">
        <f aca="false">U$20*U$36</f>
        <v>0</v>
      </c>
      <c r="V53" s="23" t="n">
        <f aca="false">V$20*V$36</f>
        <v>0</v>
      </c>
      <c r="W53" s="23" t="n">
        <f aca="false">W$20*W$36</f>
        <v>0</v>
      </c>
      <c r="X53" s="23" t="n">
        <f aca="false">X$20*X$36</f>
        <v>0</v>
      </c>
      <c r="Y53" s="23" t="n">
        <f aca="false">Y$20*Y$36</f>
        <v>299</v>
      </c>
      <c r="Z53" s="23" t="n">
        <f aca="false">Z$20*Z$36</f>
        <v>0</v>
      </c>
      <c r="AA53" s="23" t="n">
        <f aca="false">AA$20*AA$36</f>
        <v>0</v>
      </c>
      <c r="AB53" s="23" t="n">
        <f aca="false">AB$20*AB$36</f>
        <v>25</v>
      </c>
      <c r="AC53" s="23" t="n">
        <f aca="false">AC$20*AC$36</f>
        <v>29.5</v>
      </c>
      <c r="AD53" s="23" t="n">
        <f aca="false">AD$20*AD$36</f>
        <v>21.5</v>
      </c>
      <c r="AE53" s="23" t="n">
        <f aca="false">AE$20*AE$36</f>
        <v>30.5</v>
      </c>
      <c r="AF53" s="23" t="n">
        <f aca="false">AF$20*AF$36</f>
        <v>0</v>
      </c>
      <c r="AG53" s="23" t="n">
        <f aca="false">AG$20*AG$36</f>
        <v>0</v>
      </c>
      <c r="AH53" s="23" t="n">
        <f aca="false">AH$20*AH$36</f>
        <v>40.5</v>
      </c>
      <c r="AI53" s="23" t="n">
        <f aca="false">AI$20*AI$36</f>
        <v>295</v>
      </c>
      <c r="AJ53" s="23" t="n">
        <f aca="false">AJ$20*AJ$36</f>
        <v>0</v>
      </c>
      <c r="AK53" s="23" t="n">
        <f aca="false">AK$20*AK$36</f>
        <v>0</v>
      </c>
      <c r="AL53" s="23" t="n">
        <f aca="false">AL$20*AL$36</f>
        <v>0</v>
      </c>
      <c r="AM53" s="23" t="n">
        <f aca="false">AM$20*AM$36</f>
        <v>0</v>
      </c>
      <c r="AN53" s="23" t="n">
        <f aca="false">AN$20*AN$36</f>
        <v>0</v>
      </c>
      <c r="AO53" s="23" t="n">
        <f aca="false">AO$20*AO$36</f>
        <v>0</v>
      </c>
      <c r="AP53" s="23" t="n">
        <f aca="false">AP$20*AP$36</f>
        <v>0</v>
      </c>
      <c r="AQ53" s="23" t="n">
        <f aca="false">AQ$20*AQ$36</f>
        <v>0</v>
      </c>
      <c r="AR53" s="23" t="n">
        <f aca="false">AR$20*AR$36</f>
        <v>0</v>
      </c>
      <c r="AS53" s="23" t="n">
        <f aca="false">AS$20*AS$36</f>
        <v>0</v>
      </c>
      <c r="AT53" s="23" t="n">
        <f aca="false">AT$20*AT$36</f>
        <v>0</v>
      </c>
      <c r="AU53" s="23" t="n">
        <f aca="false">AU$20*AU$36</f>
        <v>0</v>
      </c>
      <c r="AV53" s="23" t="n">
        <f aca="false">AV$20*AV$36</f>
        <v>0</v>
      </c>
      <c r="AW53" s="23" t="n">
        <f aca="false">AW$20*AW$36</f>
        <v>0</v>
      </c>
      <c r="AX53" s="23" t="n">
        <f aca="false">AX$20*AX$36</f>
        <v>0</v>
      </c>
      <c r="AY53" s="23" t="n">
        <f aca="false">AY$20*AY$36</f>
        <v>26</v>
      </c>
      <c r="AZ53" s="23" t="n">
        <f aca="false">AZ$20*AZ$36</f>
        <v>44.5</v>
      </c>
      <c r="BA53" s="23" t="n">
        <f aca="false">BA$20*BA$36</f>
        <v>0</v>
      </c>
      <c r="BB53" s="23" t="n">
        <f aca="false">BB$20*BB$36</f>
        <v>69</v>
      </c>
      <c r="BC53" s="23" t="n">
        <f aca="false">BC$20*BC$36</f>
        <v>0</v>
      </c>
      <c r="BD53" s="23" t="n">
        <f aca="false">BD$20*BD$36</f>
        <v>24.5</v>
      </c>
      <c r="BE53" s="23" t="n">
        <f aca="false">BE$20*BE$36</f>
        <v>299</v>
      </c>
      <c r="BF53" s="23" t="n">
        <f aca="false">BF$20*BF$36</f>
        <v>16</v>
      </c>
      <c r="BG53" s="23" t="n">
        <f aca="false">BG$20*BG$36</f>
        <v>0</v>
      </c>
      <c r="BH53" s="23" t="n">
        <f aca="false">BH$20*BH$36</f>
        <v>20.5</v>
      </c>
      <c r="BI53" s="23" t="n">
        <f aca="false">BI$20*BI$36</f>
        <v>0</v>
      </c>
      <c r="BJ53" s="23" t="n">
        <f aca="false">BJ$20*BJ$36</f>
        <v>0</v>
      </c>
      <c r="BK53" s="23" t="n">
        <f aca="false">BK$20*BK$36</f>
        <v>0</v>
      </c>
      <c r="BL53" s="23" t="n">
        <f aca="false">BL$20*BL$36</f>
        <v>0</v>
      </c>
      <c r="BM53" s="23" t="n">
        <f aca="false">BM$20*BM$36</f>
        <v>0</v>
      </c>
      <c r="BN53" s="23" t="n">
        <f aca="false">BN$20*BN$36</f>
        <v>0</v>
      </c>
      <c r="BO53" s="23" t="n">
        <f aca="false">BO$20*BO$36</f>
        <v>0</v>
      </c>
      <c r="BP53" s="23" t="n">
        <f aca="false">BP$20*BP$36</f>
        <v>0</v>
      </c>
      <c r="BQ53" s="23" t="n">
        <f aca="false">BQ$20*BQ$36</f>
        <v>0</v>
      </c>
      <c r="BR53" s="23" t="n">
        <f aca="false">BR$20*BR$36</f>
        <v>0</v>
      </c>
      <c r="BS53" s="23" t="n">
        <f aca="false">BS$20*BS$36</f>
        <v>579</v>
      </c>
      <c r="BT53" s="23" t="n">
        <f aca="false">BT$20*BT$36</f>
        <v>0</v>
      </c>
      <c r="BU53" s="23" t="n">
        <f aca="false">BU$20*BU$36</f>
        <v>492</v>
      </c>
      <c r="BV53" s="23" t="n">
        <f aca="false">BV$20*BV$36</f>
        <v>418</v>
      </c>
      <c r="BW53" s="23" t="n">
        <f aca="false">BW$20*BW$36</f>
        <v>532</v>
      </c>
      <c r="BX53" s="23" t="n">
        <f aca="false">BX$20*BX$36</f>
        <v>207</v>
      </c>
    </row>
    <row r="54" customFormat="false" ht="15" hidden="false" customHeight="false" outlineLevel="0" collapsed="false">
      <c r="A54" s="4" t="s">
        <v>725</v>
      </c>
      <c r="B54" s="81" t="s">
        <v>721</v>
      </c>
      <c r="C54" s="84" t="n">
        <v>0</v>
      </c>
      <c r="D54" s="83" t="n">
        <v>0.836388984414999</v>
      </c>
      <c r="E54" s="81" t="str">
        <f aca="false">IF(D54&gt;=C54-0.000001*MAX(1,ABS(C54)),IF(ABS(D54-C54)&lt;=0.000001*MAX(1,ABS(C54)),"tight","ok"),"VIOLATED")</f>
        <v>ok</v>
      </c>
      <c r="F54" s="23" t="n">
        <f aca="false">F$21*(F$33-Planner!$C$44)</f>
        <v>-6.204</v>
      </c>
      <c r="G54" s="23" t="n">
        <f aca="false">G$21*(G$33-Planner!$C$44)</f>
        <v>-4.67</v>
      </c>
      <c r="H54" s="23" t="n">
        <f aca="false">H$21*(H$33-Planner!$C$44)</f>
        <v>-4.952</v>
      </c>
      <c r="I54" s="23" t="n">
        <f aca="false">I$21*(I$33-Planner!$C$44)</f>
        <v>-3.266</v>
      </c>
      <c r="J54" s="23" t="n">
        <f aca="false">J$21*(J$33-Planner!$C$44)</f>
        <v>-5.42</v>
      </c>
      <c r="K54" s="23" t="n">
        <f aca="false">K$21*(K$33-Planner!$C$44)</f>
        <v>27.136</v>
      </c>
      <c r="L54" s="23" t="n">
        <f aca="false">L$21*(L$33-Planner!$C$44)</f>
        <v>-5.4</v>
      </c>
      <c r="M54" s="23" t="n">
        <f aca="false">M$21*(M$33-Planner!$C$44)</f>
        <v>-5.776</v>
      </c>
      <c r="N54" s="23" t="n">
        <f aca="false">N$21*(N$33-Planner!$C$44)</f>
        <v>-3.32</v>
      </c>
      <c r="O54" s="23" t="n">
        <f aca="false">O$21*(O$33-Planner!$C$44)</f>
        <v>-5.336</v>
      </c>
      <c r="P54" s="23" t="n">
        <f aca="false">P$21*(P$33-Planner!$C$44)</f>
        <v>-5.36</v>
      </c>
      <c r="Q54" s="23" t="n">
        <f aca="false">Q$21*(Q$33-Planner!$C$44)</f>
        <v>-3.888</v>
      </c>
      <c r="R54" s="23" t="n">
        <f aca="false">R$21*(R$33-Planner!$C$44)</f>
        <v>-4.42</v>
      </c>
      <c r="S54" s="23" t="n">
        <f aca="false">S$21*(S$33-Planner!$C$44)</f>
        <v>-4.556</v>
      </c>
      <c r="T54" s="23" t="n">
        <f aca="false">T$21*(T$33-Planner!$C$44)</f>
        <v>-5.23</v>
      </c>
      <c r="U54" s="23" t="n">
        <f aca="false">U$21*(U$33-Planner!$C$44)</f>
        <v>10.048</v>
      </c>
      <c r="V54" s="23" t="n">
        <f aca="false">V$21*(V$33-Planner!$C$44)</f>
        <v>-1.206</v>
      </c>
      <c r="W54" s="23" t="n">
        <f aca="false">W$21*(W$33-Planner!$C$44)</f>
        <v>-0.984</v>
      </c>
      <c r="X54" s="23" t="n">
        <f aca="false">X$21*(X$33-Planner!$C$44)</f>
        <v>-1.804</v>
      </c>
      <c r="Y54" s="23" t="n">
        <f aca="false">Y$21*(Y$33-Planner!$C$44)</f>
        <v>6.663</v>
      </c>
      <c r="Z54" s="23" t="n">
        <f aca="false">Z$21*(Z$33-Planner!$C$44)</f>
        <v>-1.802</v>
      </c>
      <c r="AA54" s="23" t="n">
        <f aca="false">AA$21*(AA$33-Planner!$C$44)</f>
        <v>-2.02</v>
      </c>
      <c r="AB54" s="23" t="n">
        <f aca="false">AB$21*(AB$33-Planner!$C$44)</f>
        <v>0.99</v>
      </c>
      <c r="AC54" s="23" t="n">
        <f aca="false">AC$21*(AC$33-Planner!$C$44)</f>
        <v>3.057</v>
      </c>
      <c r="AD54" s="23" t="n">
        <f aca="false">AD$21*(AD$33-Planner!$C$44)</f>
        <v>0.78</v>
      </c>
      <c r="AE54" s="23" t="n">
        <f aca="false">AE$21*(AE$33-Planner!$C$44)</f>
        <v>0.945</v>
      </c>
      <c r="AF54" s="23" t="n">
        <f aca="false">AF$21*(AF$33-Planner!$C$44)</f>
        <v>-3.626</v>
      </c>
      <c r="AG54" s="23" t="n">
        <f aca="false">AG$21*(AG$33-Planner!$C$44)</f>
        <v>-4.574</v>
      </c>
      <c r="AH54" s="23" t="n">
        <f aca="false">AH$21*(AH$33-Planner!$C$44)</f>
        <v>-2.09</v>
      </c>
      <c r="AI54" s="23" t="n">
        <f aca="false">AI$21*(AI$33-Planner!$C$44)</f>
        <v>-4.75</v>
      </c>
      <c r="AJ54" s="23" t="n">
        <f aca="false">AJ$21*(AJ$33-Planner!$C$44)</f>
        <v>8.448</v>
      </c>
      <c r="AK54" s="23" t="n">
        <f aca="false">AK$21*(AK$33-Planner!$C$44)</f>
        <v>-0.548</v>
      </c>
      <c r="AL54" s="23" t="n">
        <f aca="false">AL$21*(AL$33-Planner!$C$44)</f>
        <v>9.672</v>
      </c>
      <c r="AM54" s="23" t="n">
        <f aca="false">AM$21*(AM$33-Planner!$C$44)</f>
        <v>-1.14</v>
      </c>
      <c r="AN54" s="23" t="n">
        <f aca="false">AN$21*(AN$33-Planner!$C$44)</f>
        <v>-1.602</v>
      </c>
      <c r="AO54" s="23" t="n">
        <f aca="false">AO$21*(AO$33-Planner!$C$44)</f>
        <v>2.032</v>
      </c>
      <c r="AP54" s="23" t="n">
        <f aca="false">AP$21*(AP$33-Planner!$C$44)</f>
        <v>-0.88</v>
      </c>
      <c r="AQ54" s="23" t="n">
        <f aca="false">AQ$21*(AQ$33-Planner!$C$44)</f>
        <v>-1.16</v>
      </c>
      <c r="AR54" s="23" t="n">
        <f aca="false">AR$21*(AR$33-Planner!$C$44)</f>
        <v>2.655</v>
      </c>
      <c r="AS54" s="23" t="n">
        <f aca="false">AS$21*(AS$33-Planner!$C$44)</f>
        <v>-0.538</v>
      </c>
      <c r="AT54" s="23" t="n">
        <f aca="false">AT$21*(AT$33-Planner!$C$44)</f>
        <v>3.735</v>
      </c>
      <c r="AU54" s="23" t="n">
        <f aca="false">AU$21*(AU$33-Planner!$C$44)</f>
        <v>-1.198</v>
      </c>
      <c r="AV54" s="23" t="n">
        <f aca="false">AV$21*(AV$33-Planner!$C$44)</f>
        <v>-0.5</v>
      </c>
      <c r="AW54" s="23" t="n">
        <f aca="false">AW$21*(AW$33-Planner!$C$44)</f>
        <v>-0.402</v>
      </c>
      <c r="AX54" s="23" t="n">
        <f aca="false">AX$21*(AX$33-Planner!$C$44)</f>
        <v>-0.51</v>
      </c>
      <c r="AY54" s="23" t="n">
        <f aca="false">AY$21*(AY$33-Planner!$C$44)</f>
        <v>-0.052</v>
      </c>
      <c r="AZ54" s="23" t="n">
        <f aca="false">AZ$21*(AZ$33-Planner!$C$44)</f>
        <v>0.327</v>
      </c>
      <c r="BA54" s="23" t="n">
        <f aca="false">BA$21*(BA$33-Planner!$C$44)</f>
        <v>0.336</v>
      </c>
      <c r="BB54" s="23" t="n">
        <f aca="false">BB$21*(BB$33-Planner!$C$44)</f>
        <v>-0.144</v>
      </c>
      <c r="BC54" s="23" t="n">
        <f aca="false">BC$21*(BC$33-Planner!$C$44)</f>
        <v>0.544</v>
      </c>
      <c r="BD54" s="23" t="n">
        <f aca="false">BD$21*(BD$33-Planner!$C$44)</f>
        <v>-0.182</v>
      </c>
      <c r="BE54" s="23" t="n">
        <f aca="false">BE$21*(BE$33-Planner!$C$44)</f>
        <v>-0.614</v>
      </c>
      <c r="BF54" s="23" t="n">
        <f aca="false">BF$21*(BF$33-Planner!$C$44)</f>
        <v>0.201</v>
      </c>
      <c r="BG54" s="23" t="n">
        <f aca="false">BG$21*(BG$33-Planner!$C$44)</f>
        <v>-0.62</v>
      </c>
      <c r="BH54" s="23" t="n">
        <f aca="false">BH$21*(BH$33-Planner!$C$44)</f>
        <v>-0.186</v>
      </c>
      <c r="BI54" s="23" t="n">
        <f aca="false">BI$21*(BI$33-Planner!$C$44)</f>
        <v>-0.224</v>
      </c>
      <c r="BJ54" s="23" t="n">
        <f aca="false">BJ$21*(BJ$33-Planner!$C$44)</f>
        <v>-0.172</v>
      </c>
      <c r="BK54" s="23" t="n">
        <f aca="false">BK$21*(BK$33-Planner!$C$44)</f>
        <v>-0.572</v>
      </c>
      <c r="BL54" s="23" t="n">
        <f aca="false">BL$21*(BL$33-Planner!$C$44)</f>
        <v>-0.22</v>
      </c>
      <c r="BM54" s="23" t="n">
        <f aca="false">BM$21*(BM$33-Planner!$C$44)</f>
        <v>-0.246</v>
      </c>
      <c r="BN54" s="23" t="n">
        <f aca="false">BN$21*(BN$33-Planner!$C$44)</f>
        <v>-0.572</v>
      </c>
      <c r="BO54" s="23" t="n">
        <f aca="false">BO$21*(BO$33-Planner!$C$44)</f>
        <v>-0.176</v>
      </c>
      <c r="BP54" s="23" t="n">
        <f aca="false">BP$21*(BP$33-Planner!$C$44)</f>
        <v>0.255</v>
      </c>
      <c r="BQ54" s="23" t="n">
        <f aca="false">BQ$21*(BQ$33-Planner!$C$44)</f>
        <v>-0</v>
      </c>
      <c r="BR54" s="23" t="n">
        <f aca="false">BR$21*(BR$33-Planner!$C$44)</f>
        <v>-0</v>
      </c>
      <c r="BS54" s="23" t="n">
        <f aca="false">BS$21*(BS$33-Planner!$C$44)</f>
        <v>-4.23</v>
      </c>
      <c r="BT54" s="23" t="n">
        <f aca="false">BT$21*(BT$33-Planner!$C$44)</f>
        <v>-0.392</v>
      </c>
      <c r="BU54" s="23" t="n">
        <f aca="false">BU$21*(BU$33-Planner!$C$44)</f>
        <v>-1.02</v>
      </c>
      <c r="BV54" s="23" t="n">
        <f aca="false">BV$21*(BV$33-Planner!$C$44)</f>
        <v>-1.13</v>
      </c>
      <c r="BW54" s="23" t="n">
        <f aca="false">BW$21*(BW$33-Planner!$C$44)</f>
        <v>-1.278</v>
      </c>
      <c r="BX54" s="23" t="n">
        <f aca="false">BX$21*(BX$33-Planner!$C$44)</f>
        <v>-0.7</v>
      </c>
    </row>
    <row r="55" customFormat="false" ht="15" hidden="false" customHeight="false" outlineLevel="0" collapsed="false">
      <c r="A55" s="4" t="s">
        <v>726</v>
      </c>
      <c r="B55" s="81" t="s">
        <v>721</v>
      </c>
      <c r="C55" s="84" t="n">
        <v>0</v>
      </c>
      <c r="D55" s="83" t="n">
        <v>19.49572340831</v>
      </c>
      <c r="E55" s="81" t="str">
        <f aca="false">IF(D55&gt;=C55-0.000001*MAX(1,ABS(C55)),IF(ABS(D55-C55)&lt;=0.000001*MAX(1,ABS(C55)),"tight","ok"),"VIOLATED")</f>
        <v>ok</v>
      </c>
      <c r="F55" s="23" t="n">
        <f aca="false">F$21*(F$34-Planner!$C$44)</f>
        <v>9.306</v>
      </c>
      <c r="G55" s="23" t="n">
        <f aca="false">G$21*(G$34-Planner!$C$44)</f>
        <v>7.005</v>
      </c>
      <c r="H55" s="23" t="n">
        <f aca="false">H$21*(H$34-Planner!$C$44)</f>
        <v>7.428</v>
      </c>
      <c r="I55" s="23" t="n">
        <f aca="false">I$21*(I$34-Planner!$C$44)</f>
        <v>13.064</v>
      </c>
      <c r="J55" s="23" t="n">
        <f aca="false">J$21*(J$34-Planner!$C$44)</f>
        <v>8.13</v>
      </c>
      <c r="K55" s="23" t="n">
        <f aca="false">K$21*(K$34-Planner!$C$44)</f>
        <v>-6.784</v>
      </c>
      <c r="L55" s="23" t="n">
        <f aca="false">L$21*(L$34-Planner!$C$44)</f>
        <v>8.1</v>
      </c>
      <c r="M55" s="23" t="n">
        <f aca="false">M$21*(M$34-Planner!$C$44)</f>
        <v>8.664</v>
      </c>
      <c r="N55" s="23" t="n">
        <f aca="false">N$21*(N$34-Planner!$C$44)</f>
        <v>13.28</v>
      </c>
      <c r="O55" s="23" t="n">
        <f aca="false">O$21*(O$34-Planner!$C$44)</f>
        <v>8.004</v>
      </c>
      <c r="P55" s="23" t="n">
        <f aca="false">P$21*(P$34-Planner!$C$44)</f>
        <v>-5.36</v>
      </c>
      <c r="Q55" s="23" t="n">
        <f aca="false">Q$21*(Q$34-Planner!$C$44)</f>
        <v>15.552</v>
      </c>
      <c r="R55" s="23" t="n">
        <f aca="false">R$21*(R$34-Planner!$C$44)</f>
        <v>-4.42</v>
      </c>
      <c r="S55" s="23" t="n">
        <f aca="false">S$21*(S$34-Planner!$C$44)</f>
        <v>-4.556</v>
      </c>
      <c r="T55" s="23" t="n">
        <f aca="false">T$21*(T$34-Planner!$C$44)</f>
        <v>7.845</v>
      </c>
      <c r="U55" s="23" t="n">
        <f aca="false">U$21*(U$34-Planner!$C$44)</f>
        <v>-2.512</v>
      </c>
      <c r="V55" s="23" t="n">
        <f aca="false">V$21*(V$34-Planner!$C$44)</f>
        <v>1.809</v>
      </c>
      <c r="W55" s="23" t="n">
        <f aca="false">W$21*(W$34-Planner!$C$44)</f>
        <v>1.476</v>
      </c>
      <c r="X55" s="23" t="n">
        <f aca="false">X$21*(X$34-Planner!$C$44)</f>
        <v>2.706</v>
      </c>
      <c r="Y55" s="23" t="n">
        <f aca="false">Y$21*(Y$34-Planner!$C$44)</f>
        <v>-4.442</v>
      </c>
      <c r="Z55" s="23" t="n">
        <f aca="false">Z$21*(Z$34-Planner!$C$44)</f>
        <v>2.703</v>
      </c>
      <c r="AA55" s="23" t="n">
        <f aca="false">AA$21*(AA$34-Planner!$C$44)</f>
        <v>3.03</v>
      </c>
      <c r="AB55" s="23" t="n">
        <f aca="false">AB$21*(AB$34-Planner!$C$44)</f>
        <v>-0.66</v>
      </c>
      <c r="AC55" s="23" t="n">
        <f aca="false">AC$21*(AC$34-Planner!$C$44)</f>
        <v>-2.038</v>
      </c>
      <c r="AD55" s="23" t="n">
        <f aca="false">AD$21*(AD$34-Planner!$C$44)</f>
        <v>-0.52</v>
      </c>
      <c r="AE55" s="23" t="n">
        <f aca="false">AE$21*(AE$34-Planner!$C$44)</f>
        <v>-0.63</v>
      </c>
      <c r="AF55" s="23" t="n">
        <f aca="false">AF$21*(AF$34-Planner!$C$44)</f>
        <v>14.504</v>
      </c>
      <c r="AG55" s="23" t="n">
        <f aca="false">AG$21*(AG$34-Planner!$C$44)</f>
        <v>6.861</v>
      </c>
      <c r="AH55" s="23" t="n">
        <f aca="false">AH$21*(AH$34-Planner!$C$44)</f>
        <v>3.135</v>
      </c>
      <c r="AI55" s="23" t="n">
        <f aca="false">AI$21*(AI$34-Planner!$C$44)</f>
        <v>-4.75</v>
      </c>
      <c r="AJ55" s="23" t="n">
        <f aca="false">AJ$21*(AJ$34-Planner!$C$44)</f>
        <v>-2.112</v>
      </c>
      <c r="AK55" s="23" t="n">
        <f aca="false">AK$21*(AK$34-Planner!$C$44)</f>
        <v>0.822</v>
      </c>
      <c r="AL55" s="23" t="n">
        <f aca="false">AL$21*(AL$34-Planner!$C$44)</f>
        <v>-2.418</v>
      </c>
      <c r="AM55" s="23" t="n">
        <f aca="false">AM$21*(AM$34-Planner!$C$44)</f>
        <v>1.71</v>
      </c>
      <c r="AN55" s="23" t="n">
        <f aca="false">AN$21*(AN$34-Planner!$C$44)</f>
        <v>2.403</v>
      </c>
      <c r="AO55" s="23" t="n">
        <f aca="false">AO$21*(AO$34-Planner!$C$44)</f>
        <v>-0.508</v>
      </c>
      <c r="AP55" s="23" t="n">
        <f aca="false">AP$21*(AP$34-Planner!$C$44)</f>
        <v>1.32</v>
      </c>
      <c r="AQ55" s="23" t="n">
        <f aca="false">AQ$21*(AQ$34-Planner!$C$44)</f>
        <v>1.74</v>
      </c>
      <c r="AR55" s="23" t="n">
        <f aca="false">AR$21*(AR$34-Planner!$C$44)</f>
        <v>2.655</v>
      </c>
      <c r="AS55" s="23" t="n">
        <f aca="false">AS$21*(AS$34-Planner!$C$44)</f>
        <v>0.807</v>
      </c>
      <c r="AT55" s="23" t="n">
        <f aca="false">AT$21*(AT$34-Planner!$C$44)</f>
        <v>3.735</v>
      </c>
      <c r="AU55" s="23" t="n">
        <f aca="false">AU$21*(AU$34-Planner!$C$44)</f>
        <v>1.797</v>
      </c>
      <c r="AV55" s="23" t="n">
        <f aca="false">AV$21*(AV$34-Planner!$C$44)</f>
        <v>0.75</v>
      </c>
      <c r="AW55" s="23" t="n">
        <f aca="false">AW$21*(AW$34-Planner!$C$44)</f>
        <v>0.603</v>
      </c>
      <c r="AX55" s="23" t="n">
        <f aca="false">AX$21*(AX$34-Planner!$C$44)</f>
        <v>0.765</v>
      </c>
      <c r="AY55" s="23" t="n">
        <f aca="false">AY$21*(AY$34-Planner!$C$44)</f>
        <v>0.078</v>
      </c>
      <c r="AZ55" s="23" t="n">
        <f aca="false">AZ$21*(AZ$34-Planner!$C$44)</f>
        <v>-0.218</v>
      </c>
      <c r="BA55" s="23" t="n">
        <f aca="false">BA$21*(BA$34-Planner!$C$44)</f>
        <v>-0.084</v>
      </c>
      <c r="BB55" s="23" t="n">
        <f aca="false">BB$21*(BB$34-Planner!$C$44)</f>
        <v>-0.144</v>
      </c>
      <c r="BC55" s="23" t="n">
        <f aca="false">BC$21*(BC$34-Planner!$C$44)</f>
        <v>-0.136</v>
      </c>
      <c r="BD55" s="23" t="n">
        <f aca="false">BD$21*(BD$34-Planner!$C$44)</f>
        <v>0.273</v>
      </c>
      <c r="BE55" s="23" t="n">
        <f aca="false">BE$21*(BE$34-Planner!$C$44)</f>
        <v>-0.614</v>
      </c>
      <c r="BF55" s="23" t="n">
        <f aca="false">BF$21*(BF$34-Planner!$C$44)</f>
        <v>-0.134</v>
      </c>
      <c r="BG55" s="23" t="n">
        <f aca="false">BG$21*(BG$34-Planner!$C$44)</f>
        <v>0.93</v>
      </c>
      <c r="BH55" s="23" t="n">
        <f aca="false">BH$21*(BH$34-Planner!$C$44)</f>
        <v>0.279</v>
      </c>
      <c r="BI55" s="23" t="n">
        <f aca="false">BI$21*(BI$34-Planner!$C$44)</f>
        <v>0.336</v>
      </c>
      <c r="BJ55" s="23" t="n">
        <f aca="false">BJ$21*(BJ$34-Planner!$C$44)</f>
        <v>0.258</v>
      </c>
      <c r="BK55" s="23" t="n">
        <f aca="false">BK$21*(BK$34-Planner!$C$44)</f>
        <v>0.858</v>
      </c>
      <c r="BL55" s="23" t="n">
        <f aca="false">BL$21*(BL$34-Planner!$C$44)</f>
        <v>0.33</v>
      </c>
      <c r="BM55" s="23" t="n">
        <f aca="false">BM$21*(BM$34-Planner!$C$44)</f>
        <v>0.369</v>
      </c>
      <c r="BN55" s="23" t="n">
        <f aca="false">BN$21*(BN$34-Planner!$C$44)</f>
        <v>0.858</v>
      </c>
      <c r="BO55" s="23" t="n">
        <f aca="false">BO$21*(BO$34-Planner!$C$44)</f>
        <v>0.264</v>
      </c>
      <c r="BP55" s="23" t="n">
        <f aca="false">BP$21*(BP$34-Planner!$C$44)</f>
        <v>-0.17</v>
      </c>
      <c r="BQ55" s="23" t="n">
        <f aca="false">BQ$21*(BQ$34-Planner!$C$44)</f>
        <v>0</v>
      </c>
      <c r="BR55" s="23" t="n">
        <f aca="false">BR$21*(BR$34-Planner!$C$44)</f>
        <v>0</v>
      </c>
      <c r="BS55" s="23" t="n">
        <f aca="false">BS$21*(BS$34-Planner!$C$44)</f>
        <v>-4.23</v>
      </c>
      <c r="BT55" s="23" t="n">
        <f aca="false">BT$21*(BT$34-Planner!$C$44)</f>
        <v>0.588</v>
      </c>
      <c r="BU55" s="23" t="n">
        <f aca="false">BU$21*(BU$34-Planner!$C$44)</f>
        <v>-1.02</v>
      </c>
      <c r="BV55" s="23" t="n">
        <f aca="false">BV$21*(BV$34-Planner!$C$44)</f>
        <v>-1.13</v>
      </c>
      <c r="BW55" s="23" t="n">
        <f aca="false">BW$21*(BW$34-Planner!$C$44)</f>
        <v>-1.278</v>
      </c>
      <c r="BX55" s="23" t="n">
        <f aca="false">BX$21*(BX$34-Planner!$C$44)</f>
        <v>-0.7</v>
      </c>
    </row>
    <row r="56" customFormat="false" ht="15" hidden="false" customHeight="false" outlineLevel="0" collapsed="false">
      <c r="A56" s="4" t="s">
        <v>727</v>
      </c>
      <c r="B56" s="81" t="s">
        <v>721</v>
      </c>
      <c r="C56" s="84" t="n">
        <v>0</v>
      </c>
      <c r="D56" s="83" t="n">
        <v>7.98857625429</v>
      </c>
      <c r="E56" s="81" t="str">
        <f aca="false">IF(D56&gt;=C56-0.000001*MAX(1,ABS(C56)),IF(ABS(D56-C56)&lt;=0.000001*MAX(1,ABS(C56)),"tight","ok"),"VIOLATED")</f>
        <v>ok</v>
      </c>
      <c r="F56" s="23" t="n">
        <f aca="false">F$21*(F$35-Planner!$C$44)</f>
        <v>9.306</v>
      </c>
      <c r="G56" s="23" t="n">
        <f aca="false">G$21*(G$35-Planner!$C$44)</f>
        <v>7.005</v>
      </c>
      <c r="H56" s="23" t="n">
        <f aca="false">H$21*(H$35-Planner!$C$44)</f>
        <v>7.428</v>
      </c>
      <c r="I56" s="23" t="n">
        <f aca="false">I$21*(I$35-Planner!$C$44)</f>
        <v>-3.266</v>
      </c>
      <c r="J56" s="23" t="n">
        <f aca="false">J$21*(J$35-Planner!$C$44)</f>
        <v>8.13</v>
      </c>
      <c r="K56" s="23" t="n">
        <f aca="false">K$21*(K$35-Planner!$C$44)</f>
        <v>-6.784</v>
      </c>
      <c r="L56" s="23" t="n">
        <f aca="false">L$21*(L$35-Planner!$C$44)</f>
        <v>8.1</v>
      </c>
      <c r="M56" s="23" t="n">
        <f aca="false">M$21*(M$35-Planner!$C$44)</f>
        <v>8.664</v>
      </c>
      <c r="N56" s="23" t="n">
        <f aca="false">N$21*(N$35-Planner!$C$44)</f>
        <v>-3.32</v>
      </c>
      <c r="O56" s="23" t="n">
        <f aca="false">O$21*(O$35-Planner!$C$44)</f>
        <v>8.004</v>
      </c>
      <c r="P56" s="23" t="n">
        <f aca="false">P$21*(P$35-Planner!$C$44)</f>
        <v>21.44</v>
      </c>
      <c r="Q56" s="23" t="n">
        <f aca="false">Q$21*(Q$35-Planner!$C$44)</f>
        <v>-3.888</v>
      </c>
      <c r="R56" s="23" t="n">
        <f aca="false">R$21*(R$35-Planner!$C$44)</f>
        <v>17.68</v>
      </c>
      <c r="S56" s="23" t="n">
        <f aca="false">S$21*(S$35-Planner!$C$44)</f>
        <v>18.224</v>
      </c>
      <c r="T56" s="23" t="n">
        <f aca="false">T$21*(T$35-Planner!$C$44)</f>
        <v>7.845</v>
      </c>
      <c r="U56" s="23" t="n">
        <f aca="false">U$21*(U$35-Planner!$C$44)</f>
        <v>-2.512</v>
      </c>
      <c r="V56" s="23" t="n">
        <f aca="false">V$21*(V$35-Planner!$C$44)</f>
        <v>1.809</v>
      </c>
      <c r="W56" s="23" t="n">
        <f aca="false">W$21*(W$35-Planner!$C$44)</f>
        <v>1.476</v>
      </c>
      <c r="X56" s="23" t="n">
        <f aca="false">X$21*(X$35-Planner!$C$44)</f>
        <v>2.706</v>
      </c>
      <c r="Y56" s="23" t="n">
        <f aca="false">Y$21*(Y$35-Planner!$C$44)</f>
        <v>-4.442</v>
      </c>
      <c r="Z56" s="23" t="n">
        <f aca="false">Z$21*(Z$35-Planner!$C$44)</f>
        <v>2.703</v>
      </c>
      <c r="AA56" s="23" t="n">
        <f aca="false">AA$21*(AA$35-Planner!$C$44)</f>
        <v>3.03</v>
      </c>
      <c r="AB56" s="23" t="n">
        <f aca="false">AB$21*(AB$35-Planner!$C$44)</f>
        <v>-0.66</v>
      </c>
      <c r="AC56" s="23" t="n">
        <f aca="false">AC$21*(AC$35-Planner!$C$44)</f>
        <v>-2.038</v>
      </c>
      <c r="AD56" s="23" t="n">
        <f aca="false">AD$21*(AD$35-Planner!$C$44)</f>
        <v>-0.52</v>
      </c>
      <c r="AE56" s="23" t="n">
        <f aca="false">AE$21*(AE$35-Planner!$C$44)</f>
        <v>-0.63</v>
      </c>
      <c r="AF56" s="23" t="n">
        <f aca="false">AF$21*(AF$35-Planner!$C$44)</f>
        <v>-3.626</v>
      </c>
      <c r="AG56" s="23" t="n">
        <f aca="false">AG$21*(AG$35-Planner!$C$44)</f>
        <v>6.861</v>
      </c>
      <c r="AH56" s="23" t="n">
        <f aca="false">AH$21*(AH$35-Planner!$C$44)</f>
        <v>-2.09</v>
      </c>
      <c r="AI56" s="23" t="n">
        <f aca="false">AI$21*(AI$35-Planner!$C$44)</f>
        <v>-4.75</v>
      </c>
      <c r="AJ56" s="23" t="n">
        <f aca="false">AJ$21*(AJ$35-Planner!$C$44)</f>
        <v>-2.112</v>
      </c>
      <c r="AK56" s="23" t="n">
        <f aca="false">AK$21*(AK$35-Planner!$C$44)</f>
        <v>0.822</v>
      </c>
      <c r="AL56" s="23" t="n">
        <f aca="false">AL$21*(AL$35-Planner!$C$44)</f>
        <v>-2.418</v>
      </c>
      <c r="AM56" s="23" t="n">
        <f aca="false">AM$21*(AM$35-Planner!$C$44)</f>
        <v>1.71</v>
      </c>
      <c r="AN56" s="23" t="n">
        <f aca="false">AN$21*(AN$35-Planner!$C$44)</f>
        <v>2.403</v>
      </c>
      <c r="AO56" s="23" t="n">
        <f aca="false">AO$21*(AO$35-Planner!$C$44)</f>
        <v>-0.508</v>
      </c>
      <c r="AP56" s="23" t="n">
        <f aca="false">AP$21*(AP$35-Planner!$C$44)</f>
        <v>1.32</v>
      </c>
      <c r="AQ56" s="23" t="n">
        <f aca="false">AQ$21*(AQ$35-Planner!$C$44)</f>
        <v>1.74</v>
      </c>
      <c r="AR56" s="23" t="n">
        <f aca="false">AR$21*(AR$35-Planner!$C$44)</f>
        <v>-1.77</v>
      </c>
      <c r="AS56" s="23" t="n">
        <f aca="false">AS$21*(AS$35-Planner!$C$44)</f>
        <v>0.807</v>
      </c>
      <c r="AT56" s="23" t="n">
        <f aca="false">AT$21*(AT$35-Planner!$C$44)</f>
        <v>-2.49</v>
      </c>
      <c r="AU56" s="23" t="n">
        <f aca="false">AU$21*(AU$35-Planner!$C$44)</f>
        <v>1.797</v>
      </c>
      <c r="AV56" s="23" t="n">
        <f aca="false">AV$21*(AV$35-Planner!$C$44)</f>
        <v>0.75</v>
      </c>
      <c r="AW56" s="23" t="n">
        <f aca="false">AW$21*(AW$35-Planner!$C$44)</f>
        <v>0.603</v>
      </c>
      <c r="AX56" s="23" t="n">
        <f aca="false">AX$21*(AX$35-Planner!$C$44)</f>
        <v>0.765</v>
      </c>
      <c r="AY56" s="23" t="n">
        <f aca="false">AY$21*(AY$35-Planner!$C$44)</f>
        <v>-0.052</v>
      </c>
      <c r="AZ56" s="23" t="n">
        <f aca="false">AZ$21*(AZ$35-Planner!$C$44)</f>
        <v>-0.218</v>
      </c>
      <c r="BA56" s="23" t="n">
        <f aca="false">BA$21*(BA$35-Planner!$C$44)</f>
        <v>-0.084</v>
      </c>
      <c r="BB56" s="23" t="n">
        <f aca="false">BB$21*(BB$35-Planner!$C$44)</f>
        <v>-0.144</v>
      </c>
      <c r="BC56" s="23" t="n">
        <f aca="false">BC$21*(BC$35-Planner!$C$44)</f>
        <v>-0.136</v>
      </c>
      <c r="BD56" s="23" t="n">
        <f aca="false">BD$21*(BD$35-Planner!$C$44)</f>
        <v>-0.182</v>
      </c>
      <c r="BE56" s="23" t="n">
        <f aca="false">BE$21*(BE$35-Planner!$C$44)</f>
        <v>-0.614</v>
      </c>
      <c r="BF56" s="23" t="n">
        <f aca="false">BF$21*(BF$35-Planner!$C$44)</f>
        <v>-0.134</v>
      </c>
      <c r="BG56" s="23" t="n">
        <f aca="false">BG$21*(BG$35-Planner!$C$44)</f>
        <v>0.93</v>
      </c>
      <c r="BH56" s="23" t="n">
        <f aca="false">BH$21*(BH$35-Planner!$C$44)</f>
        <v>-0.186</v>
      </c>
      <c r="BI56" s="23" t="n">
        <f aca="false">BI$21*(BI$35-Planner!$C$44)</f>
        <v>0.336</v>
      </c>
      <c r="BJ56" s="23" t="n">
        <f aca="false">BJ$21*(BJ$35-Planner!$C$44)</f>
        <v>0.258</v>
      </c>
      <c r="BK56" s="23" t="n">
        <f aca="false">BK$21*(BK$35-Planner!$C$44)</f>
        <v>0.858</v>
      </c>
      <c r="BL56" s="23" t="n">
        <f aca="false">BL$21*(BL$35-Planner!$C$44)</f>
        <v>0.33</v>
      </c>
      <c r="BM56" s="23" t="n">
        <f aca="false">BM$21*(BM$35-Planner!$C$44)</f>
        <v>0.369</v>
      </c>
      <c r="BN56" s="23" t="n">
        <f aca="false">BN$21*(BN$35-Planner!$C$44)</f>
        <v>0.858</v>
      </c>
      <c r="BO56" s="23" t="n">
        <f aca="false">BO$21*(BO$35-Planner!$C$44)</f>
        <v>0.264</v>
      </c>
      <c r="BP56" s="23" t="n">
        <f aca="false">BP$21*(BP$35-Planner!$C$44)</f>
        <v>0.255</v>
      </c>
      <c r="BQ56" s="23" t="n">
        <f aca="false">BQ$21*(BQ$35-Planner!$C$44)</f>
        <v>0</v>
      </c>
      <c r="BR56" s="23" t="n">
        <f aca="false">BR$21*(BR$35-Planner!$C$44)</f>
        <v>0</v>
      </c>
      <c r="BS56" s="23" t="n">
        <f aca="false">BS$21*(BS$35-Planner!$C$44)</f>
        <v>-4.23</v>
      </c>
      <c r="BT56" s="23" t="n">
        <f aca="false">BT$21*(BT$35-Planner!$C$44)</f>
        <v>0.588</v>
      </c>
      <c r="BU56" s="23" t="n">
        <f aca="false">BU$21*(BU$35-Planner!$C$44)</f>
        <v>-1.02</v>
      </c>
      <c r="BV56" s="23" t="n">
        <f aca="false">BV$21*(BV$35-Planner!$C$44)</f>
        <v>-1.13</v>
      </c>
      <c r="BW56" s="23" t="n">
        <f aca="false">BW$21*(BW$35-Planner!$C$44)</f>
        <v>-1.278</v>
      </c>
      <c r="BX56" s="23" t="n">
        <f aca="false">BX$21*(BX$35-Planner!$C$44)</f>
        <v>-0.7</v>
      </c>
    </row>
    <row r="57" customFormat="false" ht="15" hidden="false" customHeight="false" outlineLevel="0" collapsed="false">
      <c r="A57" s="4" t="s">
        <v>728</v>
      </c>
      <c r="B57" s="81" t="s">
        <v>729</v>
      </c>
      <c r="C57" s="82" t="n">
        <f aca="false">IF((Planner!$C$60="Realistic"),0,Planner!$C$49)</f>
        <v>0</v>
      </c>
      <c r="D57" s="83" t="n">
        <v>4.75</v>
      </c>
      <c r="E57" s="81" t="str">
        <f aca="false">IF(D57&gt;=C57-0.000001*MAX(1,ABS(C57)),IF(ABS(D57-C57)&lt;=0.000001*MAX(1,ABS(C57)),"tight","ok"),"VIOLATED")</f>
        <v>ok</v>
      </c>
      <c r="F57" s="23" t="n">
        <f aca="false">IF('Food Data'!$C$6="Vegetables",100/'Food Data'!$AJ$6,0)</f>
        <v>0</v>
      </c>
      <c r="G57" s="23" t="n">
        <f aca="false">IF('Food Data'!$C$7="Vegetables",100/'Food Data'!$AJ$7,0)</f>
        <v>0</v>
      </c>
      <c r="H57" s="23" t="n">
        <f aca="false">IF('Food Data'!$C$8="Vegetables",100/'Food Data'!$AJ$8,0)</f>
        <v>0</v>
      </c>
      <c r="I57" s="23" t="n">
        <f aca="false">IF('Food Data'!$C$9="Vegetables",100/'Food Data'!$AJ$9,0)</f>
        <v>0</v>
      </c>
      <c r="J57" s="23" t="n">
        <f aca="false">IF('Food Data'!$C$10="Vegetables",100/'Food Data'!$AJ$10,0)</f>
        <v>0</v>
      </c>
      <c r="K57" s="23" t="n">
        <f aca="false">IF('Food Data'!$C$11="Vegetables",100/'Food Data'!$AJ$11,0)</f>
        <v>0</v>
      </c>
      <c r="L57" s="23" t="n">
        <f aca="false">IF('Food Data'!$C$12="Vegetables",100/'Food Data'!$AJ$12,0)</f>
        <v>0</v>
      </c>
      <c r="M57" s="23" t="n">
        <f aca="false">IF('Food Data'!$C$13="Vegetables",100/'Food Data'!$AJ$13,0)</f>
        <v>0</v>
      </c>
      <c r="N57" s="23" t="n">
        <f aca="false">IF('Food Data'!$C$14="Vegetables",100/'Food Data'!$AJ$14,0)</f>
        <v>0</v>
      </c>
      <c r="O57" s="23" t="n">
        <f aca="false">IF('Food Data'!$C$15="Vegetables",100/'Food Data'!$AJ$15,0)</f>
        <v>0</v>
      </c>
      <c r="P57" s="23" t="n">
        <f aca="false">IF('Food Data'!$C$16="Vegetables",100/'Food Data'!$AJ$16,0)</f>
        <v>0</v>
      </c>
      <c r="Q57" s="23" t="n">
        <f aca="false">IF('Food Data'!$C$17="Vegetables",100/'Food Data'!$AJ$17,0)</f>
        <v>0</v>
      </c>
      <c r="R57" s="23" t="n">
        <f aca="false">IF('Food Data'!$C$18="Vegetables",100/'Food Data'!$AJ$18,0)</f>
        <v>0</v>
      </c>
      <c r="S57" s="23" t="n">
        <f aca="false">IF('Food Data'!$C$19="Vegetables",100/'Food Data'!$AJ$19,0)</f>
        <v>0</v>
      </c>
      <c r="T57" s="23" t="n">
        <f aca="false">IF('Food Data'!$C$20="Vegetables",100/'Food Data'!$AJ$20,0)</f>
        <v>0</v>
      </c>
      <c r="U57" s="23" t="n">
        <f aca="false">IF('Food Data'!$C$21="Vegetables",100/'Food Data'!$AJ$21,0)</f>
        <v>0</v>
      </c>
      <c r="V57" s="23" t="n">
        <f aca="false">IF('Food Data'!$C$22="Vegetables",100/'Food Data'!$AJ$22,0)</f>
        <v>0</v>
      </c>
      <c r="W57" s="23" t="n">
        <f aca="false">IF('Food Data'!$C$23="Vegetables",100/'Food Data'!$AJ$23,0)</f>
        <v>0</v>
      </c>
      <c r="X57" s="23" t="n">
        <f aca="false">IF('Food Data'!$C$24="Vegetables",100/'Food Data'!$AJ$24,0)</f>
        <v>0</v>
      </c>
      <c r="Y57" s="23" t="n">
        <f aca="false">IF('Food Data'!$C$25="Vegetables",100/'Food Data'!$AJ$25,0)</f>
        <v>0</v>
      </c>
      <c r="Z57" s="23" t="n">
        <f aca="false">IF('Food Data'!$C$26="Vegetables",100/'Food Data'!$AJ$26,0)</f>
        <v>0</v>
      </c>
      <c r="AA57" s="23" t="n">
        <f aca="false">IF('Food Data'!$C$27="Vegetables",100/'Food Data'!$AJ$27,0)</f>
        <v>0</v>
      </c>
      <c r="AB57" s="23" t="n">
        <f aca="false">IF('Food Data'!$C$28="Vegetables",100/'Food Data'!$AJ$28,0)</f>
        <v>0</v>
      </c>
      <c r="AC57" s="23" t="n">
        <f aca="false">IF('Food Data'!$C$29="Vegetables",100/'Food Data'!$AJ$29,0)</f>
        <v>0</v>
      </c>
      <c r="AD57" s="23" t="n">
        <f aca="false">IF('Food Data'!$C$30="Vegetables",100/'Food Data'!$AJ$30,0)</f>
        <v>0</v>
      </c>
      <c r="AE57" s="23" t="n">
        <f aca="false">IF('Food Data'!$C$31="Vegetables",100/'Food Data'!$AJ$31,0)</f>
        <v>0</v>
      </c>
      <c r="AF57" s="23" t="n">
        <f aca="false">IF('Food Data'!$C$32="Vegetables",100/'Food Data'!$AJ$32,0)</f>
        <v>0</v>
      </c>
      <c r="AG57" s="23" t="n">
        <f aca="false">IF('Food Data'!$C$33="Vegetables",100/'Food Data'!$AJ$33,0)</f>
        <v>0</v>
      </c>
      <c r="AH57" s="23" t="n">
        <f aca="false">IF('Food Data'!$C$34="Vegetables",100/'Food Data'!$AJ$34,0)</f>
        <v>0</v>
      </c>
      <c r="AI57" s="23" t="n">
        <f aca="false">IF('Food Data'!$C$35="Vegetables",100/'Food Data'!$AJ$35,0)</f>
        <v>0</v>
      </c>
      <c r="AJ57" s="23" t="n">
        <f aca="false">IF('Food Data'!$C$36="Vegetables",100/'Food Data'!$AJ$36,0)</f>
        <v>0</v>
      </c>
      <c r="AK57" s="23" t="n">
        <f aca="false">IF('Food Data'!$C$37="Vegetables",100/'Food Data'!$AJ$37,0)</f>
        <v>0</v>
      </c>
      <c r="AL57" s="23" t="n">
        <f aca="false">IF('Food Data'!$C$38="Vegetables",100/'Food Data'!$AJ$38,0)</f>
        <v>0</v>
      </c>
      <c r="AM57" s="23" t="n">
        <f aca="false">IF('Food Data'!$C$39="Vegetables",100/'Food Data'!$AJ$39,0)</f>
        <v>0</v>
      </c>
      <c r="AN57" s="23" t="n">
        <f aca="false">IF('Food Data'!$C$40="Vegetables",100/'Food Data'!$AJ$40,0)</f>
        <v>0</v>
      </c>
      <c r="AO57" s="23" t="n">
        <f aca="false">IF('Food Data'!$C$41="Vegetables",100/'Food Data'!$AJ$41,0)</f>
        <v>0</v>
      </c>
      <c r="AP57" s="23" t="n">
        <f aca="false">IF('Food Data'!$C$42="Vegetables",100/'Food Data'!$AJ$42,0)</f>
        <v>0</v>
      </c>
      <c r="AQ57" s="23" t="n">
        <f aca="false">IF('Food Data'!$C$43="Vegetables",100/'Food Data'!$AJ$43,0)</f>
        <v>0</v>
      </c>
      <c r="AR57" s="23" t="n">
        <f aca="false">IF('Food Data'!$C$44="Vegetables",100/'Food Data'!$AJ$44,0)</f>
        <v>0</v>
      </c>
      <c r="AS57" s="23" t="n">
        <f aca="false">IF('Food Data'!$C$45="Vegetables",100/'Food Data'!$AJ$45,0)</f>
        <v>0</v>
      </c>
      <c r="AT57" s="23" t="n">
        <f aca="false">IF('Food Data'!$C$46="Vegetables",100/'Food Data'!$AJ$46,0)</f>
        <v>0</v>
      </c>
      <c r="AU57" s="23" t="n">
        <f aca="false">IF('Food Data'!$C$47="Vegetables",100/'Food Data'!$AJ$47,0)</f>
        <v>0</v>
      </c>
      <c r="AV57" s="23" t="n">
        <f aca="false">IF('Food Data'!$C$48="Vegetables",100/'Food Data'!$AJ$48,0)</f>
        <v>0</v>
      </c>
      <c r="AW57" s="23" t="n">
        <f aca="false">IF('Food Data'!$C$49="Vegetables",100/'Food Data'!$AJ$49,0)</f>
        <v>0</v>
      </c>
      <c r="AX57" s="23" t="n">
        <f aca="false">IF('Food Data'!$C$50="Vegetables",100/'Food Data'!$AJ$50,0)</f>
        <v>0</v>
      </c>
      <c r="AY57" s="23" t="n">
        <f aca="false">IF('Food Data'!$C$51="Vegetables",100/'Food Data'!$AJ$51,0)</f>
        <v>0</v>
      </c>
      <c r="AZ57" s="23" t="n">
        <f aca="false">IF('Food Data'!$C$52="Vegetables",100/'Food Data'!$AJ$52,0)</f>
        <v>0</v>
      </c>
      <c r="BA57" s="23" t="n">
        <f aca="false">IF('Food Data'!$C$53="Vegetables",100/'Food Data'!$AJ$53,0)</f>
        <v>0</v>
      </c>
      <c r="BB57" s="23" t="n">
        <f aca="false">IF('Food Data'!$C$54="Vegetables",100/'Food Data'!$AJ$54,0)</f>
        <v>0</v>
      </c>
      <c r="BC57" s="23" t="n">
        <f aca="false">IF('Food Data'!$C$55="Vegetables",100/'Food Data'!$AJ$55,0)</f>
        <v>0</v>
      </c>
      <c r="BD57" s="23" t="n">
        <f aca="false">IF('Food Data'!$C$56="Vegetables",100/'Food Data'!$AJ$56,0)</f>
        <v>0</v>
      </c>
      <c r="BE57" s="23" t="n">
        <f aca="false">IF('Food Data'!$C$57="Vegetables",100/'Food Data'!$AJ$57,0)</f>
        <v>0</v>
      </c>
      <c r="BF57" s="23" t="n">
        <f aca="false">IF('Food Data'!$C$58="Vegetables",100/'Food Data'!$AJ$58,0)</f>
        <v>0</v>
      </c>
      <c r="BG57" s="23" t="n">
        <f aca="false">IF('Food Data'!$C$59="Vegetables",100/'Food Data'!$AJ$59,0)</f>
        <v>0.543478260869565</v>
      </c>
      <c r="BH57" s="23" t="n">
        <f aca="false">IF('Food Data'!$C$60="Vegetables",100/'Food Data'!$AJ$60,0)</f>
        <v>0.78125</v>
      </c>
      <c r="BI57" s="23" t="n">
        <f aca="false">IF('Food Data'!$C$61="Vegetables",100/'Food Data'!$AJ$61,0)</f>
        <v>0.740740740740741</v>
      </c>
      <c r="BJ57" s="23" t="n">
        <f aca="false">IF('Food Data'!$C$62="Vegetables",100/'Food Data'!$AJ$62,0)</f>
        <v>0.671140939597316</v>
      </c>
      <c r="BK57" s="23" t="n">
        <f aca="false">IF('Food Data'!$C$63="Vegetables",100/'Food Data'!$AJ$63,0)</f>
        <v>0.54945054945055</v>
      </c>
      <c r="BL57" s="23" t="n">
        <f aca="false">IF('Food Data'!$C$64="Vegetables",100/'Food Data'!$AJ$64,0)</f>
        <v>0.625</v>
      </c>
      <c r="BM57" s="23" t="n">
        <f aca="false">IF('Food Data'!$C$65="Vegetables",100/'Food Data'!$AJ$65,0)</f>
        <v>1.06382978723404</v>
      </c>
      <c r="BN57" s="23" t="n">
        <f aca="false">IF('Food Data'!$C$66="Vegetables",100/'Food Data'!$AJ$66,0)</f>
        <v>1.66666666666667</v>
      </c>
      <c r="BO57" s="23" t="n">
        <f aca="false">IF('Food Data'!$C$67="Vegetables",100/'Food Data'!$AJ$67,0)</f>
        <v>0.555555555555556</v>
      </c>
      <c r="BP57" s="23" t="n">
        <f aca="false">IF('Food Data'!$C$68="Vegetables",100/'Food Data'!$AJ$68,0)</f>
        <v>0</v>
      </c>
      <c r="BQ57" s="23" t="n">
        <f aca="false">IF('Food Data'!$C$69="Vegetables",100/'Food Data'!$AJ$69,0)</f>
        <v>0</v>
      </c>
      <c r="BR57" s="23" t="n">
        <f aca="false">IF('Food Data'!$C$70="Vegetables",100/'Food Data'!$AJ$70,0)</f>
        <v>0</v>
      </c>
      <c r="BS57" s="23" t="n">
        <f aca="false">IF('Food Data'!$C$71="Vegetables",100/'Food Data'!$AJ$71,0)</f>
        <v>0</v>
      </c>
      <c r="BT57" s="23" t="n">
        <f aca="false">IF('Food Data'!$C$72="Vegetables",100/'Food Data'!$AJ$72,0)</f>
        <v>0</v>
      </c>
      <c r="BU57" s="23" t="n">
        <f aca="false">IF('Food Data'!$C$73="Vegetables",100/'Food Data'!$AJ$73,0)</f>
        <v>0</v>
      </c>
      <c r="BV57" s="23" t="n">
        <f aca="false">IF('Food Data'!$C$74="Vegetables",100/'Food Data'!$AJ$74,0)</f>
        <v>0</v>
      </c>
      <c r="BW57" s="23" t="n">
        <f aca="false">IF('Food Data'!$C$75="Vegetables",100/'Food Data'!$AJ$75,0)</f>
        <v>0</v>
      </c>
      <c r="BX57" s="23" t="n">
        <f aca="false">IF('Food Data'!$C$76="Vegetables",100/'Food Data'!$AJ$76,0)</f>
        <v>0</v>
      </c>
    </row>
    <row r="58" customFormat="false" ht="15" hidden="false" customHeight="false" outlineLevel="0" collapsed="false">
      <c r="A58" s="4" t="s">
        <v>730</v>
      </c>
      <c r="B58" s="81" t="s">
        <v>729</v>
      </c>
      <c r="C58" s="82" t="n">
        <f aca="false">IF((Planner!$C$60="Realistic"),0,Planner!$C$50)</f>
        <v>0</v>
      </c>
      <c r="D58" s="83" t="n">
        <v>2.49999999958554</v>
      </c>
      <c r="E58" s="81" t="str">
        <f aca="false">IF(D58&gt;=C58-0.000001*MAX(1,ABS(C58)),IF(ABS(D58-C58)&lt;=0.000001*MAX(1,ABS(C58)),"tight","ok"),"VIOLATED")</f>
        <v>ok</v>
      </c>
      <c r="F58" s="23" t="n">
        <f aca="false">IF('Food Data'!$C$6="Fruit",100/'Food Data'!$AJ$6,0)</f>
        <v>0</v>
      </c>
      <c r="G58" s="23" t="n">
        <f aca="false">IF('Food Data'!$C$7="Fruit",100/'Food Data'!$AJ$7,0)</f>
        <v>0</v>
      </c>
      <c r="H58" s="23" t="n">
        <f aca="false">IF('Food Data'!$C$8="Fruit",100/'Food Data'!$AJ$8,0)</f>
        <v>0</v>
      </c>
      <c r="I58" s="23" t="n">
        <f aca="false">IF('Food Data'!$C$9="Fruit",100/'Food Data'!$AJ$9,0)</f>
        <v>0</v>
      </c>
      <c r="J58" s="23" t="n">
        <f aca="false">IF('Food Data'!$C$10="Fruit",100/'Food Data'!$AJ$10,0)</f>
        <v>0</v>
      </c>
      <c r="K58" s="23" t="n">
        <f aca="false">IF('Food Data'!$C$11="Fruit",100/'Food Data'!$AJ$11,0)</f>
        <v>0</v>
      </c>
      <c r="L58" s="23" t="n">
        <f aca="false">IF('Food Data'!$C$12="Fruit",100/'Food Data'!$AJ$12,0)</f>
        <v>0</v>
      </c>
      <c r="M58" s="23" t="n">
        <f aca="false">IF('Food Data'!$C$13="Fruit",100/'Food Data'!$AJ$13,0)</f>
        <v>0</v>
      </c>
      <c r="N58" s="23" t="n">
        <f aca="false">IF('Food Data'!$C$14="Fruit",100/'Food Data'!$AJ$14,0)</f>
        <v>0</v>
      </c>
      <c r="O58" s="23" t="n">
        <f aca="false">IF('Food Data'!$C$15="Fruit",100/'Food Data'!$AJ$15,0)</f>
        <v>0</v>
      </c>
      <c r="P58" s="23" t="n">
        <f aca="false">IF('Food Data'!$C$16="Fruit",100/'Food Data'!$AJ$16,0)</f>
        <v>0</v>
      </c>
      <c r="Q58" s="23" t="n">
        <f aca="false">IF('Food Data'!$C$17="Fruit",100/'Food Data'!$AJ$17,0)</f>
        <v>0</v>
      </c>
      <c r="R58" s="23" t="n">
        <f aca="false">IF('Food Data'!$C$18="Fruit",100/'Food Data'!$AJ$18,0)</f>
        <v>0</v>
      </c>
      <c r="S58" s="23" t="n">
        <f aca="false">IF('Food Data'!$C$19="Fruit",100/'Food Data'!$AJ$19,0)</f>
        <v>0</v>
      </c>
      <c r="T58" s="23" t="n">
        <f aca="false">IF('Food Data'!$C$20="Fruit",100/'Food Data'!$AJ$20,0)</f>
        <v>0</v>
      </c>
      <c r="U58" s="23" t="n">
        <f aca="false">IF('Food Data'!$C$21="Fruit",100/'Food Data'!$AJ$21,0)</f>
        <v>0</v>
      </c>
      <c r="V58" s="23" t="n">
        <f aca="false">IF('Food Data'!$C$22="Fruit",100/'Food Data'!$AJ$22,0)</f>
        <v>0</v>
      </c>
      <c r="W58" s="23" t="n">
        <f aca="false">IF('Food Data'!$C$23="Fruit",100/'Food Data'!$AJ$23,0)</f>
        <v>0</v>
      </c>
      <c r="X58" s="23" t="n">
        <f aca="false">IF('Food Data'!$C$24="Fruit",100/'Food Data'!$AJ$24,0)</f>
        <v>0</v>
      </c>
      <c r="Y58" s="23" t="n">
        <f aca="false">IF('Food Data'!$C$25="Fruit",100/'Food Data'!$AJ$25,0)</f>
        <v>0</v>
      </c>
      <c r="Z58" s="23" t="n">
        <f aca="false">IF('Food Data'!$C$26="Fruit",100/'Food Data'!$AJ$26,0)</f>
        <v>0</v>
      </c>
      <c r="AA58" s="23" t="n">
        <f aca="false">IF('Food Data'!$C$27="Fruit",100/'Food Data'!$AJ$27,0)</f>
        <v>0</v>
      </c>
      <c r="AB58" s="23" t="n">
        <f aca="false">IF('Food Data'!$C$28="Fruit",100/'Food Data'!$AJ$28,0)</f>
        <v>0</v>
      </c>
      <c r="AC58" s="23" t="n">
        <f aca="false">IF('Food Data'!$C$29="Fruit",100/'Food Data'!$AJ$29,0)</f>
        <v>0</v>
      </c>
      <c r="AD58" s="23" t="n">
        <f aca="false">IF('Food Data'!$C$30="Fruit",100/'Food Data'!$AJ$30,0)</f>
        <v>0</v>
      </c>
      <c r="AE58" s="23" t="n">
        <f aca="false">IF('Food Data'!$C$31="Fruit",100/'Food Data'!$AJ$31,0)</f>
        <v>0</v>
      </c>
      <c r="AF58" s="23" t="n">
        <f aca="false">IF('Food Data'!$C$32="Fruit",100/'Food Data'!$AJ$32,0)</f>
        <v>0</v>
      </c>
      <c r="AG58" s="23" t="n">
        <f aca="false">IF('Food Data'!$C$33="Fruit",100/'Food Data'!$AJ$33,0)</f>
        <v>0</v>
      </c>
      <c r="AH58" s="23" t="n">
        <f aca="false">IF('Food Data'!$C$34="Fruit",100/'Food Data'!$AJ$34,0)</f>
        <v>0</v>
      </c>
      <c r="AI58" s="23" t="n">
        <f aca="false">IF('Food Data'!$C$35="Fruit",100/'Food Data'!$AJ$35,0)</f>
        <v>0</v>
      </c>
      <c r="AJ58" s="23" t="n">
        <f aca="false">IF('Food Data'!$C$36="Fruit",100/'Food Data'!$AJ$36,0)</f>
        <v>0</v>
      </c>
      <c r="AK58" s="23" t="n">
        <f aca="false">IF('Food Data'!$C$37="Fruit",100/'Food Data'!$AJ$37,0)</f>
        <v>0</v>
      </c>
      <c r="AL58" s="23" t="n">
        <f aca="false">IF('Food Data'!$C$38="Fruit",100/'Food Data'!$AJ$38,0)</f>
        <v>0</v>
      </c>
      <c r="AM58" s="23" t="n">
        <f aca="false">IF('Food Data'!$C$39="Fruit",100/'Food Data'!$AJ$39,0)</f>
        <v>0</v>
      </c>
      <c r="AN58" s="23" t="n">
        <f aca="false">IF('Food Data'!$C$40="Fruit",100/'Food Data'!$AJ$40,0)</f>
        <v>0</v>
      </c>
      <c r="AO58" s="23" t="n">
        <f aca="false">IF('Food Data'!$C$41="Fruit",100/'Food Data'!$AJ$41,0)</f>
        <v>0</v>
      </c>
      <c r="AP58" s="23" t="n">
        <f aca="false">IF('Food Data'!$C$42="Fruit",100/'Food Data'!$AJ$42,0)</f>
        <v>0</v>
      </c>
      <c r="AQ58" s="23" t="n">
        <f aca="false">IF('Food Data'!$C$43="Fruit",100/'Food Data'!$AJ$43,0)</f>
        <v>0</v>
      </c>
      <c r="AR58" s="23" t="n">
        <f aca="false">IF('Food Data'!$C$44="Fruit",100/'Food Data'!$AJ$44,0)</f>
        <v>0</v>
      </c>
      <c r="AS58" s="23" t="n">
        <f aca="false">IF('Food Data'!$C$45="Fruit",100/'Food Data'!$AJ$45,0)</f>
        <v>0</v>
      </c>
      <c r="AT58" s="23" t="n">
        <f aca="false">IF('Food Data'!$C$46="Fruit",100/'Food Data'!$AJ$46,0)</f>
        <v>0</v>
      </c>
      <c r="AU58" s="23" t="n">
        <f aca="false">IF('Food Data'!$C$47="Fruit",100/'Food Data'!$AJ$47,0)</f>
        <v>0</v>
      </c>
      <c r="AV58" s="23" t="n">
        <f aca="false">IF('Food Data'!$C$48="Fruit",100/'Food Data'!$AJ$48,0)</f>
        <v>0</v>
      </c>
      <c r="AW58" s="23" t="n">
        <f aca="false">IF('Food Data'!$C$49="Fruit",100/'Food Data'!$AJ$49,0)</f>
        <v>0</v>
      </c>
      <c r="AX58" s="23" t="n">
        <f aca="false">IF('Food Data'!$C$50="Fruit",100/'Food Data'!$AJ$50,0)</f>
        <v>0</v>
      </c>
      <c r="AY58" s="23" t="n">
        <f aca="false">IF('Food Data'!$C$51="Fruit",100/'Food Data'!$AJ$51,0)</f>
        <v>0.8</v>
      </c>
      <c r="AZ58" s="23" t="n">
        <f aca="false">IF('Food Data'!$C$52="Fruit",100/'Food Data'!$AJ$52,0)</f>
        <v>0.847457627118644</v>
      </c>
      <c r="BA58" s="23" t="n">
        <f aca="false">IF('Food Data'!$C$53="Fruit",100/'Food Data'!$AJ$53,0)</f>
        <v>0.645161290322581</v>
      </c>
      <c r="BB58" s="23" t="n">
        <f aca="false">IF('Food Data'!$C$54="Fruit",100/'Food Data'!$AJ$54,0)</f>
        <v>0.662251655629139</v>
      </c>
      <c r="BC58" s="23" t="n">
        <f aca="false">IF('Food Data'!$C$55="Fruit",100/'Food Data'!$AJ$55,0)</f>
        <v>0.401606425702811</v>
      </c>
      <c r="BD58" s="23" t="n">
        <f aca="false">IF('Food Data'!$C$56="Fruit",100/'Food Data'!$AJ$56,0)</f>
        <v>0.714285714285714</v>
      </c>
      <c r="BE58" s="23" t="n">
        <f aca="false">IF('Food Data'!$C$57="Fruit",100/'Food Data'!$AJ$57,0)</f>
        <v>1.21951219512195</v>
      </c>
      <c r="BF58" s="23" t="n">
        <f aca="false">IF('Food Data'!$C$58="Fruit",100/'Food Data'!$AJ$58,0)</f>
        <v>0.657894736842105</v>
      </c>
      <c r="BG58" s="23" t="n">
        <f aca="false">IF('Food Data'!$C$59="Fruit",100/'Food Data'!$AJ$59,0)</f>
        <v>0</v>
      </c>
      <c r="BH58" s="23" t="n">
        <f aca="false">IF('Food Data'!$C$60="Fruit",100/'Food Data'!$AJ$60,0)</f>
        <v>0</v>
      </c>
      <c r="BI58" s="23" t="n">
        <f aca="false">IF('Food Data'!$C$61="Fruit",100/'Food Data'!$AJ$61,0)</f>
        <v>0</v>
      </c>
      <c r="BJ58" s="23" t="n">
        <f aca="false">IF('Food Data'!$C$62="Fruit",100/'Food Data'!$AJ$62,0)</f>
        <v>0</v>
      </c>
      <c r="BK58" s="23" t="n">
        <f aca="false">IF('Food Data'!$C$63="Fruit",100/'Food Data'!$AJ$63,0)</f>
        <v>0</v>
      </c>
      <c r="BL58" s="23" t="n">
        <f aca="false">IF('Food Data'!$C$64="Fruit",100/'Food Data'!$AJ$64,0)</f>
        <v>0</v>
      </c>
      <c r="BM58" s="23" t="n">
        <f aca="false">IF('Food Data'!$C$65="Fruit",100/'Food Data'!$AJ$65,0)</f>
        <v>0</v>
      </c>
      <c r="BN58" s="23" t="n">
        <f aca="false">IF('Food Data'!$C$66="Fruit",100/'Food Data'!$AJ$66,0)</f>
        <v>0</v>
      </c>
      <c r="BO58" s="23" t="n">
        <f aca="false">IF('Food Data'!$C$67="Fruit",100/'Food Data'!$AJ$67,0)</f>
        <v>0</v>
      </c>
      <c r="BP58" s="23" t="n">
        <f aca="false">IF('Food Data'!$C$68="Fruit",100/'Food Data'!$AJ$68,0)</f>
        <v>0</v>
      </c>
      <c r="BQ58" s="23" t="n">
        <f aca="false">IF('Food Data'!$C$69="Fruit",100/'Food Data'!$AJ$69,0)</f>
        <v>0</v>
      </c>
      <c r="BR58" s="23" t="n">
        <f aca="false">IF('Food Data'!$C$70="Fruit",100/'Food Data'!$AJ$70,0)</f>
        <v>0</v>
      </c>
      <c r="BS58" s="23" t="n">
        <f aca="false">IF('Food Data'!$C$71="Fruit",100/'Food Data'!$AJ$71,0)</f>
        <v>0</v>
      </c>
      <c r="BT58" s="23" t="n">
        <f aca="false">IF('Food Data'!$C$72="Fruit",100/'Food Data'!$AJ$72,0)</f>
        <v>0</v>
      </c>
      <c r="BU58" s="23" t="n">
        <f aca="false">IF('Food Data'!$C$73="Fruit",100/'Food Data'!$AJ$73,0)</f>
        <v>0</v>
      </c>
      <c r="BV58" s="23" t="n">
        <f aca="false">IF('Food Data'!$C$74="Fruit",100/'Food Data'!$AJ$74,0)</f>
        <v>0</v>
      </c>
      <c r="BW58" s="23" t="n">
        <f aca="false">IF('Food Data'!$C$75="Fruit",100/'Food Data'!$AJ$75,0)</f>
        <v>0</v>
      </c>
      <c r="BX58" s="23" t="n">
        <f aca="false">IF('Food Data'!$C$76="Fruit",100/'Food Data'!$AJ$76,0)</f>
        <v>0</v>
      </c>
    </row>
    <row r="59" customFormat="false" ht="15" hidden="false" customHeight="false" outlineLevel="0" collapsed="false">
      <c r="A59" s="4" t="s">
        <v>731</v>
      </c>
      <c r="B59" s="81" t="s">
        <v>732</v>
      </c>
      <c r="C59" s="82" t="n">
        <f aca="false">IF(AND((Planner!$C$60="Realistic"),$J$5&gt;0),$H$5,0)</f>
        <v>4</v>
      </c>
      <c r="D59" s="83" t="n">
        <v>4.99999999903743</v>
      </c>
      <c r="E59" s="81" t="str">
        <f aca="false">IF(D59&gt;=C59-0.000001*MAX(1,ABS(C59)),IF(ABS(D59-C59)&lt;=0.000001*MAX(1,ABS(C59)),"tight","ok"),"VIOLATED")</f>
        <v>ok</v>
      </c>
      <c r="F59" s="23" t="n">
        <f aca="false">IF('Food Data'!$AL$6="protein",100/'Food Data'!$AM$6,0)</f>
        <v>1.17647058823529</v>
      </c>
      <c r="G59" s="23" t="n">
        <f aca="false">IF('Food Data'!$AL$7="protein",100/'Food Data'!$AM$7,0)</f>
        <v>1.17647058823529</v>
      </c>
      <c r="H59" s="23" t="n">
        <f aca="false">IF('Food Data'!$AL$8="protein",100/'Food Data'!$AM$8,0)</f>
        <v>1.17647058823529</v>
      </c>
      <c r="I59" s="23" t="n">
        <f aca="false">IF('Food Data'!$AL$9="protein",100/'Food Data'!$AM$9,0)</f>
        <v>1.17647058823529</v>
      </c>
      <c r="J59" s="23" t="n">
        <f aca="false">IF('Food Data'!$AL$10="protein",100/'Food Data'!$AM$10,0)</f>
        <v>1.17647058823529</v>
      </c>
      <c r="K59" s="23" t="n">
        <f aca="false">IF('Food Data'!$AL$11="protein",100/'Food Data'!$AM$11,0)</f>
        <v>1.17647058823529</v>
      </c>
      <c r="L59" s="23" t="n">
        <f aca="false">IF('Food Data'!$AL$12="protein",100/'Food Data'!$AM$12,0)</f>
        <v>1.17647058823529</v>
      </c>
      <c r="M59" s="23" t="n">
        <f aca="false">IF('Food Data'!$AL$13="protein",100/'Food Data'!$AM$13,0)</f>
        <v>1.17647058823529</v>
      </c>
      <c r="N59" s="23" t="n">
        <f aca="false">IF('Food Data'!$AL$14="protein",100/'Food Data'!$AM$14,0)</f>
        <v>1.17647058823529</v>
      </c>
      <c r="O59" s="23" t="n">
        <f aca="false">IF('Food Data'!$AL$15="protein",100/'Food Data'!$AM$15,0)</f>
        <v>1.17647058823529</v>
      </c>
      <c r="P59" s="23" t="n">
        <f aca="false">IF('Food Data'!$AL$16="protein",100/'Food Data'!$AM$16,0)</f>
        <v>1.17647058823529</v>
      </c>
      <c r="Q59" s="23" t="n">
        <f aca="false">IF('Food Data'!$AL$17="protein",100/'Food Data'!$AM$17,0)</f>
        <v>1.17647058823529</v>
      </c>
      <c r="R59" s="23" t="n">
        <f aca="false">IF('Food Data'!$AL$18="protein",100/'Food Data'!$AM$18,0)</f>
        <v>1.17647058823529</v>
      </c>
      <c r="S59" s="23" t="n">
        <f aca="false">IF('Food Data'!$AL$19="protein",100/'Food Data'!$AM$19,0)</f>
        <v>1.17647058823529</v>
      </c>
      <c r="T59" s="23" t="n">
        <f aca="false">IF('Food Data'!$AL$20="protein",100/'Food Data'!$AM$20,0)</f>
        <v>1.17647058823529</v>
      </c>
      <c r="U59" s="23" t="n">
        <f aca="false">IF('Food Data'!$AL$21="protein",100/'Food Data'!$AM$21,0)</f>
        <v>2</v>
      </c>
      <c r="V59" s="23" t="n">
        <f aca="false">IF('Food Data'!$AL$22="protein",100/'Food Data'!$AM$22,0)</f>
        <v>0.833333333333333</v>
      </c>
      <c r="W59" s="23" t="n">
        <f aca="false">IF('Food Data'!$AL$23="protein",100/'Food Data'!$AM$23,0)</f>
        <v>0.833333333333333</v>
      </c>
      <c r="X59" s="23" t="n">
        <f aca="false">IF('Food Data'!$AL$24="protein",100/'Food Data'!$AM$24,0)</f>
        <v>1.01010101010101</v>
      </c>
      <c r="Y59" s="23" t="n">
        <f aca="false">IF('Food Data'!$AL$25="protein",100/'Food Data'!$AM$25,0)</f>
        <v>3.125</v>
      </c>
      <c r="Z59" s="23" t="n">
        <f aca="false">IF('Food Data'!$AL$26="protein",100/'Food Data'!$AM$26,0)</f>
        <v>1.16959064327485</v>
      </c>
      <c r="AA59" s="23" t="n">
        <f aca="false">IF('Food Data'!$AL$27="protein",100/'Food Data'!$AM$27,0)</f>
        <v>1.17647058823529</v>
      </c>
      <c r="AB59" s="23" t="n">
        <f aca="false">IF('Food Data'!$AL$28="protein",100/'Food Data'!$AM$28,0)</f>
        <v>0</v>
      </c>
      <c r="AC59" s="23" t="n">
        <f aca="false">IF('Food Data'!$AL$29="protein",100/'Food Data'!$AM$29,0)</f>
        <v>0</v>
      </c>
      <c r="AD59" s="23" t="n">
        <f aca="false">IF('Food Data'!$AL$30="protein",100/'Food Data'!$AM$30,0)</f>
        <v>0</v>
      </c>
      <c r="AE59" s="23" t="n">
        <f aca="false">IF('Food Data'!$AL$31="protein",100/'Food Data'!$AM$31,0)</f>
        <v>0</v>
      </c>
      <c r="AF59" s="23" t="n">
        <f aca="false">IF('Food Data'!$AL$32="protein",100/'Food Data'!$AM$32,0)</f>
        <v>0</v>
      </c>
      <c r="AG59" s="23" t="n">
        <f aca="false">IF('Food Data'!$AL$33="protein",100/'Food Data'!$AM$33,0)</f>
        <v>0</v>
      </c>
      <c r="AH59" s="23" t="n">
        <f aca="false">IF('Food Data'!$AL$34="protein",100/'Food Data'!$AM$34,0)</f>
        <v>0</v>
      </c>
      <c r="AI59" s="23" t="n">
        <f aca="false">IF('Food Data'!$AL$35="protein",100/'Food Data'!$AM$35,0)</f>
        <v>0</v>
      </c>
      <c r="AJ59" s="23" t="n">
        <f aca="false">IF('Food Data'!$AL$36="protein",100/'Food Data'!$AM$36,0)</f>
        <v>0</v>
      </c>
      <c r="AK59" s="23" t="n">
        <f aca="false">IF('Food Data'!$AL$37="protein",100/'Food Data'!$AM$37,0)</f>
        <v>0</v>
      </c>
      <c r="AL59" s="23" t="n">
        <f aca="false">IF('Food Data'!$AL$38="protein",100/'Food Data'!$AM$38,0)</f>
        <v>0</v>
      </c>
      <c r="AM59" s="23" t="n">
        <f aca="false">IF('Food Data'!$AL$39="protein",100/'Food Data'!$AM$39,0)</f>
        <v>0</v>
      </c>
      <c r="AN59" s="23" t="n">
        <f aca="false">IF('Food Data'!$AL$40="protein",100/'Food Data'!$AM$40,0)</f>
        <v>0</v>
      </c>
      <c r="AO59" s="23" t="n">
        <f aca="false">IF('Food Data'!$AL$41="protein",100/'Food Data'!$AM$41,0)</f>
        <v>0</v>
      </c>
      <c r="AP59" s="23" t="n">
        <f aca="false">IF('Food Data'!$AL$42="protein",100/'Food Data'!$AM$42,0)</f>
        <v>0</v>
      </c>
      <c r="AQ59" s="23" t="n">
        <f aca="false">IF('Food Data'!$AL$43="protein",100/'Food Data'!$AM$43,0)</f>
        <v>0</v>
      </c>
      <c r="AR59" s="23" t="n">
        <f aca="false">IF('Food Data'!$AL$44="protein",100/'Food Data'!$AM$44,0)</f>
        <v>0</v>
      </c>
      <c r="AS59" s="23" t="n">
        <f aca="false">IF('Food Data'!$AL$45="protein",100/'Food Data'!$AM$45,0)</f>
        <v>0</v>
      </c>
      <c r="AT59" s="23" t="n">
        <f aca="false">IF('Food Data'!$AL$46="protein",100/'Food Data'!$AM$46,0)</f>
        <v>0</v>
      </c>
      <c r="AU59" s="23" t="n">
        <f aca="false">IF('Food Data'!$AL$47="protein",100/'Food Data'!$AM$47,0)</f>
        <v>0</v>
      </c>
      <c r="AV59" s="23" t="n">
        <f aca="false">IF('Food Data'!$AL$48="protein",100/'Food Data'!$AM$48,0)</f>
        <v>0</v>
      </c>
      <c r="AW59" s="23" t="n">
        <f aca="false">IF('Food Data'!$AL$49="protein",100/'Food Data'!$AM$49,0)</f>
        <v>0</v>
      </c>
      <c r="AX59" s="23" t="n">
        <f aca="false">IF('Food Data'!$AL$50="protein",100/'Food Data'!$AM$50,0)</f>
        <v>0</v>
      </c>
      <c r="AY59" s="23" t="n">
        <f aca="false">IF('Food Data'!$AL$51="protein",100/'Food Data'!$AM$51,0)</f>
        <v>0</v>
      </c>
      <c r="AZ59" s="23" t="n">
        <f aca="false">IF('Food Data'!$AL$52="protein",100/'Food Data'!$AM$52,0)</f>
        <v>0</v>
      </c>
      <c r="BA59" s="23" t="n">
        <f aca="false">IF('Food Data'!$AL$53="protein",100/'Food Data'!$AM$53,0)</f>
        <v>0</v>
      </c>
      <c r="BB59" s="23" t="n">
        <f aca="false">IF('Food Data'!$AL$54="protein",100/'Food Data'!$AM$54,0)</f>
        <v>0</v>
      </c>
      <c r="BC59" s="23" t="n">
        <f aca="false">IF('Food Data'!$AL$55="protein",100/'Food Data'!$AM$55,0)</f>
        <v>0</v>
      </c>
      <c r="BD59" s="23" t="n">
        <f aca="false">IF('Food Data'!$AL$56="protein",100/'Food Data'!$AM$56,0)</f>
        <v>0</v>
      </c>
      <c r="BE59" s="23" t="n">
        <f aca="false">IF('Food Data'!$AL$57="protein",100/'Food Data'!$AM$57,0)</f>
        <v>0</v>
      </c>
      <c r="BF59" s="23" t="n">
        <f aca="false">IF('Food Data'!$AL$58="protein",100/'Food Data'!$AM$58,0)</f>
        <v>0</v>
      </c>
      <c r="BG59" s="23" t="n">
        <f aca="false">IF('Food Data'!$AL$59="protein",100/'Food Data'!$AM$59,0)</f>
        <v>0</v>
      </c>
      <c r="BH59" s="23" t="n">
        <f aca="false">IF('Food Data'!$AL$60="protein",100/'Food Data'!$AM$60,0)</f>
        <v>0</v>
      </c>
      <c r="BI59" s="23" t="n">
        <f aca="false">IF('Food Data'!$AL$61="protein",100/'Food Data'!$AM$61,0)</f>
        <v>0</v>
      </c>
      <c r="BJ59" s="23" t="n">
        <f aca="false">IF('Food Data'!$AL$62="protein",100/'Food Data'!$AM$62,0)</f>
        <v>0</v>
      </c>
      <c r="BK59" s="23" t="n">
        <f aca="false">IF('Food Data'!$AL$63="protein",100/'Food Data'!$AM$63,0)</f>
        <v>0</v>
      </c>
      <c r="BL59" s="23" t="n">
        <f aca="false">IF('Food Data'!$AL$64="protein",100/'Food Data'!$AM$64,0)</f>
        <v>0</v>
      </c>
      <c r="BM59" s="23" t="n">
        <f aca="false">IF('Food Data'!$AL$65="protein",100/'Food Data'!$AM$65,0)</f>
        <v>0</v>
      </c>
      <c r="BN59" s="23" t="n">
        <f aca="false">IF('Food Data'!$AL$66="protein",100/'Food Data'!$AM$66,0)</f>
        <v>0</v>
      </c>
      <c r="BO59" s="23" t="n">
        <f aca="false">IF('Food Data'!$AL$67="protein",100/'Food Data'!$AM$67,0)</f>
        <v>0</v>
      </c>
      <c r="BP59" s="23" t="n">
        <f aca="false">IF('Food Data'!$AL$68="protein",100/'Food Data'!$AM$68,0)</f>
        <v>0</v>
      </c>
      <c r="BQ59" s="23" t="n">
        <f aca="false">IF('Food Data'!$AL$69="protein",100/'Food Data'!$AM$69,0)</f>
        <v>0</v>
      </c>
      <c r="BR59" s="23" t="n">
        <f aca="false">IF('Food Data'!$AL$70="protein",100/'Food Data'!$AM$70,0)</f>
        <v>0</v>
      </c>
      <c r="BS59" s="23" t="n">
        <f aca="false">IF('Food Data'!$AL$71="protein",100/'Food Data'!$AM$71,0)</f>
        <v>3.57142857142857</v>
      </c>
      <c r="BT59" s="23" t="n">
        <f aca="false">IF('Food Data'!$AL$72="protein",100/'Food Data'!$AM$72,0)</f>
        <v>0</v>
      </c>
      <c r="BU59" s="23" t="n">
        <f aca="false">IF('Food Data'!$AL$73="protein",100/'Food Data'!$AM$73,0)</f>
        <v>0</v>
      </c>
      <c r="BV59" s="23" t="n">
        <f aca="false">IF('Food Data'!$AL$74="protein",100/'Food Data'!$AM$74,0)</f>
        <v>0</v>
      </c>
      <c r="BW59" s="23" t="n">
        <f aca="false">IF('Food Data'!$AL$75="protein",100/'Food Data'!$AM$75,0)</f>
        <v>0</v>
      </c>
      <c r="BX59" s="23" t="n">
        <f aca="false">IF('Food Data'!$AL$76="protein",100/'Food Data'!$AM$76,0)</f>
        <v>0</v>
      </c>
    </row>
    <row r="60" customFormat="false" ht="15" hidden="false" customHeight="false" outlineLevel="0" collapsed="false">
      <c r="A60" s="4" t="s">
        <v>733</v>
      </c>
      <c r="B60" s="81" t="s">
        <v>732</v>
      </c>
      <c r="C60" s="82" t="n">
        <f aca="false">IF(AND((Planner!$C$60="Realistic"),$J$6&gt;0),$H$6,0)</f>
        <v>3</v>
      </c>
      <c r="D60" s="83" t="n">
        <v>2.9999999997479</v>
      </c>
      <c r="E60" s="81" t="str">
        <f aca="false">IF(D60&gt;=C60-0.000001*MAX(1,ABS(C60)),IF(ABS(D60-C60)&lt;=0.000001*MAX(1,ABS(C60)),"tight","ok"),"VIOLATED")</f>
        <v>tight</v>
      </c>
      <c r="F60" s="23" t="n">
        <f aca="false">IF('Food Data'!$AL$6="dairy",100/'Food Data'!$AM$6,0)</f>
        <v>0</v>
      </c>
      <c r="G60" s="23" t="n">
        <f aca="false">IF('Food Data'!$AL$7="dairy",100/'Food Data'!$AM$7,0)</f>
        <v>0</v>
      </c>
      <c r="H60" s="23" t="n">
        <f aca="false">IF('Food Data'!$AL$8="dairy",100/'Food Data'!$AM$8,0)</f>
        <v>0</v>
      </c>
      <c r="I60" s="23" t="n">
        <f aca="false">IF('Food Data'!$AL$9="dairy",100/'Food Data'!$AM$9,0)</f>
        <v>0</v>
      </c>
      <c r="J60" s="23" t="n">
        <f aca="false">IF('Food Data'!$AL$10="dairy",100/'Food Data'!$AM$10,0)</f>
        <v>0</v>
      </c>
      <c r="K60" s="23" t="n">
        <f aca="false">IF('Food Data'!$AL$11="dairy",100/'Food Data'!$AM$11,0)</f>
        <v>0</v>
      </c>
      <c r="L60" s="23" t="n">
        <f aca="false">IF('Food Data'!$AL$12="dairy",100/'Food Data'!$AM$12,0)</f>
        <v>0</v>
      </c>
      <c r="M60" s="23" t="n">
        <f aca="false">IF('Food Data'!$AL$13="dairy",100/'Food Data'!$AM$13,0)</f>
        <v>0</v>
      </c>
      <c r="N60" s="23" t="n">
        <f aca="false">IF('Food Data'!$AL$14="dairy",100/'Food Data'!$AM$14,0)</f>
        <v>0</v>
      </c>
      <c r="O60" s="23" t="n">
        <f aca="false">IF('Food Data'!$AL$15="dairy",100/'Food Data'!$AM$15,0)</f>
        <v>0</v>
      </c>
      <c r="P60" s="23" t="n">
        <f aca="false">IF('Food Data'!$AL$16="dairy",100/'Food Data'!$AM$16,0)</f>
        <v>0</v>
      </c>
      <c r="Q60" s="23" t="n">
        <f aca="false">IF('Food Data'!$AL$17="dairy",100/'Food Data'!$AM$17,0)</f>
        <v>0</v>
      </c>
      <c r="R60" s="23" t="n">
        <f aca="false">IF('Food Data'!$AL$18="dairy",100/'Food Data'!$AM$18,0)</f>
        <v>0</v>
      </c>
      <c r="S60" s="23" t="n">
        <f aca="false">IF('Food Data'!$AL$19="dairy",100/'Food Data'!$AM$19,0)</f>
        <v>0</v>
      </c>
      <c r="T60" s="23" t="n">
        <f aca="false">IF('Food Data'!$AL$20="dairy",100/'Food Data'!$AM$20,0)</f>
        <v>0</v>
      </c>
      <c r="U60" s="23" t="n">
        <f aca="false">IF('Food Data'!$AL$21="dairy",100/'Food Data'!$AM$21,0)</f>
        <v>0</v>
      </c>
      <c r="V60" s="23" t="n">
        <f aca="false">IF('Food Data'!$AL$22="dairy",100/'Food Data'!$AM$22,0)</f>
        <v>0</v>
      </c>
      <c r="W60" s="23" t="n">
        <f aca="false">IF('Food Data'!$AL$23="dairy",100/'Food Data'!$AM$23,0)</f>
        <v>0</v>
      </c>
      <c r="X60" s="23" t="n">
        <f aca="false">IF('Food Data'!$AL$24="dairy",100/'Food Data'!$AM$24,0)</f>
        <v>0</v>
      </c>
      <c r="Y60" s="23" t="n">
        <f aca="false">IF('Food Data'!$AL$25="dairy",100/'Food Data'!$AM$25,0)</f>
        <v>0</v>
      </c>
      <c r="Z60" s="23" t="n">
        <f aca="false">IF('Food Data'!$AL$26="dairy",100/'Food Data'!$AM$26,0)</f>
        <v>0</v>
      </c>
      <c r="AA60" s="23" t="n">
        <f aca="false">IF('Food Data'!$AL$27="dairy",100/'Food Data'!$AM$27,0)</f>
        <v>0</v>
      </c>
      <c r="AB60" s="23" t="n">
        <f aca="false">IF('Food Data'!$AL$28="dairy",100/'Food Data'!$AM$28,0)</f>
        <v>0.409836065573771</v>
      </c>
      <c r="AC60" s="23" t="n">
        <f aca="false">IF('Food Data'!$AL$29="dairy",100/'Food Data'!$AM$29,0)</f>
        <v>0.588235294117647</v>
      </c>
      <c r="AD60" s="23" t="n">
        <f aca="false">IF('Food Data'!$AL$30="dairy",100/'Food Data'!$AM$30,0)</f>
        <v>0.411522633744856</v>
      </c>
      <c r="AE60" s="23" t="n">
        <f aca="false">IF('Food Data'!$AL$31="dairy",100/'Food Data'!$AM$31,0)</f>
        <v>0.409836065573771</v>
      </c>
      <c r="AF60" s="23" t="n">
        <f aca="false">IF('Food Data'!$AL$32="dairy",100/'Food Data'!$AM$32,0)</f>
        <v>3.57142857142857</v>
      </c>
      <c r="AG60" s="23" t="n">
        <f aca="false">IF('Food Data'!$AL$33="dairy",100/'Food Data'!$AM$33,0)</f>
        <v>3.57142857142857</v>
      </c>
      <c r="AH60" s="23" t="n">
        <f aca="false">IF('Food Data'!$AL$34="dairy",100/'Food Data'!$AM$34,0)</f>
        <v>0.221238938053097</v>
      </c>
      <c r="AI60" s="23" t="n">
        <f aca="false">IF('Food Data'!$AL$35="dairy",100/'Food Data'!$AM$35,0)</f>
        <v>3.57142857142857</v>
      </c>
      <c r="AJ60" s="23" t="n">
        <f aca="false">IF('Food Data'!$AL$36="dairy",100/'Food Data'!$AM$36,0)</f>
        <v>0</v>
      </c>
      <c r="AK60" s="23" t="n">
        <f aca="false">IF('Food Data'!$AL$37="dairy",100/'Food Data'!$AM$37,0)</f>
        <v>0</v>
      </c>
      <c r="AL60" s="23" t="n">
        <f aca="false">IF('Food Data'!$AL$38="dairy",100/'Food Data'!$AM$38,0)</f>
        <v>0</v>
      </c>
      <c r="AM60" s="23" t="n">
        <f aca="false">IF('Food Data'!$AL$39="dairy",100/'Food Data'!$AM$39,0)</f>
        <v>0</v>
      </c>
      <c r="AN60" s="23" t="n">
        <f aca="false">IF('Food Data'!$AL$40="dairy",100/'Food Data'!$AM$40,0)</f>
        <v>0</v>
      </c>
      <c r="AO60" s="23" t="n">
        <f aca="false">IF('Food Data'!$AL$41="dairy",100/'Food Data'!$AM$41,0)</f>
        <v>0</v>
      </c>
      <c r="AP60" s="23" t="n">
        <f aca="false">IF('Food Data'!$AL$42="dairy",100/'Food Data'!$AM$42,0)</f>
        <v>0</v>
      </c>
      <c r="AQ60" s="23" t="n">
        <f aca="false">IF('Food Data'!$AL$43="dairy",100/'Food Data'!$AM$43,0)</f>
        <v>0</v>
      </c>
      <c r="AR60" s="23" t="n">
        <f aca="false">IF('Food Data'!$AL$44="dairy",100/'Food Data'!$AM$44,0)</f>
        <v>0</v>
      </c>
      <c r="AS60" s="23" t="n">
        <f aca="false">IF('Food Data'!$AL$45="dairy",100/'Food Data'!$AM$45,0)</f>
        <v>0</v>
      </c>
      <c r="AT60" s="23" t="n">
        <f aca="false">IF('Food Data'!$AL$46="dairy",100/'Food Data'!$AM$46,0)</f>
        <v>0</v>
      </c>
      <c r="AU60" s="23" t="n">
        <f aca="false">IF('Food Data'!$AL$47="dairy",100/'Food Data'!$AM$47,0)</f>
        <v>0</v>
      </c>
      <c r="AV60" s="23" t="n">
        <f aca="false">IF('Food Data'!$AL$48="dairy",100/'Food Data'!$AM$48,0)</f>
        <v>0</v>
      </c>
      <c r="AW60" s="23" t="n">
        <f aca="false">IF('Food Data'!$AL$49="dairy",100/'Food Data'!$AM$49,0)</f>
        <v>0</v>
      </c>
      <c r="AX60" s="23" t="n">
        <f aca="false">IF('Food Data'!$AL$50="dairy",100/'Food Data'!$AM$50,0)</f>
        <v>0</v>
      </c>
      <c r="AY60" s="23" t="n">
        <f aca="false">IF('Food Data'!$AL$51="dairy",100/'Food Data'!$AM$51,0)</f>
        <v>0</v>
      </c>
      <c r="AZ60" s="23" t="n">
        <f aca="false">IF('Food Data'!$AL$52="dairy",100/'Food Data'!$AM$52,0)</f>
        <v>0</v>
      </c>
      <c r="BA60" s="23" t="n">
        <f aca="false">IF('Food Data'!$AL$53="dairy",100/'Food Data'!$AM$53,0)</f>
        <v>0</v>
      </c>
      <c r="BB60" s="23" t="n">
        <f aca="false">IF('Food Data'!$AL$54="dairy",100/'Food Data'!$AM$54,0)</f>
        <v>0</v>
      </c>
      <c r="BC60" s="23" t="n">
        <f aca="false">IF('Food Data'!$AL$55="dairy",100/'Food Data'!$AM$55,0)</f>
        <v>0</v>
      </c>
      <c r="BD60" s="23" t="n">
        <f aca="false">IF('Food Data'!$AL$56="dairy",100/'Food Data'!$AM$56,0)</f>
        <v>0</v>
      </c>
      <c r="BE60" s="23" t="n">
        <f aca="false">IF('Food Data'!$AL$57="dairy",100/'Food Data'!$AM$57,0)</f>
        <v>0</v>
      </c>
      <c r="BF60" s="23" t="n">
        <f aca="false">IF('Food Data'!$AL$58="dairy",100/'Food Data'!$AM$58,0)</f>
        <v>0</v>
      </c>
      <c r="BG60" s="23" t="n">
        <f aca="false">IF('Food Data'!$AL$59="dairy",100/'Food Data'!$AM$59,0)</f>
        <v>0</v>
      </c>
      <c r="BH60" s="23" t="n">
        <f aca="false">IF('Food Data'!$AL$60="dairy",100/'Food Data'!$AM$60,0)</f>
        <v>0</v>
      </c>
      <c r="BI60" s="23" t="n">
        <f aca="false">IF('Food Data'!$AL$61="dairy",100/'Food Data'!$AM$61,0)</f>
        <v>0</v>
      </c>
      <c r="BJ60" s="23" t="n">
        <f aca="false">IF('Food Data'!$AL$62="dairy",100/'Food Data'!$AM$62,0)</f>
        <v>0</v>
      </c>
      <c r="BK60" s="23" t="n">
        <f aca="false">IF('Food Data'!$AL$63="dairy",100/'Food Data'!$AM$63,0)</f>
        <v>0</v>
      </c>
      <c r="BL60" s="23" t="n">
        <f aca="false">IF('Food Data'!$AL$64="dairy",100/'Food Data'!$AM$64,0)</f>
        <v>0</v>
      </c>
      <c r="BM60" s="23" t="n">
        <f aca="false">IF('Food Data'!$AL$65="dairy",100/'Food Data'!$AM$65,0)</f>
        <v>0</v>
      </c>
      <c r="BN60" s="23" t="n">
        <f aca="false">IF('Food Data'!$AL$66="dairy",100/'Food Data'!$AM$66,0)</f>
        <v>0</v>
      </c>
      <c r="BO60" s="23" t="n">
        <f aca="false">IF('Food Data'!$AL$67="dairy",100/'Food Data'!$AM$67,0)</f>
        <v>0</v>
      </c>
      <c r="BP60" s="23" t="n">
        <f aca="false">IF('Food Data'!$AL$68="dairy",100/'Food Data'!$AM$68,0)</f>
        <v>0</v>
      </c>
      <c r="BQ60" s="23" t="n">
        <f aca="false">IF('Food Data'!$AL$69="dairy",100/'Food Data'!$AM$69,0)</f>
        <v>0</v>
      </c>
      <c r="BR60" s="23" t="n">
        <f aca="false">IF('Food Data'!$AL$70="dairy",100/'Food Data'!$AM$70,0)</f>
        <v>0</v>
      </c>
      <c r="BS60" s="23" t="n">
        <f aca="false">IF('Food Data'!$AL$71="dairy",100/'Food Data'!$AM$71,0)</f>
        <v>0</v>
      </c>
      <c r="BT60" s="23" t="n">
        <f aca="false">IF('Food Data'!$AL$72="dairy",100/'Food Data'!$AM$72,0)</f>
        <v>0</v>
      </c>
      <c r="BU60" s="23" t="n">
        <f aca="false">IF('Food Data'!$AL$73="dairy",100/'Food Data'!$AM$73,0)</f>
        <v>0</v>
      </c>
      <c r="BV60" s="23" t="n">
        <f aca="false">IF('Food Data'!$AL$74="dairy",100/'Food Data'!$AM$74,0)</f>
        <v>0</v>
      </c>
      <c r="BW60" s="23" t="n">
        <f aca="false">IF('Food Data'!$AL$75="dairy",100/'Food Data'!$AM$75,0)</f>
        <v>0</v>
      </c>
      <c r="BX60" s="23" t="n">
        <f aca="false">IF('Food Data'!$AL$76="dairy",100/'Food Data'!$AM$76,0)</f>
        <v>0</v>
      </c>
    </row>
    <row r="61" customFormat="false" ht="15" hidden="false" customHeight="false" outlineLevel="0" collapsed="false">
      <c r="A61" s="4" t="s">
        <v>734</v>
      </c>
      <c r="B61" s="81" t="s">
        <v>732</v>
      </c>
      <c r="C61" s="82" t="n">
        <f aca="false">IF(AND((Planner!$C$60="Realistic"),$J$7&gt;0),$H$7,0)</f>
        <v>4.75</v>
      </c>
      <c r="D61" s="83" t="n">
        <v>4.75</v>
      </c>
      <c r="E61" s="81" t="str">
        <f aca="false">IF(D61&gt;=C61-0.000001*MAX(1,ABS(C61)),IF(ABS(D61-C61)&lt;=0.000001*MAX(1,ABS(C61)),"tight","ok"),"VIOLATED")</f>
        <v>tight</v>
      </c>
      <c r="F61" s="23" t="n">
        <f aca="false">IF('Food Data'!$AL$6="veg",100/'Food Data'!$AM$6,0)</f>
        <v>0</v>
      </c>
      <c r="G61" s="23" t="n">
        <f aca="false">IF('Food Data'!$AL$7="veg",100/'Food Data'!$AM$7,0)</f>
        <v>0</v>
      </c>
      <c r="H61" s="23" t="n">
        <f aca="false">IF('Food Data'!$AL$8="veg",100/'Food Data'!$AM$8,0)</f>
        <v>0</v>
      </c>
      <c r="I61" s="23" t="n">
        <f aca="false">IF('Food Data'!$AL$9="veg",100/'Food Data'!$AM$9,0)</f>
        <v>0</v>
      </c>
      <c r="J61" s="23" t="n">
        <f aca="false">IF('Food Data'!$AL$10="veg",100/'Food Data'!$AM$10,0)</f>
        <v>0</v>
      </c>
      <c r="K61" s="23" t="n">
        <f aca="false">IF('Food Data'!$AL$11="veg",100/'Food Data'!$AM$11,0)</f>
        <v>0</v>
      </c>
      <c r="L61" s="23" t="n">
        <f aca="false">IF('Food Data'!$AL$12="veg",100/'Food Data'!$AM$12,0)</f>
        <v>0</v>
      </c>
      <c r="M61" s="23" t="n">
        <f aca="false">IF('Food Data'!$AL$13="veg",100/'Food Data'!$AM$13,0)</f>
        <v>0</v>
      </c>
      <c r="N61" s="23" t="n">
        <f aca="false">IF('Food Data'!$AL$14="veg",100/'Food Data'!$AM$14,0)</f>
        <v>0</v>
      </c>
      <c r="O61" s="23" t="n">
        <f aca="false">IF('Food Data'!$AL$15="veg",100/'Food Data'!$AM$15,0)</f>
        <v>0</v>
      </c>
      <c r="P61" s="23" t="n">
        <f aca="false">IF('Food Data'!$AL$16="veg",100/'Food Data'!$AM$16,0)</f>
        <v>0</v>
      </c>
      <c r="Q61" s="23" t="n">
        <f aca="false">IF('Food Data'!$AL$17="veg",100/'Food Data'!$AM$17,0)</f>
        <v>0</v>
      </c>
      <c r="R61" s="23" t="n">
        <f aca="false">IF('Food Data'!$AL$18="veg",100/'Food Data'!$AM$18,0)</f>
        <v>0</v>
      </c>
      <c r="S61" s="23" t="n">
        <f aca="false">IF('Food Data'!$AL$19="veg",100/'Food Data'!$AM$19,0)</f>
        <v>0</v>
      </c>
      <c r="T61" s="23" t="n">
        <f aca="false">IF('Food Data'!$AL$20="veg",100/'Food Data'!$AM$20,0)</f>
        <v>0</v>
      </c>
      <c r="U61" s="23" t="n">
        <f aca="false">IF('Food Data'!$AL$21="veg",100/'Food Data'!$AM$21,0)</f>
        <v>0</v>
      </c>
      <c r="V61" s="23" t="n">
        <f aca="false">IF('Food Data'!$AL$22="veg",100/'Food Data'!$AM$22,0)</f>
        <v>0</v>
      </c>
      <c r="W61" s="23" t="n">
        <f aca="false">IF('Food Data'!$AL$23="veg",100/'Food Data'!$AM$23,0)</f>
        <v>0</v>
      </c>
      <c r="X61" s="23" t="n">
        <f aca="false">IF('Food Data'!$AL$24="veg",100/'Food Data'!$AM$24,0)</f>
        <v>0</v>
      </c>
      <c r="Y61" s="23" t="n">
        <f aca="false">IF('Food Data'!$AL$25="veg",100/'Food Data'!$AM$25,0)</f>
        <v>0</v>
      </c>
      <c r="Z61" s="23" t="n">
        <f aca="false">IF('Food Data'!$AL$26="veg",100/'Food Data'!$AM$26,0)</f>
        <v>0</v>
      </c>
      <c r="AA61" s="23" t="n">
        <f aca="false">IF('Food Data'!$AL$27="veg",100/'Food Data'!$AM$27,0)</f>
        <v>0</v>
      </c>
      <c r="AB61" s="23" t="n">
        <f aca="false">IF('Food Data'!$AL$28="veg",100/'Food Data'!$AM$28,0)</f>
        <v>0</v>
      </c>
      <c r="AC61" s="23" t="n">
        <f aca="false">IF('Food Data'!$AL$29="veg",100/'Food Data'!$AM$29,0)</f>
        <v>0</v>
      </c>
      <c r="AD61" s="23" t="n">
        <f aca="false">IF('Food Data'!$AL$30="veg",100/'Food Data'!$AM$30,0)</f>
        <v>0</v>
      </c>
      <c r="AE61" s="23" t="n">
        <f aca="false">IF('Food Data'!$AL$31="veg",100/'Food Data'!$AM$31,0)</f>
        <v>0</v>
      </c>
      <c r="AF61" s="23" t="n">
        <f aca="false">IF('Food Data'!$AL$32="veg",100/'Food Data'!$AM$32,0)</f>
        <v>0</v>
      </c>
      <c r="AG61" s="23" t="n">
        <f aca="false">IF('Food Data'!$AL$33="veg",100/'Food Data'!$AM$33,0)</f>
        <v>0</v>
      </c>
      <c r="AH61" s="23" t="n">
        <f aca="false">IF('Food Data'!$AL$34="veg",100/'Food Data'!$AM$34,0)</f>
        <v>0</v>
      </c>
      <c r="AI61" s="23" t="n">
        <f aca="false">IF('Food Data'!$AL$35="veg",100/'Food Data'!$AM$35,0)</f>
        <v>0</v>
      </c>
      <c r="AJ61" s="23" t="n">
        <f aca="false">IF('Food Data'!$AL$36="veg",100/'Food Data'!$AM$36,0)</f>
        <v>0</v>
      </c>
      <c r="AK61" s="23" t="n">
        <f aca="false">IF('Food Data'!$AL$37="veg",100/'Food Data'!$AM$37,0)</f>
        <v>0</v>
      </c>
      <c r="AL61" s="23" t="n">
        <f aca="false">IF('Food Data'!$AL$38="veg",100/'Food Data'!$AM$38,0)</f>
        <v>0</v>
      </c>
      <c r="AM61" s="23" t="n">
        <f aca="false">IF('Food Data'!$AL$39="veg",100/'Food Data'!$AM$39,0)</f>
        <v>0</v>
      </c>
      <c r="AN61" s="23" t="n">
        <f aca="false">IF('Food Data'!$AL$40="veg",100/'Food Data'!$AM$40,0)</f>
        <v>0</v>
      </c>
      <c r="AO61" s="23" t="n">
        <f aca="false">IF('Food Data'!$AL$41="veg",100/'Food Data'!$AM$41,0)</f>
        <v>0</v>
      </c>
      <c r="AP61" s="23" t="n">
        <f aca="false">IF('Food Data'!$AL$42="veg",100/'Food Data'!$AM$42,0)</f>
        <v>0</v>
      </c>
      <c r="AQ61" s="23" t="n">
        <f aca="false">IF('Food Data'!$AL$43="veg",100/'Food Data'!$AM$43,0)</f>
        <v>0</v>
      </c>
      <c r="AR61" s="23" t="n">
        <f aca="false">IF('Food Data'!$AL$44="veg",100/'Food Data'!$AM$44,0)</f>
        <v>0</v>
      </c>
      <c r="AS61" s="23" t="n">
        <f aca="false">IF('Food Data'!$AL$45="veg",100/'Food Data'!$AM$45,0)</f>
        <v>0</v>
      </c>
      <c r="AT61" s="23" t="n">
        <f aca="false">IF('Food Data'!$AL$46="veg",100/'Food Data'!$AM$46,0)</f>
        <v>0</v>
      </c>
      <c r="AU61" s="23" t="n">
        <f aca="false">IF('Food Data'!$AL$47="veg",100/'Food Data'!$AM$47,0)</f>
        <v>0</v>
      </c>
      <c r="AV61" s="23" t="n">
        <f aca="false">IF('Food Data'!$AL$48="veg",100/'Food Data'!$AM$48,0)</f>
        <v>0.578034682080925</v>
      </c>
      <c r="AW61" s="23" t="n">
        <f aca="false">IF('Food Data'!$AL$49="veg",100/'Food Data'!$AM$49,0)</f>
        <v>0.5</v>
      </c>
      <c r="AX61" s="23" t="n">
        <f aca="false">IF('Food Data'!$AL$50="veg",100/'Food Data'!$AM$50,0)</f>
        <v>0.606060606060606</v>
      </c>
      <c r="AY61" s="23" t="n">
        <f aca="false">IF('Food Data'!$AL$51="veg",100/'Food Data'!$AM$51,0)</f>
        <v>0</v>
      </c>
      <c r="AZ61" s="23" t="n">
        <f aca="false">IF('Food Data'!$AL$52="veg",100/'Food Data'!$AM$52,0)</f>
        <v>0</v>
      </c>
      <c r="BA61" s="23" t="n">
        <f aca="false">IF('Food Data'!$AL$53="veg",100/'Food Data'!$AM$53,0)</f>
        <v>0</v>
      </c>
      <c r="BB61" s="23" t="n">
        <f aca="false">IF('Food Data'!$AL$54="veg",100/'Food Data'!$AM$54,0)</f>
        <v>0</v>
      </c>
      <c r="BC61" s="23" t="n">
        <f aca="false">IF('Food Data'!$AL$55="veg",100/'Food Data'!$AM$55,0)</f>
        <v>0</v>
      </c>
      <c r="BD61" s="23" t="n">
        <f aca="false">IF('Food Data'!$AL$56="veg",100/'Food Data'!$AM$56,0)</f>
        <v>0</v>
      </c>
      <c r="BE61" s="23" t="n">
        <f aca="false">IF('Food Data'!$AL$57="veg",100/'Food Data'!$AM$57,0)</f>
        <v>0</v>
      </c>
      <c r="BF61" s="23" t="n">
        <f aca="false">IF('Food Data'!$AL$58="veg",100/'Food Data'!$AM$58,0)</f>
        <v>0</v>
      </c>
      <c r="BG61" s="23" t="n">
        <f aca="false">IF('Food Data'!$AL$59="veg",100/'Food Data'!$AM$59,0)</f>
        <v>0.543478260869565</v>
      </c>
      <c r="BH61" s="23" t="n">
        <f aca="false">IF('Food Data'!$AL$60="veg",100/'Food Data'!$AM$60,0)</f>
        <v>0.78125</v>
      </c>
      <c r="BI61" s="23" t="n">
        <f aca="false">IF('Food Data'!$AL$61="veg",100/'Food Data'!$AM$61,0)</f>
        <v>0.740740740740741</v>
      </c>
      <c r="BJ61" s="23" t="n">
        <f aca="false">IF('Food Data'!$AL$62="veg",100/'Food Data'!$AM$62,0)</f>
        <v>0.671140939597316</v>
      </c>
      <c r="BK61" s="23" t="n">
        <f aca="false">IF('Food Data'!$AL$63="veg",100/'Food Data'!$AM$63,0)</f>
        <v>0.54945054945055</v>
      </c>
      <c r="BL61" s="23" t="n">
        <f aca="false">IF('Food Data'!$AL$64="veg",100/'Food Data'!$AM$64,0)</f>
        <v>0.625</v>
      </c>
      <c r="BM61" s="23" t="n">
        <f aca="false">IF('Food Data'!$AL$65="veg",100/'Food Data'!$AM$65,0)</f>
        <v>1.06382978723404</v>
      </c>
      <c r="BN61" s="23" t="n">
        <f aca="false">IF('Food Data'!$AL$66="veg",100/'Food Data'!$AM$66,0)</f>
        <v>1.66666666666667</v>
      </c>
      <c r="BO61" s="23" t="n">
        <f aca="false">IF('Food Data'!$AL$67="veg",100/'Food Data'!$AM$67,0)</f>
        <v>0.555555555555556</v>
      </c>
      <c r="BP61" s="23" t="n">
        <f aca="false">IF('Food Data'!$AL$68="veg",100/'Food Data'!$AM$68,0)</f>
        <v>0</v>
      </c>
      <c r="BQ61" s="23" t="n">
        <f aca="false">IF('Food Data'!$AL$69="veg",100/'Food Data'!$AM$69,0)</f>
        <v>0</v>
      </c>
      <c r="BR61" s="23" t="n">
        <f aca="false">IF('Food Data'!$AL$70="veg",100/'Food Data'!$AM$70,0)</f>
        <v>0</v>
      </c>
      <c r="BS61" s="23" t="n">
        <f aca="false">IF('Food Data'!$AL$71="veg",100/'Food Data'!$AM$71,0)</f>
        <v>0</v>
      </c>
      <c r="BT61" s="23" t="n">
        <f aca="false">IF('Food Data'!$AL$72="veg",100/'Food Data'!$AM$72,0)</f>
        <v>0</v>
      </c>
      <c r="BU61" s="23" t="n">
        <f aca="false">IF('Food Data'!$AL$73="veg",100/'Food Data'!$AM$73,0)</f>
        <v>0</v>
      </c>
      <c r="BV61" s="23" t="n">
        <f aca="false">IF('Food Data'!$AL$74="veg",100/'Food Data'!$AM$74,0)</f>
        <v>0</v>
      </c>
      <c r="BW61" s="23" t="n">
        <f aca="false">IF('Food Data'!$AL$75="veg",100/'Food Data'!$AM$75,0)</f>
        <v>0</v>
      </c>
      <c r="BX61" s="23" t="n">
        <f aca="false">IF('Food Data'!$AL$76="veg",100/'Food Data'!$AM$76,0)</f>
        <v>0</v>
      </c>
    </row>
    <row r="62" customFormat="false" ht="15" hidden="false" customHeight="false" outlineLevel="0" collapsed="false">
      <c r="A62" s="4" t="s">
        <v>735</v>
      </c>
      <c r="B62" s="81" t="s">
        <v>732</v>
      </c>
      <c r="C62" s="82" t="n">
        <f aca="false">IF(AND((Planner!$C$60="Realistic"),$J$8&gt;0),$H$8,0)</f>
        <v>2.5</v>
      </c>
      <c r="D62" s="83" t="n">
        <v>2.49999999958554</v>
      </c>
      <c r="E62" s="81" t="str">
        <f aca="false">IF(D62&gt;=C62-0.000001*MAX(1,ABS(C62)),IF(ABS(D62-C62)&lt;=0.000001*MAX(1,ABS(C62)),"tight","ok"),"VIOLATED")</f>
        <v>tight</v>
      </c>
      <c r="F62" s="23" t="n">
        <f aca="false">IF('Food Data'!$AL$6="fruit",100/'Food Data'!$AM$6,0)</f>
        <v>0</v>
      </c>
      <c r="G62" s="23" t="n">
        <f aca="false">IF('Food Data'!$AL$7="fruit",100/'Food Data'!$AM$7,0)</f>
        <v>0</v>
      </c>
      <c r="H62" s="23" t="n">
        <f aca="false">IF('Food Data'!$AL$8="fruit",100/'Food Data'!$AM$8,0)</f>
        <v>0</v>
      </c>
      <c r="I62" s="23" t="n">
        <f aca="false">IF('Food Data'!$AL$9="fruit",100/'Food Data'!$AM$9,0)</f>
        <v>0</v>
      </c>
      <c r="J62" s="23" t="n">
        <f aca="false">IF('Food Data'!$AL$10="fruit",100/'Food Data'!$AM$10,0)</f>
        <v>0</v>
      </c>
      <c r="K62" s="23" t="n">
        <f aca="false">IF('Food Data'!$AL$11="fruit",100/'Food Data'!$AM$11,0)</f>
        <v>0</v>
      </c>
      <c r="L62" s="23" t="n">
        <f aca="false">IF('Food Data'!$AL$12="fruit",100/'Food Data'!$AM$12,0)</f>
        <v>0</v>
      </c>
      <c r="M62" s="23" t="n">
        <f aca="false">IF('Food Data'!$AL$13="fruit",100/'Food Data'!$AM$13,0)</f>
        <v>0</v>
      </c>
      <c r="N62" s="23" t="n">
        <f aca="false">IF('Food Data'!$AL$14="fruit",100/'Food Data'!$AM$14,0)</f>
        <v>0</v>
      </c>
      <c r="O62" s="23" t="n">
        <f aca="false">IF('Food Data'!$AL$15="fruit",100/'Food Data'!$AM$15,0)</f>
        <v>0</v>
      </c>
      <c r="P62" s="23" t="n">
        <f aca="false">IF('Food Data'!$AL$16="fruit",100/'Food Data'!$AM$16,0)</f>
        <v>0</v>
      </c>
      <c r="Q62" s="23" t="n">
        <f aca="false">IF('Food Data'!$AL$17="fruit",100/'Food Data'!$AM$17,0)</f>
        <v>0</v>
      </c>
      <c r="R62" s="23" t="n">
        <f aca="false">IF('Food Data'!$AL$18="fruit",100/'Food Data'!$AM$18,0)</f>
        <v>0</v>
      </c>
      <c r="S62" s="23" t="n">
        <f aca="false">IF('Food Data'!$AL$19="fruit",100/'Food Data'!$AM$19,0)</f>
        <v>0</v>
      </c>
      <c r="T62" s="23" t="n">
        <f aca="false">IF('Food Data'!$AL$20="fruit",100/'Food Data'!$AM$20,0)</f>
        <v>0</v>
      </c>
      <c r="U62" s="23" t="n">
        <f aca="false">IF('Food Data'!$AL$21="fruit",100/'Food Data'!$AM$21,0)</f>
        <v>0</v>
      </c>
      <c r="V62" s="23" t="n">
        <f aca="false">IF('Food Data'!$AL$22="fruit",100/'Food Data'!$AM$22,0)</f>
        <v>0</v>
      </c>
      <c r="W62" s="23" t="n">
        <f aca="false">IF('Food Data'!$AL$23="fruit",100/'Food Data'!$AM$23,0)</f>
        <v>0</v>
      </c>
      <c r="X62" s="23" t="n">
        <f aca="false">IF('Food Data'!$AL$24="fruit",100/'Food Data'!$AM$24,0)</f>
        <v>0</v>
      </c>
      <c r="Y62" s="23" t="n">
        <f aca="false">IF('Food Data'!$AL$25="fruit",100/'Food Data'!$AM$25,0)</f>
        <v>0</v>
      </c>
      <c r="Z62" s="23" t="n">
        <f aca="false">IF('Food Data'!$AL$26="fruit",100/'Food Data'!$AM$26,0)</f>
        <v>0</v>
      </c>
      <c r="AA62" s="23" t="n">
        <f aca="false">IF('Food Data'!$AL$27="fruit",100/'Food Data'!$AM$27,0)</f>
        <v>0</v>
      </c>
      <c r="AB62" s="23" t="n">
        <f aca="false">IF('Food Data'!$AL$28="fruit",100/'Food Data'!$AM$28,0)</f>
        <v>0</v>
      </c>
      <c r="AC62" s="23" t="n">
        <f aca="false">IF('Food Data'!$AL$29="fruit",100/'Food Data'!$AM$29,0)</f>
        <v>0</v>
      </c>
      <c r="AD62" s="23" t="n">
        <f aca="false">IF('Food Data'!$AL$30="fruit",100/'Food Data'!$AM$30,0)</f>
        <v>0</v>
      </c>
      <c r="AE62" s="23" t="n">
        <f aca="false">IF('Food Data'!$AL$31="fruit",100/'Food Data'!$AM$31,0)</f>
        <v>0</v>
      </c>
      <c r="AF62" s="23" t="n">
        <f aca="false">IF('Food Data'!$AL$32="fruit",100/'Food Data'!$AM$32,0)</f>
        <v>0</v>
      </c>
      <c r="AG62" s="23" t="n">
        <f aca="false">IF('Food Data'!$AL$33="fruit",100/'Food Data'!$AM$33,0)</f>
        <v>0</v>
      </c>
      <c r="AH62" s="23" t="n">
        <f aca="false">IF('Food Data'!$AL$34="fruit",100/'Food Data'!$AM$34,0)</f>
        <v>0</v>
      </c>
      <c r="AI62" s="23" t="n">
        <f aca="false">IF('Food Data'!$AL$35="fruit",100/'Food Data'!$AM$35,0)</f>
        <v>0</v>
      </c>
      <c r="AJ62" s="23" t="n">
        <f aca="false">IF('Food Data'!$AL$36="fruit",100/'Food Data'!$AM$36,0)</f>
        <v>0</v>
      </c>
      <c r="AK62" s="23" t="n">
        <f aca="false">IF('Food Data'!$AL$37="fruit",100/'Food Data'!$AM$37,0)</f>
        <v>0</v>
      </c>
      <c r="AL62" s="23" t="n">
        <f aca="false">IF('Food Data'!$AL$38="fruit",100/'Food Data'!$AM$38,0)</f>
        <v>0</v>
      </c>
      <c r="AM62" s="23" t="n">
        <f aca="false">IF('Food Data'!$AL$39="fruit",100/'Food Data'!$AM$39,0)</f>
        <v>0</v>
      </c>
      <c r="AN62" s="23" t="n">
        <f aca="false">IF('Food Data'!$AL$40="fruit",100/'Food Data'!$AM$40,0)</f>
        <v>0</v>
      </c>
      <c r="AO62" s="23" t="n">
        <f aca="false">IF('Food Data'!$AL$41="fruit",100/'Food Data'!$AM$41,0)</f>
        <v>0</v>
      </c>
      <c r="AP62" s="23" t="n">
        <f aca="false">IF('Food Data'!$AL$42="fruit",100/'Food Data'!$AM$42,0)</f>
        <v>0</v>
      </c>
      <c r="AQ62" s="23" t="n">
        <f aca="false">IF('Food Data'!$AL$43="fruit",100/'Food Data'!$AM$43,0)</f>
        <v>0</v>
      </c>
      <c r="AR62" s="23" t="n">
        <f aca="false">IF('Food Data'!$AL$44="fruit",100/'Food Data'!$AM$44,0)</f>
        <v>0</v>
      </c>
      <c r="AS62" s="23" t="n">
        <f aca="false">IF('Food Data'!$AL$45="fruit",100/'Food Data'!$AM$45,0)</f>
        <v>0</v>
      </c>
      <c r="AT62" s="23" t="n">
        <f aca="false">IF('Food Data'!$AL$46="fruit",100/'Food Data'!$AM$46,0)</f>
        <v>0</v>
      </c>
      <c r="AU62" s="23" t="n">
        <f aca="false">IF('Food Data'!$AL$47="fruit",100/'Food Data'!$AM$47,0)</f>
        <v>0</v>
      </c>
      <c r="AV62" s="23" t="n">
        <f aca="false">IF('Food Data'!$AL$48="fruit",100/'Food Data'!$AM$48,0)</f>
        <v>0</v>
      </c>
      <c r="AW62" s="23" t="n">
        <f aca="false">IF('Food Data'!$AL$49="fruit",100/'Food Data'!$AM$49,0)</f>
        <v>0</v>
      </c>
      <c r="AX62" s="23" t="n">
        <f aca="false">IF('Food Data'!$AL$50="fruit",100/'Food Data'!$AM$50,0)</f>
        <v>0</v>
      </c>
      <c r="AY62" s="23" t="n">
        <f aca="false">IF('Food Data'!$AL$51="fruit",100/'Food Data'!$AM$51,0)</f>
        <v>0.8</v>
      </c>
      <c r="AZ62" s="23" t="n">
        <f aca="false">IF('Food Data'!$AL$52="fruit",100/'Food Data'!$AM$52,0)</f>
        <v>0.847457627118644</v>
      </c>
      <c r="BA62" s="23" t="n">
        <f aca="false">IF('Food Data'!$AL$53="fruit",100/'Food Data'!$AM$53,0)</f>
        <v>0.645161290322581</v>
      </c>
      <c r="BB62" s="23" t="n">
        <f aca="false">IF('Food Data'!$AL$54="fruit",100/'Food Data'!$AM$54,0)</f>
        <v>0.662251655629139</v>
      </c>
      <c r="BC62" s="23" t="n">
        <f aca="false">IF('Food Data'!$AL$55="fruit",100/'Food Data'!$AM$55,0)</f>
        <v>0.401606425702811</v>
      </c>
      <c r="BD62" s="23" t="n">
        <f aca="false">IF('Food Data'!$AL$56="fruit",100/'Food Data'!$AM$56,0)</f>
        <v>0.714285714285714</v>
      </c>
      <c r="BE62" s="23" t="n">
        <f aca="false">IF('Food Data'!$AL$57="fruit",100/'Food Data'!$AM$57,0)</f>
        <v>1.21951219512195</v>
      </c>
      <c r="BF62" s="23" t="n">
        <f aca="false">IF('Food Data'!$AL$58="fruit",100/'Food Data'!$AM$58,0)</f>
        <v>0.657894736842105</v>
      </c>
      <c r="BG62" s="23" t="n">
        <f aca="false">IF('Food Data'!$AL$59="fruit",100/'Food Data'!$AM$59,0)</f>
        <v>0</v>
      </c>
      <c r="BH62" s="23" t="n">
        <f aca="false">IF('Food Data'!$AL$60="fruit",100/'Food Data'!$AM$60,0)</f>
        <v>0</v>
      </c>
      <c r="BI62" s="23" t="n">
        <f aca="false">IF('Food Data'!$AL$61="fruit",100/'Food Data'!$AM$61,0)</f>
        <v>0</v>
      </c>
      <c r="BJ62" s="23" t="n">
        <f aca="false">IF('Food Data'!$AL$62="fruit",100/'Food Data'!$AM$62,0)</f>
        <v>0</v>
      </c>
      <c r="BK62" s="23" t="n">
        <f aca="false">IF('Food Data'!$AL$63="fruit",100/'Food Data'!$AM$63,0)</f>
        <v>0</v>
      </c>
      <c r="BL62" s="23" t="n">
        <f aca="false">IF('Food Data'!$AL$64="fruit",100/'Food Data'!$AM$64,0)</f>
        <v>0</v>
      </c>
      <c r="BM62" s="23" t="n">
        <f aca="false">IF('Food Data'!$AL$65="fruit",100/'Food Data'!$AM$65,0)</f>
        <v>0</v>
      </c>
      <c r="BN62" s="23" t="n">
        <f aca="false">IF('Food Data'!$AL$66="fruit",100/'Food Data'!$AM$66,0)</f>
        <v>0</v>
      </c>
      <c r="BO62" s="23" t="n">
        <f aca="false">IF('Food Data'!$AL$67="fruit",100/'Food Data'!$AM$67,0)</f>
        <v>0</v>
      </c>
      <c r="BP62" s="23" t="n">
        <f aca="false">IF('Food Data'!$AL$68="fruit",100/'Food Data'!$AM$68,0)</f>
        <v>0</v>
      </c>
      <c r="BQ62" s="23" t="n">
        <f aca="false">IF('Food Data'!$AL$69="fruit",100/'Food Data'!$AM$69,0)</f>
        <v>0</v>
      </c>
      <c r="BR62" s="23" t="n">
        <f aca="false">IF('Food Data'!$AL$70="fruit",100/'Food Data'!$AM$70,0)</f>
        <v>0</v>
      </c>
      <c r="BS62" s="23" t="n">
        <f aca="false">IF('Food Data'!$AL$71="fruit",100/'Food Data'!$AM$71,0)</f>
        <v>0</v>
      </c>
      <c r="BT62" s="23" t="n">
        <f aca="false">IF('Food Data'!$AL$72="fruit",100/'Food Data'!$AM$72,0)</f>
        <v>0</v>
      </c>
      <c r="BU62" s="23" t="n">
        <f aca="false">IF('Food Data'!$AL$73="fruit",100/'Food Data'!$AM$73,0)</f>
        <v>0</v>
      </c>
      <c r="BV62" s="23" t="n">
        <f aca="false">IF('Food Data'!$AL$74="fruit",100/'Food Data'!$AM$74,0)</f>
        <v>0</v>
      </c>
      <c r="BW62" s="23" t="n">
        <f aca="false">IF('Food Data'!$AL$75="fruit",100/'Food Data'!$AM$75,0)</f>
        <v>0</v>
      </c>
      <c r="BX62" s="23" t="n">
        <f aca="false">IF('Food Data'!$AL$76="fruit",100/'Food Data'!$AM$76,0)</f>
        <v>0</v>
      </c>
    </row>
    <row r="63" customFormat="false" ht="15" hidden="false" customHeight="false" outlineLevel="0" collapsed="false">
      <c r="A63" s="4" t="s">
        <v>736</v>
      </c>
      <c r="B63" s="81" t="s">
        <v>732</v>
      </c>
      <c r="C63" s="82" t="n">
        <f aca="false">IF(AND((Planner!$C$60="Realistic"),$J$9&gt;0),$H$9,0)</f>
        <v>3.25</v>
      </c>
      <c r="D63" s="83" t="n">
        <v>5.95055954257426</v>
      </c>
      <c r="E63" s="81" t="str">
        <f aca="false">IF(D63&gt;=C63-0.000001*MAX(1,ABS(C63)),IF(ABS(D63-C63)&lt;=0.000001*MAX(1,ABS(C63)),"tight","ok"),"VIOLATED")</f>
        <v>ok</v>
      </c>
      <c r="F63" s="23" t="n">
        <f aca="false">IF('Food Data'!$AL$6="wgrain",100/'Food Data'!$AM$6,0)</f>
        <v>0</v>
      </c>
      <c r="G63" s="23" t="n">
        <f aca="false">IF('Food Data'!$AL$7="wgrain",100/'Food Data'!$AM$7,0)</f>
        <v>0</v>
      </c>
      <c r="H63" s="23" t="n">
        <f aca="false">IF('Food Data'!$AL$8="wgrain",100/'Food Data'!$AM$8,0)</f>
        <v>0</v>
      </c>
      <c r="I63" s="23" t="n">
        <f aca="false">IF('Food Data'!$AL$9="wgrain",100/'Food Data'!$AM$9,0)</f>
        <v>0</v>
      </c>
      <c r="J63" s="23" t="n">
        <f aca="false">IF('Food Data'!$AL$10="wgrain",100/'Food Data'!$AM$10,0)</f>
        <v>0</v>
      </c>
      <c r="K63" s="23" t="n">
        <f aca="false">IF('Food Data'!$AL$11="wgrain",100/'Food Data'!$AM$11,0)</f>
        <v>0</v>
      </c>
      <c r="L63" s="23" t="n">
        <f aca="false">IF('Food Data'!$AL$12="wgrain",100/'Food Data'!$AM$12,0)</f>
        <v>0</v>
      </c>
      <c r="M63" s="23" t="n">
        <f aca="false">IF('Food Data'!$AL$13="wgrain",100/'Food Data'!$AM$13,0)</f>
        <v>0</v>
      </c>
      <c r="N63" s="23" t="n">
        <f aca="false">IF('Food Data'!$AL$14="wgrain",100/'Food Data'!$AM$14,0)</f>
        <v>0</v>
      </c>
      <c r="O63" s="23" t="n">
        <f aca="false">IF('Food Data'!$AL$15="wgrain",100/'Food Data'!$AM$15,0)</f>
        <v>0</v>
      </c>
      <c r="P63" s="23" t="n">
        <f aca="false">IF('Food Data'!$AL$16="wgrain",100/'Food Data'!$AM$16,0)</f>
        <v>0</v>
      </c>
      <c r="Q63" s="23" t="n">
        <f aca="false">IF('Food Data'!$AL$17="wgrain",100/'Food Data'!$AM$17,0)</f>
        <v>0</v>
      </c>
      <c r="R63" s="23" t="n">
        <f aca="false">IF('Food Data'!$AL$18="wgrain",100/'Food Data'!$AM$18,0)</f>
        <v>0</v>
      </c>
      <c r="S63" s="23" t="n">
        <f aca="false">IF('Food Data'!$AL$19="wgrain",100/'Food Data'!$AM$19,0)</f>
        <v>0</v>
      </c>
      <c r="T63" s="23" t="n">
        <f aca="false">IF('Food Data'!$AL$20="wgrain",100/'Food Data'!$AM$20,0)</f>
        <v>0</v>
      </c>
      <c r="U63" s="23" t="n">
        <f aca="false">IF('Food Data'!$AL$21="wgrain",100/'Food Data'!$AM$21,0)</f>
        <v>0</v>
      </c>
      <c r="V63" s="23" t="n">
        <f aca="false">IF('Food Data'!$AL$22="wgrain",100/'Food Data'!$AM$22,0)</f>
        <v>0</v>
      </c>
      <c r="W63" s="23" t="n">
        <f aca="false">IF('Food Data'!$AL$23="wgrain",100/'Food Data'!$AM$23,0)</f>
        <v>0</v>
      </c>
      <c r="X63" s="23" t="n">
        <f aca="false">IF('Food Data'!$AL$24="wgrain",100/'Food Data'!$AM$24,0)</f>
        <v>0</v>
      </c>
      <c r="Y63" s="23" t="n">
        <f aca="false">IF('Food Data'!$AL$25="wgrain",100/'Food Data'!$AM$25,0)</f>
        <v>0</v>
      </c>
      <c r="Z63" s="23" t="n">
        <f aca="false">IF('Food Data'!$AL$26="wgrain",100/'Food Data'!$AM$26,0)</f>
        <v>0</v>
      </c>
      <c r="AA63" s="23" t="n">
        <f aca="false">IF('Food Data'!$AL$27="wgrain",100/'Food Data'!$AM$27,0)</f>
        <v>0</v>
      </c>
      <c r="AB63" s="23" t="n">
        <f aca="false">IF('Food Data'!$AL$28="wgrain",100/'Food Data'!$AM$28,0)</f>
        <v>0</v>
      </c>
      <c r="AC63" s="23" t="n">
        <f aca="false">IF('Food Data'!$AL$29="wgrain",100/'Food Data'!$AM$29,0)</f>
        <v>0</v>
      </c>
      <c r="AD63" s="23" t="n">
        <f aca="false">IF('Food Data'!$AL$30="wgrain",100/'Food Data'!$AM$30,0)</f>
        <v>0</v>
      </c>
      <c r="AE63" s="23" t="n">
        <f aca="false">IF('Food Data'!$AL$31="wgrain",100/'Food Data'!$AM$31,0)</f>
        <v>0</v>
      </c>
      <c r="AF63" s="23" t="n">
        <f aca="false">IF('Food Data'!$AL$32="wgrain",100/'Food Data'!$AM$32,0)</f>
        <v>0</v>
      </c>
      <c r="AG63" s="23" t="n">
        <f aca="false">IF('Food Data'!$AL$33="wgrain",100/'Food Data'!$AM$33,0)</f>
        <v>0</v>
      </c>
      <c r="AH63" s="23" t="n">
        <f aca="false">IF('Food Data'!$AL$34="wgrain",100/'Food Data'!$AM$34,0)</f>
        <v>0</v>
      </c>
      <c r="AI63" s="23" t="n">
        <f aca="false">IF('Food Data'!$AL$35="wgrain",100/'Food Data'!$AM$35,0)</f>
        <v>0</v>
      </c>
      <c r="AJ63" s="23" t="n">
        <f aca="false">IF('Food Data'!$AL$36="wgrain",100/'Food Data'!$AM$36,0)</f>
        <v>0</v>
      </c>
      <c r="AK63" s="23" t="n">
        <f aca="false">IF('Food Data'!$AL$37="wgrain",100/'Food Data'!$AM$37,0)</f>
        <v>0.99009900990099</v>
      </c>
      <c r="AL63" s="23" t="n">
        <f aca="false">IF('Food Data'!$AL$38="wgrain",100/'Food Data'!$AM$38,0)</f>
        <v>3.57142857142857</v>
      </c>
      <c r="AM63" s="23" t="n">
        <f aca="false">IF('Food Data'!$AL$39="wgrain",100/'Food Data'!$AM$39,0)</f>
        <v>0</v>
      </c>
      <c r="AN63" s="23" t="n">
        <f aca="false">IF('Food Data'!$AL$40="wgrain",100/'Food Data'!$AM$40,0)</f>
        <v>0</v>
      </c>
      <c r="AO63" s="23" t="n">
        <f aca="false">IF('Food Data'!$AL$41="wgrain",100/'Food Data'!$AM$41,0)</f>
        <v>0.854700854700855</v>
      </c>
      <c r="AP63" s="23" t="n">
        <f aca="false">IF('Food Data'!$AL$42="wgrain",100/'Food Data'!$AM$42,0)</f>
        <v>1.08108108108108</v>
      </c>
      <c r="AQ63" s="23" t="n">
        <f aca="false">IF('Food Data'!$AL$43="wgrain",100/'Food Data'!$AM$43,0)</f>
        <v>0</v>
      </c>
      <c r="AR63" s="23" t="n">
        <f aca="false">IF('Food Data'!$AL$44="wgrain",100/'Food Data'!$AM$44,0)</f>
        <v>0</v>
      </c>
      <c r="AS63" s="23" t="n">
        <f aca="false">IF('Food Data'!$AL$45="wgrain",100/'Food Data'!$AM$45,0)</f>
        <v>0</v>
      </c>
      <c r="AT63" s="23" t="n">
        <f aca="false">IF('Food Data'!$AL$46="wgrain",100/'Food Data'!$AM$46,0)</f>
        <v>3.125</v>
      </c>
      <c r="AU63" s="23" t="n">
        <f aca="false">IF('Food Data'!$AL$47="wgrain",100/'Food Data'!$AM$47,0)</f>
        <v>1.70940170940171</v>
      </c>
      <c r="AV63" s="23" t="n">
        <f aca="false">IF('Food Data'!$AL$48="wgrain",100/'Food Data'!$AM$48,0)</f>
        <v>0</v>
      </c>
      <c r="AW63" s="23" t="n">
        <f aca="false">IF('Food Data'!$AL$49="wgrain",100/'Food Data'!$AM$49,0)</f>
        <v>0</v>
      </c>
      <c r="AX63" s="23" t="n">
        <f aca="false">IF('Food Data'!$AL$50="wgrain",100/'Food Data'!$AM$50,0)</f>
        <v>0</v>
      </c>
      <c r="AY63" s="23" t="n">
        <f aca="false">IF('Food Data'!$AL$51="wgrain",100/'Food Data'!$AM$51,0)</f>
        <v>0</v>
      </c>
      <c r="AZ63" s="23" t="n">
        <f aca="false">IF('Food Data'!$AL$52="wgrain",100/'Food Data'!$AM$52,0)</f>
        <v>0</v>
      </c>
      <c r="BA63" s="23" t="n">
        <f aca="false">IF('Food Data'!$AL$53="wgrain",100/'Food Data'!$AM$53,0)</f>
        <v>0</v>
      </c>
      <c r="BB63" s="23" t="n">
        <f aca="false">IF('Food Data'!$AL$54="wgrain",100/'Food Data'!$AM$54,0)</f>
        <v>0</v>
      </c>
      <c r="BC63" s="23" t="n">
        <f aca="false">IF('Food Data'!$AL$55="wgrain",100/'Food Data'!$AM$55,0)</f>
        <v>0</v>
      </c>
      <c r="BD63" s="23" t="n">
        <f aca="false">IF('Food Data'!$AL$56="wgrain",100/'Food Data'!$AM$56,0)</f>
        <v>0</v>
      </c>
      <c r="BE63" s="23" t="n">
        <f aca="false">IF('Food Data'!$AL$57="wgrain",100/'Food Data'!$AM$57,0)</f>
        <v>0</v>
      </c>
      <c r="BF63" s="23" t="n">
        <f aca="false">IF('Food Data'!$AL$58="wgrain",100/'Food Data'!$AM$58,0)</f>
        <v>0</v>
      </c>
      <c r="BG63" s="23" t="n">
        <f aca="false">IF('Food Data'!$AL$59="wgrain",100/'Food Data'!$AM$59,0)</f>
        <v>0</v>
      </c>
      <c r="BH63" s="23" t="n">
        <f aca="false">IF('Food Data'!$AL$60="wgrain",100/'Food Data'!$AM$60,0)</f>
        <v>0</v>
      </c>
      <c r="BI63" s="23" t="n">
        <f aca="false">IF('Food Data'!$AL$61="wgrain",100/'Food Data'!$AM$61,0)</f>
        <v>0</v>
      </c>
      <c r="BJ63" s="23" t="n">
        <f aca="false">IF('Food Data'!$AL$62="wgrain",100/'Food Data'!$AM$62,0)</f>
        <v>0</v>
      </c>
      <c r="BK63" s="23" t="n">
        <f aca="false">IF('Food Data'!$AL$63="wgrain",100/'Food Data'!$AM$63,0)</f>
        <v>0</v>
      </c>
      <c r="BL63" s="23" t="n">
        <f aca="false">IF('Food Data'!$AL$64="wgrain",100/'Food Data'!$AM$64,0)</f>
        <v>0</v>
      </c>
      <c r="BM63" s="23" t="n">
        <f aca="false">IF('Food Data'!$AL$65="wgrain",100/'Food Data'!$AM$65,0)</f>
        <v>0</v>
      </c>
      <c r="BN63" s="23" t="n">
        <f aca="false">IF('Food Data'!$AL$66="wgrain",100/'Food Data'!$AM$66,0)</f>
        <v>0</v>
      </c>
      <c r="BO63" s="23" t="n">
        <f aca="false">IF('Food Data'!$AL$67="wgrain",100/'Food Data'!$AM$67,0)</f>
        <v>0</v>
      </c>
      <c r="BP63" s="23" t="n">
        <f aca="false">IF('Food Data'!$AL$68="wgrain",100/'Food Data'!$AM$68,0)</f>
        <v>0</v>
      </c>
      <c r="BQ63" s="23" t="n">
        <f aca="false">IF('Food Data'!$AL$69="wgrain",100/'Food Data'!$AM$69,0)</f>
        <v>0</v>
      </c>
      <c r="BR63" s="23" t="n">
        <f aca="false">IF('Food Data'!$AL$70="wgrain",100/'Food Data'!$AM$70,0)</f>
        <v>0</v>
      </c>
      <c r="BS63" s="23" t="n">
        <f aca="false">IF('Food Data'!$AL$71="wgrain",100/'Food Data'!$AM$71,0)</f>
        <v>0</v>
      </c>
      <c r="BT63" s="23" t="n">
        <f aca="false">IF('Food Data'!$AL$72="wgrain",100/'Food Data'!$AM$72,0)</f>
        <v>0</v>
      </c>
      <c r="BU63" s="23" t="n">
        <f aca="false">IF('Food Data'!$AL$73="wgrain",100/'Food Data'!$AM$73,0)</f>
        <v>0</v>
      </c>
      <c r="BV63" s="23" t="n">
        <f aca="false">IF('Food Data'!$AL$74="wgrain",100/'Food Data'!$AM$74,0)</f>
        <v>0</v>
      </c>
      <c r="BW63" s="23" t="n">
        <f aca="false">IF('Food Data'!$AL$75="wgrain",100/'Food Data'!$AM$75,0)</f>
        <v>0</v>
      </c>
      <c r="BX63" s="23" t="n">
        <f aca="false">IF('Food Data'!$AL$76="wgrain",100/'Food Data'!$AM$76,0)</f>
        <v>0</v>
      </c>
    </row>
    <row r="64" customFormat="false" ht="15" hidden="false" customHeight="false" outlineLevel="0" collapsed="false">
      <c r="A64" s="4" t="s">
        <v>737</v>
      </c>
      <c r="B64" s="81" t="s">
        <v>732</v>
      </c>
      <c r="C64" s="82" t="n">
        <f aca="false">IF(AND((Planner!$C$60="Realistic"),$J$10&gt;0),$H$10,0)</f>
        <v>7</v>
      </c>
      <c r="D64" s="83" t="n">
        <v>7</v>
      </c>
      <c r="E64" s="81" t="str">
        <f aca="false">IF(D64&gt;=C64-0.000001*MAX(1,ABS(C64)),IF(ABS(D64-C64)&lt;=0.000001*MAX(1,ABS(C64)),"tight","ok"),"VIOLATED")</f>
        <v>tight</v>
      </c>
      <c r="F64" s="23" t="n">
        <f aca="false">IF('Food Data'!$AL$6="fat",100/'Food Data'!$AM$6,0)</f>
        <v>0</v>
      </c>
      <c r="G64" s="23" t="n">
        <f aca="false">IF('Food Data'!$AL$7="fat",100/'Food Data'!$AM$7,0)</f>
        <v>0</v>
      </c>
      <c r="H64" s="23" t="n">
        <f aca="false">IF('Food Data'!$AL$8="fat",100/'Food Data'!$AM$8,0)</f>
        <v>0</v>
      </c>
      <c r="I64" s="23" t="n">
        <f aca="false">IF('Food Data'!$AL$9="fat",100/'Food Data'!$AM$9,0)</f>
        <v>0</v>
      </c>
      <c r="J64" s="23" t="n">
        <f aca="false">IF('Food Data'!$AL$10="fat",100/'Food Data'!$AM$10,0)</f>
        <v>0</v>
      </c>
      <c r="K64" s="23" t="n">
        <f aca="false">IF('Food Data'!$AL$11="fat",100/'Food Data'!$AM$11,0)</f>
        <v>0</v>
      </c>
      <c r="L64" s="23" t="n">
        <f aca="false">IF('Food Data'!$AL$12="fat",100/'Food Data'!$AM$12,0)</f>
        <v>0</v>
      </c>
      <c r="M64" s="23" t="n">
        <f aca="false">IF('Food Data'!$AL$13="fat",100/'Food Data'!$AM$13,0)</f>
        <v>0</v>
      </c>
      <c r="N64" s="23" t="n">
        <f aca="false">IF('Food Data'!$AL$14="fat",100/'Food Data'!$AM$14,0)</f>
        <v>0</v>
      </c>
      <c r="O64" s="23" t="n">
        <f aca="false">IF('Food Data'!$AL$15="fat",100/'Food Data'!$AM$15,0)</f>
        <v>0</v>
      </c>
      <c r="P64" s="23" t="n">
        <f aca="false">IF('Food Data'!$AL$16="fat",100/'Food Data'!$AM$16,0)</f>
        <v>0</v>
      </c>
      <c r="Q64" s="23" t="n">
        <f aca="false">IF('Food Data'!$AL$17="fat",100/'Food Data'!$AM$17,0)</f>
        <v>0</v>
      </c>
      <c r="R64" s="23" t="n">
        <f aca="false">IF('Food Data'!$AL$18="fat",100/'Food Data'!$AM$18,0)</f>
        <v>0</v>
      </c>
      <c r="S64" s="23" t="n">
        <f aca="false">IF('Food Data'!$AL$19="fat",100/'Food Data'!$AM$19,0)</f>
        <v>0</v>
      </c>
      <c r="T64" s="23" t="n">
        <f aca="false">IF('Food Data'!$AL$20="fat",100/'Food Data'!$AM$20,0)</f>
        <v>0</v>
      </c>
      <c r="U64" s="23" t="n">
        <f aca="false">IF('Food Data'!$AL$21="fat",100/'Food Data'!$AM$21,0)</f>
        <v>0</v>
      </c>
      <c r="V64" s="23" t="n">
        <f aca="false">IF('Food Data'!$AL$22="fat",100/'Food Data'!$AM$22,0)</f>
        <v>0</v>
      </c>
      <c r="W64" s="23" t="n">
        <f aca="false">IF('Food Data'!$AL$23="fat",100/'Food Data'!$AM$23,0)</f>
        <v>0</v>
      </c>
      <c r="X64" s="23" t="n">
        <f aca="false">IF('Food Data'!$AL$24="fat",100/'Food Data'!$AM$24,0)</f>
        <v>0</v>
      </c>
      <c r="Y64" s="23" t="n">
        <f aca="false">IF('Food Data'!$AL$25="fat",100/'Food Data'!$AM$25,0)</f>
        <v>0</v>
      </c>
      <c r="Z64" s="23" t="n">
        <f aca="false">IF('Food Data'!$AL$26="fat",100/'Food Data'!$AM$26,0)</f>
        <v>0</v>
      </c>
      <c r="AA64" s="23" t="n">
        <f aca="false">IF('Food Data'!$AL$27="fat",100/'Food Data'!$AM$27,0)</f>
        <v>0</v>
      </c>
      <c r="AB64" s="23" t="n">
        <f aca="false">IF('Food Data'!$AL$28="fat",100/'Food Data'!$AM$28,0)</f>
        <v>0</v>
      </c>
      <c r="AC64" s="23" t="n">
        <f aca="false">IF('Food Data'!$AL$29="fat",100/'Food Data'!$AM$29,0)</f>
        <v>0</v>
      </c>
      <c r="AD64" s="23" t="n">
        <f aca="false">IF('Food Data'!$AL$30="fat",100/'Food Data'!$AM$30,0)</f>
        <v>0</v>
      </c>
      <c r="AE64" s="23" t="n">
        <f aca="false">IF('Food Data'!$AL$31="fat",100/'Food Data'!$AM$31,0)</f>
        <v>0</v>
      </c>
      <c r="AF64" s="23" t="n">
        <f aca="false">IF('Food Data'!$AL$32="fat",100/'Food Data'!$AM$32,0)</f>
        <v>0</v>
      </c>
      <c r="AG64" s="23" t="n">
        <f aca="false">IF('Food Data'!$AL$33="fat",100/'Food Data'!$AM$33,0)</f>
        <v>0</v>
      </c>
      <c r="AH64" s="23" t="n">
        <f aca="false">IF('Food Data'!$AL$34="fat",100/'Food Data'!$AM$34,0)</f>
        <v>0</v>
      </c>
      <c r="AI64" s="23" t="n">
        <f aca="false">IF('Food Data'!$AL$35="fat",100/'Food Data'!$AM$35,0)</f>
        <v>0</v>
      </c>
      <c r="AJ64" s="23" t="n">
        <f aca="false">IF('Food Data'!$AL$36="fat",100/'Food Data'!$AM$36,0)</f>
        <v>0</v>
      </c>
      <c r="AK64" s="23" t="n">
        <f aca="false">IF('Food Data'!$AL$37="fat",100/'Food Data'!$AM$37,0)</f>
        <v>0</v>
      </c>
      <c r="AL64" s="23" t="n">
        <f aca="false">IF('Food Data'!$AL$38="fat",100/'Food Data'!$AM$38,0)</f>
        <v>0</v>
      </c>
      <c r="AM64" s="23" t="n">
        <f aca="false">IF('Food Data'!$AL$39="fat",100/'Food Data'!$AM$39,0)</f>
        <v>0</v>
      </c>
      <c r="AN64" s="23" t="n">
        <f aca="false">IF('Food Data'!$AL$40="fat",100/'Food Data'!$AM$40,0)</f>
        <v>0</v>
      </c>
      <c r="AO64" s="23" t="n">
        <f aca="false">IF('Food Data'!$AL$41="fat",100/'Food Data'!$AM$41,0)</f>
        <v>0</v>
      </c>
      <c r="AP64" s="23" t="n">
        <f aca="false">IF('Food Data'!$AL$42="fat",100/'Food Data'!$AM$42,0)</f>
        <v>0</v>
      </c>
      <c r="AQ64" s="23" t="n">
        <f aca="false">IF('Food Data'!$AL$43="fat",100/'Food Data'!$AM$43,0)</f>
        <v>0</v>
      </c>
      <c r="AR64" s="23" t="n">
        <f aca="false">IF('Food Data'!$AL$44="fat",100/'Food Data'!$AM$44,0)</f>
        <v>0</v>
      </c>
      <c r="AS64" s="23" t="n">
        <f aca="false">IF('Food Data'!$AL$45="fat",100/'Food Data'!$AM$45,0)</f>
        <v>0</v>
      </c>
      <c r="AT64" s="23" t="n">
        <f aca="false">IF('Food Data'!$AL$46="fat",100/'Food Data'!$AM$46,0)</f>
        <v>0</v>
      </c>
      <c r="AU64" s="23" t="n">
        <f aca="false">IF('Food Data'!$AL$47="fat",100/'Food Data'!$AM$47,0)</f>
        <v>0</v>
      </c>
      <c r="AV64" s="23" t="n">
        <f aca="false">IF('Food Data'!$AL$48="fat",100/'Food Data'!$AM$48,0)</f>
        <v>0</v>
      </c>
      <c r="AW64" s="23" t="n">
        <f aca="false">IF('Food Data'!$AL$49="fat",100/'Food Data'!$AM$49,0)</f>
        <v>0</v>
      </c>
      <c r="AX64" s="23" t="n">
        <f aca="false">IF('Food Data'!$AL$50="fat",100/'Food Data'!$AM$50,0)</f>
        <v>0</v>
      </c>
      <c r="AY64" s="23" t="n">
        <f aca="false">IF('Food Data'!$AL$51="fat",100/'Food Data'!$AM$51,0)</f>
        <v>0</v>
      </c>
      <c r="AZ64" s="23" t="n">
        <f aca="false">IF('Food Data'!$AL$52="fat",100/'Food Data'!$AM$52,0)</f>
        <v>0</v>
      </c>
      <c r="BA64" s="23" t="n">
        <f aca="false">IF('Food Data'!$AL$53="fat",100/'Food Data'!$AM$53,0)</f>
        <v>0</v>
      </c>
      <c r="BB64" s="23" t="n">
        <f aca="false">IF('Food Data'!$AL$54="fat",100/'Food Data'!$AM$54,0)</f>
        <v>0</v>
      </c>
      <c r="BC64" s="23" t="n">
        <f aca="false">IF('Food Data'!$AL$55="fat",100/'Food Data'!$AM$55,0)</f>
        <v>0</v>
      </c>
      <c r="BD64" s="23" t="n">
        <f aca="false">IF('Food Data'!$AL$56="fat",100/'Food Data'!$AM$56,0)</f>
        <v>0</v>
      </c>
      <c r="BE64" s="23" t="n">
        <f aca="false">IF('Food Data'!$AL$57="fat",100/'Food Data'!$AM$57,0)</f>
        <v>0</v>
      </c>
      <c r="BF64" s="23" t="n">
        <f aca="false">IF('Food Data'!$AL$58="fat",100/'Food Data'!$AM$58,0)</f>
        <v>0</v>
      </c>
      <c r="BG64" s="23" t="n">
        <f aca="false">IF('Food Data'!$AL$59="fat",100/'Food Data'!$AM$59,0)</f>
        <v>0</v>
      </c>
      <c r="BH64" s="23" t="n">
        <f aca="false">IF('Food Data'!$AL$60="fat",100/'Food Data'!$AM$60,0)</f>
        <v>0</v>
      </c>
      <c r="BI64" s="23" t="n">
        <f aca="false">IF('Food Data'!$AL$61="fat",100/'Food Data'!$AM$61,0)</f>
        <v>0</v>
      </c>
      <c r="BJ64" s="23" t="n">
        <f aca="false">IF('Food Data'!$AL$62="fat",100/'Food Data'!$AM$62,0)</f>
        <v>0</v>
      </c>
      <c r="BK64" s="23" t="n">
        <f aca="false">IF('Food Data'!$AL$63="fat",100/'Food Data'!$AM$63,0)</f>
        <v>0</v>
      </c>
      <c r="BL64" s="23" t="n">
        <f aca="false">IF('Food Data'!$AL$64="fat",100/'Food Data'!$AM$64,0)</f>
        <v>0</v>
      </c>
      <c r="BM64" s="23" t="n">
        <f aca="false">IF('Food Data'!$AL$65="fat",100/'Food Data'!$AM$65,0)</f>
        <v>0</v>
      </c>
      <c r="BN64" s="23" t="n">
        <f aca="false">IF('Food Data'!$AL$66="fat",100/'Food Data'!$AM$66,0)</f>
        <v>0</v>
      </c>
      <c r="BO64" s="23" t="n">
        <f aca="false">IF('Food Data'!$AL$67="fat",100/'Food Data'!$AM$67,0)</f>
        <v>0</v>
      </c>
      <c r="BP64" s="23" t="n">
        <f aca="false">IF('Food Data'!$AL$68="fat",100/'Food Data'!$AM$68,0)</f>
        <v>21.128248468202</v>
      </c>
      <c r="BQ64" s="23" t="n">
        <f aca="false">IF('Food Data'!$AL$69="fat",100/'Food Data'!$AM$69,0)</f>
        <v>21.4270409256482</v>
      </c>
      <c r="BR64" s="23" t="n">
        <f aca="false">IF('Food Data'!$AL$70="fat",100/'Food Data'!$AM$70,0)</f>
        <v>22.2222222222222</v>
      </c>
      <c r="BS64" s="23" t="n">
        <f aca="false">IF('Food Data'!$AL$71="fat",100/'Food Data'!$AM$71,0)</f>
        <v>0</v>
      </c>
      <c r="BT64" s="23" t="n">
        <f aca="false">IF('Food Data'!$AL$72="fat",100/'Food Data'!$AM$72,0)</f>
        <v>0</v>
      </c>
      <c r="BU64" s="23" t="n">
        <f aca="false">IF('Food Data'!$AL$73="fat",100/'Food Data'!$AM$73,0)</f>
        <v>0</v>
      </c>
      <c r="BV64" s="23" t="n">
        <f aca="false">IF('Food Data'!$AL$74="fat",100/'Food Data'!$AM$74,0)</f>
        <v>0</v>
      </c>
      <c r="BW64" s="23" t="n">
        <f aca="false">IF('Food Data'!$AL$75="fat",100/'Food Data'!$AM$75,0)</f>
        <v>0</v>
      </c>
      <c r="BX64" s="23" t="n">
        <f aca="false">IF('Food Data'!$AL$76="fat",100/'Food Data'!$AM$76,0)</f>
        <v>0</v>
      </c>
    </row>
    <row r="65" customFormat="false" ht="15" hidden="false" customHeight="false" outlineLevel="0" collapsed="false">
      <c r="A65" s="4" t="s">
        <v>738</v>
      </c>
      <c r="B65" s="81" t="s">
        <v>739</v>
      </c>
      <c r="C65" s="82" t="n">
        <f aca="false">Planner!$E$16*(1+Planner!$C$42)</f>
        <v>3181.5</v>
      </c>
      <c r="D65" s="83" t="n">
        <v>2945.578089719</v>
      </c>
      <c r="E65" s="81" t="str">
        <f aca="false">IF(D65&lt;=C65+0.000001*MAX(1,ABS(C65)),IF(ABS(D65-C65)&lt;=0.000001*MAX(1,ABS(C65)),"tight","ok"),"VIOLATED")</f>
        <v>ok</v>
      </c>
      <c r="F65" s="23" t="n">
        <f aca="false">F$20</f>
        <v>165</v>
      </c>
      <c r="G65" s="23" t="n">
        <f aca="false">G$20</f>
        <v>191</v>
      </c>
      <c r="H65" s="23" t="n">
        <f aca="false">H$20</f>
        <v>179</v>
      </c>
      <c r="I65" s="23" t="n">
        <f aca="false">I$20</f>
        <v>100</v>
      </c>
      <c r="J65" s="23" t="n">
        <f aca="false">J$20</f>
        <v>213</v>
      </c>
      <c r="K65" s="23" t="n">
        <f aca="false">K$20</f>
        <v>468</v>
      </c>
      <c r="L65" s="23" t="n">
        <f aca="false">L$20</f>
        <v>272</v>
      </c>
      <c r="M65" s="23" t="n">
        <f aca="false">M$20</f>
        <v>209</v>
      </c>
      <c r="N65" s="23" t="n">
        <f aca="false">N$20</f>
        <v>163</v>
      </c>
      <c r="O65" s="23" t="n">
        <f aca="false">O$20</f>
        <v>229</v>
      </c>
      <c r="P65" s="23" t="n">
        <f aca="false">P$20</f>
        <v>257</v>
      </c>
      <c r="Q65" s="23" t="n">
        <f aca="false">Q$20</f>
        <v>86</v>
      </c>
      <c r="R65" s="23" t="n">
        <f aca="false">R$20</f>
        <v>206</v>
      </c>
      <c r="S65" s="23" t="n">
        <f aca="false">S$20</f>
        <v>119</v>
      </c>
      <c r="T65" s="23" t="n">
        <f aca="false">T$20</f>
        <v>128</v>
      </c>
      <c r="U65" s="23" t="n">
        <f aca="false">U$20</f>
        <v>143</v>
      </c>
      <c r="V65" s="23" t="n">
        <f aca="false">V$20</f>
        <v>91</v>
      </c>
      <c r="W65" s="23" t="n">
        <f aca="false">W$20</f>
        <v>88</v>
      </c>
      <c r="X65" s="23" t="n">
        <f aca="false">X$20</f>
        <v>116</v>
      </c>
      <c r="Y65" s="23" t="n">
        <f aca="false">Y$20</f>
        <v>598</v>
      </c>
      <c r="Z65" s="23" t="n">
        <f aca="false">Z$20</f>
        <v>143</v>
      </c>
      <c r="AA65" s="23" t="n">
        <f aca="false">AA$20</f>
        <v>98</v>
      </c>
      <c r="AB65" s="23" t="n">
        <f aca="false">AB$20</f>
        <v>50</v>
      </c>
      <c r="AC65" s="23" t="n">
        <f aca="false">AC$20</f>
        <v>59</v>
      </c>
      <c r="AD65" s="23" t="n">
        <f aca="false">AD$20</f>
        <v>43</v>
      </c>
      <c r="AE65" s="23" t="n">
        <f aca="false">AE$20</f>
        <v>61</v>
      </c>
      <c r="AF65" s="23" t="n">
        <f aca="false">AF$20</f>
        <v>366</v>
      </c>
      <c r="AG65" s="23" t="n">
        <f aca="false">AG$20</f>
        <v>404</v>
      </c>
      <c r="AH65" s="23" t="n">
        <f aca="false">AH$20</f>
        <v>81</v>
      </c>
      <c r="AI65" s="23" t="n">
        <f aca="false">AI$20</f>
        <v>295</v>
      </c>
      <c r="AJ65" s="23" t="n">
        <f aca="false">AJ$20</f>
        <v>264</v>
      </c>
      <c r="AK65" s="23" t="n">
        <f aca="false">AK$20</f>
        <v>123</v>
      </c>
      <c r="AL65" s="23" t="n">
        <f aca="false">AL$20</f>
        <v>376</v>
      </c>
      <c r="AM65" s="23" t="n">
        <f aca="false">AM$20</f>
        <v>218</v>
      </c>
      <c r="AN65" s="23" t="n">
        <f aca="false">AN$20</f>
        <v>297</v>
      </c>
      <c r="AO65" s="23" t="n">
        <f aca="false">AO$20</f>
        <v>71</v>
      </c>
      <c r="AP65" s="23" t="n">
        <f aca="false">AP$20</f>
        <v>120</v>
      </c>
      <c r="AQ65" s="23" t="n">
        <f aca="false">AQ$20</f>
        <v>158</v>
      </c>
      <c r="AR65" s="23" t="n">
        <f aca="false">AR$20</f>
        <v>266</v>
      </c>
      <c r="AS65" s="23" t="n">
        <f aca="false">AS$20</f>
        <v>130</v>
      </c>
      <c r="AT65" s="23" t="n">
        <f aca="false">AT$20</f>
        <v>252</v>
      </c>
      <c r="AU65" s="23" t="n">
        <f aca="false">AU$20</f>
        <v>149</v>
      </c>
      <c r="AV65" s="23" t="n">
        <f aca="false">AV$20</f>
        <v>93</v>
      </c>
      <c r="AW65" s="23" t="n">
        <f aca="false">AW$20</f>
        <v>90</v>
      </c>
      <c r="AX65" s="23" t="n">
        <f aca="false">AX$20</f>
        <v>81</v>
      </c>
      <c r="AY65" s="23" t="n">
        <f aca="false">AY$20</f>
        <v>52</v>
      </c>
      <c r="AZ65" s="23" t="n">
        <f aca="false">AZ$20</f>
        <v>89</v>
      </c>
      <c r="BA65" s="23" t="n">
        <f aca="false">BA$20</f>
        <v>51</v>
      </c>
      <c r="BB65" s="23" t="n">
        <f aca="false">BB$20</f>
        <v>69</v>
      </c>
      <c r="BC65" s="23" t="n">
        <f aca="false">BC$20</f>
        <v>49</v>
      </c>
      <c r="BD65" s="23" t="n">
        <f aca="false">BD$20</f>
        <v>49</v>
      </c>
      <c r="BE65" s="23" t="n">
        <f aca="false">BE$20</f>
        <v>299</v>
      </c>
      <c r="BF65" s="23" t="n">
        <f aca="false">BF$20</f>
        <v>32</v>
      </c>
      <c r="BG65" s="23" t="n">
        <f aca="false">BG$20</f>
        <v>28</v>
      </c>
      <c r="BH65" s="23" t="n">
        <f aca="false">BH$20</f>
        <v>41</v>
      </c>
      <c r="BI65" s="23" t="n">
        <f aca="false">BI$20</f>
        <v>22</v>
      </c>
      <c r="BJ65" s="23" t="n">
        <f aca="false">BJ$20</f>
        <v>20</v>
      </c>
      <c r="BK65" s="23" t="n">
        <f aca="false">BK$20</f>
        <v>65</v>
      </c>
      <c r="BL65" s="23" t="n">
        <f aca="false">BL$20</f>
        <v>40</v>
      </c>
      <c r="BM65" s="23" t="n">
        <f aca="false">BM$20</f>
        <v>17</v>
      </c>
      <c r="BN65" s="23" t="n">
        <f aca="false">BN$20</f>
        <v>23</v>
      </c>
      <c r="BO65" s="23" t="n">
        <f aca="false">BO$20</f>
        <v>18</v>
      </c>
      <c r="BP65" s="23" t="n">
        <f aca="false">BP$20</f>
        <v>717</v>
      </c>
      <c r="BQ65" s="23" t="n">
        <f aca="false">BQ$20</f>
        <v>884</v>
      </c>
      <c r="BR65" s="23" t="n">
        <f aca="false">BR$20</f>
        <v>884</v>
      </c>
      <c r="BS65" s="23" t="n">
        <f aca="false">BS$20</f>
        <v>579</v>
      </c>
      <c r="BT65" s="23" t="n">
        <f aca="false">BT$20</f>
        <v>167</v>
      </c>
      <c r="BU65" s="23" t="n">
        <f aca="false">BU$20</f>
        <v>492</v>
      </c>
      <c r="BV65" s="23" t="n">
        <f aca="false">BV$20</f>
        <v>418</v>
      </c>
      <c r="BW65" s="23" t="n">
        <f aca="false">BW$20</f>
        <v>532</v>
      </c>
      <c r="BX65" s="23" t="n">
        <f aca="false">BX$20</f>
        <v>207</v>
      </c>
    </row>
    <row r="66" customFormat="false" ht="15" hidden="false" customHeight="false" outlineLevel="0" collapsed="false">
      <c r="A66" s="4" t="s">
        <v>740</v>
      </c>
      <c r="B66" s="81" t="s">
        <v>741</v>
      </c>
      <c r="C66" s="84" t="n">
        <v>0</v>
      </c>
      <c r="D66" s="83" t="n">
        <v>-582.95233148385</v>
      </c>
      <c r="E66" s="81" t="str">
        <f aca="false">IF(D66&lt;=C66+0.000001*MAX(1,ABS(C66)),IF(ABS(D66-C66)&lt;=0.000001*MAX(1,ABS(C66)),"tight","ok"),"VIOLATED")</f>
        <v>ok</v>
      </c>
      <c r="F66" s="23" t="n">
        <f aca="false">4*F$21-$D$8*F$20</f>
        <v>66.33</v>
      </c>
      <c r="G66" s="23" t="n">
        <f aca="false">4*G$21-$D$8*G$20</f>
        <v>26.55</v>
      </c>
      <c r="H66" s="23" t="n">
        <f aca="false">4*H$21-$D$8*H$20</f>
        <v>36.39</v>
      </c>
      <c r="I66" s="23" t="n">
        <f aca="false">4*I$21-$D$8*I$20</f>
        <v>30.32</v>
      </c>
      <c r="J66" s="23" t="n">
        <f aca="false">4*J$21-$D$8*J$20</f>
        <v>33.85</v>
      </c>
      <c r="K66" s="23" t="n">
        <f aca="false">4*K$21-$D$8*K$20</f>
        <v>-28.12</v>
      </c>
      <c r="L66" s="23" t="n">
        <f aca="false">4*L$21-$D$8*L$20</f>
        <v>12.8</v>
      </c>
      <c r="M66" s="23" t="n">
        <f aca="false">4*M$21-$D$8*M$20</f>
        <v>42.37</v>
      </c>
      <c r="N66" s="23" t="n">
        <f aca="false">4*N$21-$D$8*N$20</f>
        <v>9.35000000000001</v>
      </c>
      <c r="O66" s="23" t="n">
        <f aca="false">4*O$21-$D$8*O$20</f>
        <v>26.57</v>
      </c>
      <c r="P66" s="23" t="n">
        <f aca="false">4*P$21-$D$8*P$20</f>
        <v>17.25</v>
      </c>
      <c r="Q66" s="23" t="n">
        <f aca="false">4*Q$21-$D$8*Q$20</f>
        <v>47.66</v>
      </c>
      <c r="R66" s="23" t="n">
        <f aca="false">4*R$21-$D$8*R$20</f>
        <v>16.3</v>
      </c>
      <c r="S66" s="23" t="n">
        <f aca="false">4*S$21-$D$8*S$20</f>
        <v>49.47</v>
      </c>
      <c r="T66" s="23" t="n">
        <f aca="false">4*T$21-$D$8*T$20</f>
        <v>59.8</v>
      </c>
      <c r="U66" s="23" t="n">
        <f aca="false">4*U$21-$D$8*U$20</f>
        <v>0.190000000000005</v>
      </c>
      <c r="V66" s="23" t="n">
        <f aca="false">4*V$21-$D$8*V$20</f>
        <v>-7.73</v>
      </c>
      <c r="W66" s="23" t="n">
        <f aca="false">4*W$21-$D$8*W$20</f>
        <v>-11.12</v>
      </c>
      <c r="X66" s="23" t="n">
        <f aca="false">4*X$21-$D$8*X$20</f>
        <v>-4.52</v>
      </c>
      <c r="Y66" s="23" t="n">
        <f aca="false">4*Y$21-$D$8*Y$20</f>
        <v>-120.46</v>
      </c>
      <c r="Z66" s="23" t="n">
        <f aca="false">4*Z$21-$D$8*Z$20</f>
        <v>-14.01</v>
      </c>
      <c r="AA66" s="23" t="n">
        <f aca="false">4*AA$21-$D$8*AA$20</f>
        <v>6.1</v>
      </c>
      <c r="AB66" s="23" t="n">
        <f aca="false">4*AB$21-$D$8*AB$20</f>
        <v>-4.3</v>
      </c>
      <c r="AC66" s="23" t="n">
        <f aca="false">4*AC$21-$D$8*AC$20</f>
        <v>20.11</v>
      </c>
      <c r="AD66" s="23" t="n">
        <f aca="false">4*AD$21-$D$8*AD$20</f>
        <v>-4.65</v>
      </c>
      <c r="AE66" s="23" t="n">
        <f aca="false">4*AE$21-$D$8*AE$20</f>
        <v>-8.75</v>
      </c>
      <c r="AF66" s="23" t="n">
        <f aca="false">4*AF$21-$D$8*AF$20</f>
        <v>-55.58</v>
      </c>
      <c r="AG66" s="23" t="n">
        <f aca="false">4*AG$21-$D$8*AG$20</f>
        <v>-49.92</v>
      </c>
      <c r="AH66" s="23" t="n">
        <f aca="false">4*AH$21-$D$8*AH$20</f>
        <v>13.45</v>
      </c>
      <c r="AI66" s="23" t="n">
        <f aca="false">4*AI$21-$D$8*AI$20</f>
        <v>-8.25</v>
      </c>
      <c r="AJ66" s="23" t="n">
        <f aca="false">4*AJ$21-$D$8*AJ$20</f>
        <v>-50.16</v>
      </c>
      <c r="AK66" s="23" t="n">
        <f aca="false">4*AK$21-$D$8*AK$20</f>
        <v>-32.09</v>
      </c>
      <c r="AL66" s="23" t="n">
        <f aca="false">4*AL$21-$D$8*AL$20</f>
        <v>-83.24</v>
      </c>
      <c r="AM66" s="23" t="n">
        <f aca="false">4*AM$21-$D$8*AM$20</f>
        <v>-53.5</v>
      </c>
      <c r="AN66" s="23" t="n">
        <f aca="false">4*AN$21-$D$8*AN$20</f>
        <v>-71.91</v>
      </c>
      <c r="AO66" s="23" t="n">
        <f aca="false">4*AO$21-$D$8*AO$20</f>
        <v>-14.69</v>
      </c>
      <c r="AP66" s="23" t="n">
        <f aca="false">4*AP$21-$D$8*AP$20</f>
        <v>-24.4</v>
      </c>
      <c r="AQ66" s="23" t="n">
        <f aca="false">4*AQ$21-$D$8*AQ$20</f>
        <v>-32.1</v>
      </c>
      <c r="AR66" s="23" t="n">
        <f aca="false">4*AR$21-$D$8*AR$20</f>
        <v>-57.7</v>
      </c>
      <c r="AS66" s="23" t="n">
        <f aca="false">4*AS$21-$D$8*AS$20</f>
        <v>-34.74</v>
      </c>
      <c r="AT66" s="23" t="n">
        <f aca="false">4*AT$21-$D$8*AT$20</f>
        <v>-38.4</v>
      </c>
      <c r="AU66" s="23" t="n">
        <f aca="false">4*AU$21-$D$8*AU$20</f>
        <v>-28.19</v>
      </c>
      <c r="AV66" s="23" t="n">
        <f aca="false">4*AV$21-$D$8*AV$20</f>
        <v>-22.55</v>
      </c>
      <c r="AW66" s="23" t="n">
        <f aca="false">4*AW$21-$D$8*AW$20</f>
        <v>-23.46</v>
      </c>
      <c r="AX66" s="23" t="n">
        <f aca="false">4*AX$21-$D$8*AX$20</f>
        <v>-18.15</v>
      </c>
      <c r="AY66" s="23" t="n">
        <f aca="false">4*AY$21-$D$8*AY$20</f>
        <v>-17.16</v>
      </c>
      <c r="AZ66" s="23" t="n">
        <f aca="false">4*AZ$21-$D$8*AZ$20</f>
        <v>-26.79</v>
      </c>
      <c r="BA66" s="23" t="n">
        <f aca="false">4*BA$21-$D$8*BA$20</f>
        <v>-16.17</v>
      </c>
      <c r="BB66" s="23" t="n">
        <f aca="false">4*BB$21-$D$8*BB$20</f>
        <v>-21.27</v>
      </c>
      <c r="BC66" s="23" t="n">
        <f aca="false">4*BC$21-$D$8*BC$20</f>
        <v>-14.43</v>
      </c>
      <c r="BD66" s="23" t="n">
        <f aca="false">4*BD$21-$D$8*BD$20</f>
        <v>-13.51</v>
      </c>
      <c r="BE66" s="23" t="n">
        <f aca="false">4*BE$21-$D$8*BE$20</f>
        <v>-92.37</v>
      </c>
      <c r="BF66" s="23" t="n">
        <f aca="false">4*BF$21-$D$8*BF$20</f>
        <v>-8.52</v>
      </c>
      <c r="BG66" s="23" t="n">
        <f aca="false">4*BG$21-$D$8*BG$20</f>
        <v>2.6</v>
      </c>
      <c r="BH66" s="23" t="n">
        <f aca="false">4*BH$21-$D$8*BH$20</f>
        <v>-10.63</v>
      </c>
      <c r="BI66" s="23" t="n">
        <f aca="false">4*BI$21-$D$8*BI$20</f>
        <v>-3.22</v>
      </c>
      <c r="BJ66" s="23" t="n">
        <f aca="false">4*BJ$21-$D$8*BJ$20</f>
        <v>-3.56</v>
      </c>
      <c r="BK66" s="23" t="n">
        <f aca="false">4*BK$21-$D$8*BK$20</f>
        <v>-11.31</v>
      </c>
      <c r="BL66" s="23" t="n">
        <f aca="false">4*BL$21-$D$8*BL$20</f>
        <v>-9.6</v>
      </c>
      <c r="BM66" s="23" t="n">
        <f aca="false">4*BM$21-$D$8*BM$20</f>
        <v>-1.03</v>
      </c>
      <c r="BN66" s="23" t="n">
        <f aca="false">4*BN$21-$D$8*BN$20</f>
        <v>3.39</v>
      </c>
      <c r="BO66" s="23" t="n">
        <f aca="false">4*BO$21-$D$8*BO$20</f>
        <v>-2.78</v>
      </c>
      <c r="BP66" s="23" t="n">
        <f aca="false">4*BP$21-$D$8*BP$20</f>
        <v>-247.55</v>
      </c>
      <c r="BQ66" s="23" t="n">
        <f aca="false">4*BQ$21-$D$8*BQ$20</f>
        <v>-309.4</v>
      </c>
      <c r="BR66" s="23" t="n">
        <f aca="false">4*BR$21-$D$8*BR$20</f>
        <v>-309.4</v>
      </c>
      <c r="BS66" s="23" t="n">
        <f aca="false">4*BS$21-$D$8*BS$20</f>
        <v>-118.05</v>
      </c>
      <c r="BT66" s="23" t="n">
        <f aca="false">4*BT$21-$D$8*BT$20</f>
        <v>-50.61</v>
      </c>
      <c r="BU66" s="23" t="n">
        <f aca="false">4*BU$21-$D$8*BU$20</f>
        <v>-151.8</v>
      </c>
      <c r="BV66" s="23" t="n">
        <f aca="false">4*BV$21-$D$8*BV$20</f>
        <v>-123.7</v>
      </c>
      <c r="BW66" s="23" t="n">
        <f aca="false">4*BW$21-$D$8*BW$20</f>
        <v>-160.64</v>
      </c>
      <c r="BX66" s="23" t="n">
        <f aca="false">4*BX$21-$D$8*BX$20</f>
        <v>-58.45</v>
      </c>
    </row>
    <row r="67" customFormat="false" ht="15" hidden="false" customHeight="false" outlineLevel="0" collapsed="false">
      <c r="A67" s="4" t="s">
        <v>742</v>
      </c>
      <c r="B67" s="81" t="s">
        <v>741</v>
      </c>
      <c r="C67" s="84" t="n">
        <v>0</v>
      </c>
      <c r="D67" s="83" t="n">
        <v>-267.26916864611</v>
      </c>
      <c r="E67" s="81" t="str">
        <f aca="false">IF(D67&lt;=C67+0.000001*MAX(1,ABS(C67)),IF(ABS(D67-C67)&lt;=0.000001*MAX(1,ABS(C67)),"tight","ok"),"VIOLATED")</f>
        <v>ok</v>
      </c>
      <c r="F67" s="23" t="n">
        <f aca="false">4*F$22-$D$9*F$20</f>
        <v>-107.25</v>
      </c>
      <c r="G67" s="23" t="n">
        <f aca="false">4*G$22-$D$9*G$20</f>
        <v>-124.15</v>
      </c>
      <c r="H67" s="23" t="n">
        <f aca="false">4*H$22-$D$9*H$20</f>
        <v>-116.35</v>
      </c>
      <c r="I67" s="23" t="n">
        <f aca="false">4*I$22-$D$9*I$20</f>
        <v>-55.64</v>
      </c>
      <c r="J67" s="23" t="n">
        <f aca="false">4*J$22-$D$9*J$20</f>
        <v>-138.45</v>
      </c>
      <c r="K67" s="23" t="n">
        <f aca="false">4*K$22-$D$9*K$20</f>
        <v>-297.4</v>
      </c>
      <c r="L67" s="23" t="n">
        <f aca="false">4*L$22-$D$9*L$20</f>
        <v>-176.8</v>
      </c>
      <c r="M67" s="23" t="n">
        <f aca="false">4*M$22-$D$9*M$20</f>
        <v>-135.85</v>
      </c>
      <c r="N67" s="23" t="n">
        <f aca="false">4*N$22-$D$9*N$20</f>
        <v>-90.63</v>
      </c>
      <c r="O67" s="23" t="n">
        <f aca="false">4*O$22-$D$9*O$20</f>
        <v>-148.85</v>
      </c>
      <c r="P67" s="23" t="n">
        <f aca="false">4*P$22-$D$9*P$20</f>
        <v>-167.05</v>
      </c>
      <c r="Q67" s="23" t="n">
        <f aca="false">4*Q$22-$D$9*Q$20</f>
        <v>-55.9</v>
      </c>
      <c r="R67" s="23" t="n">
        <f aca="false">4*R$22-$D$9*R$20</f>
        <v>-133.9</v>
      </c>
      <c r="S67" s="23" t="n">
        <f aca="false">4*S$22-$D$9*S$20</f>
        <v>-71.27</v>
      </c>
      <c r="T67" s="23" t="n">
        <f aca="false">4*T$22-$D$9*T$20</f>
        <v>-83.2</v>
      </c>
      <c r="U67" s="23" t="n">
        <f aca="false">4*U$22-$D$9*U$20</f>
        <v>-90.07</v>
      </c>
      <c r="V67" s="23" t="n">
        <f aca="false">4*V$22-$D$9*V$20</f>
        <v>7.05</v>
      </c>
      <c r="W67" s="23" t="n">
        <f aca="false">4*W$22-$D$9*W$20</f>
        <v>-3.24</v>
      </c>
      <c r="X67" s="23" t="n">
        <f aca="false">4*X$22-$D$9*X$20</f>
        <v>5.11999999999999</v>
      </c>
      <c r="Y67" s="23" t="n">
        <f aca="false">4*Y$22-$D$9*Y$20</f>
        <v>-299.46</v>
      </c>
      <c r="Z67" s="23" t="n">
        <f aca="false">4*Z$22-$D$9*Z$20</f>
        <v>11.93</v>
      </c>
      <c r="AA67" s="23" t="n">
        <f aca="false">4*AA$22-$D$9*AA$20</f>
        <v>-53.3</v>
      </c>
      <c r="AB67" s="23" t="n">
        <f aca="false">4*AB$22-$D$9*AB$20</f>
        <v>-13.3</v>
      </c>
      <c r="AC67" s="23" t="n">
        <f aca="false">4*AC$22-$D$9*AC$20</f>
        <v>-23.95</v>
      </c>
      <c r="AD67" s="23" t="n">
        <f aca="false">4*AD$22-$D$9*AD$20</f>
        <v>-8.27</v>
      </c>
      <c r="AE67" s="23" t="n">
        <f aca="false">4*AE$22-$D$9*AE$20</f>
        <v>-20.45</v>
      </c>
      <c r="AF67" s="23" t="n">
        <f aca="false">4*AF$22-$D$9*AF$20</f>
        <v>-218.78</v>
      </c>
      <c r="AG67" s="23" t="n">
        <f aca="false">4*AG$22-$D$9*AG$20</f>
        <v>-250.24</v>
      </c>
      <c r="AH67" s="23" t="n">
        <f aca="false">4*AH$22-$D$9*AH$20</f>
        <v>-33.61</v>
      </c>
      <c r="AI67" s="23" t="n">
        <f aca="false">4*AI$22-$D$9*AI$20</f>
        <v>-169.43</v>
      </c>
      <c r="AJ67" s="23" t="n">
        <f aca="false">4*AJ$22-$D$9*AJ$20</f>
        <v>37.92</v>
      </c>
      <c r="AK67" s="23" t="n">
        <f aca="false">4*AK$22-$D$9*AK$20</f>
        <v>22.37</v>
      </c>
      <c r="AL67" s="23" t="n">
        <f aca="false">4*AL$22-$D$9*AL$20</f>
        <v>48.52</v>
      </c>
      <c r="AM67" s="23" t="n">
        <f aca="false">4*AM$22-$D$9*AM$20</f>
        <v>36.86</v>
      </c>
      <c r="AN67" s="23" t="n">
        <f aca="false">4*AN$22-$D$9*AN$20</f>
        <v>4.03</v>
      </c>
      <c r="AO67" s="23" t="n">
        <f aca="false">4*AO$22-$D$9*AO$20</f>
        <v>1.85</v>
      </c>
      <c r="AP67" s="23" t="n">
        <f aca="false">4*AP$22-$D$9*AP$20</f>
        <v>7.2</v>
      </c>
      <c r="AQ67" s="23" t="n">
        <f aca="false">4*AQ$22-$D$9*AQ$20</f>
        <v>20.74</v>
      </c>
      <c r="AR67" s="23" t="n">
        <f aca="false">4*AR$22-$D$9*AR$20</f>
        <v>24.78</v>
      </c>
      <c r="AS67" s="23" t="n">
        <f aca="false">4*AS$22-$D$9*AS$20</f>
        <v>28.18</v>
      </c>
      <c r="AT67" s="23" t="n">
        <f aca="false">4*AT$22-$D$9*AT$20</f>
        <v>7.03999999999999</v>
      </c>
      <c r="AU67" s="23" t="n">
        <f aca="false">4*AU$22-$D$9*AU$20</f>
        <v>23.43</v>
      </c>
      <c r="AV67" s="23" t="n">
        <f aca="false">4*AV$22-$D$9*AV$20</f>
        <v>24.15</v>
      </c>
      <c r="AW67" s="23" t="n">
        <f aca="false">4*AW$22-$D$9*AW$20</f>
        <v>24.34</v>
      </c>
      <c r="AX67" s="23" t="n">
        <f aca="false">4*AX$22-$D$9*AX$20</f>
        <v>24.55</v>
      </c>
      <c r="AY67" s="23" t="n">
        <f aca="false">4*AY$22-$D$9*AY$20</f>
        <v>21.44</v>
      </c>
      <c r="AZ67" s="23" t="n">
        <f aca="false">4*AZ$22-$D$9*AZ$20</f>
        <v>33.51</v>
      </c>
      <c r="BA67" s="23" t="n">
        <f aca="false">4*BA$22-$D$9*BA$20</f>
        <v>15.53</v>
      </c>
      <c r="BB67" s="23" t="n">
        <f aca="false">4*BB$22-$D$9*BB$20</f>
        <v>27.55</v>
      </c>
      <c r="BC67" s="23" t="n">
        <f aca="false">4*BC$22-$D$9*BC$20</f>
        <v>14.31</v>
      </c>
      <c r="BD67" s="23" t="n">
        <f aca="false">4*BD$22-$D$9*BD$20</f>
        <v>18.31</v>
      </c>
      <c r="BE67" s="23" t="n">
        <f aca="false">4*BE$22-$D$9*BE$20</f>
        <v>122.37</v>
      </c>
      <c r="BF67" s="23" t="n">
        <f aca="false">4*BF$22-$D$9*BF$20</f>
        <v>9.92</v>
      </c>
      <c r="BG67" s="23" t="n">
        <f aca="false">4*BG$22-$D$9*BG$20</f>
        <v>3.24</v>
      </c>
      <c r="BH67" s="23" t="n">
        <f aca="false">4*BH$22-$D$9*BH$20</f>
        <v>11.67</v>
      </c>
      <c r="BI67" s="23" t="n">
        <f aca="false">4*BI$22-$D$9*BI$20</f>
        <v>2.98</v>
      </c>
      <c r="BJ67" s="23" t="n">
        <f aca="false">4*BJ$22-$D$9*BJ$20</f>
        <v>5.56</v>
      </c>
      <c r="BK67" s="23" t="n">
        <f aca="false">4*BK$22-$D$9*BK$20</f>
        <v>10.11</v>
      </c>
      <c r="BL67" s="23" t="n">
        <f aca="false">4*BL$22-$D$9*BL$20</f>
        <v>11.36</v>
      </c>
      <c r="BM67" s="23" t="n">
        <f aca="false">4*BM$22-$D$9*BM$20</f>
        <v>2.11</v>
      </c>
      <c r="BN67" s="23" t="n">
        <f aca="false">4*BN$22-$D$9*BN$20</f>
        <v>-0.430000000000002</v>
      </c>
      <c r="BO67" s="23" t="n">
        <f aca="false">4*BO$22-$D$9*BO$20</f>
        <v>3.86</v>
      </c>
      <c r="BP67" s="23" t="n">
        <f aca="false">4*BP$22-$D$9*BP$20</f>
        <v>-465.81</v>
      </c>
      <c r="BQ67" s="23" t="n">
        <f aca="false">4*BQ$22-$D$9*BQ$20</f>
        <v>-574.6</v>
      </c>
      <c r="BR67" s="23" t="n">
        <f aca="false">4*BR$22-$D$9*BR$20</f>
        <v>-574.6</v>
      </c>
      <c r="BS67" s="23" t="n">
        <f aca="false">4*BS$22-$D$9*BS$20</f>
        <v>-290.15</v>
      </c>
      <c r="BT67" s="23" t="n">
        <f aca="false">4*BT$22-$D$9*BT$20</f>
        <v>-73.99</v>
      </c>
      <c r="BU67" s="23" t="n">
        <f aca="false">4*BU$22-$D$9*BU$20</f>
        <v>-58.36</v>
      </c>
      <c r="BV67" s="23" t="n">
        <f aca="false">4*BV$22-$D$9*BV$20</f>
        <v>9.10000000000002</v>
      </c>
      <c r="BW67" s="23" t="n">
        <f aca="false">4*BW$22-$D$9*BW$20</f>
        <v>-130.48</v>
      </c>
      <c r="BX67" s="23" t="n">
        <f aca="false">4*BX$22-$D$9*BX$20</f>
        <v>-40.15</v>
      </c>
    </row>
    <row r="68" customFormat="false" ht="15" hidden="false" customHeight="false" outlineLevel="0" collapsed="false">
      <c r="A68" s="4" t="s">
        <v>743</v>
      </c>
      <c r="B68" s="81" t="s">
        <v>741</v>
      </c>
      <c r="C68" s="84" t="n">
        <v>0</v>
      </c>
      <c r="D68" s="83" t="n">
        <v>-107.88205644151</v>
      </c>
      <c r="E68" s="81" t="str">
        <f aca="false">IF(D68&lt;=C68+0.000001*MAX(1,ABS(C68)),IF(ABS(D68-C68)&lt;=0.000001*MAX(1,ABS(C68)),"tight","ok"),"VIOLATED")</f>
        <v>ok</v>
      </c>
      <c r="F68" s="23" t="n">
        <f aca="false">9*F$23-$D$10*F$20</f>
        <v>-25.62</v>
      </c>
      <c r="G68" s="23" t="n">
        <f aca="false">9*G$23-$D$10*G$20</f>
        <v>24.5</v>
      </c>
      <c r="H68" s="23" t="n">
        <f aca="false">9*H$23-$D$10*H$20</f>
        <v>10.7</v>
      </c>
      <c r="I68" s="23" t="n">
        <f aca="false">9*I$23-$D$10*I$20</f>
        <v>-13.67</v>
      </c>
      <c r="J68" s="23" t="n">
        <f aca="false">9*J$23-$D$10*J$20</f>
        <v>29.85</v>
      </c>
      <c r="K68" s="23" t="n">
        <f aca="false">9*K$23-$D$10*K$20</f>
        <v>152.01</v>
      </c>
      <c r="L68" s="23" t="n">
        <f aca="false">9*L$23-$D$10*L$20</f>
        <v>61.04</v>
      </c>
      <c r="M68" s="23" t="n">
        <f aca="false">9*M$23-$D$10*M$20</f>
        <v>12.44</v>
      </c>
      <c r="N68" s="23" t="n">
        <f aca="false">9*N$23-$D$10*N$20</f>
        <v>20.35</v>
      </c>
      <c r="O68" s="23" t="n">
        <f aca="false">9*O$23-$D$10*O$20</f>
        <v>42.25</v>
      </c>
      <c r="P68" s="23" t="n">
        <f aca="false">9*P$23-$D$10*P$20</f>
        <v>51.8</v>
      </c>
      <c r="Q68" s="23" t="n">
        <f aca="false">9*Q$23-$D$10*Q$20</f>
        <v>-21.46</v>
      </c>
      <c r="R68" s="23" t="n">
        <f aca="false">9*R$23-$D$10*R$20</f>
        <v>39.05</v>
      </c>
      <c r="S68" s="23" t="n">
        <f aca="false">9*S$23-$D$10*S$20</f>
        <v>-26.35</v>
      </c>
      <c r="T68" s="23" t="n">
        <f aca="false">9*T$23-$D$10*T$20</f>
        <v>-20.95</v>
      </c>
      <c r="U68" s="23" t="n">
        <f aca="false">9*U$23-$D$10*U$20</f>
        <v>35.54</v>
      </c>
      <c r="V68" s="23" t="n">
        <f aca="false">9*V$23-$D$10*V$20</f>
        <v>-29.24</v>
      </c>
      <c r="W68" s="23" t="n">
        <f aca="false">9*W$23-$D$10*W$20</f>
        <v>-13.25</v>
      </c>
      <c r="X68" s="23" t="n">
        <f aca="false">9*X$23-$D$10*X$20</f>
        <v>-37.18</v>
      </c>
      <c r="Y68" s="23" t="n">
        <f aca="false">9*Y$23-$D$10*Y$20</f>
        <v>252.94</v>
      </c>
      <c r="Z68" s="23" t="n">
        <f aca="false">9*Z$23-$D$10*Z$20</f>
        <v>-44.2</v>
      </c>
      <c r="AA68" s="23" t="n">
        <f aca="false">9*AA$23-$D$10*AA$20</f>
        <v>12.5</v>
      </c>
      <c r="AB68" s="23" t="n">
        <f aca="false">9*AB$23-$D$10*AB$20</f>
        <v>0.32</v>
      </c>
      <c r="AC68" s="23" t="n">
        <f aca="false">9*AC$23-$D$10*AC$20</f>
        <v>-17.14</v>
      </c>
      <c r="AD68" s="23" t="n">
        <f aca="false">9*AD$23-$D$10*AD$20</f>
        <v>-1.82</v>
      </c>
      <c r="AE68" s="23" t="n">
        <f aca="false">9*AE$23-$D$10*AE$20</f>
        <v>7.9</v>
      </c>
      <c r="AF68" s="23" t="n">
        <f aca="false">9*AF$23-$D$10*AF$20</f>
        <v>148.29</v>
      </c>
      <c r="AG68" s="23" t="n">
        <f aca="false">9*AG$23-$D$10*AG$20</f>
        <v>158.39</v>
      </c>
      <c r="AH68" s="23" t="n">
        <f aca="false">9*AH$23-$D$10*AH$20</f>
        <v>-7.92</v>
      </c>
      <c r="AI68" s="23" t="n">
        <f aca="false">9*AI$23-$D$10*AI$20</f>
        <v>74.77</v>
      </c>
      <c r="AJ68" s="23" t="n">
        <f aca="false">9*AJ$23-$D$10*AJ$20</f>
        <v>-80.52</v>
      </c>
      <c r="AK68" s="23" t="n">
        <f aca="false">9*AK$23-$D$10*AK$20</f>
        <v>-34.32</v>
      </c>
      <c r="AL68" s="23" t="n">
        <f aca="false">9*AL$23-$D$10*AL$20</f>
        <v>-71.03</v>
      </c>
      <c r="AM68" s="23" t="n">
        <f aca="false">9*AM$23-$D$10*AM$20</f>
        <v>-50.65</v>
      </c>
      <c r="AN68" s="23" t="n">
        <f aca="false">9*AN$23-$D$10*AN$20</f>
        <v>-35.73</v>
      </c>
      <c r="AO68" s="23" t="n">
        <f aca="false">9*AO$23-$D$10*AO$20</f>
        <v>-11.17</v>
      </c>
      <c r="AP68" s="23" t="n">
        <f aca="false">9*AP$23-$D$10*AP$20</f>
        <v>-24.72</v>
      </c>
      <c r="AQ68" s="23" t="n">
        <f aca="false">9*AQ$23-$D$10*AQ$20</f>
        <v>-46.93</v>
      </c>
      <c r="AR68" s="23" t="n">
        <f aca="false">9*AR$23-$D$10*AR$20</f>
        <v>-63.13</v>
      </c>
      <c r="AS68" s="23" t="n">
        <f aca="false">9*AS$23-$D$10*AS$20</f>
        <v>-42.98</v>
      </c>
      <c r="AT68" s="23" t="n">
        <f aca="false">9*AT$23-$D$10*AT$20</f>
        <v>-56.7</v>
      </c>
      <c r="AU68" s="23" t="n">
        <f aca="false">9*AU$23-$D$10*AU$20</f>
        <v>-36.76</v>
      </c>
      <c r="AV68" s="23" t="n">
        <f aca="false">9*AV$23-$D$10*AV$20</f>
        <v>-31.38</v>
      </c>
      <c r="AW68" s="23" t="n">
        <f aca="false">9*AW$23-$D$10*AW$20</f>
        <v>-30.15</v>
      </c>
      <c r="AX68" s="23" t="n">
        <f aca="false">9*AX$23-$D$10*AX$20</f>
        <v>-22.32</v>
      </c>
      <c r="AY68" s="23" t="n">
        <f aca="false">9*AY$23-$D$10*AY$20</f>
        <v>-16.67</v>
      </c>
      <c r="AZ68" s="23" t="n">
        <f aca="false">9*AZ$23-$D$10*AZ$20</f>
        <v>-28.18</v>
      </c>
      <c r="BA68" s="23" t="n">
        <f aca="false">9*BA$23-$D$10*BA$20</f>
        <v>-12.09</v>
      </c>
      <c r="BB68" s="23" t="n">
        <f aca="false">9*BB$23-$D$10*BB$20</f>
        <v>-22.71</v>
      </c>
      <c r="BC68" s="23" t="n">
        <f aca="false">9*BC$23-$D$10*BC$20</f>
        <v>-16.07</v>
      </c>
      <c r="BD68" s="23" t="n">
        <f aca="false">9*BD$23-$D$10*BD$20</f>
        <v>-15.8</v>
      </c>
      <c r="BE68" s="23" t="n">
        <f aca="false">9*BE$23-$D$10*BE$20</f>
        <v>-100.51</v>
      </c>
      <c r="BF68" s="23" t="n">
        <f aca="false">9*BF$23-$D$10*BF$20</f>
        <v>-8.5</v>
      </c>
      <c r="BG68" s="23" t="n">
        <f aca="false">9*BG$23-$D$10*BG$20</f>
        <v>-8.81</v>
      </c>
      <c r="BH68" s="23" t="n">
        <f aca="false">9*BH$23-$D$10*BH$20</f>
        <v>-12.19</v>
      </c>
      <c r="BI68" s="23" t="n">
        <f aca="false">9*BI$23-$D$10*BI$20</f>
        <v>-3.56</v>
      </c>
      <c r="BJ68" s="23" t="n">
        <f aca="false">9*BJ$23-$D$10*BJ$20</f>
        <v>-5.47</v>
      </c>
      <c r="BK68" s="23" t="n">
        <f aca="false">9*BK$23-$D$10*BK$20</f>
        <v>-21.4</v>
      </c>
      <c r="BL68" s="23" t="n">
        <f aca="false">9*BL$23-$D$10*BL$20</f>
        <v>-13.1</v>
      </c>
      <c r="BM68" s="23" t="n">
        <f aca="false">9*BM$23-$D$10*BM$20</f>
        <v>-3.25</v>
      </c>
      <c r="BN68" s="23" t="n">
        <f aca="false">9*BN$23-$D$10*BN$20</f>
        <v>-4.54</v>
      </c>
      <c r="BO68" s="23" t="n">
        <f aca="false">9*BO$23-$D$10*BO$20</f>
        <v>-4.5</v>
      </c>
      <c r="BP68" s="23" t="n">
        <f aca="false">9*BP$23-$D$10*BP$20</f>
        <v>479.04</v>
      </c>
      <c r="BQ68" s="23" t="n">
        <f aca="false">9*BQ$23-$D$10*BQ$20</f>
        <v>590.6</v>
      </c>
      <c r="BR68" s="23" t="n">
        <f aca="false">9*BR$23-$D$10*BR$20</f>
        <v>590.6</v>
      </c>
      <c r="BS68" s="23" t="n">
        <f aca="false">9*BS$23-$D$10*BS$20</f>
        <v>246.72</v>
      </c>
      <c r="BT68" s="23" t="n">
        <f aca="false">9*BT$23-$D$10*BT$20</f>
        <v>80.24</v>
      </c>
      <c r="BU68" s="23" t="n">
        <f aca="false">9*BU$23-$D$10*BU$20</f>
        <v>50.28</v>
      </c>
      <c r="BV68" s="23" t="n">
        <f aca="false">9*BV$23-$D$10*BV$20</f>
        <v>2.83000000000001</v>
      </c>
      <c r="BW68" s="23" t="n">
        <f aca="false">9*BW$23-$D$10*BW$20</f>
        <v>119.62</v>
      </c>
      <c r="BX68" s="23" t="n">
        <f aca="false">9*BX$23-$D$10*BX$20</f>
        <v>26.55</v>
      </c>
    </row>
    <row r="69" customFormat="false" ht="15" hidden="false" customHeight="false" outlineLevel="0" collapsed="false">
      <c r="A69" s="4" t="s">
        <v>744</v>
      </c>
      <c r="B69" s="81" t="s">
        <v>739</v>
      </c>
      <c r="C69" s="82" t="n">
        <f aca="false">N(Planner!$E$23)</f>
        <v>2300</v>
      </c>
      <c r="D69" s="83" t="n">
        <v>1991.286074716</v>
      </c>
      <c r="E69" s="81" t="str">
        <f aca="false">IF(D69&lt;=C69+0.000001*MAX(1,ABS(C69)),IF(ABS(D69-C69)&lt;=0.000001*MAX(1,ABS(C69)),"tight","ok"),"VIOLATED")</f>
        <v>ok</v>
      </c>
      <c r="F69" s="23" t="n">
        <f aca="false">F$29</f>
        <v>74</v>
      </c>
      <c r="G69" s="23" t="n">
        <f aca="false">G$29</f>
        <v>123</v>
      </c>
      <c r="H69" s="23" t="n">
        <f aca="false">H$29</f>
        <v>106</v>
      </c>
      <c r="I69" s="23" t="n">
        <f aca="false">I$29</f>
        <v>922</v>
      </c>
      <c r="J69" s="23" t="n">
        <f aca="false">J$29</f>
        <v>90</v>
      </c>
      <c r="K69" s="23" t="n">
        <f aca="false">K$29</f>
        <v>1684</v>
      </c>
      <c r="L69" s="23" t="n">
        <f aca="false">L$29</f>
        <v>91</v>
      </c>
      <c r="M69" s="23" t="n">
        <f aca="false">M$29</f>
        <v>86</v>
      </c>
      <c r="N69" s="23" t="n">
        <f aca="false">N$29</f>
        <v>1143</v>
      </c>
      <c r="O69" s="23" t="n">
        <f aca="false">O$29</f>
        <v>86</v>
      </c>
      <c r="P69" s="23" t="n">
        <f aca="false">P$29</f>
        <v>54</v>
      </c>
      <c r="Q69" s="23" t="n">
        <f aca="false">Q$29</f>
        <v>247</v>
      </c>
      <c r="R69" s="23" t="n">
        <f aca="false">R$29</f>
        <v>61</v>
      </c>
      <c r="S69" s="23" t="n">
        <f aca="false">S$29</f>
        <v>947</v>
      </c>
      <c r="T69" s="23" t="n">
        <f aca="false">T$29</f>
        <v>56</v>
      </c>
      <c r="U69" s="23" t="n">
        <f aca="false">U$29</f>
        <v>142</v>
      </c>
      <c r="V69" s="23" t="n">
        <f aca="false">V$29</f>
        <v>138</v>
      </c>
      <c r="W69" s="23" t="n">
        <f aca="false">W$29</f>
        <v>278</v>
      </c>
      <c r="X69" s="23" t="n">
        <f aca="false">X$29</f>
        <v>2</v>
      </c>
      <c r="Y69" s="23" t="n">
        <f aca="false">Y$29</f>
        <v>426</v>
      </c>
      <c r="Z69" s="23" t="n">
        <f aca="false">Z$29</f>
        <v>1</v>
      </c>
      <c r="AA69" s="23" t="n">
        <f aca="false">AA$29</f>
        <v>4</v>
      </c>
      <c r="AB69" s="23" t="n">
        <f aca="false">AB$29</f>
        <v>47</v>
      </c>
      <c r="AC69" s="23" t="n">
        <f aca="false">AC$29</f>
        <v>36</v>
      </c>
      <c r="AD69" s="23" t="n">
        <f aca="false">AD$29</f>
        <v>47</v>
      </c>
      <c r="AE69" s="23" t="n">
        <f aca="false">AE$29</f>
        <v>43</v>
      </c>
      <c r="AF69" s="23" t="n">
        <f aca="false">AF$29</f>
        <v>1671</v>
      </c>
      <c r="AG69" s="23" t="n">
        <f aca="false">AG$29</f>
        <v>653</v>
      </c>
      <c r="AH69" s="23" t="n">
        <f aca="false">AH$29</f>
        <v>308</v>
      </c>
      <c r="AI69" s="23" t="n">
        <f aca="false">AI$29</f>
        <v>666</v>
      </c>
      <c r="AJ69" s="23" t="n">
        <f aca="false">AJ$29</f>
        <v>422</v>
      </c>
      <c r="AK69" s="23" t="n">
        <f aca="false">AK$29</f>
        <v>4</v>
      </c>
      <c r="AL69" s="23" t="n">
        <f aca="false">AL$29</f>
        <v>497</v>
      </c>
      <c r="AM69" s="23" t="n">
        <f aca="false">AM$29</f>
        <v>45</v>
      </c>
      <c r="AN69" s="23" t="n">
        <f aca="false">AN$29</f>
        <v>742</v>
      </c>
      <c r="AO69" s="23" t="n">
        <f aca="false">AO$29</f>
        <v>4</v>
      </c>
      <c r="AP69" s="23" t="n">
        <f aca="false">AP$29</f>
        <v>7</v>
      </c>
      <c r="AQ69" s="23" t="n">
        <f aca="false">AQ$29</f>
        <v>1</v>
      </c>
      <c r="AR69" s="23" t="n">
        <f aca="false">AR$29</f>
        <v>490</v>
      </c>
      <c r="AS69" s="23" t="n">
        <f aca="false">AS$29</f>
        <v>1</v>
      </c>
      <c r="AT69" s="23" t="n">
        <f aca="false">AT$29</f>
        <v>455</v>
      </c>
      <c r="AU69" s="23" t="n">
        <f aca="false">AU$29</f>
        <v>4</v>
      </c>
      <c r="AV69" s="23" t="n">
        <f aca="false">AV$29</f>
        <v>10</v>
      </c>
      <c r="AW69" s="23" t="n">
        <f aca="false">AW$29</f>
        <v>36</v>
      </c>
      <c r="AX69" s="23" t="n">
        <f aca="false">AX$29</f>
        <v>1</v>
      </c>
      <c r="AY69" s="23" t="n">
        <f aca="false">AY$29</f>
        <v>1</v>
      </c>
      <c r="AZ69" s="23" t="n">
        <f aca="false">AZ$29</f>
        <v>1</v>
      </c>
      <c r="BA69" s="23" t="n">
        <f aca="false">BA$29</f>
        <v>1</v>
      </c>
      <c r="BB69" s="23" t="n">
        <f aca="false">BB$29</f>
        <v>2</v>
      </c>
      <c r="BC69" s="23" t="n">
        <f aca="false">BC$29</f>
        <v>2</v>
      </c>
      <c r="BD69" s="23" t="n">
        <f aca="false">BD$29</f>
        <v>1</v>
      </c>
      <c r="BE69" s="23" t="n">
        <f aca="false">BE$29</f>
        <v>11</v>
      </c>
      <c r="BF69" s="23" t="n">
        <f aca="false">BF$29</f>
        <v>1</v>
      </c>
      <c r="BG69" s="23" t="n">
        <f aca="false">BG$29</f>
        <v>24</v>
      </c>
      <c r="BH69" s="23" t="n">
        <f aca="false">BH$29</f>
        <v>69</v>
      </c>
      <c r="BI69" s="23" t="n">
        <f aca="false">BI$29</f>
        <v>230</v>
      </c>
      <c r="BJ69" s="23" t="n">
        <f aca="false">BJ$29</f>
        <v>3</v>
      </c>
      <c r="BK69" s="23" t="n">
        <f aca="false">BK$29</f>
        <v>35</v>
      </c>
      <c r="BL69" s="23" t="n">
        <f aca="false">BL$29</f>
        <v>4</v>
      </c>
      <c r="BM69" s="23" t="n">
        <f aca="false">BM$29</f>
        <v>8</v>
      </c>
      <c r="BN69" s="23" t="n">
        <f aca="false">BN$29</f>
        <v>79</v>
      </c>
      <c r="BO69" s="23" t="n">
        <f aca="false">BO$29</f>
        <v>5</v>
      </c>
      <c r="BP69" s="23" t="n">
        <f aca="false">BP$29</f>
        <v>643</v>
      </c>
      <c r="BQ69" s="23" t="n">
        <f aca="false">BQ$29</f>
        <v>0</v>
      </c>
      <c r="BR69" s="23" t="n">
        <f aca="false">BR$29</f>
        <v>2</v>
      </c>
      <c r="BS69" s="23" t="n">
        <f aca="false">BS$29</f>
        <v>1</v>
      </c>
      <c r="BT69" s="23" t="n">
        <f aca="false">BT$29</f>
        <v>8</v>
      </c>
      <c r="BU69" s="23" t="n">
        <f aca="false">BU$29</f>
        <v>311</v>
      </c>
      <c r="BV69" s="23" t="n">
        <f aca="false">BV$29</f>
        <v>251</v>
      </c>
      <c r="BW69" s="23" t="n">
        <f aca="false">BW$29</f>
        <v>527</v>
      </c>
      <c r="BX69" s="23" t="n">
        <f aca="false">BX$29</f>
        <v>80</v>
      </c>
    </row>
    <row r="70" customFormat="false" ht="15" hidden="false" customHeight="false" outlineLevel="0" collapsed="false">
      <c r="A70" s="4" t="s">
        <v>745</v>
      </c>
      <c r="B70" s="81" t="s">
        <v>739</v>
      </c>
      <c r="C70" s="82" t="n">
        <f aca="false">IF(Planner!$E$24="",1000000,Planner!$E$24)</f>
        <v>1000000</v>
      </c>
      <c r="D70" s="83" t="n">
        <v>88.15515225964</v>
      </c>
      <c r="E70" s="81" t="str">
        <f aca="false">IF(D70&lt;=C70+0.000001*MAX(1,ABS(C70)),IF(ABS(D70-C70)&lt;=0.000001*MAX(1,ABS(C70)),"tight","ok"),"VIOLATED")</f>
        <v>ok</v>
      </c>
      <c r="F70" s="23" t="n">
        <f aca="false">F$25</f>
        <v>0</v>
      </c>
      <c r="G70" s="23" t="n">
        <f aca="false">G$25</f>
        <v>0</v>
      </c>
      <c r="H70" s="23" t="n">
        <f aca="false">H$25</f>
        <v>0</v>
      </c>
      <c r="I70" s="23" t="n">
        <f aca="false">I$25</f>
        <v>3.28</v>
      </c>
      <c r="J70" s="23" t="n">
        <f aca="false">J$25</f>
        <v>0</v>
      </c>
      <c r="K70" s="23" t="n">
        <f aca="false">K$25</f>
        <v>0</v>
      </c>
      <c r="L70" s="23" t="n">
        <f aca="false">L$25</f>
        <v>0</v>
      </c>
      <c r="M70" s="23" t="n">
        <f aca="false">M$25</f>
        <v>0</v>
      </c>
      <c r="N70" s="23" t="n">
        <f aca="false">N$25</f>
        <v>0</v>
      </c>
      <c r="O70" s="23" t="n">
        <f aca="false">O$25</f>
        <v>0</v>
      </c>
      <c r="P70" s="23" t="n">
        <f aca="false">P$25</f>
        <v>0</v>
      </c>
      <c r="Q70" s="23" t="n">
        <f aca="false">Q$25</f>
        <v>0</v>
      </c>
      <c r="R70" s="23" t="n">
        <f aca="false">R$25</f>
        <v>0</v>
      </c>
      <c r="S70" s="23" t="n">
        <f aca="false">S$25</f>
        <v>0</v>
      </c>
      <c r="T70" s="23" t="n">
        <f aca="false">T$25</f>
        <v>0</v>
      </c>
      <c r="U70" s="23" t="n">
        <f aca="false">U$25</f>
        <v>0.37</v>
      </c>
      <c r="V70" s="23" t="n">
        <f aca="false">V$25</f>
        <v>0.23</v>
      </c>
      <c r="W70" s="23" t="n">
        <f aca="false">W$25</f>
        <v>0</v>
      </c>
      <c r="X70" s="23" t="n">
        <f aca="false">X$25</f>
        <v>1.8</v>
      </c>
      <c r="Y70" s="23" t="n">
        <f aca="false">Y$25</f>
        <v>10.49</v>
      </c>
      <c r="Z70" s="23" t="n">
        <f aca="false">Z$25</f>
        <v>0.34</v>
      </c>
      <c r="AA70" s="23" t="n">
        <f aca="false">AA$25</f>
        <v>0.4</v>
      </c>
      <c r="AB70" s="23" t="n">
        <f aca="false">AB$25</f>
        <v>5.06</v>
      </c>
      <c r="AC70" s="23" t="n">
        <f aca="false">AC$25</f>
        <v>3.24</v>
      </c>
      <c r="AD70" s="23" t="n">
        <f aca="false">AD$25</f>
        <v>3.65</v>
      </c>
      <c r="AE70" s="23" t="n">
        <f aca="false">AE$25</f>
        <v>5.05</v>
      </c>
      <c r="AF70" s="23" t="n">
        <f aca="false">AF$25</f>
        <v>2.26</v>
      </c>
      <c r="AG70" s="23" t="n">
        <f aca="false">AG$25</f>
        <v>0.48</v>
      </c>
      <c r="AH70" s="23" t="n">
        <f aca="false">AH$25</f>
        <v>4</v>
      </c>
      <c r="AI70" s="23" t="n">
        <f aca="false">AI$25</f>
        <v>1.9</v>
      </c>
      <c r="AJ70" s="23" t="n">
        <f aca="false">AJ$25</f>
        <v>8.43</v>
      </c>
      <c r="AK70" s="23" t="n">
        <f aca="false">AK$25</f>
        <v>0.24</v>
      </c>
      <c r="AL70" s="23" t="n">
        <f aca="false">AL$25</f>
        <v>4.36</v>
      </c>
      <c r="AM70" s="23" t="n">
        <f aca="false">AM$25</f>
        <v>0.88</v>
      </c>
      <c r="AN70" s="23" t="n">
        <f aca="false">AN$25</f>
        <v>2.66</v>
      </c>
      <c r="AO70" s="23" t="n">
        <f aca="false">AO$25</f>
        <v>0.27</v>
      </c>
      <c r="AP70" s="23" t="n">
        <f aca="false">AP$25</f>
        <v>0.87</v>
      </c>
      <c r="AQ70" s="23" t="n">
        <f aca="false">AQ$25</f>
        <v>0.56</v>
      </c>
      <c r="AR70" s="23" t="n">
        <f aca="false">AR$25</f>
        <v>5.67</v>
      </c>
      <c r="AS70" s="23" t="n">
        <f aca="false">AS$25</f>
        <v>0.05</v>
      </c>
      <c r="AT70" s="23" t="n">
        <f aca="false">AT$25</f>
        <v>4.34</v>
      </c>
      <c r="AU70" s="23" t="n">
        <f aca="false">AU$25</f>
        <v>0.75</v>
      </c>
      <c r="AV70" s="23" t="n">
        <f aca="false">AV$25</f>
        <v>1.18</v>
      </c>
      <c r="AW70" s="23" t="n">
        <f aca="false">AW$25</f>
        <v>6.48</v>
      </c>
      <c r="AX70" s="23" t="n">
        <f aca="false">AX$25</f>
        <v>3.07</v>
      </c>
      <c r="AY70" s="23" t="n">
        <f aca="false">AY$25</f>
        <v>10.39</v>
      </c>
      <c r="AZ70" s="23" t="n">
        <f aca="false">AZ$25</f>
        <v>12.23</v>
      </c>
      <c r="BA70" s="23" t="n">
        <f aca="false">BA$25</f>
        <v>8.45</v>
      </c>
      <c r="BB70" s="23" t="n">
        <f aca="false">BB$25</f>
        <v>15.48</v>
      </c>
      <c r="BC70" s="23" t="n">
        <f aca="false">BC$25</f>
        <v>8.31</v>
      </c>
      <c r="BD70" s="23" t="n">
        <f aca="false">BD$25</f>
        <v>8.5</v>
      </c>
      <c r="BE70" s="23" t="n">
        <f aca="false">BE$25</f>
        <v>59.19</v>
      </c>
      <c r="BF70" s="23" t="n">
        <f aca="false">BF$25</f>
        <v>4.89</v>
      </c>
      <c r="BG70" s="23" t="n">
        <f aca="false">BG$25</f>
        <v>1.47</v>
      </c>
      <c r="BH70" s="23" t="n">
        <f aca="false">BH$25</f>
        <v>4.74</v>
      </c>
      <c r="BI70" s="23" t="n">
        <f aca="false">BI$25</f>
        <v>0.78</v>
      </c>
      <c r="BJ70" s="23" t="n">
        <f aca="false">BJ$25</f>
        <v>2.4</v>
      </c>
      <c r="BK70" s="23" t="n">
        <f aca="false">BK$25</f>
        <v>3.12</v>
      </c>
      <c r="BL70" s="23" t="n">
        <f aca="false">BL$25</f>
        <v>4.24</v>
      </c>
      <c r="BM70" s="23" t="n">
        <f aca="false">BM$25</f>
        <v>1.19</v>
      </c>
      <c r="BN70" s="23" t="n">
        <f aca="false">BN$25</f>
        <v>0.42</v>
      </c>
      <c r="BO70" s="23" t="n">
        <f aca="false">BO$25</f>
        <v>2.63</v>
      </c>
      <c r="BP70" s="23" t="n">
        <f aca="false">BP$25</f>
        <v>0.06</v>
      </c>
      <c r="BQ70" s="23" t="n">
        <f aca="false">BQ$25</f>
        <v>0</v>
      </c>
      <c r="BR70" s="23" t="n">
        <f aca="false">BR$25</f>
        <v>0</v>
      </c>
      <c r="BS70" s="23" t="n">
        <f aca="false">BS$25</f>
        <v>4.35</v>
      </c>
      <c r="BT70" s="23" t="n">
        <f aca="false">BT$25</f>
        <v>0.3</v>
      </c>
      <c r="BU70" s="23" t="n">
        <f aca="false">BU$25</f>
        <v>32.9</v>
      </c>
      <c r="BV70" s="23" t="n">
        <f aca="false">BV$25</f>
        <v>28.92</v>
      </c>
      <c r="BW70" s="23" t="n">
        <f aca="false">BW$25</f>
        <v>0.33</v>
      </c>
      <c r="BX70" s="23" t="n">
        <f aca="false">BX$25</f>
        <v>21.22</v>
      </c>
    </row>
    <row r="71" customFormat="false" ht="15" hidden="false" customHeight="false" outlineLevel="0" collapsed="false">
      <c r="A71" s="4" t="s">
        <v>746</v>
      </c>
      <c r="B71" s="81" t="s">
        <v>747</v>
      </c>
      <c r="C71" s="82" t="n">
        <f aca="false">Planner!$E$16*Planner!$D$45</f>
        <v>909</v>
      </c>
      <c r="D71" s="83" t="n">
        <v>615.8985135275</v>
      </c>
      <c r="E71" s="81" t="str">
        <f aca="false">IF(D71&lt;=C71+0.000001*MAX(1,ABS(C71)),IF(ABS(D71-C71)&lt;=0.000001*MAX(1,ABS(C71)),"tight","ok"),"VIOLATED")</f>
        <v>ok</v>
      </c>
      <c r="F71" s="23" t="n">
        <f aca="false">F$20*F$33</f>
        <v>0</v>
      </c>
      <c r="G71" s="23" t="n">
        <f aca="false">G$20*G$33</f>
        <v>0</v>
      </c>
      <c r="H71" s="23" t="n">
        <f aca="false">H$20*H$33</f>
        <v>0</v>
      </c>
      <c r="I71" s="23" t="n">
        <f aca="false">I$20*I$33</f>
        <v>0</v>
      </c>
      <c r="J71" s="23" t="n">
        <f aca="false">J$20*J$33</f>
        <v>0</v>
      </c>
      <c r="K71" s="23" t="n">
        <f aca="false">K$20*K$33</f>
        <v>468</v>
      </c>
      <c r="L71" s="23" t="n">
        <f aca="false">L$20*L$33</f>
        <v>0</v>
      </c>
      <c r="M71" s="23" t="n">
        <f aca="false">M$20*M$33</f>
        <v>0</v>
      </c>
      <c r="N71" s="23" t="n">
        <f aca="false">N$20*N$33</f>
        <v>0</v>
      </c>
      <c r="O71" s="23" t="n">
        <f aca="false">O$20*O$33</f>
        <v>0</v>
      </c>
      <c r="P71" s="23" t="n">
        <f aca="false">P$20*P$33</f>
        <v>0</v>
      </c>
      <c r="Q71" s="23" t="n">
        <f aca="false">Q$20*Q$33</f>
        <v>0</v>
      </c>
      <c r="R71" s="23" t="n">
        <f aca="false">R$20*R$33</f>
        <v>0</v>
      </c>
      <c r="S71" s="23" t="n">
        <f aca="false">S$20*S$33</f>
        <v>0</v>
      </c>
      <c r="T71" s="23" t="n">
        <f aca="false">T$20*T$33</f>
        <v>0</v>
      </c>
      <c r="U71" s="23" t="n">
        <f aca="false">U$20*U$33</f>
        <v>143</v>
      </c>
      <c r="V71" s="23" t="n">
        <f aca="false">V$20*V$33</f>
        <v>0</v>
      </c>
      <c r="W71" s="23" t="n">
        <f aca="false">W$20*W$33</f>
        <v>0</v>
      </c>
      <c r="X71" s="23" t="n">
        <f aca="false">X$20*X$33</f>
        <v>0</v>
      </c>
      <c r="Y71" s="23" t="n">
        <f aca="false">Y$20*Y$33</f>
        <v>299</v>
      </c>
      <c r="Z71" s="23" t="n">
        <f aca="false">Z$20*Z$33</f>
        <v>0</v>
      </c>
      <c r="AA71" s="23" t="n">
        <f aca="false">AA$20*AA$33</f>
        <v>0</v>
      </c>
      <c r="AB71" s="23" t="n">
        <f aca="false">AB$20*AB$33</f>
        <v>25</v>
      </c>
      <c r="AC71" s="23" t="n">
        <f aca="false">AC$20*AC$33</f>
        <v>29.5</v>
      </c>
      <c r="AD71" s="23" t="n">
        <f aca="false">AD$20*AD$33</f>
        <v>21.5</v>
      </c>
      <c r="AE71" s="23" t="n">
        <f aca="false">AE$20*AE$33</f>
        <v>30.5</v>
      </c>
      <c r="AF71" s="23" t="n">
        <f aca="false">AF$20*AF$33</f>
        <v>0</v>
      </c>
      <c r="AG71" s="23" t="n">
        <f aca="false">AG$20*AG$33</f>
        <v>0</v>
      </c>
      <c r="AH71" s="23" t="n">
        <f aca="false">AH$20*AH$33</f>
        <v>0</v>
      </c>
      <c r="AI71" s="23" t="n">
        <f aca="false">AI$20*AI$33</f>
        <v>0</v>
      </c>
      <c r="AJ71" s="23" t="n">
        <f aca="false">AJ$20*AJ$33</f>
        <v>264</v>
      </c>
      <c r="AK71" s="23" t="n">
        <f aca="false">AK$20*AK$33</f>
        <v>0</v>
      </c>
      <c r="AL71" s="23" t="n">
        <f aca="false">AL$20*AL$33</f>
        <v>376</v>
      </c>
      <c r="AM71" s="23" t="n">
        <f aca="false">AM$20*AM$33</f>
        <v>0</v>
      </c>
      <c r="AN71" s="23" t="n">
        <f aca="false">AN$20*AN$33</f>
        <v>0</v>
      </c>
      <c r="AO71" s="23" t="n">
        <f aca="false">AO$20*AO$33</f>
        <v>71</v>
      </c>
      <c r="AP71" s="23" t="n">
        <f aca="false">AP$20*AP$33</f>
        <v>0</v>
      </c>
      <c r="AQ71" s="23" t="n">
        <f aca="false">AQ$20*AQ$33</f>
        <v>0</v>
      </c>
      <c r="AR71" s="23" t="n">
        <f aca="false">AR$20*AR$33</f>
        <v>133</v>
      </c>
      <c r="AS71" s="23" t="n">
        <f aca="false">AS$20*AS$33</f>
        <v>0</v>
      </c>
      <c r="AT71" s="23" t="n">
        <f aca="false">AT$20*AT$33</f>
        <v>126</v>
      </c>
      <c r="AU71" s="23" t="n">
        <f aca="false">AU$20*AU$33</f>
        <v>0</v>
      </c>
      <c r="AV71" s="23" t="n">
        <f aca="false">AV$20*AV$33</f>
        <v>0</v>
      </c>
      <c r="AW71" s="23" t="n">
        <f aca="false">AW$20*AW$33</f>
        <v>0</v>
      </c>
      <c r="AX71" s="23" t="n">
        <f aca="false">AX$20*AX$33</f>
        <v>0</v>
      </c>
      <c r="AY71" s="23" t="n">
        <f aca="false">AY$20*AY$33</f>
        <v>0</v>
      </c>
      <c r="AZ71" s="23" t="n">
        <f aca="false">AZ$20*AZ$33</f>
        <v>44.5</v>
      </c>
      <c r="BA71" s="23" t="n">
        <f aca="false">BA$20*BA$33</f>
        <v>51</v>
      </c>
      <c r="BB71" s="23" t="n">
        <f aca="false">BB$20*BB$33</f>
        <v>0</v>
      </c>
      <c r="BC71" s="23" t="n">
        <f aca="false">BC$20*BC$33</f>
        <v>49</v>
      </c>
      <c r="BD71" s="23" t="n">
        <f aca="false">BD$20*BD$33</f>
        <v>0</v>
      </c>
      <c r="BE71" s="23" t="n">
        <f aca="false">BE$20*BE$33</f>
        <v>0</v>
      </c>
      <c r="BF71" s="23" t="n">
        <f aca="false">BF$20*BF$33</f>
        <v>16</v>
      </c>
      <c r="BG71" s="23" t="n">
        <f aca="false">BG$20*BG$33</f>
        <v>0</v>
      </c>
      <c r="BH71" s="23" t="n">
        <f aca="false">BH$20*BH$33</f>
        <v>0</v>
      </c>
      <c r="BI71" s="23" t="n">
        <f aca="false">BI$20*BI$33</f>
        <v>0</v>
      </c>
      <c r="BJ71" s="23" t="n">
        <f aca="false">BJ$20*BJ$33</f>
        <v>0</v>
      </c>
      <c r="BK71" s="23" t="n">
        <f aca="false">BK$20*BK$33</f>
        <v>0</v>
      </c>
      <c r="BL71" s="23" t="n">
        <f aca="false">BL$20*BL$33</f>
        <v>0</v>
      </c>
      <c r="BM71" s="23" t="n">
        <f aca="false">BM$20*BM$33</f>
        <v>0</v>
      </c>
      <c r="BN71" s="23" t="n">
        <f aca="false">BN$20*BN$33</f>
        <v>0</v>
      </c>
      <c r="BO71" s="23" t="n">
        <f aca="false">BO$20*BO$33</f>
        <v>0</v>
      </c>
      <c r="BP71" s="23" t="n">
        <f aca="false">BP$20*BP$33</f>
        <v>358.5</v>
      </c>
      <c r="BQ71" s="23" t="n">
        <f aca="false">BQ$20*BQ$33</f>
        <v>0</v>
      </c>
      <c r="BR71" s="23" t="n">
        <f aca="false">BR$20*BR$33</f>
        <v>0</v>
      </c>
      <c r="BS71" s="23" t="n">
        <f aca="false">BS$20*BS$33</f>
        <v>0</v>
      </c>
      <c r="BT71" s="23" t="n">
        <f aca="false">BT$20*BT$33</f>
        <v>0</v>
      </c>
      <c r="BU71" s="23" t="n">
        <f aca="false">BU$20*BU$33</f>
        <v>0</v>
      </c>
      <c r="BV71" s="23" t="n">
        <f aca="false">BV$20*BV$33</f>
        <v>0</v>
      </c>
      <c r="BW71" s="23" t="n">
        <f aca="false">BW$20*BW$33</f>
        <v>0</v>
      </c>
      <c r="BX71" s="23" t="n">
        <f aca="false">BX$20*BX$33</f>
        <v>0</v>
      </c>
    </row>
    <row r="72" customFormat="false" ht="15" hidden="false" customHeight="false" outlineLevel="0" collapsed="false">
      <c r="A72" s="4" t="s">
        <v>748</v>
      </c>
      <c r="B72" s="81" t="s">
        <v>747</v>
      </c>
      <c r="C72" s="82" t="n">
        <f aca="false">Planner!$E$16*Planner!$D$46</f>
        <v>1060.5</v>
      </c>
      <c r="D72" s="83" t="n">
        <v>1060.4999998985</v>
      </c>
      <c r="E72" s="81" t="str">
        <f aca="false">IF(D72&lt;=C72+0.000001*MAX(1,ABS(C72)),IF(ABS(D72-C72)&lt;=0.000001*MAX(1,ABS(C72)),"tight","ok"),"VIOLATED")</f>
        <v>tight</v>
      </c>
      <c r="F72" s="23" t="n">
        <f aca="false">F$20*F$34</f>
        <v>82.5</v>
      </c>
      <c r="G72" s="23" t="n">
        <f aca="false">G$20*G$34</f>
        <v>95.5</v>
      </c>
      <c r="H72" s="23" t="n">
        <f aca="false">H$20*H$34</f>
        <v>89.5</v>
      </c>
      <c r="I72" s="23" t="n">
        <f aca="false">I$20*I$34</f>
        <v>100</v>
      </c>
      <c r="J72" s="23" t="n">
        <f aca="false">J$20*J$34</f>
        <v>106.5</v>
      </c>
      <c r="K72" s="23" t="n">
        <f aca="false">K$20*K$34</f>
        <v>0</v>
      </c>
      <c r="L72" s="23" t="n">
        <f aca="false">L$20*L$34</f>
        <v>136</v>
      </c>
      <c r="M72" s="23" t="n">
        <f aca="false">M$20*M$34</f>
        <v>104.5</v>
      </c>
      <c r="N72" s="23" t="n">
        <f aca="false">N$20*N$34</f>
        <v>163</v>
      </c>
      <c r="O72" s="23" t="n">
        <f aca="false">O$20*O$34</f>
        <v>114.5</v>
      </c>
      <c r="P72" s="23" t="n">
        <f aca="false">P$20*P$34</f>
        <v>0</v>
      </c>
      <c r="Q72" s="23" t="n">
        <f aca="false">Q$20*Q$34</f>
        <v>86</v>
      </c>
      <c r="R72" s="23" t="n">
        <f aca="false">R$20*R$34</f>
        <v>0</v>
      </c>
      <c r="S72" s="23" t="n">
        <f aca="false">S$20*S$34</f>
        <v>0</v>
      </c>
      <c r="T72" s="23" t="n">
        <f aca="false">T$20*T$34</f>
        <v>64</v>
      </c>
      <c r="U72" s="23" t="n">
        <f aca="false">U$20*U$34</f>
        <v>0</v>
      </c>
      <c r="V72" s="23" t="n">
        <f aca="false">V$20*V$34</f>
        <v>45.5</v>
      </c>
      <c r="W72" s="23" t="n">
        <f aca="false">W$20*W$34</f>
        <v>44</v>
      </c>
      <c r="X72" s="23" t="n">
        <f aca="false">X$20*X$34</f>
        <v>58</v>
      </c>
      <c r="Y72" s="23" t="n">
        <f aca="false">Y$20*Y$34</f>
        <v>0</v>
      </c>
      <c r="Z72" s="23" t="n">
        <f aca="false">Z$20*Z$34</f>
        <v>71.5</v>
      </c>
      <c r="AA72" s="23" t="n">
        <f aca="false">AA$20*AA$34</f>
        <v>49</v>
      </c>
      <c r="AB72" s="23" t="n">
        <f aca="false">AB$20*AB$34</f>
        <v>0</v>
      </c>
      <c r="AC72" s="23" t="n">
        <f aca="false">AC$20*AC$34</f>
        <v>0</v>
      </c>
      <c r="AD72" s="23" t="n">
        <f aca="false">AD$20*AD$34</f>
        <v>0</v>
      </c>
      <c r="AE72" s="23" t="n">
        <f aca="false">AE$20*AE$34</f>
        <v>0</v>
      </c>
      <c r="AF72" s="23" t="n">
        <f aca="false">AF$20*AF$34</f>
        <v>366</v>
      </c>
      <c r="AG72" s="23" t="n">
        <f aca="false">AG$20*AG$34</f>
        <v>202</v>
      </c>
      <c r="AH72" s="23" t="n">
        <f aca="false">AH$20*AH$34</f>
        <v>40.5</v>
      </c>
      <c r="AI72" s="23" t="n">
        <f aca="false">AI$20*AI$34</f>
        <v>0</v>
      </c>
      <c r="AJ72" s="23" t="n">
        <f aca="false">AJ$20*AJ$34</f>
        <v>0</v>
      </c>
      <c r="AK72" s="23" t="n">
        <f aca="false">AK$20*AK$34</f>
        <v>61.5</v>
      </c>
      <c r="AL72" s="23" t="n">
        <f aca="false">AL$20*AL$34</f>
        <v>0</v>
      </c>
      <c r="AM72" s="23" t="n">
        <f aca="false">AM$20*AM$34</f>
        <v>109</v>
      </c>
      <c r="AN72" s="23" t="n">
        <f aca="false">AN$20*AN$34</f>
        <v>148.5</v>
      </c>
      <c r="AO72" s="23" t="n">
        <f aca="false">AO$20*AO$34</f>
        <v>0</v>
      </c>
      <c r="AP72" s="23" t="n">
        <f aca="false">AP$20*AP$34</f>
        <v>60</v>
      </c>
      <c r="AQ72" s="23" t="n">
        <f aca="false">AQ$20*AQ$34</f>
        <v>79</v>
      </c>
      <c r="AR72" s="23" t="n">
        <f aca="false">AR$20*AR$34</f>
        <v>133</v>
      </c>
      <c r="AS72" s="23" t="n">
        <f aca="false">AS$20*AS$34</f>
        <v>65</v>
      </c>
      <c r="AT72" s="23" t="n">
        <f aca="false">AT$20*AT$34</f>
        <v>126</v>
      </c>
      <c r="AU72" s="23" t="n">
        <f aca="false">AU$20*AU$34</f>
        <v>74.5</v>
      </c>
      <c r="AV72" s="23" t="n">
        <f aca="false">AV$20*AV$34</f>
        <v>46.5</v>
      </c>
      <c r="AW72" s="23" t="n">
        <f aca="false">AW$20*AW$34</f>
        <v>45</v>
      </c>
      <c r="AX72" s="23" t="n">
        <f aca="false">AX$20*AX$34</f>
        <v>40.5</v>
      </c>
      <c r="AY72" s="23" t="n">
        <f aca="false">AY$20*AY$34</f>
        <v>26</v>
      </c>
      <c r="AZ72" s="23" t="n">
        <f aca="false">AZ$20*AZ$34</f>
        <v>0</v>
      </c>
      <c r="BA72" s="23" t="n">
        <f aca="false">BA$20*BA$34</f>
        <v>0</v>
      </c>
      <c r="BB72" s="23" t="n">
        <f aca="false">BB$20*BB$34</f>
        <v>0</v>
      </c>
      <c r="BC72" s="23" t="n">
        <f aca="false">BC$20*BC$34</f>
        <v>0</v>
      </c>
      <c r="BD72" s="23" t="n">
        <f aca="false">BD$20*BD$34</f>
        <v>24.5</v>
      </c>
      <c r="BE72" s="23" t="n">
        <f aca="false">BE$20*BE$34</f>
        <v>0</v>
      </c>
      <c r="BF72" s="23" t="n">
        <f aca="false">BF$20*BF$34</f>
        <v>0</v>
      </c>
      <c r="BG72" s="23" t="n">
        <f aca="false">BG$20*BG$34</f>
        <v>14</v>
      </c>
      <c r="BH72" s="23" t="n">
        <f aca="false">BH$20*BH$34</f>
        <v>20.5</v>
      </c>
      <c r="BI72" s="23" t="n">
        <f aca="false">BI$20*BI$34</f>
        <v>11</v>
      </c>
      <c r="BJ72" s="23" t="n">
        <f aca="false">BJ$20*BJ$34</f>
        <v>10</v>
      </c>
      <c r="BK72" s="23" t="n">
        <f aca="false">BK$20*BK$34</f>
        <v>32.5</v>
      </c>
      <c r="BL72" s="23" t="n">
        <f aca="false">BL$20*BL$34</f>
        <v>20</v>
      </c>
      <c r="BM72" s="23" t="n">
        <f aca="false">BM$20*BM$34</f>
        <v>8.5</v>
      </c>
      <c r="BN72" s="23" t="n">
        <f aca="false">BN$20*BN$34</f>
        <v>11.5</v>
      </c>
      <c r="BO72" s="23" t="n">
        <f aca="false">BO$20*BO$34</f>
        <v>9</v>
      </c>
      <c r="BP72" s="23" t="n">
        <f aca="false">BP$20*BP$34</f>
        <v>0</v>
      </c>
      <c r="BQ72" s="23" t="n">
        <f aca="false">BQ$20*BQ$34</f>
        <v>442</v>
      </c>
      <c r="BR72" s="23" t="n">
        <f aca="false">BR$20*BR$34</f>
        <v>442</v>
      </c>
      <c r="BS72" s="23" t="n">
        <f aca="false">BS$20*BS$34</f>
        <v>0</v>
      </c>
      <c r="BT72" s="23" t="n">
        <f aca="false">BT$20*BT$34</f>
        <v>83.5</v>
      </c>
      <c r="BU72" s="23" t="n">
        <f aca="false">BU$20*BU$34</f>
        <v>0</v>
      </c>
      <c r="BV72" s="23" t="n">
        <f aca="false">BV$20*BV$34</f>
        <v>0</v>
      </c>
      <c r="BW72" s="23" t="n">
        <f aca="false">BW$20*BW$34</f>
        <v>0</v>
      </c>
      <c r="BX72" s="23" t="n">
        <f aca="false">BX$20*BX$34</f>
        <v>0</v>
      </c>
    </row>
    <row r="73" customFormat="false" ht="15" hidden="false" customHeight="false" outlineLevel="0" collapsed="false">
      <c r="A73" s="4" t="s">
        <v>749</v>
      </c>
      <c r="B73" s="81" t="s">
        <v>747</v>
      </c>
      <c r="C73" s="82" t="n">
        <f aca="false">Planner!$E$16*Planner!$D$47</f>
        <v>1212</v>
      </c>
      <c r="D73" s="83" t="n">
        <v>821.2398235945</v>
      </c>
      <c r="E73" s="81" t="str">
        <f aca="false">IF(D73&lt;=C73+0.000001*MAX(1,ABS(C73)),IF(ABS(D73-C73)&lt;=0.000001*MAX(1,ABS(C73)),"tight","ok"),"VIOLATED")</f>
        <v>ok</v>
      </c>
      <c r="F73" s="23" t="n">
        <f aca="false">F$20*F$35</f>
        <v>82.5</v>
      </c>
      <c r="G73" s="23" t="n">
        <f aca="false">G$20*G$35</f>
        <v>95.5</v>
      </c>
      <c r="H73" s="23" t="n">
        <f aca="false">H$20*H$35</f>
        <v>89.5</v>
      </c>
      <c r="I73" s="23" t="n">
        <f aca="false">I$20*I$35</f>
        <v>0</v>
      </c>
      <c r="J73" s="23" t="n">
        <f aca="false">J$20*J$35</f>
        <v>106.5</v>
      </c>
      <c r="K73" s="23" t="n">
        <f aca="false">K$20*K$35</f>
        <v>0</v>
      </c>
      <c r="L73" s="23" t="n">
        <f aca="false">L$20*L$35</f>
        <v>136</v>
      </c>
      <c r="M73" s="23" t="n">
        <f aca="false">M$20*M$35</f>
        <v>104.5</v>
      </c>
      <c r="N73" s="23" t="n">
        <f aca="false">N$20*N$35</f>
        <v>0</v>
      </c>
      <c r="O73" s="23" t="n">
        <f aca="false">O$20*O$35</f>
        <v>114.5</v>
      </c>
      <c r="P73" s="23" t="n">
        <f aca="false">P$20*P$35</f>
        <v>257</v>
      </c>
      <c r="Q73" s="23" t="n">
        <f aca="false">Q$20*Q$35</f>
        <v>0</v>
      </c>
      <c r="R73" s="23" t="n">
        <f aca="false">R$20*R$35</f>
        <v>206</v>
      </c>
      <c r="S73" s="23" t="n">
        <f aca="false">S$20*S$35</f>
        <v>119</v>
      </c>
      <c r="T73" s="23" t="n">
        <f aca="false">T$20*T$35</f>
        <v>64</v>
      </c>
      <c r="U73" s="23" t="n">
        <f aca="false">U$20*U$35</f>
        <v>0</v>
      </c>
      <c r="V73" s="23" t="n">
        <f aca="false">V$20*V$35</f>
        <v>45.5</v>
      </c>
      <c r="W73" s="23" t="n">
        <f aca="false">W$20*W$35</f>
        <v>44</v>
      </c>
      <c r="X73" s="23" t="n">
        <f aca="false">X$20*X$35</f>
        <v>58</v>
      </c>
      <c r="Y73" s="23" t="n">
        <f aca="false">Y$20*Y$35</f>
        <v>0</v>
      </c>
      <c r="Z73" s="23" t="n">
        <f aca="false">Z$20*Z$35</f>
        <v>71.5</v>
      </c>
      <c r="AA73" s="23" t="n">
        <f aca="false">AA$20*AA$35</f>
        <v>49</v>
      </c>
      <c r="AB73" s="23" t="n">
        <f aca="false">AB$20*AB$35</f>
        <v>0</v>
      </c>
      <c r="AC73" s="23" t="n">
        <f aca="false">AC$20*AC$35</f>
        <v>0</v>
      </c>
      <c r="AD73" s="23" t="n">
        <f aca="false">AD$20*AD$35</f>
        <v>0</v>
      </c>
      <c r="AE73" s="23" t="n">
        <f aca="false">AE$20*AE$35</f>
        <v>0</v>
      </c>
      <c r="AF73" s="23" t="n">
        <f aca="false">AF$20*AF$35</f>
        <v>0</v>
      </c>
      <c r="AG73" s="23" t="n">
        <f aca="false">AG$20*AG$35</f>
        <v>202</v>
      </c>
      <c r="AH73" s="23" t="n">
        <f aca="false">AH$20*AH$35</f>
        <v>0</v>
      </c>
      <c r="AI73" s="23" t="n">
        <f aca="false">AI$20*AI$35</f>
        <v>0</v>
      </c>
      <c r="AJ73" s="23" t="n">
        <f aca="false">AJ$20*AJ$35</f>
        <v>0</v>
      </c>
      <c r="AK73" s="23" t="n">
        <f aca="false">AK$20*AK$35</f>
        <v>61.5</v>
      </c>
      <c r="AL73" s="23" t="n">
        <f aca="false">AL$20*AL$35</f>
        <v>0</v>
      </c>
      <c r="AM73" s="23" t="n">
        <f aca="false">AM$20*AM$35</f>
        <v>109</v>
      </c>
      <c r="AN73" s="23" t="n">
        <f aca="false">AN$20*AN$35</f>
        <v>148.5</v>
      </c>
      <c r="AO73" s="23" t="n">
        <f aca="false">AO$20*AO$35</f>
        <v>0</v>
      </c>
      <c r="AP73" s="23" t="n">
        <f aca="false">AP$20*AP$35</f>
        <v>60</v>
      </c>
      <c r="AQ73" s="23" t="n">
        <f aca="false">AQ$20*AQ$35</f>
        <v>79</v>
      </c>
      <c r="AR73" s="23" t="n">
        <f aca="false">AR$20*AR$35</f>
        <v>0</v>
      </c>
      <c r="AS73" s="23" t="n">
        <f aca="false">AS$20*AS$35</f>
        <v>65</v>
      </c>
      <c r="AT73" s="23" t="n">
        <f aca="false">AT$20*AT$35</f>
        <v>0</v>
      </c>
      <c r="AU73" s="23" t="n">
        <f aca="false">AU$20*AU$35</f>
        <v>74.5</v>
      </c>
      <c r="AV73" s="23" t="n">
        <f aca="false">AV$20*AV$35</f>
        <v>46.5</v>
      </c>
      <c r="AW73" s="23" t="n">
        <f aca="false">AW$20*AW$35</f>
        <v>45</v>
      </c>
      <c r="AX73" s="23" t="n">
        <f aca="false">AX$20*AX$35</f>
        <v>40.5</v>
      </c>
      <c r="AY73" s="23" t="n">
        <f aca="false">AY$20*AY$35</f>
        <v>0</v>
      </c>
      <c r="AZ73" s="23" t="n">
        <f aca="false">AZ$20*AZ$35</f>
        <v>0</v>
      </c>
      <c r="BA73" s="23" t="n">
        <f aca="false">BA$20*BA$35</f>
        <v>0</v>
      </c>
      <c r="BB73" s="23" t="n">
        <f aca="false">BB$20*BB$35</f>
        <v>0</v>
      </c>
      <c r="BC73" s="23" t="n">
        <f aca="false">BC$20*BC$35</f>
        <v>0</v>
      </c>
      <c r="BD73" s="23" t="n">
        <f aca="false">BD$20*BD$35</f>
        <v>0</v>
      </c>
      <c r="BE73" s="23" t="n">
        <f aca="false">BE$20*BE$35</f>
        <v>0</v>
      </c>
      <c r="BF73" s="23" t="n">
        <f aca="false">BF$20*BF$35</f>
        <v>0</v>
      </c>
      <c r="BG73" s="23" t="n">
        <f aca="false">BG$20*BG$35</f>
        <v>14</v>
      </c>
      <c r="BH73" s="23" t="n">
        <f aca="false">BH$20*BH$35</f>
        <v>0</v>
      </c>
      <c r="BI73" s="23" t="n">
        <f aca="false">BI$20*BI$35</f>
        <v>11</v>
      </c>
      <c r="BJ73" s="23" t="n">
        <f aca="false">BJ$20*BJ$35</f>
        <v>10</v>
      </c>
      <c r="BK73" s="23" t="n">
        <f aca="false">BK$20*BK$35</f>
        <v>32.5</v>
      </c>
      <c r="BL73" s="23" t="n">
        <f aca="false">BL$20*BL$35</f>
        <v>20</v>
      </c>
      <c r="BM73" s="23" t="n">
        <f aca="false">BM$20*BM$35</f>
        <v>8.5</v>
      </c>
      <c r="BN73" s="23" t="n">
        <f aca="false">BN$20*BN$35</f>
        <v>11.5</v>
      </c>
      <c r="BO73" s="23" t="n">
        <f aca="false">BO$20*BO$35</f>
        <v>9</v>
      </c>
      <c r="BP73" s="23" t="n">
        <f aca="false">BP$20*BP$35</f>
        <v>358.5</v>
      </c>
      <c r="BQ73" s="23" t="n">
        <f aca="false">BQ$20*BQ$35</f>
        <v>442</v>
      </c>
      <c r="BR73" s="23" t="n">
        <f aca="false">BR$20*BR$35</f>
        <v>442</v>
      </c>
      <c r="BS73" s="23" t="n">
        <f aca="false">BS$20*BS$35</f>
        <v>0</v>
      </c>
      <c r="BT73" s="23" t="n">
        <f aca="false">BT$20*BT$35</f>
        <v>83.5</v>
      </c>
      <c r="BU73" s="23" t="n">
        <f aca="false">BU$20*BU$35</f>
        <v>0</v>
      </c>
      <c r="BV73" s="23" t="n">
        <f aca="false">BV$20*BV$35</f>
        <v>0</v>
      </c>
      <c r="BW73" s="23" t="n">
        <f aca="false">BW$20*BW$35</f>
        <v>0</v>
      </c>
      <c r="BX73" s="23" t="n">
        <f aca="false">BX$20*BX$35</f>
        <v>0</v>
      </c>
    </row>
    <row r="74" customFormat="false" ht="15" hidden="false" customHeight="false" outlineLevel="0" collapsed="false">
      <c r="A74" s="4" t="s">
        <v>750</v>
      </c>
      <c r="B74" s="81" t="s">
        <v>747</v>
      </c>
      <c r="C74" s="82" t="n">
        <f aca="false">Planner!$E$16*Planner!$D$48</f>
        <v>606</v>
      </c>
      <c r="D74" s="83" t="n">
        <v>447.9397526985</v>
      </c>
      <c r="E74" s="81" t="str">
        <f aca="false">IF(D74&lt;=C74+0.000001*MAX(1,ABS(C74)),IF(ABS(D74-C74)&lt;=0.000001*MAX(1,ABS(C74)),"tight","ok"),"VIOLATED")</f>
        <v>ok</v>
      </c>
      <c r="F74" s="23" t="n">
        <f aca="false">F$20*F$36</f>
        <v>0</v>
      </c>
      <c r="G74" s="23" t="n">
        <f aca="false">G$20*G$36</f>
        <v>0</v>
      </c>
      <c r="H74" s="23" t="n">
        <f aca="false">H$20*H$36</f>
        <v>0</v>
      </c>
      <c r="I74" s="23" t="n">
        <f aca="false">I$20*I$36</f>
        <v>0</v>
      </c>
      <c r="J74" s="23" t="n">
        <f aca="false">J$20*J$36</f>
        <v>0</v>
      </c>
      <c r="K74" s="23" t="n">
        <f aca="false">K$20*K$36</f>
        <v>0</v>
      </c>
      <c r="L74" s="23" t="n">
        <f aca="false">L$20*L$36</f>
        <v>0</v>
      </c>
      <c r="M74" s="23" t="n">
        <f aca="false">M$20*M$36</f>
        <v>0</v>
      </c>
      <c r="N74" s="23" t="n">
        <f aca="false">N$20*N$36</f>
        <v>0</v>
      </c>
      <c r="O74" s="23" t="n">
        <f aca="false">O$20*O$36</f>
        <v>0</v>
      </c>
      <c r="P74" s="23" t="n">
        <f aca="false">P$20*P$36</f>
        <v>0</v>
      </c>
      <c r="Q74" s="23" t="n">
        <f aca="false">Q$20*Q$36</f>
        <v>0</v>
      </c>
      <c r="R74" s="23" t="n">
        <f aca="false">R$20*R$36</f>
        <v>0</v>
      </c>
      <c r="S74" s="23" t="n">
        <f aca="false">S$20*S$36</f>
        <v>0</v>
      </c>
      <c r="T74" s="23" t="n">
        <f aca="false">T$20*T$36</f>
        <v>0</v>
      </c>
      <c r="U74" s="23" t="n">
        <f aca="false">U$20*U$36</f>
        <v>0</v>
      </c>
      <c r="V74" s="23" t="n">
        <f aca="false">V$20*V$36</f>
        <v>0</v>
      </c>
      <c r="W74" s="23" t="n">
        <f aca="false">W$20*W$36</f>
        <v>0</v>
      </c>
      <c r="X74" s="23" t="n">
        <f aca="false">X$20*X$36</f>
        <v>0</v>
      </c>
      <c r="Y74" s="23" t="n">
        <f aca="false">Y$20*Y$36</f>
        <v>299</v>
      </c>
      <c r="Z74" s="23" t="n">
        <f aca="false">Z$20*Z$36</f>
        <v>0</v>
      </c>
      <c r="AA74" s="23" t="n">
        <f aca="false">AA$20*AA$36</f>
        <v>0</v>
      </c>
      <c r="AB74" s="23" t="n">
        <f aca="false">AB$20*AB$36</f>
        <v>25</v>
      </c>
      <c r="AC74" s="23" t="n">
        <f aca="false">AC$20*AC$36</f>
        <v>29.5</v>
      </c>
      <c r="AD74" s="23" t="n">
        <f aca="false">AD$20*AD$36</f>
        <v>21.5</v>
      </c>
      <c r="AE74" s="23" t="n">
        <f aca="false">AE$20*AE$36</f>
        <v>30.5</v>
      </c>
      <c r="AF74" s="23" t="n">
        <f aca="false">AF$20*AF$36</f>
        <v>0</v>
      </c>
      <c r="AG74" s="23" t="n">
        <f aca="false">AG$20*AG$36</f>
        <v>0</v>
      </c>
      <c r="AH74" s="23" t="n">
        <f aca="false">AH$20*AH$36</f>
        <v>40.5</v>
      </c>
      <c r="AI74" s="23" t="n">
        <f aca="false">AI$20*AI$36</f>
        <v>295</v>
      </c>
      <c r="AJ74" s="23" t="n">
        <f aca="false">AJ$20*AJ$36</f>
        <v>0</v>
      </c>
      <c r="AK74" s="23" t="n">
        <f aca="false">AK$20*AK$36</f>
        <v>0</v>
      </c>
      <c r="AL74" s="23" t="n">
        <f aca="false">AL$20*AL$36</f>
        <v>0</v>
      </c>
      <c r="AM74" s="23" t="n">
        <f aca="false">AM$20*AM$36</f>
        <v>0</v>
      </c>
      <c r="AN74" s="23" t="n">
        <f aca="false">AN$20*AN$36</f>
        <v>0</v>
      </c>
      <c r="AO74" s="23" t="n">
        <f aca="false">AO$20*AO$36</f>
        <v>0</v>
      </c>
      <c r="AP74" s="23" t="n">
        <f aca="false">AP$20*AP$36</f>
        <v>0</v>
      </c>
      <c r="AQ74" s="23" t="n">
        <f aca="false">AQ$20*AQ$36</f>
        <v>0</v>
      </c>
      <c r="AR74" s="23" t="n">
        <f aca="false">AR$20*AR$36</f>
        <v>0</v>
      </c>
      <c r="AS74" s="23" t="n">
        <f aca="false">AS$20*AS$36</f>
        <v>0</v>
      </c>
      <c r="AT74" s="23" t="n">
        <f aca="false">AT$20*AT$36</f>
        <v>0</v>
      </c>
      <c r="AU74" s="23" t="n">
        <f aca="false">AU$20*AU$36</f>
        <v>0</v>
      </c>
      <c r="AV74" s="23" t="n">
        <f aca="false">AV$20*AV$36</f>
        <v>0</v>
      </c>
      <c r="AW74" s="23" t="n">
        <f aca="false">AW$20*AW$36</f>
        <v>0</v>
      </c>
      <c r="AX74" s="23" t="n">
        <f aca="false">AX$20*AX$36</f>
        <v>0</v>
      </c>
      <c r="AY74" s="23" t="n">
        <f aca="false">AY$20*AY$36</f>
        <v>26</v>
      </c>
      <c r="AZ74" s="23" t="n">
        <f aca="false">AZ$20*AZ$36</f>
        <v>44.5</v>
      </c>
      <c r="BA74" s="23" t="n">
        <f aca="false">BA$20*BA$36</f>
        <v>0</v>
      </c>
      <c r="BB74" s="23" t="n">
        <f aca="false">BB$20*BB$36</f>
        <v>69</v>
      </c>
      <c r="BC74" s="23" t="n">
        <f aca="false">BC$20*BC$36</f>
        <v>0</v>
      </c>
      <c r="BD74" s="23" t="n">
        <f aca="false">BD$20*BD$36</f>
        <v>24.5</v>
      </c>
      <c r="BE74" s="23" t="n">
        <f aca="false">BE$20*BE$36</f>
        <v>299</v>
      </c>
      <c r="BF74" s="23" t="n">
        <f aca="false">BF$20*BF$36</f>
        <v>16</v>
      </c>
      <c r="BG74" s="23" t="n">
        <f aca="false">BG$20*BG$36</f>
        <v>0</v>
      </c>
      <c r="BH74" s="23" t="n">
        <f aca="false">BH$20*BH$36</f>
        <v>20.5</v>
      </c>
      <c r="BI74" s="23" t="n">
        <f aca="false">BI$20*BI$36</f>
        <v>0</v>
      </c>
      <c r="BJ74" s="23" t="n">
        <f aca="false">BJ$20*BJ$36</f>
        <v>0</v>
      </c>
      <c r="BK74" s="23" t="n">
        <f aca="false">BK$20*BK$36</f>
        <v>0</v>
      </c>
      <c r="BL74" s="23" t="n">
        <f aca="false">BL$20*BL$36</f>
        <v>0</v>
      </c>
      <c r="BM74" s="23" t="n">
        <f aca="false">BM$20*BM$36</f>
        <v>0</v>
      </c>
      <c r="BN74" s="23" t="n">
        <f aca="false">BN$20*BN$36</f>
        <v>0</v>
      </c>
      <c r="BO74" s="23" t="n">
        <f aca="false">BO$20*BO$36</f>
        <v>0</v>
      </c>
      <c r="BP74" s="23" t="n">
        <f aca="false">BP$20*BP$36</f>
        <v>0</v>
      </c>
      <c r="BQ74" s="23" t="n">
        <f aca="false">BQ$20*BQ$36</f>
        <v>0</v>
      </c>
      <c r="BR74" s="23" t="n">
        <f aca="false">BR$20*BR$36</f>
        <v>0</v>
      </c>
      <c r="BS74" s="23" t="n">
        <f aca="false">BS$20*BS$36</f>
        <v>579</v>
      </c>
      <c r="BT74" s="23" t="n">
        <f aca="false">BT$20*BT$36</f>
        <v>0</v>
      </c>
      <c r="BU74" s="23" t="n">
        <f aca="false">BU$20*BU$36</f>
        <v>492</v>
      </c>
      <c r="BV74" s="23" t="n">
        <f aca="false">BV$20*BV$36</f>
        <v>418</v>
      </c>
      <c r="BW74" s="23" t="n">
        <f aca="false">BW$20*BW$36</f>
        <v>532</v>
      </c>
      <c r="BX74" s="23" t="n">
        <f aca="false">BX$20*BX$36</f>
        <v>207</v>
      </c>
    </row>
    <row r="75" customFormat="false" ht="15" hidden="false" customHeight="false" outlineLevel="0" collapsed="false">
      <c r="A75" s="4" t="s">
        <v>751</v>
      </c>
      <c r="B75" s="81" t="s">
        <v>752</v>
      </c>
      <c r="C75" s="82" t="n">
        <f aca="false">Planner!$C$51</f>
        <v>255</v>
      </c>
      <c r="D75" s="83" t="n">
        <v>83.1584471</v>
      </c>
      <c r="E75" s="81" t="str">
        <f aca="false">IF(D75&lt;=C75+0.000001*MAX(1,ABS(C75)),IF(ABS(D75-C75)&lt;=0.000001*MAX(1,ABS(C75)),"tight","ok"),"VIOLATED")</f>
        <v>ok</v>
      </c>
      <c r="F75" s="23" t="n">
        <f aca="false">IF('Food Data'!$AK$6="Meat, poultry &amp; fish",100,0)</f>
        <v>100</v>
      </c>
      <c r="G75" s="23" t="n">
        <f aca="false">IF('Food Data'!$AK$7="Meat, poultry &amp; fish",100,0)</f>
        <v>100</v>
      </c>
      <c r="H75" s="23" t="n">
        <f aca="false">IF('Food Data'!$AK$8="Meat, poultry &amp; fish",100,0)</f>
        <v>100</v>
      </c>
      <c r="I75" s="23" t="n">
        <f aca="false">IF('Food Data'!$AK$9="Meat, poultry &amp; fish",100,0)</f>
        <v>100</v>
      </c>
      <c r="J75" s="23" t="n">
        <f aca="false">IF('Food Data'!$AK$10="Meat, poultry &amp; fish",100,0)</f>
        <v>100</v>
      </c>
      <c r="K75" s="23" t="n">
        <f aca="false">IF('Food Data'!$AK$11="Meat, poultry &amp; fish",100,0)</f>
        <v>100</v>
      </c>
      <c r="L75" s="23" t="n">
        <f aca="false">IF('Food Data'!$AK$12="Meat, poultry &amp; fish",100,0)</f>
        <v>100</v>
      </c>
      <c r="M75" s="23" t="n">
        <f aca="false">IF('Food Data'!$AK$13="Meat, poultry &amp; fish",100,0)</f>
        <v>100</v>
      </c>
      <c r="N75" s="23" t="n">
        <f aca="false">IF('Food Data'!$AK$14="Meat, poultry &amp; fish",100,0)</f>
        <v>100</v>
      </c>
      <c r="O75" s="23" t="n">
        <f aca="false">IF('Food Data'!$AK$15="Meat, poultry &amp; fish",100,0)</f>
        <v>100</v>
      </c>
      <c r="P75" s="23" t="n">
        <f aca="false">IF('Food Data'!$AK$16="Meat, poultry &amp; fish",100,0)</f>
        <v>100</v>
      </c>
      <c r="Q75" s="23" t="n">
        <f aca="false">IF('Food Data'!$AK$17="Meat, poultry &amp; fish",100,0)</f>
        <v>100</v>
      </c>
      <c r="R75" s="23" t="n">
        <f aca="false">IF('Food Data'!$AK$18="Meat, poultry &amp; fish",100,0)</f>
        <v>100</v>
      </c>
      <c r="S75" s="23" t="n">
        <f aca="false">IF('Food Data'!$AK$19="Meat, poultry &amp; fish",100,0)</f>
        <v>100</v>
      </c>
      <c r="T75" s="23" t="n">
        <f aca="false">IF('Food Data'!$AK$20="Meat, poultry &amp; fish",100,0)</f>
        <v>100</v>
      </c>
      <c r="U75" s="23" t="n">
        <f aca="false">IF('Food Data'!$AK$21="Meat, poultry &amp; fish",100,0)</f>
        <v>0</v>
      </c>
      <c r="V75" s="23" t="n">
        <f aca="false">IF('Food Data'!$AK$22="Meat, poultry &amp; fish",100,0)</f>
        <v>0</v>
      </c>
      <c r="W75" s="23" t="n">
        <f aca="false">IF('Food Data'!$AK$23="Meat, poultry &amp; fish",100,0)</f>
        <v>0</v>
      </c>
      <c r="X75" s="23" t="n">
        <f aca="false">IF('Food Data'!$AK$24="Meat, poultry &amp; fish",100,0)</f>
        <v>0</v>
      </c>
      <c r="Y75" s="23" t="n">
        <f aca="false">IF('Food Data'!$AK$25="Meat, poultry &amp; fish",100,0)</f>
        <v>0</v>
      </c>
      <c r="Z75" s="23" t="n">
        <f aca="false">IF('Food Data'!$AK$26="Meat, poultry &amp; fish",100,0)</f>
        <v>0</v>
      </c>
      <c r="AA75" s="23" t="n">
        <f aca="false">IF('Food Data'!$AK$27="Meat, poultry &amp; fish",100,0)</f>
        <v>0</v>
      </c>
      <c r="AB75" s="23" t="n">
        <f aca="false">IF('Food Data'!$AK$28="Meat, poultry &amp; fish",100,0)</f>
        <v>0</v>
      </c>
      <c r="AC75" s="23" t="n">
        <f aca="false">IF('Food Data'!$AK$29="Meat, poultry &amp; fish",100,0)</f>
        <v>0</v>
      </c>
      <c r="AD75" s="23" t="n">
        <f aca="false">IF('Food Data'!$AK$30="Meat, poultry &amp; fish",100,0)</f>
        <v>0</v>
      </c>
      <c r="AE75" s="23" t="n">
        <f aca="false">IF('Food Data'!$AK$31="Meat, poultry &amp; fish",100,0)</f>
        <v>0</v>
      </c>
      <c r="AF75" s="23" t="n">
        <f aca="false">IF('Food Data'!$AK$32="Meat, poultry &amp; fish",100,0)</f>
        <v>0</v>
      </c>
      <c r="AG75" s="23" t="n">
        <f aca="false">IF('Food Data'!$AK$33="Meat, poultry &amp; fish",100,0)</f>
        <v>0</v>
      </c>
      <c r="AH75" s="23" t="n">
        <f aca="false">IF('Food Data'!$AK$34="Meat, poultry &amp; fish",100,0)</f>
        <v>0</v>
      </c>
      <c r="AI75" s="23" t="n">
        <f aca="false">IF('Food Data'!$AK$35="Meat, poultry &amp; fish",100,0)</f>
        <v>0</v>
      </c>
      <c r="AJ75" s="23" t="n">
        <f aca="false">IF('Food Data'!$AK$36="Meat, poultry &amp; fish",100,0)</f>
        <v>0</v>
      </c>
      <c r="AK75" s="23" t="n">
        <f aca="false">IF('Food Data'!$AK$37="Meat, poultry &amp; fish",100,0)</f>
        <v>0</v>
      </c>
      <c r="AL75" s="23" t="n">
        <f aca="false">IF('Food Data'!$AK$38="Meat, poultry &amp; fish",100,0)</f>
        <v>0</v>
      </c>
      <c r="AM75" s="23" t="n">
        <f aca="false">IF('Food Data'!$AK$39="Meat, poultry &amp; fish",100,0)</f>
        <v>0</v>
      </c>
      <c r="AN75" s="23" t="n">
        <f aca="false">IF('Food Data'!$AK$40="Meat, poultry &amp; fish",100,0)</f>
        <v>0</v>
      </c>
      <c r="AO75" s="23" t="n">
        <f aca="false">IF('Food Data'!$AK$41="Meat, poultry &amp; fish",100,0)</f>
        <v>0</v>
      </c>
      <c r="AP75" s="23" t="n">
        <f aca="false">IF('Food Data'!$AK$42="Meat, poultry &amp; fish",100,0)</f>
        <v>0</v>
      </c>
      <c r="AQ75" s="23" t="n">
        <f aca="false">IF('Food Data'!$AK$43="Meat, poultry &amp; fish",100,0)</f>
        <v>0</v>
      </c>
      <c r="AR75" s="23" t="n">
        <f aca="false">IF('Food Data'!$AK$44="Meat, poultry &amp; fish",100,0)</f>
        <v>0</v>
      </c>
      <c r="AS75" s="23" t="n">
        <f aca="false">IF('Food Data'!$AK$45="Meat, poultry &amp; fish",100,0)</f>
        <v>0</v>
      </c>
      <c r="AT75" s="23" t="n">
        <f aca="false">IF('Food Data'!$AK$46="Meat, poultry &amp; fish",100,0)</f>
        <v>0</v>
      </c>
      <c r="AU75" s="23" t="n">
        <f aca="false">IF('Food Data'!$AK$47="Meat, poultry &amp; fish",100,0)</f>
        <v>0</v>
      </c>
      <c r="AV75" s="23" t="n">
        <f aca="false">IF('Food Data'!$AK$48="Meat, poultry &amp; fish",100,0)</f>
        <v>0</v>
      </c>
      <c r="AW75" s="23" t="n">
        <f aca="false">IF('Food Data'!$AK$49="Meat, poultry &amp; fish",100,0)</f>
        <v>0</v>
      </c>
      <c r="AX75" s="23" t="n">
        <f aca="false">IF('Food Data'!$AK$50="Meat, poultry &amp; fish",100,0)</f>
        <v>0</v>
      </c>
      <c r="AY75" s="23" t="n">
        <f aca="false">IF('Food Data'!$AK$51="Meat, poultry &amp; fish",100,0)</f>
        <v>0</v>
      </c>
      <c r="AZ75" s="23" t="n">
        <f aca="false">IF('Food Data'!$AK$52="Meat, poultry &amp; fish",100,0)</f>
        <v>0</v>
      </c>
      <c r="BA75" s="23" t="n">
        <f aca="false">IF('Food Data'!$AK$53="Meat, poultry &amp; fish",100,0)</f>
        <v>0</v>
      </c>
      <c r="BB75" s="23" t="n">
        <f aca="false">IF('Food Data'!$AK$54="Meat, poultry &amp; fish",100,0)</f>
        <v>0</v>
      </c>
      <c r="BC75" s="23" t="n">
        <f aca="false">IF('Food Data'!$AK$55="Meat, poultry &amp; fish",100,0)</f>
        <v>0</v>
      </c>
      <c r="BD75" s="23" t="n">
        <f aca="false">IF('Food Data'!$AK$56="Meat, poultry &amp; fish",100,0)</f>
        <v>0</v>
      </c>
      <c r="BE75" s="23" t="n">
        <f aca="false">IF('Food Data'!$AK$57="Meat, poultry &amp; fish",100,0)</f>
        <v>0</v>
      </c>
      <c r="BF75" s="23" t="n">
        <f aca="false">IF('Food Data'!$AK$58="Meat, poultry &amp; fish",100,0)</f>
        <v>0</v>
      </c>
      <c r="BG75" s="23" t="n">
        <f aca="false">IF('Food Data'!$AK$59="Meat, poultry &amp; fish",100,0)</f>
        <v>0</v>
      </c>
      <c r="BH75" s="23" t="n">
        <f aca="false">IF('Food Data'!$AK$60="Meat, poultry &amp; fish",100,0)</f>
        <v>0</v>
      </c>
      <c r="BI75" s="23" t="n">
        <f aca="false">IF('Food Data'!$AK$61="Meat, poultry &amp; fish",100,0)</f>
        <v>0</v>
      </c>
      <c r="BJ75" s="23" t="n">
        <f aca="false">IF('Food Data'!$AK$62="Meat, poultry &amp; fish",100,0)</f>
        <v>0</v>
      </c>
      <c r="BK75" s="23" t="n">
        <f aca="false">IF('Food Data'!$AK$63="Meat, poultry &amp; fish",100,0)</f>
        <v>0</v>
      </c>
      <c r="BL75" s="23" t="n">
        <f aca="false">IF('Food Data'!$AK$64="Meat, poultry &amp; fish",100,0)</f>
        <v>0</v>
      </c>
      <c r="BM75" s="23" t="n">
        <f aca="false">IF('Food Data'!$AK$65="Meat, poultry &amp; fish",100,0)</f>
        <v>0</v>
      </c>
      <c r="BN75" s="23" t="n">
        <f aca="false">IF('Food Data'!$AK$66="Meat, poultry &amp; fish",100,0)</f>
        <v>0</v>
      </c>
      <c r="BO75" s="23" t="n">
        <f aca="false">IF('Food Data'!$AK$67="Meat, poultry &amp; fish",100,0)</f>
        <v>0</v>
      </c>
      <c r="BP75" s="23" t="n">
        <f aca="false">IF('Food Data'!$AK$68="Meat, poultry &amp; fish",100,0)</f>
        <v>0</v>
      </c>
      <c r="BQ75" s="23" t="n">
        <f aca="false">IF('Food Data'!$AK$69="Meat, poultry &amp; fish",100,0)</f>
        <v>0</v>
      </c>
      <c r="BR75" s="23" t="n">
        <f aca="false">IF('Food Data'!$AK$70="Meat, poultry &amp; fish",100,0)</f>
        <v>0</v>
      </c>
      <c r="BS75" s="23" t="n">
        <f aca="false">IF('Food Data'!$AK$71="Meat, poultry &amp; fish",100,0)</f>
        <v>0</v>
      </c>
      <c r="BT75" s="23" t="n">
        <f aca="false">IF('Food Data'!$AK$72="Meat, poultry &amp; fish",100,0)</f>
        <v>0</v>
      </c>
      <c r="BU75" s="23" t="n">
        <f aca="false">IF('Food Data'!$AK$73="Meat, poultry &amp; fish",100,0)</f>
        <v>0</v>
      </c>
      <c r="BV75" s="23" t="n">
        <f aca="false">IF('Food Data'!$AK$74="Meat, poultry &amp; fish",100,0)</f>
        <v>0</v>
      </c>
      <c r="BW75" s="23" t="n">
        <f aca="false">IF('Food Data'!$AK$75="Meat, poultry &amp; fish",100,0)</f>
        <v>0</v>
      </c>
      <c r="BX75" s="23" t="n">
        <f aca="false">IF('Food Data'!$AK$76="Meat, poultry &amp; fish",100,0)</f>
        <v>0</v>
      </c>
    </row>
    <row r="76" customFormat="false" ht="15" hidden="false" customHeight="false" outlineLevel="0" collapsed="false">
      <c r="A76" s="4" t="s">
        <v>753</v>
      </c>
      <c r="B76" s="81" t="s">
        <v>752</v>
      </c>
      <c r="C76" s="82" t="n">
        <f aca="false">Planner!$C$52</f>
        <v>4</v>
      </c>
      <c r="D76" s="83" t="n">
        <v>2.02166532727273</v>
      </c>
      <c r="E76" s="81" t="str">
        <f aca="false">IF(D76&lt;=C76+0.000001*MAX(1,ABS(C76)),IF(ABS(D76-C76)&lt;=0.000001*MAX(1,ABS(C76)),"tight","ok"),"VIOLATED")</f>
        <v>ok</v>
      </c>
      <c r="F76" s="23" t="n">
        <f aca="false">IF('Food Data'!$AK$6="Beans &amp; lentils",100/'Food Data'!$R$6,0)</f>
        <v>0</v>
      </c>
      <c r="G76" s="23" t="n">
        <f aca="false">IF('Food Data'!$AK$7="Beans &amp; lentils",100/'Food Data'!$R$7,0)</f>
        <v>0</v>
      </c>
      <c r="H76" s="23" t="n">
        <f aca="false">IF('Food Data'!$AK$8="Beans &amp; lentils",100/'Food Data'!$R$8,0)</f>
        <v>0</v>
      </c>
      <c r="I76" s="23" t="n">
        <f aca="false">IF('Food Data'!$AK$9="Beans &amp; lentils",100/'Food Data'!$R$9,0)</f>
        <v>0</v>
      </c>
      <c r="J76" s="23" t="n">
        <f aca="false">IF('Food Data'!$AK$10="Beans &amp; lentils",100/'Food Data'!$R$10,0)</f>
        <v>0</v>
      </c>
      <c r="K76" s="23" t="n">
        <f aca="false">IF('Food Data'!$AK$11="Beans &amp; lentils",100/'Food Data'!$R$11,0)</f>
        <v>0</v>
      </c>
      <c r="L76" s="23" t="n">
        <f aca="false">IF('Food Data'!$AK$12="Beans &amp; lentils",100/'Food Data'!$R$12,0)</f>
        <v>0</v>
      </c>
      <c r="M76" s="23" t="n">
        <f aca="false">IF('Food Data'!$AK$13="Beans &amp; lentils",100/'Food Data'!$R$13,0)</f>
        <v>0</v>
      </c>
      <c r="N76" s="23" t="n">
        <f aca="false">IF('Food Data'!$AK$14="Beans &amp; lentils",100/'Food Data'!$R$14,0)</f>
        <v>0</v>
      </c>
      <c r="O76" s="23" t="n">
        <f aca="false">IF('Food Data'!$AK$15="Beans &amp; lentils",100/'Food Data'!$R$15,0)</f>
        <v>0</v>
      </c>
      <c r="P76" s="23" t="n">
        <f aca="false">IF('Food Data'!$AK$16="Beans &amp; lentils",100/'Food Data'!$R$16,0)</f>
        <v>0</v>
      </c>
      <c r="Q76" s="23" t="n">
        <f aca="false">IF('Food Data'!$AK$17="Beans &amp; lentils",100/'Food Data'!$R$17,0)</f>
        <v>0</v>
      </c>
      <c r="R76" s="23" t="n">
        <f aca="false">IF('Food Data'!$AK$18="Beans &amp; lentils",100/'Food Data'!$R$18,0)</f>
        <v>0</v>
      </c>
      <c r="S76" s="23" t="n">
        <f aca="false">IF('Food Data'!$AK$19="Beans &amp; lentils",100/'Food Data'!$R$19,0)</f>
        <v>0</v>
      </c>
      <c r="T76" s="23" t="n">
        <f aca="false">IF('Food Data'!$AK$20="Beans &amp; lentils",100/'Food Data'!$R$20,0)</f>
        <v>0</v>
      </c>
      <c r="U76" s="23" t="n">
        <f aca="false">IF('Food Data'!$AK$21="Beans &amp; lentils",100/'Food Data'!$R$21,0)</f>
        <v>0</v>
      </c>
      <c r="V76" s="23" t="n">
        <f aca="false">IF('Food Data'!$AK$22="Beans &amp; lentils",100/'Food Data'!$R$22,0)</f>
        <v>0.833333333333333</v>
      </c>
      <c r="W76" s="23" t="n">
        <f aca="false">IF('Food Data'!$AK$23="Beans &amp; lentils",100/'Food Data'!$R$23,0)</f>
        <v>0.833333333333333</v>
      </c>
      <c r="X76" s="23" t="n">
        <f aca="false">IF('Food Data'!$AK$24="Beans &amp; lentils",100/'Food Data'!$R$24,0)</f>
        <v>1.01010101010101</v>
      </c>
      <c r="Y76" s="23" t="n">
        <f aca="false">IF('Food Data'!$AK$25="Beans &amp; lentils",100/'Food Data'!$R$25,0)</f>
        <v>0</v>
      </c>
      <c r="Z76" s="23" t="n">
        <f aca="false">IF('Food Data'!$AK$26="Beans &amp; lentils",100/'Food Data'!$R$26,0)</f>
        <v>1.16959064327485</v>
      </c>
      <c r="AA76" s="23" t="n">
        <f aca="false">IF('Food Data'!$AK$27="Beans &amp; lentils",100/'Food Data'!$R$27,0)</f>
        <v>0</v>
      </c>
      <c r="AB76" s="23" t="n">
        <f aca="false">IF('Food Data'!$AK$28="Beans &amp; lentils",100/'Food Data'!$R$28,0)</f>
        <v>0</v>
      </c>
      <c r="AC76" s="23" t="n">
        <f aca="false">IF('Food Data'!$AK$29="Beans &amp; lentils",100/'Food Data'!$R$29,0)</f>
        <v>0</v>
      </c>
      <c r="AD76" s="23" t="n">
        <f aca="false">IF('Food Data'!$AK$30="Beans &amp; lentils",100/'Food Data'!$R$30,0)</f>
        <v>0</v>
      </c>
      <c r="AE76" s="23" t="n">
        <f aca="false">IF('Food Data'!$AK$31="Beans &amp; lentils",100/'Food Data'!$R$31,0)</f>
        <v>0</v>
      </c>
      <c r="AF76" s="23" t="n">
        <f aca="false">IF('Food Data'!$AK$32="Beans &amp; lentils",100/'Food Data'!$R$32,0)</f>
        <v>0</v>
      </c>
      <c r="AG76" s="23" t="n">
        <f aca="false">IF('Food Data'!$AK$33="Beans &amp; lentils",100/'Food Data'!$R$33,0)</f>
        <v>0</v>
      </c>
      <c r="AH76" s="23" t="n">
        <f aca="false">IF('Food Data'!$AK$34="Beans &amp; lentils",100/'Food Data'!$R$34,0)</f>
        <v>0</v>
      </c>
      <c r="AI76" s="23" t="n">
        <f aca="false">IF('Food Data'!$AK$35="Beans &amp; lentils",100/'Food Data'!$R$35,0)</f>
        <v>0</v>
      </c>
      <c r="AJ76" s="23" t="n">
        <f aca="false">IF('Food Data'!$AK$36="Beans &amp; lentils",100/'Food Data'!$R$36,0)</f>
        <v>0</v>
      </c>
      <c r="AK76" s="23" t="n">
        <f aca="false">IF('Food Data'!$AK$37="Beans &amp; lentils",100/'Food Data'!$R$37,0)</f>
        <v>0</v>
      </c>
      <c r="AL76" s="23" t="n">
        <f aca="false">IF('Food Data'!$AK$38="Beans &amp; lentils",100/'Food Data'!$R$38,0)</f>
        <v>0</v>
      </c>
      <c r="AM76" s="23" t="n">
        <f aca="false">IF('Food Data'!$AK$39="Beans &amp; lentils",100/'Food Data'!$R$39,0)</f>
        <v>0</v>
      </c>
      <c r="AN76" s="23" t="n">
        <f aca="false">IF('Food Data'!$AK$40="Beans &amp; lentils",100/'Food Data'!$R$40,0)</f>
        <v>0</v>
      </c>
      <c r="AO76" s="23" t="n">
        <f aca="false">IF('Food Data'!$AK$41="Beans &amp; lentils",100/'Food Data'!$R$41,0)</f>
        <v>0</v>
      </c>
      <c r="AP76" s="23" t="n">
        <f aca="false">IF('Food Data'!$AK$42="Beans &amp; lentils",100/'Food Data'!$R$42,0)</f>
        <v>0</v>
      </c>
      <c r="AQ76" s="23" t="n">
        <f aca="false">IF('Food Data'!$AK$43="Beans &amp; lentils",100/'Food Data'!$R$43,0)</f>
        <v>0</v>
      </c>
      <c r="AR76" s="23" t="n">
        <f aca="false">IF('Food Data'!$AK$44="Beans &amp; lentils",100/'Food Data'!$R$44,0)</f>
        <v>0</v>
      </c>
      <c r="AS76" s="23" t="n">
        <f aca="false">IF('Food Data'!$AK$45="Beans &amp; lentils",100/'Food Data'!$R$45,0)</f>
        <v>0</v>
      </c>
      <c r="AT76" s="23" t="n">
        <f aca="false">IF('Food Data'!$AK$46="Beans &amp; lentils",100/'Food Data'!$R$46,0)</f>
        <v>0</v>
      </c>
      <c r="AU76" s="23" t="n">
        <f aca="false">IF('Food Data'!$AK$47="Beans &amp; lentils",100/'Food Data'!$R$47,0)</f>
        <v>0</v>
      </c>
      <c r="AV76" s="23" t="n">
        <f aca="false">IF('Food Data'!$AK$48="Beans &amp; lentils",100/'Food Data'!$R$48,0)</f>
        <v>0</v>
      </c>
      <c r="AW76" s="23" t="n">
        <f aca="false">IF('Food Data'!$AK$49="Beans &amp; lentils",100/'Food Data'!$R$49,0)</f>
        <v>0</v>
      </c>
      <c r="AX76" s="23" t="n">
        <f aca="false">IF('Food Data'!$AK$50="Beans &amp; lentils",100/'Food Data'!$R$50,0)</f>
        <v>0</v>
      </c>
      <c r="AY76" s="23" t="n">
        <f aca="false">IF('Food Data'!$AK$51="Beans &amp; lentils",100/'Food Data'!$R$51,0)</f>
        <v>0</v>
      </c>
      <c r="AZ76" s="23" t="n">
        <f aca="false">IF('Food Data'!$AK$52="Beans &amp; lentils",100/'Food Data'!$R$52,0)</f>
        <v>0</v>
      </c>
      <c r="BA76" s="23" t="n">
        <f aca="false">IF('Food Data'!$AK$53="Beans &amp; lentils",100/'Food Data'!$R$53,0)</f>
        <v>0</v>
      </c>
      <c r="BB76" s="23" t="n">
        <f aca="false">IF('Food Data'!$AK$54="Beans &amp; lentils",100/'Food Data'!$R$54,0)</f>
        <v>0</v>
      </c>
      <c r="BC76" s="23" t="n">
        <f aca="false">IF('Food Data'!$AK$55="Beans &amp; lentils",100/'Food Data'!$R$55,0)</f>
        <v>0</v>
      </c>
      <c r="BD76" s="23" t="n">
        <f aca="false">IF('Food Data'!$AK$56="Beans &amp; lentils",100/'Food Data'!$R$56,0)</f>
        <v>0</v>
      </c>
      <c r="BE76" s="23" t="n">
        <f aca="false">IF('Food Data'!$AK$57="Beans &amp; lentils",100/'Food Data'!$R$57,0)</f>
        <v>0</v>
      </c>
      <c r="BF76" s="23" t="n">
        <f aca="false">IF('Food Data'!$AK$58="Beans &amp; lentils",100/'Food Data'!$R$58,0)</f>
        <v>0</v>
      </c>
      <c r="BG76" s="23" t="n">
        <f aca="false">IF('Food Data'!$AK$59="Beans &amp; lentils",100/'Food Data'!$R$59,0)</f>
        <v>0</v>
      </c>
      <c r="BH76" s="23" t="n">
        <f aca="false">IF('Food Data'!$AK$60="Beans &amp; lentils",100/'Food Data'!$R$60,0)</f>
        <v>0</v>
      </c>
      <c r="BI76" s="23" t="n">
        <f aca="false">IF('Food Data'!$AK$61="Beans &amp; lentils",100/'Food Data'!$R$61,0)</f>
        <v>0</v>
      </c>
      <c r="BJ76" s="23" t="n">
        <f aca="false">IF('Food Data'!$AK$62="Beans &amp; lentils",100/'Food Data'!$R$62,0)</f>
        <v>0</v>
      </c>
      <c r="BK76" s="23" t="n">
        <f aca="false">IF('Food Data'!$AK$63="Beans &amp; lentils",100/'Food Data'!$R$63,0)</f>
        <v>0</v>
      </c>
      <c r="BL76" s="23" t="n">
        <f aca="false">IF('Food Data'!$AK$64="Beans &amp; lentils",100/'Food Data'!$R$64,0)</f>
        <v>0</v>
      </c>
      <c r="BM76" s="23" t="n">
        <f aca="false">IF('Food Data'!$AK$65="Beans &amp; lentils",100/'Food Data'!$R$65,0)</f>
        <v>0</v>
      </c>
      <c r="BN76" s="23" t="n">
        <f aca="false">IF('Food Data'!$AK$66="Beans &amp; lentils",100/'Food Data'!$R$66,0)</f>
        <v>0</v>
      </c>
      <c r="BO76" s="23" t="n">
        <f aca="false">IF('Food Data'!$AK$67="Beans &amp; lentils",100/'Food Data'!$R$67,0)</f>
        <v>0</v>
      </c>
      <c r="BP76" s="23" t="n">
        <f aca="false">IF('Food Data'!$AK$68="Beans &amp; lentils",100/'Food Data'!$R$68,0)</f>
        <v>0</v>
      </c>
      <c r="BQ76" s="23" t="n">
        <f aca="false">IF('Food Data'!$AK$69="Beans &amp; lentils",100/'Food Data'!$R$69,0)</f>
        <v>0</v>
      </c>
      <c r="BR76" s="23" t="n">
        <f aca="false">IF('Food Data'!$AK$70="Beans &amp; lentils",100/'Food Data'!$R$70,0)</f>
        <v>0</v>
      </c>
      <c r="BS76" s="23" t="n">
        <f aca="false">IF('Food Data'!$AK$71="Beans &amp; lentils",100/'Food Data'!$R$71,0)</f>
        <v>0</v>
      </c>
      <c r="BT76" s="23" t="n">
        <f aca="false">IF('Food Data'!$AK$72="Beans &amp; lentils",100/'Food Data'!$R$72,0)</f>
        <v>0</v>
      </c>
      <c r="BU76" s="23" t="n">
        <f aca="false">IF('Food Data'!$AK$73="Beans &amp; lentils",100/'Food Data'!$R$73,0)</f>
        <v>0</v>
      </c>
      <c r="BV76" s="23" t="n">
        <f aca="false">IF('Food Data'!$AK$74="Beans &amp; lentils",100/'Food Data'!$R$74,0)</f>
        <v>0</v>
      </c>
      <c r="BW76" s="23" t="n">
        <f aca="false">IF('Food Data'!$AK$75="Beans &amp; lentils",100/'Food Data'!$R$75,0)</f>
        <v>0</v>
      </c>
      <c r="BX76" s="23" t="n">
        <f aca="false">IF('Food Data'!$AK$76="Beans &amp; lentils",100/'Food Data'!$R$76,0)</f>
        <v>0</v>
      </c>
    </row>
    <row r="77" customFormat="false" ht="15" hidden="false" customHeight="false" outlineLevel="0" collapsed="false">
      <c r="A77" s="4" t="s">
        <v>754</v>
      </c>
      <c r="B77" s="81" t="s">
        <v>752</v>
      </c>
      <c r="C77" s="82" t="n">
        <f aca="false">Planner!$C$53</f>
        <v>3</v>
      </c>
      <c r="D77" s="83" t="n">
        <v>2.0170852631579</v>
      </c>
      <c r="E77" s="81" t="str">
        <f aca="false">IF(D77&lt;=C77+0.000001*MAX(1,ABS(C77)),IF(ABS(D77-C77)&lt;=0.000001*MAX(1,ABS(C77)),"tight","ok"),"VIOLATED")</f>
        <v>ok</v>
      </c>
      <c r="F77" s="23" t="n">
        <f aca="false">IF('Food Data'!$AK$6="Cheese",100/'Food Data'!$R$6,0)</f>
        <v>0</v>
      </c>
      <c r="G77" s="23" t="n">
        <f aca="false">IF('Food Data'!$AK$7="Cheese",100/'Food Data'!$R$7,0)</f>
        <v>0</v>
      </c>
      <c r="H77" s="23" t="n">
        <f aca="false">IF('Food Data'!$AK$8="Cheese",100/'Food Data'!$R$8,0)</f>
        <v>0</v>
      </c>
      <c r="I77" s="23" t="n">
        <f aca="false">IF('Food Data'!$AK$9="Cheese",100/'Food Data'!$R$9,0)</f>
        <v>0</v>
      </c>
      <c r="J77" s="23" t="n">
        <f aca="false">IF('Food Data'!$AK$10="Cheese",100/'Food Data'!$R$10,0)</f>
        <v>0</v>
      </c>
      <c r="K77" s="23" t="n">
        <f aca="false">IF('Food Data'!$AK$11="Cheese",100/'Food Data'!$R$11,0)</f>
        <v>0</v>
      </c>
      <c r="L77" s="23" t="n">
        <f aca="false">IF('Food Data'!$AK$12="Cheese",100/'Food Data'!$R$12,0)</f>
        <v>0</v>
      </c>
      <c r="M77" s="23" t="n">
        <f aca="false">IF('Food Data'!$AK$13="Cheese",100/'Food Data'!$R$13,0)</f>
        <v>0</v>
      </c>
      <c r="N77" s="23" t="n">
        <f aca="false">IF('Food Data'!$AK$14="Cheese",100/'Food Data'!$R$14,0)</f>
        <v>0</v>
      </c>
      <c r="O77" s="23" t="n">
        <f aca="false">IF('Food Data'!$AK$15="Cheese",100/'Food Data'!$R$15,0)</f>
        <v>0</v>
      </c>
      <c r="P77" s="23" t="n">
        <f aca="false">IF('Food Data'!$AK$16="Cheese",100/'Food Data'!$R$16,0)</f>
        <v>0</v>
      </c>
      <c r="Q77" s="23" t="n">
        <f aca="false">IF('Food Data'!$AK$17="Cheese",100/'Food Data'!$R$17,0)</f>
        <v>0</v>
      </c>
      <c r="R77" s="23" t="n">
        <f aca="false">IF('Food Data'!$AK$18="Cheese",100/'Food Data'!$R$18,0)</f>
        <v>0</v>
      </c>
      <c r="S77" s="23" t="n">
        <f aca="false">IF('Food Data'!$AK$19="Cheese",100/'Food Data'!$R$19,0)</f>
        <v>0</v>
      </c>
      <c r="T77" s="23" t="n">
        <f aca="false">IF('Food Data'!$AK$20="Cheese",100/'Food Data'!$R$20,0)</f>
        <v>0</v>
      </c>
      <c r="U77" s="23" t="n">
        <f aca="false">IF('Food Data'!$AK$21="Cheese",100/'Food Data'!$R$21,0)</f>
        <v>0</v>
      </c>
      <c r="V77" s="23" t="n">
        <f aca="false">IF('Food Data'!$AK$22="Cheese",100/'Food Data'!$R$22,0)</f>
        <v>0</v>
      </c>
      <c r="W77" s="23" t="n">
        <f aca="false">IF('Food Data'!$AK$23="Cheese",100/'Food Data'!$R$23,0)</f>
        <v>0</v>
      </c>
      <c r="X77" s="23" t="n">
        <f aca="false">IF('Food Data'!$AK$24="Cheese",100/'Food Data'!$R$24,0)</f>
        <v>0</v>
      </c>
      <c r="Y77" s="23" t="n">
        <f aca="false">IF('Food Data'!$AK$25="Cheese",100/'Food Data'!$R$25,0)</f>
        <v>0</v>
      </c>
      <c r="Z77" s="23" t="n">
        <f aca="false">IF('Food Data'!$AK$26="Cheese",100/'Food Data'!$R$26,0)</f>
        <v>0</v>
      </c>
      <c r="AA77" s="23" t="n">
        <f aca="false">IF('Food Data'!$AK$27="Cheese",100/'Food Data'!$R$27,0)</f>
        <v>0</v>
      </c>
      <c r="AB77" s="23" t="n">
        <f aca="false">IF('Food Data'!$AK$28="Cheese",100/'Food Data'!$R$28,0)</f>
        <v>0</v>
      </c>
      <c r="AC77" s="23" t="n">
        <f aca="false">IF('Food Data'!$AK$29="Cheese",100/'Food Data'!$R$29,0)</f>
        <v>0</v>
      </c>
      <c r="AD77" s="23" t="n">
        <f aca="false">IF('Food Data'!$AK$30="Cheese",100/'Food Data'!$R$30,0)</f>
        <v>0</v>
      </c>
      <c r="AE77" s="23" t="n">
        <f aca="false">IF('Food Data'!$AK$31="Cheese",100/'Food Data'!$R$31,0)</f>
        <v>0</v>
      </c>
      <c r="AF77" s="23" t="n">
        <f aca="false">IF('Food Data'!$AK$32="Cheese",100/'Food Data'!$R$32,0)</f>
        <v>5.26315789473684</v>
      </c>
      <c r="AG77" s="23" t="n">
        <f aca="false">IF('Food Data'!$AK$33="Cheese",100/'Food Data'!$R$33,0)</f>
        <v>3.57142857142857</v>
      </c>
      <c r="AH77" s="23" t="n">
        <f aca="false">IF('Food Data'!$AK$34="Cheese",100/'Food Data'!$R$34,0)</f>
        <v>0.884955752212389</v>
      </c>
      <c r="AI77" s="23" t="n">
        <f aca="false">IF('Food Data'!$AK$35="Cheese",100/'Food Data'!$R$35,0)</f>
        <v>3.57142857142857</v>
      </c>
      <c r="AJ77" s="23" t="n">
        <f aca="false">IF('Food Data'!$AK$36="Cheese",100/'Food Data'!$R$36,0)</f>
        <v>0</v>
      </c>
      <c r="AK77" s="23" t="n">
        <f aca="false">IF('Food Data'!$AK$37="Cheese",100/'Food Data'!$R$37,0)</f>
        <v>0</v>
      </c>
      <c r="AL77" s="23" t="n">
        <f aca="false">IF('Food Data'!$AK$38="Cheese",100/'Food Data'!$R$38,0)</f>
        <v>0</v>
      </c>
      <c r="AM77" s="23" t="n">
        <f aca="false">IF('Food Data'!$AK$39="Cheese",100/'Food Data'!$R$39,0)</f>
        <v>0</v>
      </c>
      <c r="AN77" s="23" t="n">
        <f aca="false">IF('Food Data'!$AK$40="Cheese",100/'Food Data'!$R$40,0)</f>
        <v>0</v>
      </c>
      <c r="AO77" s="23" t="n">
        <f aca="false">IF('Food Data'!$AK$41="Cheese",100/'Food Data'!$R$41,0)</f>
        <v>0</v>
      </c>
      <c r="AP77" s="23" t="n">
        <f aca="false">IF('Food Data'!$AK$42="Cheese",100/'Food Data'!$R$42,0)</f>
        <v>0</v>
      </c>
      <c r="AQ77" s="23" t="n">
        <f aca="false">IF('Food Data'!$AK$43="Cheese",100/'Food Data'!$R$43,0)</f>
        <v>0</v>
      </c>
      <c r="AR77" s="23" t="n">
        <f aca="false">IF('Food Data'!$AK$44="Cheese",100/'Food Data'!$R$44,0)</f>
        <v>0</v>
      </c>
      <c r="AS77" s="23" t="n">
        <f aca="false">IF('Food Data'!$AK$45="Cheese",100/'Food Data'!$R$45,0)</f>
        <v>0</v>
      </c>
      <c r="AT77" s="23" t="n">
        <f aca="false">IF('Food Data'!$AK$46="Cheese",100/'Food Data'!$R$46,0)</f>
        <v>0</v>
      </c>
      <c r="AU77" s="23" t="n">
        <f aca="false">IF('Food Data'!$AK$47="Cheese",100/'Food Data'!$R$47,0)</f>
        <v>0</v>
      </c>
      <c r="AV77" s="23" t="n">
        <f aca="false">IF('Food Data'!$AK$48="Cheese",100/'Food Data'!$R$48,0)</f>
        <v>0</v>
      </c>
      <c r="AW77" s="23" t="n">
        <f aca="false">IF('Food Data'!$AK$49="Cheese",100/'Food Data'!$R$49,0)</f>
        <v>0</v>
      </c>
      <c r="AX77" s="23" t="n">
        <f aca="false">IF('Food Data'!$AK$50="Cheese",100/'Food Data'!$R$50,0)</f>
        <v>0</v>
      </c>
      <c r="AY77" s="23" t="n">
        <f aca="false">IF('Food Data'!$AK$51="Cheese",100/'Food Data'!$R$51,0)</f>
        <v>0</v>
      </c>
      <c r="AZ77" s="23" t="n">
        <f aca="false">IF('Food Data'!$AK$52="Cheese",100/'Food Data'!$R$52,0)</f>
        <v>0</v>
      </c>
      <c r="BA77" s="23" t="n">
        <f aca="false">IF('Food Data'!$AK$53="Cheese",100/'Food Data'!$R$53,0)</f>
        <v>0</v>
      </c>
      <c r="BB77" s="23" t="n">
        <f aca="false">IF('Food Data'!$AK$54="Cheese",100/'Food Data'!$R$54,0)</f>
        <v>0</v>
      </c>
      <c r="BC77" s="23" t="n">
        <f aca="false">IF('Food Data'!$AK$55="Cheese",100/'Food Data'!$R$55,0)</f>
        <v>0</v>
      </c>
      <c r="BD77" s="23" t="n">
        <f aca="false">IF('Food Data'!$AK$56="Cheese",100/'Food Data'!$R$56,0)</f>
        <v>0</v>
      </c>
      <c r="BE77" s="23" t="n">
        <f aca="false">IF('Food Data'!$AK$57="Cheese",100/'Food Data'!$R$57,0)</f>
        <v>0</v>
      </c>
      <c r="BF77" s="23" t="n">
        <f aca="false">IF('Food Data'!$AK$58="Cheese",100/'Food Data'!$R$58,0)</f>
        <v>0</v>
      </c>
      <c r="BG77" s="23" t="n">
        <f aca="false">IF('Food Data'!$AK$59="Cheese",100/'Food Data'!$R$59,0)</f>
        <v>0</v>
      </c>
      <c r="BH77" s="23" t="n">
        <f aca="false">IF('Food Data'!$AK$60="Cheese",100/'Food Data'!$R$60,0)</f>
        <v>0</v>
      </c>
      <c r="BI77" s="23" t="n">
        <f aca="false">IF('Food Data'!$AK$61="Cheese",100/'Food Data'!$R$61,0)</f>
        <v>0</v>
      </c>
      <c r="BJ77" s="23" t="n">
        <f aca="false">IF('Food Data'!$AK$62="Cheese",100/'Food Data'!$R$62,0)</f>
        <v>0</v>
      </c>
      <c r="BK77" s="23" t="n">
        <f aca="false">IF('Food Data'!$AK$63="Cheese",100/'Food Data'!$R$63,0)</f>
        <v>0</v>
      </c>
      <c r="BL77" s="23" t="n">
        <f aca="false">IF('Food Data'!$AK$64="Cheese",100/'Food Data'!$R$64,0)</f>
        <v>0</v>
      </c>
      <c r="BM77" s="23" t="n">
        <f aca="false">IF('Food Data'!$AK$65="Cheese",100/'Food Data'!$R$65,0)</f>
        <v>0</v>
      </c>
      <c r="BN77" s="23" t="n">
        <f aca="false">IF('Food Data'!$AK$66="Cheese",100/'Food Data'!$R$66,0)</f>
        <v>0</v>
      </c>
      <c r="BO77" s="23" t="n">
        <f aca="false">IF('Food Data'!$AK$67="Cheese",100/'Food Data'!$R$67,0)</f>
        <v>0</v>
      </c>
      <c r="BP77" s="23" t="n">
        <f aca="false">IF('Food Data'!$AK$68="Cheese",100/'Food Data'!$R$68,0)</f>
        <v>0</v>
      </c>
      <c r="BQ77" s="23" t="n">
        <f aca="false">IF('Food Data'!$AK$69="Cheese",100/'Food Data'!$R$69,0)</f>
        <v>0</v>
      </c>
      <c r="BR77" s="23" t="n">
        <f aca="false">IF('Food Data'!$AK$70="Cheese",100/'Food Data'!$R$70,0)</f>
        <v>0</v>
      </c>
      <c r="BS77" s="23" t="n">
        <f aca="false">IF('Food Data'!$AK$71="Cheese",100/'Food Data'!$R$71,0)</f>
        <v>0</v>
      </c>
      <c r="BT77" s="23" t="n">
        <f aca="false">IF('Food Data'!$AK$72="Cheese",100/'Food Data'!$R$72,0)</f>
        <v>0</v>
      </c>
      <c r="BU77" s="23" t="n">
        <f aca="false">IF('Food Data'!$AK$73="Cheese",100/'Food Data'!$R$73,0)</f>
        <v>0</v>
      </c>
      <c r="BV77" s="23" t="n">
        <f aca="false">IF('Food Data'!$AK$74="Cheese",100/'Food Data'!$R$74,0)</f>
        <v>0</v>
      </c>
      <c r="BW77" s="23" t="n">
        <f aca="false">IF('Food Data'!$AK$75="Cheese",100/'Food Data'!$R$75,0)</f>
        <v>0</v>
      </c>
      <c r="BX77" s="23" t="n">
        <f aca="false">IF('Food Data'!$AK$76="Cheese",100/'Food Data'!$R$76,0)</f>
        <v>0</v>
      </c>
    </row>
    <row r="78" customFormat="false" ht="15" hidden="false" customHeight="false" outlineLevel="0" collapsed="false">
      <c r="A78" s="4" t="s">
        <v>755</v>
      </c>
      <c r="B78" s="81" t="s">
        <v>752</v>
      </c>
      <c r="C78" s="82" t="n">
        <f aca="false">Planner!$C$54</f>
        <v>12</v>
      </c>
      <c r="D78" s="83" t="n">
        <v>11.9011190856122</v>
      </c>
      <c r="E78" s="81" t="str">
        <f aca="false">IF(D78&lt;=C78+0.000001*MAX(1,ABS(C78)),IF(ABS(D78-C78)&lt;=0.000001*MAX(1,ABS(C78)),"tight","ok"),"VIOLATED")</f>
        <v>ok</v>
      </c>
      <c r="F78" s="23" t="n">
        <f aca="false">IF('Food Data'!$AK$6="Grains &amp; bread",100/'Food Data'!$R$6,0)</f>
        <v>0</v>
      </c>
      <c r="G78" s="23" t="n">
        <f aca="false">IF('Food Data'!$AK$7="Grains &amp; bread",100/'Food Data'!$R$7,0)</f>
        <v>0</v>
      </c>
      <c r="H78" s="23" t="n">
        <f aca="false">IF('Food Data'!$AK$8="Grains &amp; bread",100/'Food Data'!$R$8,0)</f>
        <v>0</v>
      </c>
      <c r="I78" s="23" t="n">
        <f aca="false">IF('Food Data'!$AK$9="Grains &amp; bread",100/'Food Data'!$R$9,0)</f>
        <v>0</v>
      </c>
      <c r="J78" s="23" t="n">
        <f aca="false">IF('Food Data'!$AK$10="Grains &amp; bread",100/'Food Data'!$R$10,0)</f>
        <v>0</v>
      </c>
      <c r="K78" s="23" t="n">
        <f aca="false">IF('Food Data'!$AK$11="Grains &amp; bread",100/'Food Data'!$R$11,0)</f>
        <v>0</v>
      </c>
      <c r="L78" s="23" t="n">
        <f aca="false">IF('Food Data'!$AK$12="Grains &amp; bread",100/'Food Data'!$R$12,0)</f>
        <v>0</v>
      </c>
      <c r="M78" s="23" t="n">
        <f aca="false">IF('Food Data'!$AK$13="Grains &amp; bread",100/'Food Data'!$R$13,0)</f>
        <v>0</v>
      </c>
      <c r="N78" s="23" t="n">
        <f aca="false">IF('Food Data'!$AK$14="Grains &amp; bread",100/'Food Data'!$R$14,0)</f>
        <v>0</v>
      </c>
      <c r="O78" s="23" t="n">
        <f aca="false">IF('Food Data'!$AK$15="Grains &amp; bread",100/'Food Data'!$R$15,0)</f>
        <v>0</v>
      </c>
      <c r="P78" s="23" t="n">
        <f aca="false">IF('Food Data'!$AK$16="Grains &amp; bread",100/'Food Data'!$R$16,0)</f>
        <v>0</v>
      </c>
      <c r="Q78" s="23" t="n">
        <f aca="false">IF('Food Data'!$AK$17="Grains &amp; bread",100/'Food Data'!$R$17,0)</f>
        <v>0</v>
      </c>
      <c r="R78" s="23" t="n">
        <f aca="false">IF('Food Data'!$AK$18="Grains &amp; bread",100/'Food Data'!$R$18,0)</f>
        <v>0</v>
      </c>
      <c r="S78" s="23" t="n">
        <f aca="false">IF('Food Data'!$AK$19="Grains &amp; bread",100/'Food Data'!$R$19,0)</f>
        <v>0</v>
      </c>
      <c r="T78" s="23" t="n">
        <f aca="false">IF('Food Data'!$AK$20="Grains &amp; bread",100/'Food Data'!$R$20,0)</f>
        <v>0</v>
      </c>
      <c r="U78" s="23" t="n">
        <f aca="false">IF('Food Data'!$AK$21="Grains &amp; bread",100/'Food Data'!$R$21,0)</f>
        <v>0</v>
      </c>
      <c r="V78" s="23" t="n">
        <f aca="false">IF('Food Data'!$AK$22="Grains &amp; bread",100/'Food Data'!$R$22,0)</f>
        <v>0</v>
      </c>
      <c r="W78" s="23" t="n">
        <f aca="false">IF('Food Data'!$AK$23="Grains &amp; bread",100/'Food Data'!$R$23,0)</f>
        <v>0</v>
      </c>
      <c r="X78" s="23" t="n">
        <f aca="false">IF('Food Data'!$AK$24="Grains &amp; bread",100/'Food Data'!$R$24,0)</f>
        <v>0</v>
      </c>
      <c r="Y78" s="23" t="n">
        <f aca="false">IF('Food Data'!$AK$25="Grains &amp; bread",100/'Food Data'!$R$25,0)</f>
        <v>0</v>
      </c>
      <c r="Z78" s="23" t="n">
        <f aca="false">IF('Food Data'!$AK$26="Grains &amp; bread",100/'Food Data'!$R$26,0)</f>
        <v>0</v>
      </c>
      <c r="AA78" s="23" t="n">
        <f aca="false">IF('Food Data'!$AK$27="Grains &amp; bread",100/'Food Data'!$R$27,0)</f>
        <v>0</v>
      </c>
      <c r="AB78" s="23" t="n">
        <f aca="false">IF('Food Data'!$AK$28="Grains &amp; bread",100/'Food Data'!$R$28,0)</f>
        <v>0</v>
      </c>
      <c r="AC78" s="23" t="n">
        <f aca="false">IF('Food Data'!$AK$29="Grains &amp; bread",100/'Food Data'!$R$29,0)</f>
        <v>0</v>
      </c>
      <c r="AD78" s="23" t="n">
        <f aca="false">IF('Food Data'!$AK$30="Grains &amp; bread",100/'Food Data'!$R$30,0)</f>
        <v>0</v>
      </c>
      <c r="AE78" s="23" t="n">
        <f aca="false">IF('Food Data'!$AK$31="Grains &amp; bread",100/'Food Data'!$R$31,0)</f>
        <v>0</v>
      </c>
      <c r="AF78" s="23" t="n">
        <f aca="false">IF('Food Data'!$AK$32="Grains &amp; bread",100/'Food Data'!$R$32,0)</f>
        <v>0</v>
      </c>
      <c r="AG78" s="23" t="n">
        <f aca="false">IF('Food Data'!$AK$33="Grains &amp; bread",100/'Food Data'!$R$33,0)</f>
        <v>0</v>
      </c>
      <c r="AH78" s="23" t="n">
        <f aca="false">IF('Food Data'!$AK$34="Grains &amp; bread",100/'Food Data'!$R$34,0)</f>
        <v>0</v>
      </c>
      <c r="AI78" s="23" t="n">
        <f aca="false">IF('Food Data'!$AK$35="Grains &amp; bread",100/'Food Data'!$R$35,0)</f>
        <v>0</v>
      </c>
      <c r="AJ78" s="23" t="n">
        <f aca="false">IF('Food Data'!$AK$36="Grains &amp; bread",100/'Food Data'!$R$36,0)</f>
        <v>1.06382978723404</v>
      </c>
      <c r="AK78" s="23" t="n">
        <f aca="false">IF('Food Data'!$AK$37="Grains &amp; bread",100/'Food Data'!$R$37,0)</f>
        <v>0.99009900990099</v>
      </c>
      <c r="AL78" s="23" t="n">
        <f aca="false">IF('Food Data'!$AK$38="Grains &amp; bread",100/'Food Data'!$R$38,0)</f>
        <v>3.57142857142857</v>
      </c>
      <c r="AM78" s="23" t="n">
        <f aca="false">IF('Food Data'!$AK$39="Grains &amp; bread",100/'Food Data'!$R$39,0)</f>
        <v>3.84615384615385</v>
      </c>
      <c r="AN78" s="23" t="n">
        <f aca="false">IF('Food Data'!$AK$40="Grains &amp; bread",100/'Food Data'!$R$40,0)</f>
        <v>2.22222222222222</v>
      </c>
      <c r="AO78" s="23" t="n">
        <f aca="false">IF('Food Data'!$AK$41="Grains &amp; bread",100/'Food Data'!$R$41,0)</f>
        <v>0.854700854700855</v>
      </c>
      <c r="AP78" s="23" t="n">
        <f aca="false">IF('Food Data'!$AK$42="Grains &amp; bread",100/'Food Data'!$R$42,0)</f>
        <v>1.08108108108108</v>
      </c>
      <c r="AQ78" s="23" t="n">
        <f aca="false">IF('Food Data'!$AK$43="Grains &amp; bread",100/'Food Data'!$R$43,0)</f>
        <v>1.61290322580645</v>
      </c>
      <c r="AR78" s="23" t="n">
        <f aca="false">IF('Food Data'!$AK$44="Grains &amp; bread",100/'Food Data'!$R$44,0)</f>
        <v>3.57142857142857</v>
      </c>
      <c r="AS78" s="23" t="n">
        <f aca="false">IF('Food Data'!$AK$45="Grains &amp; bread",100/'Food Data'!$R$45,0)</f>
        <v>1.26582278481013</v>
      </c>
      <c r="AT78" s="23" t="n">
        <f aca="false">IF('Food Data'!$AK$46="Grains &amp; bread",100/'Food Data'!$R$46,0)</f>
        <v>3.125</v>
      </c>
      <c r="AU78" s="23" t="n">
        <f aca="false">IF('Food Data'!$AK$47="Grains &amp; bread",100/'Food Data'!$R$47,0)</f>
        <v>1.70940170940171</v>
      </c>
      <c r="AV78" s="23" t="n">
        <f aca="false">IF('Food Data'!$AK$48="Grains &amp; bread",100/'Food Data'!$R$48,0)</f>
        <v>0</v>
      </c>
      <c r="AW78" s="23" t="n">
        <f aca="false">IF('Food Data'!$AK$49="Grains &amp; bread",100/'Food Data'!$R$49,0)</f>
        <v>0</v>
      </c>
      <c r="AX78" s="23" t="n">
        <f aca="false">IF('Food Data'!$AK$50="Grains &amp; bread",100/'Food Data'!$R$50,0)</f>
        <v>0</v>
      </c>
      <c r="AY78" s="23" t="n">
        <f aca="false">IF('Food Data'!$AK$51="Grains &amp; bread",100/'Food Data'!$R$51,0)</f>
        <v>0</v>
      </c>
      <c r="AZ78" s="23" t="n">
        <f aca="false">IF('Food Data'!$AK$52="Grains &amp; bread",100/'Food Data'!$R$52,0)</f>
        <v>0</v>
      </c>
      <c r="BA78" s="23" t="n">
        <f aca="false">IF('Food Data'!$AK$53="Grains &amp; bread",100/'Food Data'!$R$53,0)</f>
        <v>0</v>
      </c>
      <c r="BB78" s="23" t="n">
        <f aca="false">IF('Food Data'!$AK$54="Grains &amp; bread",100/'Food Data'!$R$54,0)</f>
        <v>0</v>
      </c>
      <c r="BC78" s="23" t="n">
        <f aca="false">IF('Food Data'!$AK$55="Grains &amp; bread",100/'Food Data'!$R$55,0)</f>
        <v>0</v>
      </c>
      <c r="BD78" s="23" t="n">
        <f aca="false">IF('Food Data'!$AK$56="Grains &amp; bread",100/'Food Data'!$R$56,0)</f>
        <v>0</v>
      </c>
      <c r="BE78" s="23" t="n">
        <f aca="false">IF('Food Data'!$AK$57="Grains &amp; bread",100/'Food Data'!$R$57,0)</f>
        <v>0</v>
      </c>
      <c r="BF78" s="23" t="n">
        <f aca="false">IF('Food Data'!$AK$58="Grains &amp; bread",100/'Food Data'!$R$58,0)</f>
        <v>0</v>
      </c>
      <c r="BG78" s="23" t="n">
        <f aca="false">IF('Food Data'!$AK$59="Grains &amp; bread",100/'Food Data'!$R$59,0)</f>
        <v>0</v>
      </c>
      <c r="BH78" s="23" t="n">
        <f aca="false">IF('Food Data'!$AK$60="Grains &amp; bread",100/'Food Data'!$R$60,0)</f>
        <v>0</v>
      </c>
      <c r="BI78" s="23" t="n">
        <f aca="false">IF('Food Data'!$AK$61="Grains &amp; bread",100/'Food Data'!$R$61,0)</f>
        <v>0</v>
      </c>
      <c r="BJ78" s="23" t="n">
        <f aca="false">IF('Food Data'!$AK$62="Grains &amp; bread",100/'Food Data'!$R$62,0)</f>
        <v>0</v>
      </c>
      <c r="BK78" s="23" t="n">
        <f aca="false">IF('Food Data'!$AK$63="Grains &amp; bread",100/'Food Data'!$R$63,0)</f>
        <v>0</v>
      </c>
      <c r="BL78" s="23" t="n">
        <f aca="false">IF('Food Data'!$AK$64="Grains &amp; bread",100/'Food Data'!$R$64,0)</f>
        <v>0</v>
      </c>
      <c r="BM78" s="23" t="n">
        <f aca="false">IF('Food Data'!$AK$65="Grains &amp; bread",100/'Food Data'!$R$65,0)</f>
        <v>0</v>
      </c>
      <c r="BN78" s="23" t="n">
        <f aca="false">IF('Food Data'!$AK$66="Grains &amp; bread",100/'Food Data'!$R$66,0)</f>
        <v>0</v>
      </c>
      <c r="BO78" s="23" t="n">
        <f aca="false">IF('Food Data'!$AK$67="Grains &amp; bread",100/'Food Data'!$R$67,0)</f>
        <v>0</v>
      </c>
      <c r="BP78" s="23" t="n">
        <f aca="false">IF('Food Data'!$AK$68="Grains &amp; bread",100/'Food Data'!$R$68,0)</f>
        <v>0</v>
      </c>
      <c r="BQ78" s="23" t="n">
        <f aca="false">IF('Food Data'!$AK$69="Grains &amp; bread",100/'Food Data'!$R$69,0)</f>
        <v>0</v>
      </c>
      <c r="BR78" s="23" t="n">
        <f aca="false">IF('Food Data'!$AK$70="Grains &amp; bread",100/'Food Data'!$R$70,0)</f>
        <v>0</v>
      </c>
      <c r="BS78" s="23" t="n">
        <f aca="false">IF('Food Data'!$AK$71="Grains &amp; bread",100/'Food Data'!$R$71,0)</f>
        <v>0</v>
      </c>
      <c r="BT78" s="23" t="n">
        <f aca="false">IF('Food Data'!$AK$72="Grains &amp; bread",100/'Food Data'!$R$72,0)</f>
        <v>0</v>
      </c>
      <c r="BU78" s="23" t="n">
        <f aca="false">IF('Food Data'!$AK$73="Grains &amp; bread",100/'Food Data'!$R$73,0)</f>
        <v>0</v>
      </c>
      <c r="BV78" s="23" t="n">
        <f aca="false">IF('Food Data'!$AK$74="Grains &amp; bread",100/'Food Data'!$R$74,0)</f>
        <v>0</v>
      </c>
      <c r="BW78" s="23" t="n">
        <f aca="false">IF('Food Data'!$AK$75="Grains &amp; bread",100/'Food Data'!$R$75,0)</f>
        <v>0</v>
      </c>
      <c r="BX78" s="23" t="n">
        <f aca="false">IF('Food Data'!$AK$76="Grains &amp; bread",100/'Food Data'!$R$76,0)</f>
        <v>0</v>
      </c>
    </row>
    <row r="79" customFormat="false" ht="15" hidden="false" customHeight="false" outlineLevel="0" collapsed="false">
      <c r="A79" s="4" t="s">
        <v>756</v>
      </c>
      <c r="B79" s="81" t="s">
        <v>752</v>
      </c>
      <c r="C79" s="82" t="n">
        <f aca="false">Planner!$C$55</f>
        <v>4</v>
      </c>
      <c r="D79" s="83" t="n">
        <v>2.33333450704225</v>
      </c>
      <c r="E79" s="81" t="str">
        <f aca="false">IF(D79&lt;=C79+0.000001*MAX(1,ABS(C79)),IF(ABS(D79-C79)&lt;=0.000001*MAX(1,ABS(C79)),"tight","ok"),"VIOLATED")</f>
        <v>ok</v>
      </c>
      <c r="F79" s="23" t="n">
        <f aca="false">IF('Food Data'!$AK$6="Oils &amp; butter",100/'Food Data'!$R$6,0)</f>
        <v>0</v>
      </c>
      <c r="G79" s="23" t="n">
        <f aca="false">IF('Food Data'!$AK$7="Oils &amp; butter",100/'Food Data'!$R$7,0)</f>
        <v>0</v>
      </c>
      <c r="H79" s="23" t="n">
        <f aca="false">IF('Food Data'!$AK$8="Oils &amp; butter",100/'Food Data'!$R$8,0)</f>
        <v>0</v>
      </c>
      <c r="I79" s="23" t="n">
        <f aca="false">IF('Food Data'!$AK$9="Oils &amp; butter",100/'Food Data'!$R$9,0)</f>
        <v>0</v>
      </c>
      <c r="J79" s="23" t="n">
        <f aca="false">IF('Food Data'!$AK$10="Oils &amp; butter",100/'Food Data'!$R$10,0)</f>
        <v>0</v>
      </c>
      <c r="K79" s="23" t="n">
        <f aca="false">IF('Food Data'!$AK$11="Oils &amp; butter",100/'Food Data'!$R$11,0)</f>
        <v>0</v>
      </c>
      <c r="L79" s="23" t="n">
        <f aca="false">IF('Food Data'!$AK$12="Oils &amp; butter",100/'Food Data'!$R$12,0)</f>
        <v>0</v>
      </c>
      <c r="M79" s="23" t="n">
        <f aca="false">IF('Food Data'!$AK$13="Oils &amp; butter",100/'Food Data'!$R$13,0)</f>
        <v>0</v>
      </c>
      <c r="N79" s="23" t="n">
        <f aca="false">IF('Food Data'!$AK$14="Oils &amp; butter",100/'Food Data'!$R$14,0)</f>
        <v>0</v>
      </c>
      <c r="O79" s="23" t="n">
        <f aca="false">IF('Food Data'!$AK$15="Oils &amp; butter",100/'Food Data'!$R$15,0)</f>
        <v>0</v>
      </c>
      <c r="P79" s="23" t="n">
        <f aca="false">IF('Food Data'!$AK$16="Oils &amp; butter",100/'Food Data'!$R$16,0)</f>
        <v>0</v>
      </c>
      <c r="Q79" s="23" t="n">
        <f aca="false">IF('Food Data'!$AK$17="Oils &amp; butter",100/'Food Data'!$R$17,0)</f>
        <v>0</v>
      </c>
      <c r="R79" s="23" t="n">
        <f aca="false">IF('Food Data'!$AK$18="Oils &amp; butter",100/'Food Data'!$R$18,0)</f>
        <v>0</v>
      </c>
      <c r="S79" s="23" t="n">
        <f aca="false">IF('Food Data'!$AK$19="Oils &amp; butter",100/'Food Data'!$R$19,0)</f>
        <v>0</v>
      </c>
      <c r="T79" s="23" t="n">
        <f aca="false">IF('Food Data'!$AK$20="Oils &amp; butter",100/'Food Data'!$R$20,0)</f>
        <v>0</v>
      </c>
      <c r="U79" s="23" t="n">
        <f aca="false">IF('Food Data'!$AK$21="Oils &amp; butter",100/'Food Data'!$R$21,0)</f>
        <v>0</v>
      </c>
      <c r="V79" s="23" t="n">
        <f aca="false">IF('Food Data'!$AK$22="Oils &amp; butter",100/'Food Data'!$R$22,0)</f>
        <v>0</v>
      </c>
      <c r="W79" s="23" t="n">
        <f aca="false">IF('Food Data'!$AK$23="Oils &amp; butter",100/'Food Data'!$R$23,0)</f>
        <v>0</v>
      </c>
      <c r="X79" s="23" t="n">
        <f aca="false">IF('Food Data'!$AK$24="Oils &amp; butter",100/'Food Data'!$R$24,0)</f>
        <v>0</v>
      </c>
      <c r="Y79" s="23" t="n">
        <f aca="false">IF('Food Data'!$AK$25="Oils &amp; butter",100/'Food Data'!$R$25,0)</f>
        <v>0</v>
      </c>
      <c r="Z79" s="23" t="n">
        <f aca="false">IF('Food Data'!$AK$26="Oils &amp; butter",100/'Food Data'!$R$26,0)</f>
        <v>0</v>
      </c>
      <c r="AA79" s="23" t="n">
        <f aca="false">IF('Food Data'!$AK$27="Oils &amp; butter",100/'Food Data'!$R$27,0)</f>
        <v>0</v>
      </c>
      <c r="AB79" s="23" t="n">
        <f aca="false">IF('Food Data'!$AK$28="Oils &amp; butter",100/'Food Data'!$R$28,0)</f>
        <v>0</v>
      </c>
      <c r="AC79" s="23" t="n">
        <f aca="false">IF('Food Data'!$AK$29="Oils &amp; butter",100/'Food Data'!$R$29,0)</f>
        <v>0</v>
      </c>
      <c r="AD79" s="23" t="n">
        <f aca="false">IF('Food Data'!$AK$30="Oils &amp; butter",100/'Food Data'!$R$30,0)</f>
        <v>0</v>
      </c>
      <c r="AE79" s="23" t="n">
        <f aca="false">IF('Food Data'!$AK$31="Oils &amp; butter",100/'Food Data'!$R$31,0)</f>
        <v>0</v>
      </c>
      <c r="AF79" s="23" t="n">
        <f aca="false">IF('Food Data'!$AK$32="Oils &amp; butter",100/'Food Data'!$R$32,0)</f>
        <v>0</v>
      </c>
      <c r="AG79" s="23" t="n">
        <f aca="false">IF('Food Data'!$AK$33="Oils &amp; butter",100/'Food Data'!$R$33,0)</f>
        <v>0</v>
      </c>
      <c r="AH79" s="23" t="n">
        <f aca="false">IF('Food Data'!$AK$34="Oils &amp; butter",100/'Food Data'!$R$34,0)</f>
        <v>0</v>
      </c>
      <c r="AI79" s="23" t="n">
        <f aca="false">IF('Food Data'!$AK$35="Oils &amp; butter",100/'Food Data'!$R$35,0)</f>
        <v>0</v>
      </c>
      <c r="AJ79" s="23" t="n">
        <f aca="false">IF('Food Data'!$AK$36="Oils &amp; butter",100/'Food Data'!$R$36,0)</f>
        <v>0</v>
      </c>
      <c r="AK79" s="23" t="n">
        <f aca="false">IF('Food Data'!$AK$37="Oils &amp; butter",100/'Food Data'!$R$37,0)</f>
        <v>0</v>
      </c>
      <c r="AL79" s="23" t="n">
        <f aca="false">IF('Food Data'!$AK$38="Oils &amp; butter",100/'Food Data'!$R$38,0)</f>
        <v>0</v>
      </c>
      <c r="AM79" s="23" t="n">
        <f aca="false">IF('Food Data'!$AK$39="Oils &amp; butter",100/'Food Data'!$R$39,0)</f>
        <v>0</v>
      </c>
      <c r="AN79" s="23" t="n">
        <f aca="false">IF('Food Data'!$AK$40="Oils &amp; butter",100/'Food Data'!$R$40,0)</f>
        <v>0</v>
      </c>
      <c r="AO79" s="23" t="n">
        <f aca="false">IF('Food Data'!$AK$41="Oils &amp; butter",100/'Food Data'!$R$41,0)</f>
        <v>0</v>
      </c>
      <c r="AP79" s="23" t="n">
        <f aca="false">IF('Food Data'!$AK$42="Oils &amp; butter",100/'Food Data'!$R$42,0)</f>
        <v>0</v>
      </c>
      <c r="AQ79" s="23" t="n">
        <f aca="false">IF('Food Data'!$AK$43="Oils &amp; butter",100/'Food Data'!$R$43,0)</f>
        <v>0</v>
      </c>
      <c r="AR79" s="23" t="n">
        <f aca="false">IF('Food Data'!$AK$44="Oils &amp; butter",100/'Food Data'!$R$44,0)</f>
        <v>0</v>
      </c>
      <c r="AS79" s="23" t="n">
        <f aca="false">IF('Food Data'!$AK$45="Oils &amp; butter",100/'Food Data'!$R$45,0)</f>
        <v>0</v>
      </c>
      <c r="AT79" s="23" t="n">
        <f aca="false">IF('Food Data'!$AK$46="Oils &amp; butter",100/'Food Data'!$R$46,0)</f>
        <v>0</v>
      </c>
      <c r="AU79" s="23" t="n">
        <f aca="false">IF('Food Data'!$AK$47="Oils &amp; butter",100/'Food Data'!$R$47,0)</f>
        <v>0</v>
      </c>
      <c r="AV79" s="23" t="n">
        <f aca="false">IF('Food Data'!$AK$48="Oils &amp; butter",100/'Food Data'!$R$48,0)</f>
        <v>0</v>
      </c>
      <c r="AW79" s="23" t="n">
        <f aca="false">IF('Food Data'!$AK$49="Oils &amp; butter",100/'Food Data'!$R$49,0)</f>
        <v>0</v>
      </c>
      <c r="AX79" s="23" t="n">
        <f aca="false">IF('Food Data'!$AK$50="Oils &amp; butter",100/'Food Data'!$R$50,0)</f>
        <v>0</v>
      </c>
      <c r="AY79" s="23" t="n">
        <f aca="false">IF('Food Data'!$AK$51="Oils &amp; butter",100/'Food Data'!$R$51,0)</f>
        <v>0</v>
      </c>
      <c r="AZ79" s="23" t="n">
        <f aca="false">IF('Food Data'!$AK$52="Oils &amp; butter",100/'Food Data'!$R$52,0)</f>
        <v>0</v>
      </c>
      <c r="BA79" s="23" t="n">
        <f aca="false">IF('Food Data'!$AK$53="Oils &amp; butter",100/'Food Data'!$R$53,0)</f>
        <v>0</v>
      </c>
      <c r="BB79" s="23" t="n">
        <f aca="false">IF('Food Data'!$AK$54="Oils &amp; butter",100/'Food Data'!$R$54,0)</f>
        <v>0</v>
      </c>
      <c r="BC79" s="23" t="n">
        <f aca="false">IF('Food Data'!$AK$55="Oils &amp; butter",100/'Food Data'!$R$55,0)</f>
        <v>0</v>
      </c>
      <c r="BD79" s="23" t="n">
        <f aca="false">IF('Food Data'!$AK$56="Oils &amp; butter",100/'Food Data'!$R$56,0)</f>
        <v>0</v>
      </c>
      <c r="BE79" s="23" t="n">
        <f aca="false">IF('Food Data'!$AK$57="Oils &amp; butter",100/'Food Data'!$R$57,0)</f>
        <v>0</v>
      </c>
      <c r="BF79" s="23" t="n">
        <f aca="false">IF('Food Data'!$AK$58="Oils &amp; butter",100/'Food Data'!$R$58,0)</f>
        <v>0</v>
      </c>
      <c r="BG79" s="23" t="n">
        <f aca="false">IF('Food Data'!$AK$59="Oils &amp; butter",100/'Food Data'!$R$59,0)</f>
        <v>0</v>
      </c>
      <c r="BH79" s="23" t="n">
        <f aca="false">IF('Food Data'!$AK$60="Oils &amp; butter",100/'Food Data'!$R$60,0)</f>
        <v>0</v>
      </c>
      <c r="BI79" s="23" t="n">
        <f aca="false">IF('Food Data'!$AK$61="Oils &amp; butter",100/'Food Data'!$R$61,0)</f>
        <v>0</v>
      </c>
      <c r="BJ79" s="23" t="n">
        <f aca="false">IF('Food Data'!$AK$62="Oils &amp; butter",100/'Food Data'!$R$62,0)</f>
        <v>0</v>
      </c>
      <c r="BK79" s="23" t="n">
        <f aca="false">IF('Food Data'!$AK$63="Oils &amp; butter",100/'Food Data'!$R$63,0)</f>
        <v>0</v>
      </c>
      <c r="BL79" s="23" t="n">
        <f aca="false">IF('Food Data'!$AK$64="Oils &amp; butter",100/'Food Data'!$R$64,0)</f>
        <v>0</v>
      </c>
      <c r="BM79" s="23" t="n">
        <f aca="false">IF('Food Data'!$AK$65="Oils &amp; butter",100/'Food Data'!$R$65,0)</f>
        <v>0</v>
      </c>
      <c r="BN79" s="23" t="n">
        <f aca="false">IF('Food Data'!$AK$66="Oils &amp; butter",100/'Food Data'!$R$66,0)</f>
        <v>0</v>
      </c>
      <c r="BO79" s="23" t="n">
        <f aca="false">IF('Food Data'!$AK$67="Oils &amp; butter",100/'Food Data'!$R$67,0)</f>
        <v>0</v>
      </c>
      <c r="BP79" s="23" t="n">
        <f aca="false">IF('Food Data'!$AK$68="Oils &amp; butter",100/'Food Data'!$R$68,0)</f>
        <v>7.04225352112676</v>
      </c>
      <c r="BQ79" s="23" t="n">
        <f aca="false">IF('Food Data'!$AK$69="Oils &amp; butter",100/'Food Data'!$R$69,0)</f>
        <v>7.14285714285714</v>
      </c>
      <c r="BR79" s="23" t="n">
        <f aca="false">IF('Food Data'!$AK$70="Oils &amp; butter",100/'Food Data'!$R$70,0)</f>
        <v>7.40740740740741</v>
      </c>
      <c r="BS79" s="23" t="n">
        <f aca="false">IF('Food Data'!$AK$71="Oils &amp; butter",100/'Food Data'!$R$71,0)</f>
        <v>0</v>
      </c>
      <c r="BT79" s="23" t="n">
        <f aca="false">IF('Food Data'!$AK$72="Oils &amp; butter",100/'Food Data'!$R$72,0)</f>
        <v>0</v>
      </c>
      <c r="BU79" s="23" t="n">
        <f aca="false">IF('Food Data'!$AK$73="Oils &amp; butter",100/'Food Data'!$R$73,0)</f>
        <v>0</v>
      </c>
      <c r="BV79" s="23" t="n">
        <f aca="false">IF('Food Data'!$AK$74="Oils &amp; butter",100/'Food Data'!$R$74,0)</f>
        <v>0</v>
      </c>
      <c r="BW79" s="23" t="n">
        <f aca="false">IF('Food Data'!$AK$75="Oils &amp; butter",100/'Food Data'!$R$75,0)</f>
        <v>0</v>
      </c>
      <c r="BX79" s="23" t="n">
        <f aca="false">IF('Food Data'!$AK$76="Oils &amp; butter",100/'Food Data'!$R$76,0)</f>
        <v>0</v>
      </c>
    </row>
    <row r="80" customFormat="false" ht="15" hidden="false" customHeight="false" outlineLevel="0" collapsed="false">
      <c r="A80" s="4" t="s">
        <v>757</v>
      </c>
      <c r="B80" s="81" t="s">
        <v>752</v>
      </c>
      <c r="C80" s="82" t="n">
        <f aca="false">Planner!$C$56</f>
        <v>2</v>
      </c>
      <c r="D80" s="83" t="n">
        <v>0</v>
      </c>
      <c r="E80" s="81" t="str">
        <f aca="false">IF(D80&lt;=C80+0.000001*MAX(1,ABS(C80)),IF(ABS(D80-C80)&lt;=0.000001*MAX(1,ABS(C80)),"tight","ok"),"VIOLATED")</f>
        <v>ok</v>
      </c>
      <c r="F80" s="23" t="n">
        <f aca="false">IF('Food Data'!$AK$6="Snacks &amp; sweets",100/'Food Data'!$R$6,0)</f>
        <v>0</v>
      </c>
      <c r="G80" s="23" t="n">
        <f aca="false">IF('Food Data'!$AK$7="Snacks &amp; sweets",100/'Food Data'!$R$7,0)</f>
        <v>0</v>
      </c>
      <c r="H80" s="23" t="n">
        <f aca="false">IF('Food Data'!$AK$8="Snacks &amp; sweets",100/'Food Data'!$R$8,0)</f>
        <v>0</v>
      </c>
      <c r="I80" s="23" t="n">
        <f aca="false">IF('Food Data'!$AK$9="Snacks &amp; sweets",100/'Food Data'!$R$9,0)</f>
        <v>0</v>
      </c>
      <c r="J80" s="23" t="n">
        <f aca="false">IF('Food Data'!$AK$10="Snacks &amp; sweets",100/'Food Data'!$R$10,0)</f>
        <v>0</v>
      </c>
      <c r="K80" s="23" t="n">
        <f aca="false">IF('Food Data'!$AK$11="Snacks &amp; sweets",100/'Food Data'!$R$11,0)</f>
        <v>0</v>
      </c>
      <c r="L80" s="23" t="n">
        <f aca="false">IF('Food Data'!$AK$12="Snacks &amp; sweets",100/'Food Data'!$R$12,0)</f>
        <v>0</v>
      </c>
      <c r="M80" s="23" t="n">
        <f aca="false">IF('Food Data'!$AK$13="Snacks &amp; sweets",100/'Food Data'!$R$13,0)</f>
        <v>0</v>
      </c>
      <c r="N80" s="23" t="n">
        <f aca="false">IF('Food Data'!$AK$14="Snacks &amp; sweets",100/'Food Data'!$R$14,0)</f>
        <v>0</v>
      </c>
      <c r="O80" s="23" t="n">
        <f aca="false">IF('Food Data'!$AK$15="Snacks &amp; sweets",100/'Food Data'!$R$15,0)</f>
        <v>0</v>
      </c>
      <c r="P80" s="23" t="n">
        <f aca="false">IF('Food Data'!$AK$16="Snacks &amp; sweets",100/'Food Data'!$R$16,0)</f>
        <v>0</v>
      </c>
      <c r="Q80" s="23" t="n">
        <f aca="false">IF('Food Data'!$AK$17="Snacks &amp; sweets",100/'Food Data'!$R$17,0)</f>
        <v>0</v>
      </c>
      <c r="R80" s="23" t="n">
        <f aca="false">IF('Food Data'!$AK$18="Snacks &amp; sweets",100/'Food Data'!$R$18,0)</f>
        <v>0</v>
      </c>
      <c r="S80" s="23" t="n">
        <f aca="false">IF('Food Data'!$AK$19="Snacks &amp; sweets",100/'Food Data'!$R$19,0)</f>
        <v>0</v>
      </c>
      <c r="T80" s="23" t="n">
        <f aca="false">IF('Food Data'!$AK$20="Snacks &amp; sweets",100/'Food Data'!$R$20,0)</f>
        <v>0</v>
      </c>
      <c r="U80" s="23" t="n">
        <f aca="false">IF('Food Data'!$AK$21="Snacks &amp; sweets",100/'Food Data'!$R$21,0)</f>
        <v>0</v>
      </c>
      <c r="V80" s="23" t="n">
        <f aca="false">IF('Food Data'!$AK$22="Snacks &amp; sweets",100/'Food Data'!$R$22,0)</f>
        <v>0</v>
      </c>
      <c r="W80" s="23" t="n">
        <f aca="false">IF('Food Data'!$AK$23="Snacks &amp; sweets",100/'Food Data'!$R$23,0)</f>
        <v>0</v>
      </c>
      <c r="X80" s="23" t="n">
        <f aca="false">IF('Food Data'!$AK$24="Snacks &amp; sweets",100/'Food Data'!$R$24,0)</f>
        <v>0</v>
      </c>
      <c r="Y80" s="23" t="n">
        <f aca="false">IF('Food Data'!$AK$25="Snacks &amp; sweets",100/'Food Data'!$R$25,0)</f>
        <v>0</v>
      </c>
      <c r="Z80" s="23" t="n">
        <f aca="false">IF('Food Data'!$AK$26="Snacks &amp; sweets",100/'Food Data'!$R$26,0)</f>
        <v>0</v>
      </c>
      <c r="AA80" s="23" t="n">
        <f aca="false">IF('Food Data'!$AK$27="Snacks &amp; sweets",100/'Food Data'!$R$27,0)</f>
        <v>0</v>
      </c>
      <c r="AB80" s="23" t="n">
        <f aca="false">IF('Food Data'!$AK$28="Snacks &amp; sweets",100/'Food Data'!$R$28,0)</f>
        <v>0</v>
      </c>
      <c r="AC80" s="23" t="n">
        <f aca="false">IF('Food Data'!$AK$29="Snacks &amp; sweets",100/'Food Data'!$R$29,0)</f>
        <v>0</v>
      </c>
      <c r="AD80" s="23" t="n">
        <f aca="false">IF('Food Data'!$AK$30="Snacks &amp; sweets",100/'Food Data'!$R$30,0)</f>
        <v>0</v>
      </c>
      <c r="AE80" s="23" t="n">
        <f aca="false">IF('Food Data'!$AK$31="Snacks &amp; sweets",100/'Food Data'!$R$31,0)</f>
        <v>0</v>
      </c>
      <c r="AF80" s="23" t="n">
        <f aca="false">IF('Food Data'!$AK$32="Snacks &amp; sweets",100/'Food Data'!$R$32,0)</f>
        <v>0</v>
      </c>
      <c r="AG80" s="23" t="n">
        <f aca="false">IF('Food Data'!$AK$33="Snacks &amp; sweets",100/'Food Data'!$R$33,0)</f>
        <v>0</v>
      </c>
      <c r="AH80" s="23" t="n">
        <f aca="false">IF('Food Data'!$AK$34="Snacks &amp; sweets",100/'Food Data'!$R$34,0)</f>
        <v>0</v>
      </c>
      <c r="AI80" s="23" t="n">
        <f aca="false">IF('Food Data'!$AK$35="Snacks &amp; sweets",100/'Food Data'!$R$35,0)</f>
        <v>0</v>
      </c>
      <c r="AJ80" s="23" t="n">
        <f aca="false">IF('Food Data'!$AK$36="Snacks &amp; sweets",100/'Food Data'!$R$36,0)</f>
        <v>0</v>
      </c>
      <c r="AK80" s="23" t="n">
        <f aca="false">IF('Food Data'!$AK$37="Snacks &amp; sweets",100/'Food Data'!$R$37,0)</f>
        <v>0</v>
      </c>
      <c r="AL80" s="23" t="n">
        <f aca="false">IF('Food Data'!$AK$38="Snacks &amp; sweets",100/'Food Data'!$R$38,0)</f>
        <v>0</v>
      </c>
      <c r="AM80" s="23" t="n">
        <f aca="false">IF('Food Data'!$AK$39="Snacks &amp; sweets",100/'Food Data'!$R$39,0)</f>
        <v>0</v>
      </c>
      <c r="AN80" s="23" t="n">
        <f aca="false">IF('Food Data'!$AK$40="Snacks &amp; sweets",100/'Food Data'!$R$40,0)</f>
        <v>0</v>
      </c>
      <c r="AO80" s="23" t="n">
        <f aca="false">IF('Food Data'!$AK$41="Snacks &amp; sweets",100/'Food Data'!$R$41,0)</f>
        <v>0</v>
      </c>
      <c r="AP80" s="23" t="n">
        <f aca="false">IF('Food Data'!$AK$42="Snacks &amp; sweets",100/'Food Data'!$R$42,0)</f>
        <v>0</v>
      </c>
      <c r="AQ80" s="23" t="n">
        <f aca="false">IF('Food Data'!$AK$43="Snacks &amp; sweets",100/'Food Data'!$R$43,0)</f>
        <v>0</v>
      </c>
      <c r="AR80" s="23" t="n">
        <f aca="false">IF('Food Data'!$AK$44="Snacks &amp; sweets",100/'Food Data'!$R$44,0)</f>
        <v>0</v>
      </c>
      <c r="AS80" s="23" t="n">
        <f aca="false">IF('Food Data'!$AK$45="Snacks &amp; sweets",100/'Food Data'!$R$45,0)</f>
        <v>0</v>
      </c>
      <c r="AT80" s="23" t="n">
        <f aca="false">IF('Food Data'!$AK$46="Snacks &amp; sweets",100/'Food Data'!$R$46,0)</f>
        <v>0</v>
      </c>
      <c r="AU80" s="23" t="n">
        <f aca="false">IF('Food Data'!$AK$47="Snacks &amp; sweets",100/'Food Data'!$R$47,0)</f>
        <v>0</v>
      </c>
      <c r="AV80" s="23" t="n">
        <f aca="false">IF('Food Data'!$AK$48="Snacks &amp; sweets",100/'Food Data'!$R$48,0)</f>
        <v>0</v>
      </c>
      <c r="AW80" s="23" t="n">
        <f aca="false">IF('Food Data'!$AK$49="Snacks &amp; sweets",100/'Food Data'!$R$49,0)</f>
        <v>0</v>
      </c>
      <c r="AX80" s="23" t="n">
        <f aca="false">IF('Food Data'!$AK$50="Snacks &amp; sweets",100/'Food Data'!$R$50,0)</f>
        <v>0</v>
      </c>
      <c r="AY80" s="23" t="n">
        <f aca="false">IF('Food Data'!$AK$51="Snacks &amp; sweets",100/'Food Data'!$R$51,0)</f>
        <v>0</v>
      </c>
      <c r="AZ80" s="23" t="n">
        <f aca="false">IF('Food Data'!$AK$52="Snacks &amp; sweets",100/'Food Data'!$R$52,0)</f>
        <v>0</v>
      </c>
      <c r="BA80" s="23" t="n">
        <f aca="false">IF('Food Data'!$AK$53="Snacks &amp; sweets",100/'Food Data'!$R$53,0)</f>
        <v>0</v>
      </c>
      <c r="BB80" s="23" t="n">
        <f aca="false">IF('Food Data'!$AK$54="Snacks &amp; sweets",100/'Food Data'!$R$54,0)</f>
        <v>0</v>
      </c>
      <c r="BC80" s="23" t="n">
        <f aca="false">IF('Food Data'!$AK$55="Snacks &amp; sweets",100/'Food Data'!$R$55,0)</f>
        <v>0</v>
      </c>
      <c r="BD80" s="23" t="n">
        <f aca="false">IF('Food Data'!$AK$56="Snacks &amp; sweets",100/'Food Data'!$R$56,0)</f>
        <v>0</v>
      </c>
      <c r="BE80" s="23" t="n">
        <f aca="false">IF('Food Data'!$AK$57="Snacks &amp; sweets",100/'Food Data'!$R$57,0)</f>
        <v>0</v>
      </c>
      <c r="BF80" s="23" t="n">
        <f aca="false">IF('Food Data'!$AK$58="Snacks &amp; sweets",100/'Food Data'!$R$58,0)</f>
        <v>0</v>
      </c>
      <c r="BG80" s="23" t="n">
        <f aca="false">IF('Food Data'!$AK$59="Snacks &amp; sweets",100/'Food Data'!$R$59,0)</f>
        <v>0</v>
      </c>
      <c r="BH80" s="23" t="n">
        <f aca="false">IF('Food Data'!$AK$60="Snacks &amp; sweets",100/'Food Data'!$R$60,0)</f>
        <v>0</v>
      </c>
      <c r="BI80" s="23" t="n">
        <f aca="false">IF('Food Data'!$AK$61="Snacks &amp; sweets",100/'Food Data'!$R$61,0)</f>
        <v>0</v>
      </c>
      <c r="BJ80" s="23" t="n">
        <f aca="false">IF('Food Data'!$AK$62="Snacks &amp; sweets",100/'Food Data'!$R$62,0)</f>
        <v>0</v>
      </c>
      <c r="BK80" s="23" t="n">
        <f aca="false">IF('Food Data'!$AK$63="Snacks &amp; sweets",100/'Food Data'!$R$63,0)</f>
        <v>0</v>
      </c>
      <c r="BL80" s="23" t="n">
        <f aca="false">IF('Food Data'!$AK$64="Snacks &amp; sweets",100/'Food Data'!$R$64,0)</f>
        <v>0</v>
      </c>
      <c r="BM80" s="23" t="n">
        <f aca="false">IF('Food Data'!$AK$65="Snacks &amp; sweets",100/'Food Data'!$R$65,0)</f>
        <v>0</v>
      </c>
      <c r="BN80" s="23" t="n">
        <f aca="false">IF('Food Data'!$AK$66="Snacks &amp; sweets",100/'Food Data'!$R$66,0)</f>
        <v>0</v>
      </c>
      <c r="BO80" s="23" t="n">
        <f aca="false">IF('Food Data'!$AK$67="Snacks &amp; sweets",100/'Food Data'!$R$67,0)</f>
        <v>0</v>
      </c>
      <c r="BP80" s="23" t="n">
        <f aca="false">IF('Food Data'!$AK$68="Snacks &amp; sweets",100/'Food Data'!$R$68,0)</f>
        <v>0</v>
      </c>
      <c r="BQ80" s="23" t="n">
        <f aca="false">IF('Food Data'!$AK$69="Snacks &amp; sweets",100/'Food Data'!$R$69,0)</f>
        <v>0</v>
      </c>
      <c r="BR80" s="23" t="n">
        <f aca="false">IF('Food Data'!$AK$70="Snacks &amp; sweets",100/'Food Data'!$R$70,0)</f>
        <v>0</v>
      </c>
      <c r="BS80" s="23" t="n">
        <f aca="false">IF('Food Data'!$AK$71="Snacks &amp; sweets",100/'Food Data'!$R$71,0)</f>
        <v>0</v>
      </c>
      <c r="BT80" s="23" t="n">
        <f aca="false">IF('Food Data'!$AK$72="Snacks &amp; sweets",100/'Food Data'!$R$72,0)</f>
        <v>0</v>
      </c>
      <c r="BU80" s="23" t="n">
        <f aca="false">IF('Food Data'!$AK$73="Snacks &amp; sweets",100/'Food Data'!$R$73,0)</f>
        <v>3.84615384615385</v>
      </c>
      <c r="BV80" s="23" t="n">
        <f aca="false">IF('Food Data'!$AK$74="Snacks &amp; sweets",100/'Food Data'!$R$74,0)</f>
        <v>4.16666666666667</v>
      </c>
      <c r="BW80" s="23" t="n">
        <f aca="false">IF('Food Data'!$AK$75="Snacks &amp; sweets",100/'Food Data'!$R$75,0)</f>
        <v>3.57142857142857</v>
      </c>
      <c r="BX80" s="23" t="n">
        <f aca="false">IF('Food Data'!$AK$76="Snacks &amp; sweets",100/'Food Data'!$R$76,0)</f>
        <v>1.51515151515152</v>
      </c>
    </row>
    <row r="81" customFormat="false" ht="15" hidden="false" customHeight="false" outlineLevel="0" collapsed="false">
      <c r="A81" s="4" t="s">
        <v>758</v>
      </c>
      <c r="B81" s="81" t="s">
        <v>759</v>
      </c>
      <c r="C81" s="82" t="n">
        <f aca="false">IF((Planner!$C$60="Realistic"),$I$5,1000000)</f>
        <v>5</v>
      </c>
      <c r="D81" s="83" t="n">
        <v>4.99999999903743</v>
      </c>
      <c r="E81" s="81" t="str">
        <f aca="false">IF(D81&lt;=C81+0.000001*MAX(1,ABS(C81)),IF(ABS(D81-C81)&lt;=0.000001*MAX(1,ABS(C81)),"tight","ok"),"VIOLATED")</f>
        <v>tight</v>
      </c>
      <c r="F81" s="23" t="n">
        <f aca="false">IF('Food Data'!$AL$6="protein",100/'Food Data'!$AM$6,0)</f>
        <v>1.17647058823529</v>
      </c>
      <c r="G81" s="23" t="n">
        <f aca="false">IF('Food Data'!$AL$7="protein",100/'Food Data'!$AM$7,0)</f>
        <v>1.17647058823529</v>
      </c>
      <c r="H81" s="23" t="n">
        <f aca="false">IF('Food Data'!$AL$8="protein",100/'Food Data'!$AM$8,0)</f>
        <v>1.17647058823529</v>
      </c>
      <c r="I81" s="23" t="n">
        <f aca="false">IF('Food Data'!$AL$9="protein",100/'Food Data'!$AM$9,0)</f>
        <v>1.17647058823529</v>
      </c>
      <c r="J81" s="23" t="n">
        <f aca="false">IF('Food Data'!$AL$10="protein",100/'Food Data'!$AM$10,0)</f>
        <v>1.17647058823529</v>
      </c>
      <c r="K81" s="23" t="n">
        <f aca="false">IF('Food Data'!$AL$11="protein",100/'Food Data'!$AM$11,0)</f>
        <v>1.17647058823529</v>
      </c>
      <c r="L81" s="23" t="n">
        <f aca="false">IF('Food Data'!$AL$12="protein",100/'Food Data'!$AM$12,0)</f>
        <v>1.17647058823529</v>
      </c>
      <c r="M81" s="23" t="n">
        <f aca="false">IF('Food Data'!$AL$13="protein",100/'Food Data'!$AM$13,0)</f>
        <v>1.17647058823529</v>
      </c>
      <c r="N81" s="23" t="n">
        <f aca="false">IF('Food Data'!$AL$14="protein",100/'Food Data'!$AM$14,0)</f>
        <v>1.17647058823529</v>
      </c>
      <c r="O81" s="23" t="n">
        <f aca="false">IF('Food Data'!$AL$15="protein",100/'Food Data'!$AM$15,0)</f>
        <v>1.17647058823529</v>
      </c>
      <c r="P81" s="23" t="n">
        <f aca="false">IF('Food Data'!$AL$16="protein",100/'Food Data'!$AM$16,0)</f>
        <v>1.17647058823529</v>
      </c>
      <c r="Q81" s="23" t="n">
        <f aca="false">IF('Food Data'!$AL$17="protein",100/'Food Data'!$AM$17,0)</f>
        <v>1.17647058823529</v>
      </c>
      <c r="R81" s="23" t="n">
        <f aca="false">IF('Food Data'!$AL$18="protein",100/'Food Data'!$AM$18,0)</f>
        <v>1.17647058823529</v>
      </c>
      <c r="S81" s="23" t="n">
        <f aca="false">IF('Food Data'!$AL$19="protein",100/'Food Data'!$AM$19,0)</f>
        <v>1.17647058823529</v>
      </c>
      <c r="T81" s="23" t="n">
        <f aca="false">IF('Food Data'!$AL$20="protein",100/'Food Data'!$AM$20,0)</f>
        <v>1.17647058823529</v>
      </c>
      <c r="U81" s="23" t="n">
        <f aca="false">IF('Food Data'!$AL$21="protein",100/'Food Data'!$AM$21,0)</f>
        <v>2</v>
      </c>
      <c r="V81" s="23" t="n">
        <f aca="false">IF('Food Data'!$AL$22="protein",100/'Food Data'!$AM$22,0)</f>
        <v>0.833333333333333</v>
      </c>
      <c r="W81" s="23" t="n">
        <f aca="false">IF('Food Data'!$AL$23="protein",100/'Food Data'!$AM$23,0)</f>
        <v>0.833333333333333</v>
      </c>
      <c r="X81" s="23" t="n">
        <f aca="false">IF('Food Data'!$AL$24="protein",100/'Food Data'!$AM$24,0)</f>
        <v>1.01010101010101</v>
      </c>
      <c r="Y81" s="23" t="n">
        <f aca="false">IF('Food Data'!$AL$25="protein",100/'Food Data'!$AM$25,0)</f>
        <v>3.125</v>
      </c>
      <c r="Z81" s="23" t="n">
        <f aca="false">IF('Food Data'!$AL$26="protein",100/'Food Data'!$AM$26,0)</f>
        <v>1.16959064327485</v>
      </c>
      <c r="AA81" s="23" t="n">
        <f aca="false">IF('Food Data'!$AL$27="protein",100/'Food Data'!$AM$27,0)</f>
        <v>1.17647058823529</v>
      </c>
      <c r="AB81" s="23" t="n">
        <f aca="false">IF('Food Data'!$AL$28="protein",100/'Food Data'!$AM$28,0)</f>
        <v>0</v>
      </c>
      <c r="AC81" s="23" t="n">
        <f aca="false">IF('Food Data'!$AL$29="protein",100/'Food Data'!$AM$29,0)</f>
        <v>0</v>
      </c>
      <c r="AD81" s="23" t="n">
        <f aca="false">IF('Food Data'!$AL$30="protein",100/'Food Data'!$AM$30,0)</f>
        <v>0</v>
      </c>
      <c r="AE81" s="23" t="n">
        <f aca="false">IF('Food Data'!$AL$31="protein",100/'Food Data'!$AM$31,0)</f>
        <v>0</v>
      </c>
      <c r="AF81" s="23" t="n">
        <f aca="false">IF('Food Data'!$AL$32="protein",100/'Food Data'!$AM$32,0)</f>
        <v>0</v>
      </c>
      <c r="AG81" s="23" t="n">
        <f aca="false">IF('Food Data'!$AL$33="protein",100/'Food Data'!$AM$33,0)</f>
        <v>0</v>
      </c>
      <c r="AH81" s="23" t="n">
        <f aca="false">IF('Food Data'!$AL$34="protein",100/'Food Data'!$AM$34,0)</f>
        <v>0</v>
      </c>
      <c r="AI81" s="23" t="n">
        <f aca="false">IF('Food Data'!$AL$35="protein",100/'Food Data'!$AM$35,0)</f>
        <v>0</v>
      </c>
      <c r="AJ81" s="23" t="n">
        <f aca="false">IF('Food Data'!$AL$36="protein",100/'Food Data'!$AM$36,0)</f>
        <v>0</v>
      </c>
      <c r="AK81" s="23" t="n">
        <f aca="false">IF('Food Data'!$AL$37="protein",100/'Food Data'!$AM$37,0)</f>
        <v>0</v>
      </c>
      <c r="AL81" s="23" t="n">
        <f aca="false">IF('Food Data'!$AL$38="protein",100/'Food Data'!$AM$38,0)</f>
        <v>0</v>
      </c>
      <c r="AM81" s="23" t="n">
        <f aca="false">IF('Food Data'!$AL$39="protein",100/'Food Data'!$AM$39,0)</f>
        <v>0</v>
      </c>
      <c r="AN81" s="23" t="n">
        <f aca="false">IF('Food Data'!$AL$40="protein",100/'Food Data'!$AM$40,0)</f>
        <v>0</v>
      </c>
      <c r="AO81" s="23" t="n">
        <f aca="false">IF('Food Data'!$AL$41="protein",100/'Food Data'!$AM$41,0)</f>
        <v>0</v>
      </c>
      <c r="AP81" s="23" t="n">
        <f aca="false">IF('Food Data'!$AL$42="protein",100/'Food Data'!$AM$42,0)</f>
        <v>0</v>
      </c>
      <c r="AQ81" s="23" t="n">
        <f aca="false">IF('Food Data'!$AL$43="protein",100/'Food Data'!$AM$43,0)</f>
        <v>0</v>
      </c>
      <c r="AR81" s="23" t="n">
        <f aca="false">IF('Food Data'!$AL$44="protein",100/'Food Data'!$AM$44,0)</f>
        <v>0</v>
      </c>
      <c r="AS81" s="23" t="n">
        <f aca="false">IF('Food Data'!$AL$45="protein",100/'Food Data'!$AM$45,0)</f>
        <v>0</v>
      </c>
      <c r="AT81" s="23" t="n">
        <f aca="false">IF('Food Data'!$AL$46="protein",100/'Food Data'!$AM$46,0)</f>
        <v>0</v>
      </c>
      <c r="AU81" s="23" t="n">
        <f aca="false">IF('Food Data'!$AL$47="protein",100/'Food Data'!$AM$47,0)</f>
        <v>0</v>
      </c>
      <c r="AV81" s="23" t="n">
        <f aca="false">IF('Food Data'!$AL$48="protein",100/'Food Data'!$AM$48,0)</f>
        <v>0</v>
      </c>
      <c r="AW81" s="23" t="n">
        <f aca="false">IF('Food Data'!$AL$49="protein",100/'Food Data'!$AM$49,0)</f>
        <v>0</v>
      </c>
      <c r="AX81" s="23" t="n">
        <f aca="false">IF('Food Data'!$AL$50="protein",100/'Food Data'!$AM$50,0)</f>
        <v>0</v>
      </c>
      <c r="AY81" s="23" t="n">
        <f aca="false">IF('Food Data'!$AL$51="protein",100/'Food Data'!$AM$51,0)</f>
        <v>0</v>
      </c>
      <c r="AZ81" s="23" t="n">
        <f aca="false">IF('Food Data'!$AL$52="protein",100/'Food Data'!$AM$52,0)</f>
        <v>0</v>
      </c>
      <c r="BA81" s="23" t="n">
        <f aca="false">IF('Food Data'!$AL$53="protein",100/'Food Data'!$AM$53,0)</f>
        <v>0</v>
      </c>
      <c r="BB81" s="23" t="n">
        <f aca="false">IF('Food Data'!$AL$54="protein",100/'Food Data'!$AM$54,0)</f>
        <v>0</v>
      </c>
      <c r="BC81" s="23" t="n">
        <f aca="false">IF('Food Data'!$AL$55="protein",100/'Food Data'!$AM$55,0)</f>
        <v>0</v>
      </c>
      <c r="BD81" s="23" t="n">
        <f aca="false">IF('Food Data'!$AL$56="protein",100/'Food Data'!$AM$56,0)</f>
        <v>0</v>
      </c>
      <c r="BE81" s="23" t="n">
        <f aca="false">IF('Food Data'!$AL$57="protein",100/'Food Data'!$AM$57,0)</f>
        <v>0</v>
      </c>
      <c r="BF81" s="23" t="n">
        <f aca="false">IF('Food Data'!$AL$58="protein",100/'Food Data'!$AM$58,0)</f>
        <v>0</v>
      </c>
      <c r="BG81" s="23" t="n">
        <f aca="false">IF('Food Data'!$AL$59="protein",100/'Food Data'!$AM$59,0)</f>
        <v>0</v>
      </c>
      <c r="BH81" s="23" t="n">
        <f aca="false">IF('Food Data'!$AL$60="protein",100/'Food Data'!$AM$60,0)</f>
        <v>0</v>
      </c>
      <c r="BI81" s="23" t="n">
        <f aca="false">IF('Food Data'!$AL$61="protein",100/'Food Data'!$AM$61,0)</f>
        <v>0</v>
      </c>
      <c r="BJ81" s="23" t="n">
        <f aca="false">IF('Food Data'!$AL$62="protein",100/'Food Data'!$AM$62,0)</f>
        <v>0</v>
      </c>
      <c r="BK81" s="23" t="n">
        <f aca="false">IF('Food Data'!$AL$63="protein",100/'Food Data'!$AM$63,0)</f>
        <v>0</v>
      </c>
      <c r="BL81" s="23" t="n">
        <f aca="false">IF('Food Data'!$AL$64="protein",100/'Food Data'!$AM$64,0)</f>
        <v>0</v>
      </c>
      <c r="BM81" s="23" t="n">
        <f aca="false">IF('Food Data'!$AL$65="protein",100/'Food Data'!$AM$65,0)</f>
        <v>0</v>
      </c>
      <c r="BN81" s="23" t="n">
        <f aca="false">IF('Food Data'!$AL$66="protein",100/'Food Data'!$AM$66,0)</f>
        <v>0</v>
      </c>
      <c r="BO81" s="23" t="n">
        <f aca="false">IF('Food Data'!$AL$67="protein",100/'Food Data'!$AM$67,0)</f>
        <v>0</v>
      </c>
      <c r="BP81" s="23" t="n">
        <f aca="false">IF('Food Data'!$AL$68="protein",100/'Food Data'!$AM$68,0)</f>
        <v>0</v>
      </c>
      <c r="BQ81" s="23" t="n">
        <f aca="false">IF('Food Data'!$AL$69="protein",100/'Food Data'!$AM$69,0)</f>
        <v>0</v>
      </c>
      <c r="BR81" s="23" t="n">
        <f aca="false">IF('Food Data'!$AL$70="protein",100/'Food Data'!$AM$70,0)</f>
        <v>0</v>
      </c>
      <c r="BS81" s="23" t="n">
        <f aca="false">IF('Food Data'!$AL$71="protein",100/'Food Data'!$AM$71,0)</f>
        <v>3.57142857142857</v>
      </c>
      <c r="BT81" s="23" t="n">
        <f aca="false">IF('Food Data'!$AL$72="protein",100/'Food Data'!$AM$72,0)</f>
        <v>0</v>
      </c>
      <c r="BU81" s="23" t="n">
        <f aca="false">IF('Food Data'!$AL$73="protein",100/'Food Data'!$AM$73,0)</f>
        <v>0</v>
      </c>
      <c r="BV81" s="23" t="n">
        <f aca="false">IF('Food Data'!$AL$74="protein",100/'Food Data'!$AM$74,0)</f>
        <v>0</v>
      </c>
      <c r="BW81" s="23" t="n">
        <f aca="false">IF('Food Data'!$AL$75="protein",100/'Food Data'!$AM$75,0)</f>
        <v>0</v>
      </c>
      <c r="BX81" s="23" t="n">
        <f aca="false">IF('Food Data'!$AL$76="protein",100/'Food Data'!$AM$76,0)</f>
        <v>0</v>
      </c>
    </row>
    <row r="82" customFormat="false" ht="15" hidden="false" customHeight="false" outlineLevel="0" collapsed="false">
      <c r="A82" s="4" t="s">
        <v>760</v>
      </c>
      <c r="B82" s="81" t="s">
        <v>759</v>
      </c>
      <c r="C82" s="82" t="n">
        <f aca="false">IF((Planner!$C$60="Realistic"),$I$9,1000000)</f>
        <v>6.5</v>
      </c>
      <c r="D82" s="83" t="n">
        <v>5.95055954257426</v>
      </c>
      <c r="E82" s="81" t="str">
        <f aca="false">IF(D82&lt;=C82+0.000001*MAX(1,ABS(C82)),IF(ABS(D82-C82)&lt;=0.000001*MAX(1,ABS(C82)),"tight","ok"),"VIOLATED")</f>
        <v>ok</v>
      </c>
      <c r="F82" s="23" t="n">
        <f aca="false">IF('Food Data'!$AL$6="wgrain",100/'Food Data'!$AM$6,0)</f>
        <v>0</v>
      </c>
      <c r="G82" s="23" t="n">
        <f aca="false">IF('Food Data'!$AL$7="wgrain",100/'Food Data'!$AM$7,0)</f>
        <v>0</v>
      </c>
      <c r="H82" s="23" t="n">
        <f aca="false">IF('Food Data'!$AL$8="wgrain",100/'Food Data'!$AM$8,0)</f>
        <v>0</v>
      </c>
      <c r="I82" s="23" t="n">
        <f aca="false">IF('Food Data'!$AL$9="wgrain",100/'Food Data'!$AM$9,0)</f>
        <v>0</v>
      </c>
      <c r="J82" s="23" t="n">
        <f aca="false">IF('Food Data'!$AL$10="wgrain",100/'Food Data'!$AM$10,0)</f>
        <v>0</v>
      </c>
      <c r="K82" s="23" t="n">
        <f aca="false">IF('Food Data'!$AL$11="wgrain",100/'Food Data'!$AM$11,0)</f>
        <v>0</v>
      </c>
      <c r="L82" s="23" t="n">
        <f aca="false">IF('Food Data'!$AL$12="wgrain",100/'Food Data'!$AM$12,0)</f>
        <v>0</v>
      </c>
      <c r="M82" s="23" t="n">
        <f aca="false">IF('Food Data'!$AL$13="wgrain",100/'Food Data'!$AM$13,0)</f>
        <v>0</v>
      </c>
      <c r="N82" s="23" t="n">
        <f aca="false">IF('Food Data'!$AL$14="wgrain",100/'Food Data'!$AM$14,0)</f>
        <v>0</v>
      </c>
      <c r="O82" s="23" t="n">
        <f aca="false">IF('Food Data'!$AL$15="wgrain",100/'Food Data'!$AM$15,0)</f>
        <v>0</v>
      </c>
      <c r="P82" s="23" t="n">
        <f aca="false">IF('Food Data'!$AL$16="wgrain",100/'Food Data'!$AM$16,0)</f>
        <v>0</v>
      </c>
      <c r="Q82" s="23" t="n">
        <f aca="false">IF('Food Data'!$AL$17="wgrain",100/'Food Data'!$AM$17,0)</f>
        <v>0</v>
      </c>
      <c r="R82" s="23" t="n">
        <f aca="false">IF('Food Data'!$AL$18="wgrain",100/'Food Data'!$AM$18,0)</f>
        <v>0</v>
      </c>
      <c r="S82" s="23" t="n">
        <f aca="false">IF('Food Data'!$AL$19="wgrain",100/'Food Data'!$AM$19,0)</f>
        <v>0</v>
      </c>
      <c r="T82" s="23" t="n">
        <f aca="false">IF('Food Data'!$AL$20="wgrain",100/'Food Data'!$AM$20,0)</f>
        <v>0</v>
      </c>
      <c r="U82" s="23" t="n">
        <f aca="false">IF('Food Data'!$AL$21="wgrain",100/'Food Data'!$AM$21,0)</f>
        <v>0</v>
      </c>
      <c r="V82" s="23" t="n">
        <f aca="false">IF('Food Data'!$AL$22="wgrain",100/'Food Data'!$AM$22,0)</f>
        <v>0</v>
      </c>
      <c r="W82" s="23" t="n">
        <f aca="false">IF('Food Data'!$AL$23="wgrain",100/'Food Data'!$AM$23,0)</f>
        <v>0</v>
      </c>
      <c r="X82" s="23" t="n">
        <f aca="false">IF('Food Data'!$AL$24="wgrain",100/'Food Data'!$AM$24,0)</f>
        <v>0</v>
      </c>
      <c r="Y82" s="23" t="n">
        <f aca="false">IF('Food Data'!$AL$25="wgrain",100/'Food Data'!$AM$25,0)</f>
        <v>0</v>
      </c>
      <c r="Z82" s="23" t="n">
        <f aca="false">IF('Food Data'!$AL$26="wgrain",100/'Food Data'!$AM$26,0)</f>
        <v>0</v>
      </c>
      <c r="AA82" s="23" t="n">
        <f aca="false">IF('Food Data'!$AL$27="wgrain",100/'Food Data'!$AM$27,0)</f>
        <v>0</v>
      </c>
      <c r="AB82" s="23" t="n">
        <f aca="false">IF('Food Data'!$AL$28="wgrain",100/'Food Data'!$AM$28,0)</f>
        <v>0</v>
      </c>
      <c r="AC82" s="23" t="n">
        <f aca="false">IF('Food Data'!$AL$29="wgrain",100/'Food Data'!$AM$29,0)</f>
        <v>0</v>
      </c>
      <c r="AD82" s="23" t="n">
        <f aca="false">IF('Food Data'!$AL$30="wgrain",100/'Food Data'!$AM$30,0)</f>
        <v>0</v>
      </c>
      <c r="AE82" s="23" t="n">
        <f aca="false">IF('Food Data'!$AL$31="wgrain",100/'Food Data'!$AM$31,0)</f>
        <v>0</v>
      </c>
      <c r="AF82" s="23" t="n">
        <f aca="false">IF('Food Data'!$AL$32="wgrain",100/'Food Data'!$AM$32,0)</f>
        <v>0</v>
      </c>
      <c r="AG82" s="23" t="n">
        <f aca="false">IF('Food Data'!$AL$33="wgrain",100/'Food Data'!$AM$33,0)</f>
        <v>0</v>
      </c>
      <c r="AH82" s="23" t="n">
        <f aca="false">IF('Food Data'!$AL$34="wgrain",100/'Food Data'!$AM$34,0)</f>
        <v>0</v>
      </c>
      <c r="AI82" s="23" t="n">
        <f aca="false">IF('Food Data'!$AL$35="wgrain",100/'Food Data'!$AM$35,0)</f>
        <v>0</v>
      </c>
      <c r="AJ82" s="23" t="n">
        <f aca="false">IF('Food Data'!$AL$36="wgrain",100/'Food Data'!$AM$36,0)</f>
        <v>0</v>
      </c>
      <c r="AK82" s="23" t="n">
        <f aca="false">IF('Food Data'!$AL$37="wgrain",100/'Food Data'!$AM$37,0)</f>
        <v>0.99009900990099</v>
      </c>
      <c r="AL82" s="23" t="n">
        <f aca="false">IF('Food Data'!$AL$38="wgrain",100/'Food Data'!$AM$38,0)</f>
        <v>3.57142857142857</v>
      </c>
      <c r="AM82" s="23" t="n">
        <f aca="false">IF('Food Data'!$AL$39="wgrain",100/'Food Data'!$AM$39,0)</f>
        <v>0</v>
      </c>
      <c r="AN82" s="23" t="n">
        <f aca="false">IF('Food Data'!$AL$40="wgrain",100/'Food Data'!$AM$40,0)</f>
        <v>0</v>
      </c>
      <c r="AO82" s="23" t="n">
        <f aca="false">IF('Food Data'!$AL$41="wgrain",100/'Food Data'!$AM$41,0)</f>
        <v>0.854700854700855</v>
      </c>
      <c r="AP82" s="23" t="n">
        <f aca="false">IF('Food Data'!$AL$42="wgrain",100/'Food Data'!$AM$42,0)</f>
        <v>1.08108108108108</v>
      </c>
      <c r="AQ82" s="23" t="n">
        <f aca="false">IF('Food Data'!$AL$43="wgrain",100/'Food Data'!$AM$43,0)</f>
        <v>0</v>
      </c>
      <c r="AR82" s="23" t="n">
        <f aca="false">IF('Food Data'!$AL$44="wgrain",100/'Food Data'!$AM$44,0)</f>
        <v>0</v>
      </c>
      <c r="AS82" s="23" t="n">
        <f aca="false">IF('Food Data'!$AL$45="wgrain",100/'Food Data'!$AM$45,0)</f>
        <v>0</v>
      </c>
      <c r="AT82" s="23" t="n">
        <f aca="false">IF('Food Data'!$AL$46="wgrain",100/'Food Data'!$AM$46,0)</f>
        <v>3.125</v>
      </c>
      <c r="AU82" s="23" t="n">
        <f aca="false">IF('Food Data'!$AL$47="wgrain",100/'Food Data'!$AM$47,0)</f>
        <v>1.70940170940171</v>
      </c>
      <c r="AV82" s="23" t="n">
        <f aca="false">IF('Food Data'!$AL$48="wgrain",100/'Food Data'!$AM$48,0)</f>
        <v>0</v>
      </c>
      <c r="AW82" s="23" t="n">
        <f aca="false">IF('Food Data'!$AL$49="wgrain",100/'Food Data'!$AM$49,0)</f>
        <v>0</v>
      </c>
      <c r="AX82" s="23" t="n">
        <f aca="false">IF('Food Data'!$AL$50="wgrain",100/'Food Data'!$AM$50,0)</f>
        <v>0</v>
      </c>
      <c r="AY82" s="23" t="n">
        <f aca="false">IF('Food Data'!$AL$51="wgrain",100/'Food Data'!$AM$51,0)</f>
        <v>0</v>
      </c>
      <c r="AZ82" s="23" t="n">
        <f aca="false">IF('Food Data'!$AL$52="wgrain",100/'Food Data'!$AM$52,0)</f>
        <v>0</v>
      </c>
      <c r="BA82" s="23" t="n">
        <f aca="false">IF('Food Data'!$AL$53="wgrain",100/'Food Data'!$AM$53,0)</f>
        <v>0</v>
      </c>
      <c r="BB82" s="23" t="n">
        <f aca="false">IF('Food Data'!$AL$54="wgrain",100/'Food Data'!$AM$54,0)</f>
        <v>0</v>
      </c>
      <c r="BC82" s="23" t="n">
        <f aca="false">IF('Food Data'!$AL$55="wgrain",100/'Food Data'!$AM$55,0)</f>
        <v>0</v>
      </c>
      <c r="BD82" s="23" t="n">
        <f aca="false">IF('Food Data'!$AL$56="wgrain",100/'Food Data'!$AM$56,0)</f>
        <v>0</v>
      </c>
      <c r="BE82" s="23" t="n">
        <f aca="false">IF('Food Data'!$AL$57="wgrain",100/'Food Data'!$AM$57,0)</f>
        <v>0</v>
      </c>
      <c r="BF82" s="23" t="n">
        <f aca="false">IF('Food Data'!$AL$58="wgrain",100/'Food Data'!$AM$58,0)</f>
        <v>0</v>
      </c>
      <c r="BG82" s="23" t="n">
        <f aca="false">IF('Food Data'!$AL$59="wgrain",100/'Food Data'!$AM$59,0)</f>
        <v>0</v>
      </c>
      <c r="BH82" s="23" t="n">
        <f aca="false">IF('Food Data'!$AL$60="wgrain",100/'Food Data'!$AM$60,0)</f>
        <v>0</v>
      </c>
      <c r="BI82" s="23" t="n">
        <f aca="false">IF('Food Data'!$AL$61="wgrain",100/'Food Data'!$AM$61,0)</f>
        <v>0</v>
      </c>
      <c r="BJ82" s="23" t="n">
        <f aca="false">IF('Food Data'!$AL$62="wgrain",100/'Food Data'!$AM$62,0)</f>
        <v>0</v>
      </c>
      <c r="BK82" s="23" t="n">
        <f aca="false">IF('Food Data'!$AL$63="wgrain",100/'Food Data'!$AM$63,0)</f>
        <v>0</v>
      </c>
      <c r="BL82" s="23" t="n">
        <f aca="false">IF('Food Data'!$AL$64="wgrain",100/'Food Data'!$AM$64,0)</f>
        <v>0</v>
      </c>
      <c r="BM82" s="23" t="n">
        <f aca="false">IF('Food Data'!$AL$65="wgrain",100/'Food Data'!$AM$65,0)</f>
        <v>0</v>
      </c>
      <c r="BN82" s="23" t="n">
        <f aca="false">IF('Food Data'!$AL$66="wgrain",100/'Food Data'!$AM$66,0)</f>
        <v>0</v>
      </c>
      <c r="BO82" s="23" t="n">
        <f aca="false">IF('Food Data'!$AL$67="wgrain",100/'Food Data'!$AM$67,0)</f>
        <v>0</v>
      </c>
      <c r="BP82" s="23" t="n">
        <f aca="false">IF('Food Data'!$AL$68="wgrain",100/'Food Data'!$AM$68,0)</f>
        <v>0</v>
      </c>
      <c r="BQ82" s="23" t="n">
        <f aca="false">IF('Food Data'!$AL$69="wgrain",100/'Food Data'!$AM$69,0)</f>
        <v>0</v>
      </c>
      <c r="BR82" s="23" t="n">
        <f aca="false">IF('Food Data'!$AL$70="wgrain",100/'Food Data'!$AM$70,0)</f>
        <v>0</v>
      </c>
      <c r="BS82" s="23" t="n">
        <f aca="false">IF('Food Data'!$AL$71="wgrain",100/'Food Data'!$AM$71,0)</f>
        <v>0</v>
      </c>
      <c r="BT82" s="23" t="n">
        <f aca="false">IF('Food Data'!$AL$72="wgrain",100/'Food Data'!$AM$72,0)</f>
        <v>0</v>
      </c>
      <c r="BU82" s="23" t="n">
        <f aca="false">IF('Food Data'!$AL$73="wgrain",100/'Food Data'!$AM$73,0)</f>
        <v>0</v>
      </c>
      <c r="BV82" s="23" t="n">
        <f aca="false">IF('Food Data'!$AL$74="wgrain",100/'Food Data'!$AM$74,0)</f>
        <v>0</v>
      </c>
      <c r="BW82" s="23" t="n">
        <f aca="false">IF('Food Data'!$AL$75="wgrain",100/'Food Data'!$AM$75,0)</f>
        <v>0</v>
      </c>
      <c r="BX82" s="23" t="n">
        <f aca="false">IF('Food Data'!$AL$76="wgrain",100/'Food Data'!$AM$76,0)</f>
        <v>0</v>
      </c>
    </row>
    <row r="83" customFormat="false" ht="15" hidden="false" customHeight="false" outlineLevel="0" collapsed="false">
      <c r="A83" s="4" t="s">
        <v>761</v>
      </c>
      <c r="B83" s="81" t="s">
        <v>759</v>
      </c>
      <c r="C83" s="82" t="n">
        <f aca="false">IF((Planner!$C$60="Realistic"),0,1000000)</f>
        <v>0</v>
      </c>
      <c r="D83" s="83" t="n">
        <v>4.63717286791621E-010</v>
      </c>
      <c r="E83" s="81" t="str">
        <f aca="false">IF(D83&lt;=C83+0.000001*MAX(1,ABS(C83)),IF(ABS(D83-C83)&lt;=0.000001*MAX(1,ABS(C83)),"tight","ok"),"VIOLATED")</f>
        <v>tight</v>
      </c>
      <c r="F83" s="23" t="n">
        <f aca="false">IF('Food Data'!$AN$6&lt;&gt;"",100/'Food Data'!$AN$6,IF('Food Data'!$AL$6="wgrain",-100/'Food Data'!$AM$6,0))</f>
        <v>0</v>
      </c>
      <c r="G83" s="23" t="n">
        <f aca="false">IF('Food Data'!$AN$7&lt;&gt;"",100/'Food Data'!$AN$7,IF('Food Data'!$AL$7="wgrain",-100/'Food Data'!$AM$7,0))</f>
        <v>0</v>
      </c>
      <c r="H83" s="23" t="n">
        <f aca="false">IF('Food Data'!$AN$8&lt;&gt;"",100/'Food Data'!$AN$8,IF('Food Data'!$AL$8="wgrain",-100/'Food Data'!$AM$8,0))</f>
        <v>0</v>
      </c>
      <c r="I83" s="23" t="n">
        <f aca="false">IF('Food Data'!$AN$9&lt;&gt;"",100/'Food Data'!$AN$9,IF('Food Data'!$AL$9="wgrain",-100/'Food Data'!$AM$9,0))</f>
        <v>0</v>
      </c>
      <c r="J83" s="23" t="n">
        <f aca="false">IF('Food Data'!$AN$10&lt;&gt;"",100/'Food Data'!$AN$10,IF('Food Data'!$AL$10="wgrain",-100/'Food Data'!$AM$10,0))</f>
        <v>0</v>
      </c>
      <c r="K83" s="23" t="n">
        <f aca="false">IF('Food Data'!$AN$11&lt;&gt;"",100/'Food Data'!$AN$11,IF('Food Data'!$AL$11="wgrain",-100/'Food Data'!$AM$11,0))</f>
        <v>0</v>
      </c>
      <c r="L83" s="23" t="n">
        <f aca="false">IF('Food Data'!$AN$12&lt;&gt;"",100/'Food Data'!$AN$12,IF('Food Data'!$AL$12="wgrain",-100/'Food Data'!$AM$12,0))</f>
        <v>0</v>
      </c>
      <c r="M83" s="23" t="n">
        <f aca="false">IF('Food Data'!$AN$13&lt;&gt;"",100/'Food Data'!$AN$13,IF('Food Data'!$AL$13="wgrain",-100/'Food Data'!$AM$13,0))</f>
        <v>0</v>
      </c>
      <c r="N83" s="23" t="n">
        <f aca="false">IF('Food Data'!$AN$14&lt;&gt;"",100/'Food Data'!$AN$14,IF('Food Data'!$AL$14="wgrain",-100/'Food Data'!$AM$14,0))</f>
        <v>0</v>
      </c>
      <c r="O83" s="23" t="n">
        <f aca="false">IF('Food Data'!$AN$15&lt;&gt;"",100/'Food Data'!$AN$15,IF('Food Data'!$AL$15="wgrain",-100/'Food Data'!$AM$15,0))</f>
        <v>0</v>
      </c>
      <c r="P83" s="23" t="n">
        <f aca="false">IF('Food Data'!$AN$16&lt;&gt;"",100/'Food Data'!$AN$16,IF('Food Data'!$AL$16="wgrain",-100/'Food Data'!$AM$16,0))</f>
        <v>0</v>
      </c>
      <c r="Q83" s="23" t="n">
        <f aca="false">IF('Food Data'!$AN$17&lt;&gt;"",100/'Food Data'!$AN$17,IF('Food Data'!$AL$17="wgrain",-100/'Food Data'!$AM$17,0))</f>
        <v>0</v>
      </c>
      <c r="R83" s="23" t="n">
        <f aca="false">IF('Food Data'!$AN$18&lt;&gt;"",100/'Food Data'!$AN$18,IF('Food Data'!$AL$18="wgrain",-100/'Food Data'!$AM$18,0))</f>
        <v>0</v>
      </c>
      <c r="S83" s="23" t="n">
        <f aca="false">IF('Food Data'!$AN$19&lt;&gt;"",100/'Food Data'!$AN$19,IF('Food Data'!$AL$19="wgrain",-100/'Food Data'!$AM$19,0))</f>
        <v>0</v>
      </c>
      <c r="T83" s="23" t="n">
        <f aca="false">IF('Food Data'!$AN$20&lt;&gt;"",100/'Food Data'!$AN$20,IF('Food Data'!$AL$20="wgrain",-100/'Food Data'!$AM$20,0))</f>
        <v>0</v>
      </c>
      <c r="U83" s="23" t="n">
        <f aca="false">IF('Food Data'!$AN$21&lt;&gt;"",100/'Food Data'!$AN$21,IF('Food Data'!$AL$21="wgrain",-100/'Food Data'!$AM$21,0))</f>
        <v>0</v>
      </c>
      <c r="V83" s="23" t="n">
        <f aca="false">IF('Food Data'!$AN$22&lt;&gt;"",100/'Food Data'!$AN$22,IF('Food Data'!$AL$22="wgrain",-100/'Food Data'!$AM$22,0))</f>
        <v>0</v>
      </c>
      <c r="W83" s="23" t="n">
        <f aca="false">IF('Food Data'!$AN$23&lt;&gt;"",100/'Food Data'!$AN$23,IF('Food Data'!$AL$23="wgrain",-100/'Food Data'!$AM$23,0))</f>
        <v>0</v>
      </c>
      <c r="X83" s="23" t="n">
        <f aca="false">IF('Food Data'!$AN$24&lt;&gt;"",100/'Food Data'!$AN$24,IF('Food Data'!$AL$24="wgrain",-100/'Food Data'!$AM$24,0))</f>
        <v>0</v>
      </c>
      <c r="Y83" s="23" t="n">
        <f aca="false">IF('Food Data'!$AN$25&lt;&gt;"",100/'Food Data'!$AN$25,IF('Food Data'!$AL$25="wgrain",-100/'Food Data'!$AM$25,0))</f>
        <v>0</v>
      </c>
      <c r="Z83" s="23" t="n">
        <f aca="false">IF('Food Data'!$AN$26&lt;&gt;"",100/'Food Data'!$AN$26,IF('Food Data'!$AL$26="wgrain",-100/'Food Data'!$AM$26,0))</f>
        <v>0</v>
      </c>
      <c r="AA83" s="23" t="n">
        <f aca="false">IF('Food Data'!$AN$27&lt;&gt;"",100/'Food Data'!$AN$27,IF('Food Data'!$AL$27="wgrain",-100/'Food Data'!$AM$27,0))</f>
        <v>0</v>
      </c>
      <c r="AB83" s="23" t="n">
        <f aca="false">IF('Food Data'!$AN$28&lt;&gt;"",100/'Food Data'!$AN$28,IF('Food Data'!$AL$28="wgrain",-100/'Food Data'!$AM$28,0))</f>
        <v>0</v>
      </c>
      <c r="AC83" s="23" t="n">
        <f aca="false">IF('Food Data'!$AN$29&lt;&gt;"",100/'Food Data'!$AN$29,IF('Food Data'!$AL$29="wgrain",-100/'Food Data'!$AM$29,0))</f>
        <v>0</v>
      </c>
      <c r="AD83" s="23" t="n">
        <f aca="false">IF('Food Data'!$AN$30&lt;&gt;"",100/'Food Data'!$AN$30,IF('Food Data'!$AL$30="wgrain",-100/'Food Data'!$AM$30,0))</f>
        <v>0</v>
      </c>
      <c r="AE83" s="23" t="n">
        <f aca="false">IF('Food Data'!$AN$31&lt;&gt;"",100/'Food Data'!$AN$31,IF('Food Data'!$AL$31="wgrain",-100/'Food Data'!$AM$31,0))</f>
        <v>0</v>
      </c>
      <c r="AF83" s="23" t="n">
        <f aca="false">IF('Food Data'!$AN$32&lt;&gt;"",100/'Food Data'!$AN$32,IF('Food Data'!$AL$32="wgrain",-100/'Food Data'!$AM$32,0))</f>
        <v>0</v>
      </c>
      <c r="AG83" s="23" t="n">
        <f aca="false">IF('Food Data'!$AN$33&lt;&gt;"",100/'Food Data'!$AN$33,IF('Food Data'!$AL$33="wgrain",-100/'Food Data'!$AM$33,0))</f>
        <v>0</v>
      </c>
      <c r="AH83" s="23" t="n">
        <f aca="false">IF('Food Data'!$AN$34&lt;&gt;"",100/'Food Data'!$AN$34,IF('Food Data'!$AL$34="wgrain",-100/'Food Data'!$AM$34,0))</f>
        <v>0</v>
      </c>
      <c r="AI83" s="23" t="n">
        <f aca="false">IF('Food Data'!$AN$35&lt;&gt;"",100/'Food Data'!$AN$35,IF('Food Data'!$AL$35="wgrain",-100/'Food Data'!$AM$35,0))</f>
        <v>0</v>
      </c>
      <c r="AJ83" s="23" t="n">
        <f aca="false">IF('Food Data'!$AN$36&lt;&gt;"",100/'Food Data'!$AN$36,IF('Food Data'!$AL$36="wgrain",-100/'Food Data'!$AM$36,0))</f>
        <v>3.57142857142857</v>
      </c>
      <c r="AK83" s="23" t="n">
        <f aca="false">IF('Food Data'!$AN$37&lt;&gt;"",100/'Food Data'!$AN$37,IF('Food Data'!$AL$37="wgrain",-100/'Food Data'!$AM$37,0))</f>
        <v>-0.99009900990099</v>
      </c>
      <c r="AL83" s="23" t="n">
        <f aca="false">IF('Food Data'!$AN$38&lt;&gt;"",100/'Food Data'!$AN$38,IF('Food Data'!$AL$38="wgrain",-100/'Food Data'!$AM$38,0))</f>
        <v>-3.57142857142857</v>
      </c>
      <c r="AM83" s="23" t="n">
        <f aca="false">IF('Food Data'!$AN$39&lt;&gt;"",100/'Food Data'!$AN$39,IF('Food Data'!$AL$39="wgrain",-100/'Food Data'!$AM$39,0))</f>
        <v>3.84615384615385</v>
      </c>
      <c r="AN83" s="23" t="n">
        <f aca="false">IF('Food Data'!$AN$40&lt;&gt;"",100/'Food Data'!$AN$40,IF('Food Data'!$AL$40="wgrain",-100/'Food Data'!$AM$40,0))</f>
        <v>3.33333333333333</v>
      </c>
      <c r="AO83" s="23" t="n">
        <f aca="false">IF('Food Data'!$AN$41&lt;&gt;"",100/'Food Data'!$AN$41,IF('Food Data'!$AL$41="wgrain",-100/'Food Data'!$AM$41,0))</f>
        <v>-0.854700854700855</v>
      </c>
      <c r="AP83" s="23" t="n">
        <f aca="false">IF('Food Data'!$AN$42&lt;&gt;"",100/'Food Data'!$AN$42,IF('Food Data'!$AL$42="wgrain",-100/'Food Data'!$AM$42,0))</f>
        <v>-1.08108108108108</v>
      </c>
      <c r="AQ83" s="23" t="n">
        <f aca="false">IF('Food Data'!$AN$43&lt;&gt;"",100/'Food Data'!$AN$43,IF('Food Data'!$AL$43="wgrain",-100/'Food Data'!$AM$43,0))</f>
        <v>1.61290322580645</v>
      </c>
      <c r="AR83" s="23" t="n">
        <f aca="false">IF('Food Data'!$AN$44&lt;&gt;"",100/'Food Data'!$AN$44,IF('Food Data'!$AL$44="wgrain",-100/'Food Data'!$AM$44,0))</f>
        <v>3.57142857142857</v>
      </c>
      <c r="AS83" s="23" t="n">
        <f aca="false">IF('Food Data'!$AN$45&lt;&gt;"",100/'Food Data'!$AN$45,IF('Food Data'!$AL$45="wgrain",-100/'Food Data'!$AM$45,0))</f>
        <v>1.26582278481013</v>
      </c>
      <c r="AT83" s="23" t="n">
        <f aca="false">IF('Food Data'!$AN$46&lt;&gt;"",100/'Food Data'!$AN$46,IF('Food Data'!$AL$46="wgrain",-100/'Food Data'!$AM$46,0))</f>
        <v>-3.125</v>
      </c>
      <c r="AU83" s="23" t="n">
        <f aca="false">IF('Food Data'!$AN$47&lt;&gt;"",100/'Food Data'!$AN$47,IF('Food Data'!$AL$47="wgrain",-100/'Food Data'!$AM$47,0))</f>
        <v>-1.70940170940171</v>
      </c>
      <c r="AV83" s="23" t="n">
        <f aca="false">IF('Food Data'!$AN$48&lt;&gt;"",100/'Food Data'!$AN$48,IF('Food Data'!$AL$48="wgrain",-100/'Food Data'!$AM$48,0))</f>
        <v>0</v>
      </c>
      <c r="AW83" s="23" t="n">
        <f aca="false">IF('Food Data'!$AN$49&lt;&gt;"",100/'Food Data'!$AN$49,IF('Food Data'!$AL$49="wgrain",-100/'Food Data'!$AM$49,0))</f>
        <v>0</v>
      </c>
      <c r="AX83" s="23" t="n">
        <f aca="false">IF('Food Data'!$AN$50&lt;&gt;"",100/'Food Data'!$AN$50,IF('Food Data'!$AL$50="wgrain",-100/'Food Data'!$AM$50,0))</f>
        <v>0</v>
      </c>
      <c r="AY83" s="23" t="n">
        <f aca="false">IF('Food Data'!$AN$51&lt;&gt;"",100/'Food Data'!$AN$51,IF('Food Data'!$AL$51="wgrain",-100/'Food Data'!$AM$51,0))</f>
        <v>0</v>
      </c>
      <c r="AZ83" s="23" t="n">
        <f aca="false">IF('Food Data'!$AN$52&lt;&gt;"",100/'Food Data'!$AN$52,IF('Food Data'!$AL$52="wgrain",-100/'Food Data'!$AM$52,0))</f>
        <v>0</v>
      </c>
      <c r="BA83" s="23" t="n">
        <f aca="false">IF('Food Data'!$AN$53&lt;&gt;"",100/'Food Data'!$AN$53,IF('Food Data'!$AL$53="wgrain",-100/'Food Data'!$AM$53,0))</f>
        <v>0</v>
      </c>
      <c r="BB83" s="23" t="n">
        <f aca="false">IF('Food Data'!$AN$54&lt;&gt;"",100/'Food Data'!$AN$54,IF('Food Data'!$AL$54="wgrain",-100/'Food Data'!$AM$54,0))</f>
        <v>0</v>
      </c>
      <c r="BC83" s="23" t="n">
        <f aca="false">IF('Food Data'!$AN$55&lt;&gt;"",100/'Food Data'!$AN$55,IF('Food Data'!$AL$55="wgrain",-100/'Food Data'!$AM$55,0))</f>
        <v>0</v>
      </c>
      <c r="BD83" s="23" t="n">
        <f aca="false">IF('Food Data'!$AN$56&lt;&gt;"",100/'Food Data'!$AN$56,IF('Food Data'!$AL$56="wgrain",-100/'Food Data'!$AM$56,0))</f>
        <v>0</v>
      </c>
      <c r="BE83" s="23" t="n">
        <f aca="false">IF('Food Data'!$AN$57&lt;&gt;"",100/'Food Data'!$AN$57,IF('Food Data'!$AL$57="wgrain",-100/'Food Data'!$AM$57,0))</f>
        <v>0</v>
      </c>
      <c r="BF83" s="23" t="n">
        <f aca="false">IF('Food Data'!$AN$58&lt;&gt;"",100/'Food Data'!$AN$58,IF('Food Data'!$AL$58="wgrain",-100/'Food Data'!$AM$58,0))</f>
        <v>0</v>
      </c>
      <c r="BG83" s="23" t="n">
        <f aca="false">IF('Food Data'!$AN$59&lt;&gt;"",100/'Food Data'!$AN$59,IF('Food Data'!$AL$59="wgrain",-100/'Food Data'!$AM$59,0))</f>
        <v>0</v>
      </c>
      <c r="BH83" s="23" t="n">
        <f aca="false">IF('Food Data'!$AN$60&lt;&gt;"",100/'Food Data'!$AN$60,IF('Food Data'!$AL$60="wgrain",-100/'Food Data'!$AM$60,0))</f>
        <v>0</v>
      </c>
      <c r="BI83" s="23" t="n">
        <f aca="false">IF('Food Data'!$AN$61&lt;&gt;"",100/'Food Data'!$AN$61,IF('Food Data'!$AL$61="wgrain",-100/'Food Data'!$AM$61,0))</f>
        <v>0</v>
      </c>
      <c r="BJ83" s="23" t="n">
        <f aca="false">IF('Food Data'!$AN$62&lt;&gt;"",100/'Food Data'!$AN$62,IF('Food Data'!$AL$62="wgrain",-100/'Food Data'!$AM$62,0))</f>
        <v>0</v>
      </c>
      <c r="BK83" s="23" t="n">
        <f aca="false">IF('Food Data'!$AN$63&lt;&gt;"",100/'Food Data'!$AN$63,IF('Food Data'!$AL$63="wgrain",-100/'Food Data'!$AM$63,0))</f>
        <v>0</v>
      </c>
      <c r="BL83" s="23" t="n">
        <f aca="false">IF('Food Data'!$AN$64&lt;&gt;"",100/'Food Data'!$AN$64,IF('Food Data'!$AL$64="wgrain",-100/'Food Data'!$AM$64,0))</f>
        <v>0</v>
      </c>
      <c r="BM83" s="23" t="n">
        <f aca="false">IF('Food Data'!$AN$65&lt;&gt;"",100/'Food Data'!$AN$65,IF('Food Data'!$AL$65="wgrain",-100/'Food Data'!$AM$65,0))</f>
        <v>0</v>
      </c>
      <c r="BN83" s="23" t="n">
        <f aca="false">IF('Food Data'!$AN$66&lt;&gt;"",100/'Food Data'!$AN$66,IF('Food Data'!$AL$66="wgrain",-100/'Food Data'!$AM$66,0))</f>
        <v>0</v>
      </c>
      <c r="BO83" s="23" t="n">
        <f aca="false">IF('Food Data'!$AN$67&lt;&gt;"",100/'Food Data'!$AN$67,IF('Food Data'!$AL$67="wgrain",-100/'Food Data'!$AM$67,0))</f>
        <v>0</v>
      </c>
      <c r="BP83" s="23" t="n">
        <f aca="false">IF('Food Data'!$AN$68&lt;&gt;"",100/'Food Data'!$AN$68,IF('Food Data'!$AL$68="wgrain",-100/'Food Data'!$AM$68,0))</f>
        <v>0</v>
      </c>
      <c r="BQ83" s="23" t="n">
        <f aca="false">IF('Food Data'!$AN$69&lt;&gt;"",100/'Food Data'!$AN$69,IF('Food Data'!$AL$69="wgrain",-100/'Food Data'!$AM$69,0))</f>
        <v>0</v>
      </c>
      <c r="BR83" s="23" t="n">
        <f aca="false">IF('Food Data'!$AN$70&lt;&gt;"",100/'Food Data'!$AN$70,IF('Food Data'!$AL$70="wgrain",-100/'Food Data'!$AM$70,0))</f>
        <v>0</v>
      </c>
      <c r="BS83" s="23" t="n">
        <f aca="false">IF('Food Data'!$AN$71&lt;&gt;"",100/'Food Data'!$AN$71,IF('Food Data'!$AL$71="wgrain",-100/'Food Data'!$AM$71,0))</f>
        <v>0</v>
      </c>
      <c r="BT83" s="23" t="n">
        <f aca="false">IF('Food Data'!$AN$72&lt;&gt;"",100/'Food Data'!$AN$72,IF('Food Data'!$AL$72="wgrain",-100/'Food Data'!$AM$72,0))</f>
        <v>0</v>
      </c>
      <c r="BU83" s="23" t="n">
        <f aca="false">IF('Food Data'!$AN$73&lt;&gt;"",100/'Food Data'!$AN$73,IF('Food Data'!$AL$73="wgrain",-100/'Food Data'!$AM$73,0))</f>
        <v>0</v>
      </c>
      <c r="BV83" s="23" t="n">
        <f aca="false">IF('Food Data'!$AN$74&lt;&gt;"",100/'Food Data'!$AN$74,IF('Food Data'!$AL$74="wgrain",-100/'Food Data'!$AM$74,0))</f>
        <v>0</v>
      </c>
      <c r="BW83" s="23" t="n">
        <f aca="false">IF('Food Data'!$AN$75&lt;&gt;"",100/'Food Data'!$AN$75,IF('Food Data'!$AL$75="wgrain",-100/'Food Data'!$AM$75,0))</f>
        <v>0</v>
      </c>
      <c r="BX83" s="23" t="n">
        <f aca="false">IF('Food Data'!$AN$76&lt;&gt;"",100/'Food Data'!$AN$76,IF('Food Data'!$AL$76="wgrain",-100/'Food Data'!$AM$76,0))</f>
        <v>0</v>
      </c>
    </row>
    <row r="84" customFormat="false" ht="15" hidden="false" customHeight="false" outlineLevel="0" collapsed="false">
      <c r="A84" s="4" t="s">
        <v>762</v>
      </c>
      <c r="B84" s="81" t="s">
        <v>759</v>
      </c>
      <c r="C84" s="82" t="n">
        <f aca="false">IF((Planner!$C$60="Realistic"),0,1000000)</f>
        <v>0</v>
      </c>
      <c r="D84" s="83" t="n">
        <v>1.33179682282325E-008</v>
      </c>
      <c r="E84" s="81" t="str">
        <f aca="false">IF(D84&lt;=C84+0.000001*MAX(1,ABS(C84)),IF(ABS(D84-C84)&lt;=0.000001*MAX(1,ABS(C84)),"tight","ok"),"VIOLATED")</f>
        <v>tight</v>
      </c>
      <c r="F84" s="23" t="n">
        <f aca="false">9*'Food Data'!$AP$6-Planner!$C$63*F$20</f>
        <v>-7.41</v>
      </c>
      <c r="G84" s="23" t="n">
        <f aca="false">9*'Food Data'!$AP$7-Planner!$C$63*G$20</f>
        <v>5.56</v>
      </c>
      <c r="H84" s="23" t="n">
        <f aca="false">9*'Food Data'!$AP$8-Planner!$C$63*H$20</f>
        <v>2.899</v>
      </c>
      <c r="I84" s="23" t="n">
        <f aca="false">9*'Food Data'!$AP$9-Planner!$C$63*I$20</f>
        <v>-7.138</v>
      </c>
      <c r="J84" s="23" t="n">
        <f aca="false">9*'Food Data'!$AP$10-Planner!$C$63*J$20</f>
        <v>5.394</v>
      </c>
      <c r="K84" s="23" t="n">
        <f aca="false">9*'Food Data'!$AP$11-Planner!$C$63*K$20</f>
        <v>60.876</v>
      </c>
      <c r="L84" s="23" t="n">
        <f aca="false">9*'Food Data'!$AP$12-Planner!$C$63*L$20</f>
        <v>31.714</v>
      </c>
      <c r="M84" s="23" t="n">
        <f aca="false">9*'Food Data'!$AP$13-Planner!$C$63*M$20</f>
        <v>14.173</v>
      </c>
      <c r="N84" s="23" t="n">
        <f aca="false">9*'Food Data'!$AP$14-Planner!$C$63*N$20</f>
        <v>10.124</v>
      </c>
      <c r="O84" s="23" t="n">
        <f aca="false">9*'Food Data'!$AP$15-Planner!$C$63*O$20</f>
        <v>21.11</v>
      </c>
      <c r="P84" s="23" t="n">
        <f aca="false">9*'Food Data'!$AP$16-Planner!$C$63*P$20</f>
        <v>30.118</v>
      </c>
      <c r="Q84" s="23" t="n">
        <f aca="false">9*'Food Data'!$AP$17-Planner!$C$63*Q$20</f>
        <v>-6.701</v>
      </c>
      <c r="R84" s="23" t="n">
        <f aca="false">9*'Food Data'!$AP$18-Planner!$C$63*R$20</f>
        <v>0.972999999999995</v>
      </c>
      <c r="S84" s="23" t="n">
        <f aca="false">9*'Food Data'!$AP$19-Planner!$C$63*S$20</f>
        <v>-7.211</v>
      </c>
      <c r="T84" s="23" t="n">
        <f aca="false">9*'Food Data'!$AP$20-Planner!$C$63*T$20</f>
        <v>-4.34</v>
      </c>
      <c r="U84" s="23" t="n">
        <f aca="false">9*'Food Data'!$AP$21-Planner!$C$63*U$20</f>
        <v>13.834</v>
      </c>
      <c r="V84" s="23" t="n">
        <f aca="false">9*'Food Data'!$AP$22-Planner!$C$63*V$20</f>
        <v>-8.425</v>
      </c>
      <c r="W84" s="23" t="n">
        <f aca="false">9*'Food Data'!$AP$23-Planner!$C$63*W$20</f>
        <v>-6.964</v>
      </c>
      <c r="X84" s="23" t="n">
        <f aca="false">9*'Food Data'!$AP$24-Planner!$C$63*X$20</f>
        <v>-11.123</v>
      </c>
      <c r="Y84" s="23" t="n">
        <f aca="false">9*'Food Data'!$AP$25-Planner!$C$63*Y$20</f>
        <v>33.125</v>
      </c>
      <c r="Z84" s="23" t="n">
        <f aca="false">9*'Food Data'!$AP$26-Planner!$C$63*Z$20</f>
        <v>-13.076</v>
      </c>
      <c r="AA84" s="23" t="n">
        <f aca="false">9*'Food Data'!$AP$27-Planner!$C$63*AA$20</f>
        <v>-3.5</v>
      </c>
      <c r="AB84" s="23" t="n">
        <f aca="false">9*'Food Data'!$AP$28-Planner!$C$63*AB$20</f>
        <v>6.313</v>
      </c>
      <c r="AC84" s="23" t="n">
        <f aca="false">9*'Food Data'!$AP$29-Planner!$C$63*AC$20</f>
        <v>-4.847</v>
      </c>
      <c r="AD84" s="23" t="n">
        <f aca="false">9*'Food Data'!$AP$30-Planner!$C$63*AD$20</f>
        <v>-2.455</v>
      </c>
      <c r="AE84" s="23" t="n">
        <f aca="false">9*'Food Data'!$AP$31-Planner!$C$63*AE$20</f>
        <v>10.685</v>
      </c>
      <c r="AF84" s="23" t="n">
        <f aca="false">9*'Food Data'!$AP$32-Planner!$C$63*AF$20</f>
        <v>125.913</v>
      </c>
      <c r="AG84" s="23" t="n">
        <f aca="false">9*'Food Data'!$AP$33-Planner!$C$63*AG$20</f>
        <v>129.403</v>
      </c>
      <c r="AH84" s="23" t="n">
        <f aca="false">9*'Food Data'!$AP$34-Planner!$C$63*AH$20</f>
        <v>3.015</v>
      </c>
      <c r="AI84" s="23" t="n">
        <f aca="false">9*'Food Data'!$AP$35-Planner!$C$63*AI$20</f>
        <v>72.155</v>
      </c>
      <c r="AJ84" s="23" t="n">
        <f aca="false">9*'Food Data'!$AP$36-Planner!$C$63*AJ$20</f>
        <v>-23.16</v>
      </c>
      <c r="AK84" s="23" t="n">
        <f aca="false">9*'Food Data'!$AP$37-Planner!$C$63*AK$20</f>
        <v>-9.96</v>
      </c>
      <c r="AL84" s="23" t="n">
        <f aca="false">9*'Food Data'!$AP$38-Planner!$C$63*AL$20</f>
        <v>-24.1</v>
      </c>
      <c r="AM84" s="23" t="n">
        <f aca="false">9*'Food Data'!$AP$39-Planner!$C$63*AM$20</f>
        <v>-17.723</v>
      </c>
      <c r="AN84" s="23" t="n">
        <f aca="false">9*'Food Data'!$AP$40-Planner!$C$63*AN$20</f>
        <v>-18.675</v>
      </c>
      <c r="AO84" s="23" t="n">
        <f aca="false">9*'Food Data'!$AP$41-Planner!$C$63*AO$20</f>
        <v>-4.31</v>
      </c>
      <c r="AP84" s="23" t="n">
        <f aca="false">9*'Food Data'!$AP$42-Planner!$C$63*AP$20</f>
        <v>-9.921</v>
      </c>
      <c r="AQ84" s="23" t="n">
        <f aca="false">9*'Food Data'!$AP$43-Planner!$C$63*AQ$20</f>
        <v>-14.216</v>
      </c>
      <c r="AR84" s="23" t="n">
        <f aca="false">9*'Food Data'!$AP$44-Planner!$C$63*AR$20</f>
        <v>-20.318</v>
      </c>
      <c r="AS84" s="23" t="n">
        <f aca="false">9*'Food Data'!$AP$45-Planner!$C$63*AS$20</f>
        <v>-12.307</v>
      </c>
      <c r="AT84" s="23" t="n">
        <f aca="false">9*'Food Data'!$AP$46-Planner!$C$63*AT$20</f>
        <v>-18.702</v>
      </c>
      <c r="AU84" s="23" t="n">
        <f aca="false">9*'Food Data'!$AP$47-Planner!$C$63*AU$20</f>
        <v>-12.713</v>
      </c>
      <c r="AV84" s="23" t="n">
        <f aca="false">9*'Food Data'!$AP$48-Planner!$C$63*AV$20</f>
        <v>-8.994</v>
      </c>
      <c r="AW84" s="23" t="n">
        <f aca="false">9*'Food Data'!$AP$49-Planner!$C$63*AW$20</f>
        <v>-8.532</v>
      </c>
      <c r="AX84" s="23" t="n">
        <f aca="false">9*'Food Data'!$AP$50-Planner!$C$63*AX$20</f>
        <v>-7.173</v>
      </c>
      <c r="AY84" s="23" t="n">
        <f aca="false">9*'Food Data'!$AP$51-Planner!$C$63*AY$20</f>
        <v>-4.948</v>
      </c>
      <c r="AZ84" s="23" t="n">
        <f aca="false">9*'Food Data'!$AP$52-Planner!$C$63*AZ$20</f>
        <v>-7.892</v>
      </c>
      <c r="BA84" s="23" t="n">
        <f aca="false">9*'Food Data'!$AP$53-Planner!$C$63*BA$20</f>
        <v>-4.623</v>
      </c>
      <c r="BB84" s="23" t="n">
        <f aca="false">9*'Food Data'!$AP$54-Planner!$C$63*BB$20</f>
        <v>-6.414</v>
      </c>
      <c r="BC84" s="23" t="n">
        <f aca="false">9*'Food Data'!$AP$55-Planner!$C$63*BC$20</f>
        <v>-4.774</v>
      </c>
      <c r="BD84" s="23" t="n">
        <f aca="false">9*'Food Data'!$AP$56-Planner!$C$63*BD$20</f>
        <v>-4.747</v>
      </c>
      <c r="BE84" s="23" t="n">
        <f aca="false">9*'Food Data'!$AP$57-Planner!$C$63*BE$20</f>
        <v>-29.378</v>
      </c>
      <c r="BF84" s="23" t="n">
        <f aca="false">9*'Food Data'!$AP$58-Planner!$C$63*BF$20</f>
        <v>-3.065</v>
      </c>
      <c r="BG84" s="23" t="n">
        <f aca="false">9*'Food Data'!$AP$59-Planner!$C$63*BG$20</f>
        <v>-2.638</v>
      </c>
      <c r="BH84" s="23" t="n">
        <f aca="false">9*'Food Data'!$AP$60-Planner!$C$63*BH$20</f>
        <v>-3.767</v>
      </c>
      <c r="BI84" s="23" t="n">
        <f aca="false">9*'Food Data'!$AP$61-Planner!$C$63*BI$20</f>
        <v>-1.273</v>
      </c>
      <c r="BJ84" s="23" t="n">
        <f aca="false">9*'Food Data'!$AP$62-Planner!$C$63*BJ$20</f>
        <v>-1.478</v>
      </c>
      <c r="BK84" s="23" t="n">
        <f aca="false">9*'Food Data'!$AP$63-Planner!$C$63*BK$20</f>
        <v>-6.221</v>
      </c>
      <c r="BL84" s="23" t="n">
        <f aca="false">9*'Food Data'!$AP$64-Planner!$C$63*BL$20</f>
        <v>-3.622</v>
      </c>
      <c r="BM84" s="23" t="n">
        <f aca="false">9*'Food Data'!$AP$65-Planner!$C$63*BM$20</f>
        <v>-1.349</v>
      </c>
      <c r="BN84" s="23" t="n">
        <f aca="false">9*'Food Data'!$AP$66-Planner!$C$63*BN$20</f>
        <v>-1.733</v>
      </c>
      <c r="BO84" s="23" t="n">
        <f aca="false">9*'Food Data'!$AP$67-Planner!$C$63*BO$20</f>
        <v>-1.548</v>
      </c>
      <c r="BP84" s="23" t="n">
        <f aca="false">9*'Food Data'!$AP$68-Planner!$C$63*BP$20</f>
        <v>390.612</v>
      </c>
      <c r="BQ84" s="23" t="n">
        <f aca="false">9*'Food Data'!$AP$69-Planner!$C$63*BQ$20</f>
        <v>-22.115</v>
      </c>
      <c r="BR84" s="23" t="n">
        <f aca="false">9*'Food Data'!$AP$70-Planner!$C$63*BR$20</f>
        <v>35.872</v>
      </c>
      <c r="BS84" s="23" t="n">
        <f aca="false">9*'Food Data'!$AP$71-Planner!$C$63*BS$20</f>
        <v>-23.682</v>
      </c>
      <c r="BT84" s="23" t="n">
        <f aca="false">9*'Food Data'!$AP$72-Planner!$C$63*BT$20</f>
        <v>2.434</v>
      </c>
      <c r="BU84" s="23" t="n">
        <f aca="false">9*'Food Data'!$AP$73-Planner!$C$63*BU$20</f>
        <v>23.619</v>
      </c>
      <c r="BV84" s="23" t="n">
        <f aca="false">9*'Food Data'!$AP$74-Planner!$C$63*BV$20</f>
        <v>12.749</v>
      </c>
      <c r="BW84" s="23" t="n">
        <f aca="false">9*'Food Data'!$AP$75-Planner!$C$63*BW$20</f>
        <v>-22.6</v>
      </c>
      <c r="BX84" s="23" t="n">
        <f aca="false">9*'Food Data'!$AP$76-Planner!$C$63*BX$20</f>
        <v>40.41</v>
      </c>
    </row>
    <row r="85" customFormat="false" ht="15" hidden="false" customHeight="false" outlineLevel="0" collapsed="false">
      <c r="A85" s="4" t="s">
        <v>763</v>
      </c>
      <c r="B85" s="81" t="s">
        <v>764</v>
      </c>
      <c r="C85" s="82" t="n">
        <f aca="false">IF(AND((Planner!$C$60="Realistic"),Planner!$C$61&lt;1),$K$6*$H$6,1000000)</f>
        <v>1.5</v>
      </c>
      <c r="D85" s="83" t="n">
        <v>1.5</v>
      </c>
      <c r="E85" s="81" t="str">
        <f aca="false">IF(D85&lt;=C85+0.000001*MAX(1,ABS(C85)),IF(ABS(D85-C85)&lt;=0.000001*MAX(1,ABS(C85)),"tight","ok"),"VIOLATED")</f>
        <v>tight</v>
      </c>
      <c r="F85" s="23" t="n">
        <f aca="false">IF('Food Data'!$AO$6="milk",100/'Food Data'!$AM$6,0)</f>
        <v>0</v>
      </c>
      <c r="G85" s="23" t="n">
        <f aca="false">IF('Food Data'!$AO$7="milk",100/'Food Data'!$AM$7,0)</f>
        <v>0</v>
      </c>
      <c r="H85" s="23" t="n">
        <f aca="false">IF('Food Data'!$AO$8="milk",100/'Food Data'!$AM$8,0)</f>
        <v>0</v>
      </c>
      <c r="I85" s="23" t="n">
        <f aca="false">IF('Food Data'!$AO$9="milk",100/'Food Data'!$AM$9,0)</f>
        <v>0</v>
      </c>
      <c r="J85" s="23" t="n">
        <f aca="false">IF('Food Data'!$AO$10="milk",100/'Food Data'!$AM$10,0)</f>
        <v>0</v>
      </c>
      <c r="K85" s="23" t="n">
        <f aca="false">IF('Food Data'!$AO$11="milk",100/'Food Data'!$AM$11,0)</f>
        <v>0</v>
      </c>
      <c r="L85" s="23" t="n">
        <f aca="false">IF('Food Data'!$AO$12="milk",100/'Food Data'!$AM$12,0)</f>
        <v>0</v>
      </c>
      <c r="M85" s="23" t="n">
        <f aca="false">IF('Food Data'!$AO$13="milk",100/'Food Data'!$AM$13,0)</f>
        <v>0</v>
      </c>
      <c r="N85" s="23" t="n">
        <f aca="false">IF('Food Data'!$AO$14="milk",100/'Food Data'!$AM$14,0)</f>
        <v>0</v>
      </c>
      <c r="O85" s="23" t="n">
        <f aca="false">IF('Food Data'!$AO$15="milk",100/'Food Data'!$AM$15,0)</f>
        <v>0</v>
      </c>
      <c r="P85" s="23" t="n">
        <f aca="false">IF('Food Data'!$AO$16="milk",100/'Food Data'!$AM$16,0)</f>
        <v>0</v>
      </c>
      <c r="Q85" s="23" t="n">
        <f aca="false">IF('Food Data'!$AO$17="milk",100/'Food Data'!$AM$17,0)</f>
        <v>0</v>
      </c>
      <c r="R85" s="23" t="n">
        <f aca="false">IF('Food Data'!$AO$18="milk",100/'Food Data'!$AM$18,0)</f>
        <v>0</v>
      </c>
      <c r="S85" s="23" t="n">
        <f aca="false">IF('Food Data'!$AO$19="milk",100/'Food Data'!$AM$19,0)</f>
        <v>0</v>
      </c>
      <c r="T85" s="23" t="n">
        <f aca="false">IF('Food Data'!$AO$20="milk",100/'Food Data'!$AM$20,0)</f>
        <v>0</v>
      </c>
      <c r="U85" s="23" t="n">
        <f aca="false">IF('Food Data'!$AO$21="milk",100/'Food Data'!$AM$21,0)</f>
        <v>0</v>
      </c>
      <c r="V85" s="23" t="n">
        <f aca="false">IF('Food Data'!$AO$22="milk",100/'Food Data'!$AM$22,0)</f>
        <v>0</v>
      </c>
      <c r="W85" s="23" t="n">
        <f aca="false">IF('Food Data'!$AO$23="milk",100/'Food Data'!$AM$23,0)</f>
        <v>0</v>
      </c>
      <c r="X85" s="23" t="n">
        <f aca="false">IF('Food Data'!$AO$24="milk",100/'Food Data'!$AM$24,0)</f>
        <v>0</v>
      </c>
      <c r="Y85" s="23" t="n">
        <f aca="false">IF('Food Data'!$AO$25="milk",100/'Food Data'!$AM$25,0)</f>
        <v>0</v>
      </c>
      <c r="Z85" s="23" t="n">
        <f aca="false">IF('Food Data'!$AO$26="milk",100/'Food Data'!$AM$26,0)</f>
        <v>0</v>
      </c>
      <c r="AA85" s="23" t="n">
        <f aca="false">IF('Food Data'!$AO$27="milk",100/'Food Data'!$AM$27,0)</f>
        <v>0</v>
      </c>
      <c r="AB85" s="23" t="n">
        <f aca="false">IF('Food Data'!$AO$28="milk",100/'Food Data'!$AM$28,0)</f>
        <v>0.409836065573771</v>
      </c>
      <c r="AC85" s="23" t="n">
        <f aca="false">IF('Food Data'!$AO$29="milk",100/'Food Data'!$AM$29,0)</f>
        <v>0</v>
      </c>
      <c r="AD85" s="23" t="n">
        <f aca="false">IF('Food Data'!$AO$30="milk",100/'Food Data'!$AM$30,0)</f>
        <v>0</v>
      </c>
      <c r="AE85" s="23" t="n">
        <f aca="false">IF('Food Data'!$AO$31="milk",100/'Food Data'!$AM$31,0)</f>
        <v>0.409836065573771</v>
      </c>
      <c r="AF85" s="23" t="n">
        <f aca="false">IF('Food Data'!$AO$32="milk",100/'Food Data'!$AM$32,0)</f>
        <v>0</v>
      </c>
      <c r="AG85" s="23" t="n">
        <f aca="false">IF('Food Data'!$AO$33="milk",100/'Food Data'!$AM$33,0)</f>
        <v>0</v>
      </c>
      <c r="AH85" s="23" t="n">
        <f aca="false">IF('Food Data'!$AO$34="milk",100/'Food Data'!$AM$34,0)</f>
        <v>0</v>
      </c>
      <c r="AI85" s="23" t="n">
        <f aca="false">IF('Food Data'!$AO$35="milk",100/'Food Data'!$AM$35,0)</f>
        <v>0</v>
      </c>
      <c r="AJ85" s="23" t="n">
        <f aca="false">IF('Food Data'!$AO$36="milk",100/'Food Data'!$AM$36,0)</f>
        <v>0</v>
      </c>
      <c r="AK85" s="23" t="n">
        <f aca="false">IF('Food Data'!$AO$37="milk",100/'Food Data'!$AM$37,0)</f>
        <v>0</v>
      </c>
      <c r="AL85" s="23" t="n">
        <f aca="false">IF('Food Data'!$AO$38="milk",100/'Food Data'!$AM$38,0)</f>
        <v>0</v>
      </c>
      <c r="AM85" s="23" t="n">
        <f aca="false">IF('Food Data'!$AO$39="milk",100/'Food Data'!$AM$39,0)</f>
        <v>0</v>
      </c>
      <c r="AN85" s="23" t="n">
        <f aca="false">IF('Food Data'!$AO$40="milk",100/'Food Data'!$AM$40,0)</f>
        <v>0</v>
      </c>
      <c r="AO85" s="23" t="n">
        <f aca="false">IF('Food Data'!$AO$41="milk",100/'Food Data'!$AM$41,0)</f>
        <v>0</v>
      </c>
      <c r="AP85" s="23" t="n">
        <f aca="false">IF('Food Data'!$AO$42="milk",100/'Food Data'!$AM$42,0)</f>
        <v>0</v>
      </c>
      <c r="AQ85" s="23" t="n">
        <f aca="false">IF('Food Data'!$AO$43="milk",100/'Food Data'!$AM$43,0)</f>
        <v>0</v>
      </c>
      <c r="AR85" s="23" t="n">
        <f aca="false">IF('Food Data'!$AO$44="milk",100/'Food Data'!$AM$44,0)</f>
        <v>0</v>
      </c>
      <c r="AS85" s="23" t="n">
        <f aca="false">IF('Food Data'!$AO$45="milk",100/'Food Data'!$AM$45,0)</f>
        <v>0</v>
      </c>
      <c r="AT85" s="23" t="n">
        <f aca="false">IF('Food Data'!$AO$46="milk",100/'Food Data'!$AM$46,0)</f>
        <v>0</v>
      </c>
      <c r="AU85" s="23" t="n">
        <f aca="false">IF('Food Data'!$AO$47="milk",100/'Food Data'!$AM$47,0)</f>
        <v>0</v>
      </c>
      <c r="AV85" s="23" t="n">
        <f aca="false">IF('Food Data'!$AO$48="milk",100/'Food Data'!$AM$48,0)</f>
        <v>0</v>
      </c>
      <c r="AW85" s="23" t="n">
        <f aca="false">IF('Food Data'!$AO$49="milk",100/'Food Data'!$AM$49,0)</f>
        <v>0</v>
      </c>
      <c r="AX85" s="23" t="n">
        <f aca="false">IF('Food Data'!$AO$50="milk",100/'Food Data'!$AM$50,0)</f>
        <v>0</v>
      </c>
      <c r="AY85" s="23" t="n">
        <f aca="false">IF('Food Data'!$AO$51="milk",100/'Food Data'!$AM$51,0)</f>
        <v>0</v>
      </c>
      <c r="AZ85" s="23" t="n">
        <f aca="false">IF('Food Data'!$AO$52="milk",100/'Food Data'!$AM$52,0)</f>
        <v>0</v>
      </c>
      <c r="BA85" s="23" t="n">
        <f aca="false">IF('Food Data'!$AO$53="milk",100/'Food Data'!$AM$53,0)</f>
        <v>0</v>
      </c>
      <c r="BB85" s="23" t="n">
        <f aca="false">IF('Food Data'!$AO$54="milk",100/'Food Data'!$AM$54,0)</f>
        <v>0</v>
      </c>
      <c r="BC85" s="23" t="n">
        <f aca="false">IF('Food Data'!$AO$55="milk",100/'Food Data'!$AM$55,0)</f>
        <v>0</v>
      </c>
      <c r="BD85" s="23" t="n">
        <f aca="false">IF('Food Data'!$AO$56="milk",100/'Food Data'!$AM$56,0)</f>
        <v>0</v>
      </c>
      <c r="BE85" s="23" t="n">
        <f aca="false">IF('Food Data'!$AO$57="milk",100/'Food Data'!$AM$57,0)</f>
        <v>0</v>
      </c>
      <c r="BF85" s="23" t="n">
        <f aca="false">IF('Food Data'!$AO$58="milk",100/'Food Data'!$AM$58,0)</f>
        <v>0</v>
      </c>
      <c r="BG85" s="23" t="n">
        <f aca="false">IF('Food Data'!$AO$59="milk",100/'Food Data'!$AM$59,0)</f>
        <v>0</v>
      </c>
      <c r="BH85" s="23" t="n">
        <f aca="false">IF('Food Data'!$AO$60="milk",100/'Food Data'!$AM$60,0)</f>
        <v>0</v>
      </c>
      <c r="BI85" s="23" t="n">
        <f aca="false">IF('Food Data'!$AO$61="milk",100/'Food Data'!$AM$61,0)</f>
        <v>0</v>
      </c>
      <c r="BJ85" s="23" t="n">
        <f aca="false">IF('Food Data'!$AO$62="milk",100/'Food Data'!$AM$62,0)</f>
        <v>0</v>
      </c>
      <c r="BK85" s="23" t="n">
        <f aca="false">IF('Food Data'!$AO$63="milk",100/'Food Data'!$AM$63,0)</f>
        <v>0</v>
      </c>
      <c r="BL85" s="23" t="n">
        <f aca="false">IF('Food Data'!$AO$64="milk",100/'Food Data'!$AM$64,0)</f>
        <v>0</v>
      </c>
      <c r="BM85" s="23" t="n">
        <f aca="false">IF('Food Data'!$AO$65="milk",100/'Food Data'!$AM$65,0)</f>
        <v>0</v>
      </c>
      <c r="BN85" s="23" t="n">
        <f aca="false">IF('Food Data'!$AO$66="milk",100/'Food Data'!$AM$66,0)</f>
        <v>0</v>
      </c>
      <c r="BO85" s="23" t="n">
        <f aca="false">IF('Food Data'!$AO$67="milk",100/'Food Data'!$AM$67,0)</f>
        <v>0</v>
      </c>
      <c r="BP85" s="23" t="n">
        <f aca="false">IF('Food Data'!$AO$68="milk",100/'Food Data'!$AM$68,0)</f>
        <v>0</v>
      </c>
      <c r="BQ85" s="23" t="n">
        <f aca="false">IF('Food Data'!$AO$69="milk",100/'Food Data'!$AM$69,0)</f>
        <v>0</v>
      </c>
      <c r="BR85" s="23" t="n">
        <f aca="false">IF('Food Data'!$AO$70="milk",100/'Food Data'!$AM$70,0)</f>
        <v>0</v>
      </c>
      <c r="BS85" s="23" t="n">
        <f aca="false">IF('Food Data'!$AO$71="milk",100/'Food Data'!$AM$71,0)</f>
        <v>0</v>
      </c>
      <c r="BT85" s="23" t="n">
        <f aca="false">IF('Food Data'!$AO$72="milk",100/'Food Data'!$AM$72,0)</f>
        <v>0</v>
      </c>
      <c r="BU85" s="23" t="n">
        <f aca="false">IF('Food Data'!$AO$73="milk",100/'Food Data'!$AM$73,0)</f>
        <v>0</v>
      </c>
      <c r="BV85" s="23" t="n">
        <f aca="false">IF('Food Data'!$AO$74="milk",100/'Food Data'!$AM$74,0)</f>
        <v>0</v>
      </c>
      <c r="BW85" s="23" t="n">
        <f aca="false">IF('Food Data'!$AO$75="milk",100/'Food Data'!$AM$75,0)</f>
        <v>0</v>
      </c>
      <c r="BX85" s="23" t="n">
        <f aca="false">IF('Food Data'!$AO$76="milk",100/'Food Data'!$AM$76,0)</f>
        <v>0</v>
      </c>
    </row>
    <row r="86" customFormat="false" ht="15" hidden="false" customHeight="false" outlineLevel="0" collapsed="false">
      <c r="A86" s="4" t="s">
        <v>765</v>
      </c>
      <c r="B86" s="81" t="s">
        <v>764</v>
      </c>
      <c r="C86" s="82" t="n">
        <f aca="false">IF(AND((Planner!$C$60="Realistic"),Planner!$C$61&lt;1),$K$5*$H$5,1000000)</f>
        <v>2</v>
      </c>
      <c r="D86" s="83" t="n">
        <v>0</v>
      </c>
      <c r="E86" s="81" t="str">
        <f aca="false">IF(D86&lt;=C86+0.000001*MAX(1,ABS(C86)),IF(ABS(D86-C86)&lt;=0.000001*MAX(1,ABS(C86)),"tight","ok"),"VIOLATED")</f>
        <v>ok</v>
      </c>
      <c r="F86" s="23" t="n">
        <f aca="false">IF('Food Data'!$AO$6="ground beef",100/'Food Data'!$AM$6,0)</f>
        <v>0</v>
      </c>
      <c r="G86" s="23" t="n">
        <f aca="false">IF('Food Data'!$AO$7="ground beef",100/'Food Data'!$AM$7,0)</f>
        <v>0</v>
      </c>
      <c r="H86" s="23" t="n">
        <f aca="false">IF('Food Data'!$AO$8="ground beef",100/'Food Data'!$AM$8,0)</f>
        <v>0</v>
      </c>
      <c r="I86" s="23" t="n">
        <f aca="false">IF('Food Data'!$AO$9="ground beef",100/'Food Data'!$AM$9,0)</f>
        <v>0</v>
      </c>
      <c r="J86" s="23" t="n">
        <f aca="false">IF('Food Data'!$AO$10="ground beef",100/'Food Data'!$AM$10,0)</f>
        <v>0</v>
      </c>
      <c r="K86" s="23" t="n">
        <f aca="false">IF('Food Data'!$AO$11="ground beef",100/'Food Data'!$AM$11,0)</f>
        <v>0</v>
      </c>
      <c r="L86" s="23" t="n">
        <f aca="false">IF('Food Data'!$AO$12="ground beef",100/'Food Data'!$AM$12,0)</f>
        <v>1.17647058823529</v>
      </c>
      <c r="M86" s="23" t="n">
        <f aca="false">IF('Food Data'!$AO$13="ground beef",100/'Food Data'!$AM$13,0)</f>
        <v>1.17647058823529</v>
      </c>
      <c r="N86" s="23" t="n">
        <f aca="false">IF('Food Data'!$AO$14="ground beef",100/'Food Data'!$AM$14,0)</f>
        <v>0</v>
      </c>
      <c r="O86" s="23" t="n">
        <f aca="false">IF('Food Data'!$AO$15="ground beef",100/'Food Data'!$AM$15,0)</f>
        <v>0</v>
      </c>
      <c r="P86" s="23" t="n">
        <f aca="false">IF('Food Data'!$AO$16="ground beef",100/'Food Data'!$AM$16,0)</f>
        <v>0</v>
      </c>
      <c r="Q86" s="23" t="n">
        <f aca="false">IF('Food Data'!$AO$17="ground beef",100/'Food Data'!$AM$17,0)</f>
        <v>0</v>
      </c>
      <c r="R86" s="23" t="n">
        <f aca="false">IF('Food Data'!$AO$18="ground beef",100/'Food Data'!$AM$18,0)</f>
        <v>0</v>
      </c>
      <c r="S86" s="23" t="n">
        <f aca="false">IF('Food Data'!$AO$19="ground beef",100/'Food Data'!$AM$19,0)</f>
        <v>0</v>
      </c>
      <c r="T86" s="23" t="n">
        <f aca="false">IF('Food Data'!$AO$20="ground beef",100/'Food Data'!$AM$20,0)</f>
        <v>0</v>
      </c>
      <c r="U86" s="23" t="n">
        <f aca="false">IF('Food Data'!$AO$21="ground beef",100/'Food Data'!$AM$21,0)</f>
        <v>0</v>
      </c>
      <c r="V86" s="23" t="n">
        <f aca="false">IF('Food Data'!$AO$22="ground beef",100/'Food Data'!$AM$22,0)</f>
        <v>0</v>
      </c>
      <c r="W86" s="23" t="n">
        <f aca="false">IF('Food Data'!$AO$23="ground beef",100/'Food Data'!$AM$23,0)</f>
        <v>0</v>
      </c>
      <c r="X86" s="23" t="n">
        <f aca="false">IF('Food Data'!$AO$24="ground beef",100/'Food Data'!$AM$24,0)</f>
        <v>0</v>
      </c>
      <c r="Y86" s="23" t="n">
        <f aca="false">IF('Food Data'!$AO$25="ground beef",100/'Food Data'!$AM$25,0)</f>
        <v>0</v>
      </c>
      <c r="Z86" s="23" t="n">
        <f aca="false">IF('Food Data'!$AO$26="ground beef",100/'Food Data'!$AM$26,0)</f>
        <v>0</v>
      </c>
      <c r="AA86" s="23" t="n">
        <f aca="false">IF('Food Data'!$AO$27="ground beef",100/'Food Data'!$AM$27,0)</f>
        <v>0</v>
      </c>
      <c r="AB86" s="23" t="n">
        <f aca="false">IF('Food Data'!$AO$28="ground beef",100/'Food Data'!$AM$28,0)</f>
        <v>0</v>
      </c>
      <c r="AC86" s="23" t="n">
        <f aca="false">IF('Food Data'!$AO$29="ground beef",100/'Food Data'!$AM$29,0)</f>
        <v>0</v>
      </c>
      <c r="AD86" s="23" t="n">
        <f aca="false">IF('Food Data'!$AO$30="ground beef",100/'Food Data'!$AM$30,0)</f>
        <v>0</v>
      </c>
      <c r="AE86" s="23" t="n">
        <f aca="false">IF('Food Data'!$AO$31="ground beef",100/'Food Data'!$AM$31,0)</f>
        <v>0</v>
      </c>
      <c r="AF86" s="23" t="n">
        <f aca="false">IF('Food Data'!$AO$32="ground beef",100/'Food Data'!$AM$32,0)</f>
        <v>0</v>
      </c>
      <c r="AG86" s="23" t="n">
        <f aca="false">IF('Food Data'!$AO$33="ground beef",100/'Food Data'!$AM$33,0)</f>
        <v>0</v>
      </c>
      <c r="AH86" s="23" t="n">
        <f aca="false">IF('Food Data'!$AO$34="ground beef",100/'Food Data'!$AM$34,0)</f>
        <v>0</v>
      </c>
      <c r="AI86" s="23" t="n">
        <f aca="false">IF('Food Data'!$AO$35="ground beef",100/'Food Data'!$AM$35,0)</f>
        <v>0</v>
      </c>
      <c r="AJ86" s="23" t="n">
        <f aca="false">IF('Food Data'!$AO$36="ground beef",100/'Food Data'!$AM$36,0)</f>
        <v>0</v>
      </c>
      <c r="AK86" s="23" t="n">
        <f aca="false">IF('Food Data'!$AO$37="ground beef",100/'Food Data'!$AM$37,0)</f>
        <v>0</v>
      </c>
      <c r="AL86" s="23" t="n">
        <f aca="false">IF('Food Data'!$AO$38="ground beef",100/'Food Data'!$AM$38,0)</f>
        <v>0</v>
      </c>
      <c r="AM86" s="23" t="n">
        <f aca="false">IF('Food Data'!$AO$39="ground beef",100/'Food Data'!$AM$39,0)</f>
        <v>0</v>
      </c>
      <c r="AN86" s="23" t="n">
        <f aca="false">IF('Food Data'!$AO$40="ground beef",100/'Food Data'!$AM$40,0)</f>
        <v>0</v>
      </c>
      <c r="AO86" s="23" t="n">
        <f aca="false">IF('Food Data'!$AO$41="ground beef",100/'Food Data'!$AM$41,0)</f>
        <v>0</v>
      </c>
      <c r="AP86" s="23" t="n">
        <f aca="false">IF('Food Data'!$AO$42="ground beef",100/'Food Data'!$AM$42,0)</f>
        <v>0</v>
      </c>
      <c r="AQ86" s="23" t="n">
        <f aca="false">IF('Food Data'!$AO$43="ground beef",100/'Food Data'!$AM$43,0)</f>
        <v>0</v>
      </c>
      <c r="AR86" s="23" t="n">
        <f aca="false">IF('Food Data'!$AO$44="ground beef",100/'Food Data'!$AM$44,0)</f>
        <v>0</v>
      </c>
      <c r="AS86" s="23" t="n">
        <f aca="false">IF('Food Data'!$AO$45="ground beef",100/'Food Data'!$AM$45,0)</f>
        <v>0</v>
      </c>
      <c r="AT86" s="23" t="n">
        <f aca="false">IF('Food Data'!$AO$46="ground beef",100/'Food Data'!$AM$46,0)</f>
        <v>0</v>
      </c>
      <c r="AU86" s="23" t="n">
        <f aca="false">IF('Food Data'!$AO$47="ground beef",100/'Food Data'!$AM$47,0)</f>
        <v>0</v>
      </c>
      <c r="AV86" s="23" t="n">
        <f aca="false">IF('Food Data'!$AO$48="ground beef",100/'Food Data'!$AM$48,0)</f>
        <v>0</v>
      </c>
      <c r="AW86" s="23" t="n">
        <f aca="false">IF('Food Data'!$AO$49="ground beef",100/'Food Data'!$AM$49,0)</f>
        <v>0</v>
      </c>
      <c r="AX86" s="23" t="n">
        <f aca="false">IF('Food Data'!$AO$50="ground beef",100/'Food Data'!$AM$50,0)</f>
        <v>0</v>
      </c>
      <c r="AY86" s="23" t="n">
        <f aca="false">IF('Food Data'!$AO$51="ground beef",100/'Food Data'!$AM$51,0)</f>
        <v>0</v>
      </c>
      <c r="AZ86" s="23" t="n">
        <f aca="false">IF('Food Data'!$AO$52="ground beef",100/'Food Data'!$AM$52,0)</f>
        <v>0</v>
      </c>
      <c r="BA86" s="23" t="n">
        <f aca="false">IF('Food Data'!$AO$53="ground beef",100/'Food Data'!$AM$53,0)</f>
        <v>0</v>
      </c>
      <c r="BB86" s="23" t="n">
        <f aca="false">IF('Food Data'!$AO$54="ground beef",100/'Food Data'!$AM$54,0)</f>
        <v>0</v>
      </c>
      <c r="BC86" s="23" t="n">
        <f aca="false">IF('Food Data'!$AO$55="ground beef",100/'Food Data'!$AM$55,0)</f>
        <v>0</v>
      </c>
      <c r="BD86" s="23" t="n">
        <f aca="false">IF('Food Data'!$AO$56="ground beef",100/'Food Data'!$AM$56,0)</f>
        <v>0</v>
      </c>
      <c r="BE86" s="23" t="n">
        <f aca="false">IF('Food Data'!$AO$57="ground beef",100/'Food Data'!$AM$57,0)</f>
        <v>0</v>
      </c>
      <c r="BF86" s="23" t="n">
        <f aca="false">IF('Food Data'!$AO$58="ground beef",100/'Food Data'!$AM$58,0)</f>
        <v>0</v>
      </c>
      <c r="BG86" s="23" t="n">
        <f aca="false">IF('Food Data'!$AO$59="ground beef",100/'Food Data'!$AM$59,0)</f>
        <v>0</v>
      </c>
      <c r="BH86" s="23" t="n">
        <f aca="false">IF('Food Data'!$AO$60="ground beef",100/'Food Data'!$AM$60,0)</f>
        <v>0</v>
      </c>
      <c r="BI86" s="23" t="n">
        <f aca="false">IF('Food Data'!$AO$61="ground beef",100/'Food Data'!$AM$61,0)</f>
        <v>0</v>
      </c>
      <c r="BJ86" s="23" t="n">
        <f aca="false">IF('Food Data'!$AO$62="ground beef",100/'Food Data'!$AM$62,0)</f>
        <v>0</v>
      </c>
      <c r="BK86" s="23" t="n">
        <f aca="false">IF('Food Data'!$AO$63="ground beef",100/'Food Data'!$AM$63,0)</f>
        <v>0</v>
      </c>
      <c r="BL86" s="23" t="n">
        <f aca="false">IF('Food Data'!$AO$64="ground beef",100/'Food Data'!$AM$64,0)</f>
        <v>0</v>
      </c>
      <c r="BM86" s="23" t="n">
        <f aca="false">IF('Food Data'!$AO$65="ground beef",100/'Food Data'!$AM$65,0)</f>
        <v>0</v>
      </c>
      <c r="BN86" s="23" t="n">
        <f aca="false">IF('Food Data'!$AO$66="ground beef",100/'Food Data'!$AM$66,0)</f>
        <v>0</v>
      </c>
      <c r="BO86" s="23" t="n">
        <f aca="false">IF('Food Data'!$AO$67="ground beef",100/'Food Data'!$AM$67,0)</f>
        <v>0</v>
      </c>
      <c r="BP86" s="23" t="n">
        <f aca="false">IF('Food Data'!$AO$68="ground beef",100/'Food Data'!$AM$68,0)</f>
        <v>0</v>
      </c>
      <c r="BQ86" s="23" t="n">
        <f aca="false">IF('Food Data'!$AO$69="ground beef",100/'Food Data'!$AM$69,0)</f>
        <v>0</v>
      </c>
      <c r="BR86" s="23" t="n">
        <f aca="false">IF('Food Data'!$AO$70="ground beef",100/'Food Data'!$AM$70,0)</f>
        <v>0</v>
      </c>
      <c r="BS86" s="23" t="n">
        <f aca="false">IF('Food Data'!$AO$71="ground beef",100/'Food Data'!$AM$71,0)</f>
        <v>0</v>
      </c>
      <c r="BT86" s="23" t="n">
        <f aca="false">IF('Food Data'!$AO$72="ground beef",100/'Food Data'!$AM$72,0)</f>
        <v>0</v>
      </c>
      <c r="BU86" s="23" t="n">
        <f aca="false">IF('Food Data'!$AO$73="ground beef",100/'Food Data'!$AM$73,0)</f>
        <v>0</v>
      </c>
      <c r="BV86" s="23" t="n">
        <f aca="false">IF('Food Data'!$AO$74="ground beef",100/'Food Data'!$AM$74,0)</f>
        <v>0</v>
      </c>
      <c r="BW86" s="23" t="n">
        <f aca="false">IF('Food Data'!$AO$75="ground beef",100/'Food Data'!$AM$75,0)</f>
        <v>0</v>
      </c>
      <c r="BX86" s="23" t="n">
        <f aca="false">IF('Food Data'!$AO$76="ground beef",100/'Food Data'!$AM$76,0)</f>
        <v>0</v>
      </c>
    </row>
    <row r="87" customFormat="false" ht="15" hidden="false" customHeight="false" outlineLevel="0" collapsed="false">
      <c r="A87" s="4" t="s">
        <v>766</v>
      </c>
      <c r="B87" s="81" t="s">
        <v>767</v>
      </c>
      <c r="C87" s="84" t="n">
        <v>0</v>
      </c>
      <c r="D87" s="83" t="n">
        <v>-39.1999999928075</v>
      </c>
      <c r="E87" s="81" t="str">
        <f aca="false">IF(D87&lt;=C87+0.000001*MAX(1,ABS(C87)),IF(ABS(D87-C87)&lt;=0.000001*MAX(1,ABS(C87)),"tight","ok"),"VIOLATED")</f>
        <v>ok</v>
      </c>
      <c r="F87" s="23" t="n">
        <f aca="false">F$21*(1-Planner!$C$43)</f>
        <v>20.163</v>
      </c>
      <c r="G87" s="23" t="n">
        <f aca="false">G$21*(0-Planner!$C$43)</f>
        <v>-8.1725</v>
      </c>
      <c r="H87" s="23" t="n">
        <f aca="false">H$21*(0-Planner!$C$43)</f>
        <v>-8.666</v>
      </c>
      <c r="I87" s="23" t="n">
        <f aca="false">I$21*(0-Planner!$C$43)</f>
        <v>-5.7155</v>
      </c>
      <c r="J87" s="23" t="n">
        <f aca="false">J$21*(0-Planner!$C$43)</f>
        <v>-9.485</v>
      </c>
      <c r="K87" s="23" t="n">
        <f aca="false">K$21*(0-Planner!$C$43)</f>
        <v>-11.872</v>
      </c>
      <c r="L87" s="23" t="n">
        <f aca="false">L$21*(0-Planner!$C$43)</f>
        <v>-9.45</v>
      </c>
      <c r="M87" s="23" t="n">
        <f aca="false">M$21*(0-Planner!$C$43)</f>
        <v>-10.108</v>
      </c>
      <c r="N87" s="23" t="n">
        <f aca="false">N$21*(0-Planner!$C$43)</f>
        <v>-5.81</v>
      </c>
      <c r="O87" s="23" t="n">
        <f aca="false">O$21*(0-Planner!$C$43)</f>
        <v>-9.338</v>
      </c>
      <c r="P87" s="23" t="n">
        <f aca="false">P$21*(0-Planner!$C$43)</f>
        <v>-9.38</v>
      </c>
      <c r="Q87" s="23" t="n">
        <f aca="false">Q$21*(0-Planner!$C$43)</f>
        <v>-6.804</v>
      </c>
      <c r="R87" s="23" t="n">
        <f aca="false">R$21*(0-Planner!$C$43)</f>
        <v>-7.735</v>
      </c>
      <c r="S87" s="23" t="n">
        <f aca="false">S$21*(0-Planner!$C$43)</f>
        <v>-7.973</v>
      </c>
      <c r="T87" s="23" t="n">
        <f aca="false">T$21*(0-Planner!$C$43)</f>
        <v>-9.1525</v>
      </c>
      <c r="U87" s="23" t="n">
        <f aca="false">U$21*(0-Planner!$C$43)</f>
        <v>-4.396</v>
      </c>
      <c r="V87" s="23" t="n">
        <f aca="false">V$21*(0-Planner!$C$43)</f>
        <v>-2.1105</v>
      </c>
      <c r="W87" s="23" t="n">
        <f aca="false">W$21*(0-Planner!$C$43)</f>
        <v>-1.722</v>
      </c>
      <c r="X87" s="23" t="n">
        <f aca="false">X$21*(0-Planner!$C$43)</f>
        <v>-3.157</v>
      </c>
      <c r="Y87" s="23" t="n">
        <f aca="false">Y$21*(0-Planner!$C$43)</f>
        <v>-7.7735</v>
      </c>
      <c r="Z87" s="23" t="n">
        <f aca="false">Z$21*(0-Planner!$C$43)</f>
        <v>-3.1535</v>
      </c>
      <c r="AA87" s="23" t="n">
        <f aca="false">AA$21*(0-Planner!$C$43)</f>
        <v>-3.535</v>
      </c>
      <c r="AB87" s="23" t="n">
        <f aca="false">AB$21*(0-Planner!$C$43)</f>
        <v>-1.155</v>
      </c>
      <c r="AC87" s="23" t="n">
        <f aca="false">AC$21*(0-Planner!$C$43)</f>
        <v>-3.5665</v>
      </c>
      <c r="AD87" s="23" t="n">
        <f aca="false">AD$21*(0-Planner!$C$43)</f>
        <v>-0.91</v>
      </c>
      <c r="AE87" s="23" t="n">
        <f aca="false">AE$21*(0-Planner!$C$43)</f>
        <v>-1.1025</v>
      </c>
      <c r="AF87" s="23" t="n">
        <f aca="false">AF$21*(0-Planner!$C$43)</f>
        <v>-6.3455</v>
      </c>
      <c r="AG87" s="23" t="n">
        <f aca="false">AG$21*(0-Planner!$C$43)</f>
        <v>-8.0045</v>
      </c>
      <c r="AH87" s="23" t="n">
        <f aca="false">AH$21*(0-Planner!$C$43)</f>
        <v>-3.6575</v>
      </c>
      <c r="AI87" s="23" t="n">
        <f aca="false">AI$21*(0-Planner!$C$43)</f>
        <v>-8.3125</v>
      </c>
      <c r="AJ87" s="23" t="n">
        <f aca="false">AJ$21*(0-Planner!$C$43)</f>
        <v>-3.696</v>
      </c>
      <c r="AK87" s="23" t="n">
        <f aca="false">AK$21*(0-Planner!$C$43)</f>
        <v>-0.959</v>
      </c>
      <c r="AL87" s="23" t="n">
        <f aca="false">AL$21*(0-Planner!$C$43)</f>
        <v>-4.2315</v>
      </c>
      <c r="AM87" s="23" t="n">
        <f aca="false">AM$21*(0-Planner!$C$43)</f>
        <v>-1.995</v>
      </c>
      <c r="AN87" s="23" t="n">
        <f aca="false">AN$21*(0-Planner!$C$43)</f>
        <v>-2.8035</v>
      </c>
      <c r="AO87" s="23" t="n">
        <f aca="false">AO$21*(0-Planner!$C$43)</f>
        <v>-0.889</v>
      </c>
      <c r="AP87" s="23" t="n">
        <f aca="false">AP$21*(0-Planner!$C$43)</f>
        <v>-1.54</v>
      </c>
      <c r="AQ87" s="23" t="n">
        <f aca="false">AQ$21*(0-Planner!$C$43)</f>
        <v>-2.03</v>
      </c>
      <c r="AR87" s="23" t="n">
        <f aca="false">AR$21*(0-Planner!$C$43)</f>
        <v>-3.0975</v>
      </c>
      <c r="AS87" s="23" t="n">
        <f aca="false">AS$21*(0-Planner!$C$43)</f>
        <v>-0.9415</v>
      </c>
      <c r="AT87" s="23" t="n">
        <f aca="false">AT$21*(0-Planner!$C$43)</f>
        <v>-4.3575</v>
      </c>
      <c r="AU87" s="23" t="n">
        <f aca="false">AU$21*(0-Planner!$C$43)</f>
        <v>-2.0965</v>
      </c>
      <c r="AV87" s="23" t="n">
        <f aca="false">AV$21*(0-Planner!$C$43)</f>
        <v>-0.875</v>
      </c>
      <c r="AW87" s="23" t="n">
        <f aca="false">AW$21*(0-Planner!$C$43)</f>
        <v>-0.7035</v>
      </c>
      <c r="AX87" s="23" t="n">
        <f aca="false">AX$21*(0-Planner!$C$43)</f>
        <v>-0.8925</v>
      </c>
      <c r="AY87" s="23" t="n">
        <f aca="false">AY$21*(0-Planner!$C$43)</f>
        <v>-0.091</v>
      </c>
      <c r="AZ87" s="23" t="n">
        <f aca="false">AZ$21*(0-Planner!$C$43)</f>
        <v>-0.3815</v>
      </c>
      <c r="BA87" s="23" t="n">
        <f aca="false">BA$21*(0-Planner!$C$43)</f>
        <v>-0.147</v>
      </c>
      <c r="BB87" s="23" t="n">
        <f aca="false">BB$21*(0-Planner!$C$43)</f>
        <v>-0.252</v>
      </c>
      <c r="BC87" s="23" t="n">
        <f aca="false">BC$21*(0-Planner!$C$43)</f>
        <v>-0.238</v>
      </c>
      <c r="BD87" s="23" t="n">
        <f aca="false">BD$21*(0-Planner!$C$43)</f>
        <v>-0.3185</v>
      </c>
      <c r="BE87" s="23" t="n">
        <f aca="false">BE$21*(0-Planner!$C$43)</f>
        <v>-1.0745</v>
      </c>
      <c r="BF87" s="23" t="n">
        <f aca="false">BF$21*(0-Planner!$C$43)</f>
        <v>-0.2345</v>
      </c>
      <c r="BG87" s="23" t="n">
        <f aca="false">BG$21*(0-Planner!$C$43)</f>
        <v>-1.085</v>
      </c>
      <c r="BH87" s="23" t="n">
        <f aca="false">BH$21*(0-Planner!$C$43)</f>
        <v>-0.3255</v>
      </c>
      <c r="BI87" s="23" t="n">
        <f aca="false">BI$21*(0-Planner!$C$43)</f>
        <v>-0.392</v>
      </c>
      <c r="BJ87" s="23" t="n">
        <f aca="false">BJ$21*(0-Planner!$C$43)</f>
        <v>-0.301</v>
      </c>
      <c r="BK87" s="23" t="n">
        <f aca="false">BK$21*(0-Planner!$C$43)</f>
        <v>-1.001</v>
      </c>
      <c r="BL87" s="23" t="n">
        <f aca="false">BL$21*(0-Planner!$C$43)</f>
        <v>-0.385</v>
      </c>
      <c r="BM87" s="23" t="n">
        <f aca="false">BM$21*(0-Planner!$C$43)</f>
        <v>-0.4305</v>
      </c>
      <c r="BN87" s="23" t="n">
        <f aca="false">BN$21*(0-Planner!$C$43)</f>
        <v>-1.001</v>
      </c>
      <c r="BO87" s="23" t="n">
        <f aca="false">BO$21*(0-Planner!$C$43)</f>
        <v>-0.308</v>
      </c>
      <c r="BP87" s="23" t="n">
        <f aca="false">BP$21*(0-Planner!$C$43)</f>
        <v>-0.2975</v>
      </c>
      <c r="BQ87" s="23" t="n">
        <f aca="false">BQ$21*(0-Planner!$C$43)</f>
        <v>-0</v>
      </c>
      <c r="BR87" s="23" t="n">
        <f aca="false">BR$21*(0-Planner!$C$43)</f>
        <v>-0</v>
      </c>
      <c r="BS87" s="23" t="n">
        <f aca="false">BS$21*(0-Planner!$C$43)</f>
        <v>-7.4025</v>
      </c>
      <c r="BT87" s="23" t="n">
        <f aca="false">BT$21*(0-Planner!$C$43)</f>
        <v>-0.686</v>
      </c>
      <c r="BU87" s="23" t="n">
        <f aca="false">BU$21*(0-Planner!$C$43)</f>
        <v>-1.785</v>
      </c>
      <c r="BV87" s="23" t="n">
        <f aca="false">BV$21*(0-Planner!$C$43)</f>
        <v>-1.9775</v>
      </c>
      <c r="BW87" s="23" t="n">
        <f aca="false">BW$21*(0-Planner!$C$43)</f>
        <v>-2.2365</v>
      </c>
      <c r="BX87" s="23" t="n">
        <f aca="false">BX$21*(0-Planner!$C$43)</f>
        <v>-1.225</v>
      </c>
    </row>
    <row r="88" customFormat="false" ht="15" hidden="false" customHeight="false" outlineLevel="0" collapsed="false">
      <c r="A88" s="4" t="s">
        <v>768</v>
      </c>
      <c r="B88" s="81" t="s">
        <v>767</v>
      </c>
      <c r="C88" s="84" t="n">
        <v>0</v>
      </c>
      <c r="D88" s="83" t="n">
        <v>-19.7825025949575</v>
      </c>
      <c r="E88" s="81" t="str">
        <f aca="false">IF(D88&lt;=C88+0.000001*MAX(1,ABS(C88)),IF(ABS(D88-C88)&lt;=0.000001*MAX(1,ABS(C88)),"tight","ok"),"VIOLATED")</f>
        <v>ok</v>
      </c>
      <c r="F88" s="23" t="n">
        <f aca="false">F$21*(0-Planner!$C$43)</f>
        <v>-10.857</v>
      </c>
      <c r="G88" s="23" t="n">
        <f aca="false">G$21*(1-Planner!$C$43)</f>
        <v>15.1775</v>
      </c>
      <c r="H88" s="23" t="n">
        <f aca="false">H$21*(0-Planner!$C$43)</f>
        <v>-8.666</v>
      </c>
      <c r="I88" s="23" t="n">
        <f aca="false">I$21*(0-Planner!$C$43)</f>
        <v>-5.7155</v>
      </c>
      <c r="J88" s="23" t="n">
        <f aca="false">J$21*(0-Planner!$C$43)</f>
        <v>-9.485</v>
      </c>
      <c r="K88" s="23" t="n">
        <f aca="false">K$21*(0-Planner!$C$43)</f>
        <v>-11.872</v>
      </c>
      <c r="L88" s="23" t="n">
        <f aca="false">L$21*(0-Planner!$C$43)</f>
        <v>-9.45</v>
      </c>
      <c r="M88" s="23" t="n">
        <f aca="false">M$21*(0-Planner!$C$43)</f>
        <v>-10.108</v>
      </c>
      <c r="N88" s="23" t="n">
        <f aca="false">N$21*(0-Planner!$C$43)</f>
        <v>-5.81</v>
      </c>
      <c r="O88" s="23" t="n">
        <f aca="false">O$21*(0-Planner!$C$43)</f>
        <v>-9.338</v>
      </c>
      <c r="P88" s="23" t="n">
        <f aca="false">P$21*(0-Planner!$C$43)</f>
        <v>-9.38</v>
      </c>
      <c r="Q88" s="23" t="n">
        <f aca="false">Q$21*(0-Planner!$C$43)</f>
        <v>-6.804</v>
      </c>
      <c r="R88" s="23" t="n">
        <f aca="false">R$21*(0-Planner!$C$43)</f>
        <v>-7.735</v>
      </c>
      <c r="S88" s="23" t="n">
        <f aca="false">S$21*(0-Planner!$C$43)</f>
        <v>-7.973</v>
      </c>
      <c r="T88" s="23" t="n">
        <f aca="false">T$21*(0-Planner!$C$43)</f>
        <v>-9.1525</v>
      </c>
      <c r="U88" s="23" t="n">
        <f aca="false">U$21*(0-Planner!$C$43)</f>
        <v>-4.396</v>
      </c>
      <c r="V88" s="23" t="n">
        <f aca="false">V$21*(0-Planner!$C$43)</f>
        <v>-2.1105</v>
      </c>
      <c r="W88" s="23" t="n">
        <f aca="false">W$21*(0-Planner!$C$43)</f>
        <v>-1.722</v>
      </c>
      <c r="X88" s="23" t="n">
        <f aca="false">X$21*(0-Planner!$C$43)</f>
        <v>-3.157</v>
      </c>
      <c r="Y88" s="23" t="n">
        <f aca="false">Y$21*(0-Planner!$C$43)</f>
        <v>-7.7735</v>
      </c>
      <c r="Z88" s="23" t="n">
        <f aca="false">Z$21*(0-Planner!$C$43)</f>
        <v>-3.1535</v>
      </c>
      <c r="AA88" s="23" t="n">
        <f aca="false">AA$21*(0-Planner!$C$43)</f>
        <v>-3.535</v>
      </c>
      <c r="AB88" s="23" t="n">
        <f aca="false">AB$21*(0-Planner!$C$43)</f>
        <v>-1.155</v>
      </c>
      <c r="AC88" s="23" t="n">
        <f aca="false">AC$21*(0-Planner!$C$43)</f>
        <v>-3.5665</v>
      </c>
      <c r="AD88" s="23" t="n">
        <f aca="false">AD$21*(0-Planner!$C$43)</f>
        <v>-0.91</v>
      </c>
      <c r="AE88" s="23" t="n">
        <f aca="false">AE$21*(0-Planner!$C$43)</f>
        <v>-1.1025</v>
      </c>
      <c r="AF88" s="23" t="n">
        <f aca="false">AF$21*(0-Planner!$C$43)</f>
        <v>-6.3455</v>
      </c>
      <c r="AG88" s="23" t="n">
        <f aca="false">AG$21*(0-Planner!$C$43)</f>
        <v>-8.0045</v>
      </c>
      <c r="AH88" s="23" t="n">
        <f aca="false">AH$21*(0-Planner!$C$43)</f>
        <v>-3.6575</v>
      </c>
      <c r="AI88" s="23" t="n">
        <f aca="false">AI$21*(0-Planner!$C$43)</f>
        <v>-8.3125</v>
      </c>
      <c r="AJ88" s="23" t="n">
        <f aca="false">AJ$21*(0-Planner!$C$43)</f>
        <v>-3.696</v>
      </c>
      <c r="AK88" s="23" t="n">
        <f aca="false">AK$21*(0-Planner!$C$43)</f>
        <v>-0.959</v>
      </c>
      <c r="AL88" s="23" t="n">
        <f aca="false">AL$21*(0-Planner!$C$43)</f>
        <v>-4.2315</v>
      </c>
      <c r="AM88" s="23" t="n">
        <f aca="false">AM$21*(0-Planner!$C$43)</f>
        <v>-1.995</v>
      </c>
      <c r="AN88" s="23" t="n">
        <f aca="false">AN$21*(0-Planner!$C$43)</f>
        <v>-2.8035</v>
      </c>
      <c r="AO88" s="23" t="n">
        <f aca="false">AO$21*(0-Planner!$C$43)</f>
        <v>-0.889</v>
      </c>
      <c r="AP88" s="23" t="n">
        <f aca="false">AP$21*(0-Planner!$C$43)</f>
        <v>-1.54</v>
      </c>
      <c r="AQ88" s="23" t="n">
        <f aca="false">AQ$21*(0-Planner!$C$43)</f>
        <v>-2.03</v>
      </c>
      <c r="AR88" s="23" t="n">
        <f aca="false">AR$21*(0-Planner!$C$43)</f>
        <v>-3.0975</v>
      </c>
      <c r="AS88" s="23" t="n">
        <f aca="false">AS$21*(0-Planner!$C$43)</f>
        <v>-0.9415</v>
      </c>
      <c r="AT88" s="23" t="n">
        <f aca="false">AT$21*(0-Planner!$C$43)</f>
        <v>-4.3575</v>
      </c>
      <c r="AU88" s="23" t="n">
        <f aca="false">AU$21*(0-Planner!$C$43)</f>
        <v>-2.0965</v>
      </c>
      <c r="AV88" s="23" t="n">
        <f aca="false">AV$21*(0-Planner!$C$43)</f>
        <v>-0.875</v>
      </c>
      <c r="AW88" s="23" t="n">
        <f aca="false">AW$21*(0-Planner!$C$43)</f>
        <v>-0.7035</v>
      </c>
      <c r="AX88" s="23" t="n">
        <f aca="false">AX$21*(0-Planner!$C$43)</f>
        <v>-0.8925</v>
      </c>
      <c r="AY88" s="23" t="n">
        <f aca="false">AY$21*(0-Planner!$C$43)</f>
        <v>-0.091</v>
      </c>
      <c r="AZ88" s="23" t="n">
        <f aca="false">AZ$21*(0-Planner!$C$43)</f>
        <v>-0.3815</v>
      </c>
      <c r="BA88" s="23" t="n">
        <f aca="false">BA$21*(0-Planner!$C$43)</f>
        <v>-0.147</v>
      </c>
      <c r="BB88" s="23" t="n">
        <f aca="false">BB$21*(0-Planner!$C$43)</f>
        <v>-0.252</v>
      </c>
      <c r="BC88" s="23" t="n">
        <f aca="false">BC$21*(0-Planner!$C$43)</f>
        <v>-0.238</v>
      </c>
      <c r="BD88" s="23" t="n">
        <f aca="false">BD$21*(0-Planner!$C$43)</f>
        <v>-0.3185</v>
      </c>
      <c r="BE88" s="23" t="n">
        <f aca="false">BE$21*(0-Planner!$C$43)</f>
        <v>-1.0745</v>
      </c>
      <c r="BF88" s="23" t="n">
        <f aca="false">BF$21*(0-Planner!$C$43)</f>
        <v>-0.2345</v>
      </c>
      <c r="BG88" s="23" t="n">
        <f aca="false">BG$21*(0-Planner!$C$43)</f>
        <v>-1.085</v>
      </c>
      <c r="BH88" s="23" t="n">
        <f aca="false">BH$21*(0-Planner!$C$43)</f>
        <v>-0.3255</v>
      </c>
      <c r="BI88" s="23" t="n">
        <f aca="false">BI$21*(0-Planner!$C$43)</f>
        <v>-0.392</v>
      </c>
      <c r="BJ88" s="23" t="n">
        <f aca="false">BJ$21*(0-Planner!$C$43)</f>
        <v>-0.301</v>
      </c>
      <c r="BK88" s="23" t="n">
        <f aca="false">BK$21*(0-Planner!$C$43)</f>
        <v>-1.001</v>
      </c>
      <c r="BL88" s="23" t="n">
        <f aca="false">BL$21*(0-Planner!$C$43)</f>
        <v>-0.385</v>
      </c>
      <c r="BM88" s="23" t="n">
        <f aca="false">BM$21*(0-Planner!$C$43)</f>
        <v>-0.4305</v>
      </c>
      <c r="BN88" s="23" t="n">
        <f aca="false">BN$21*(0-Planner!$C$43)</f>
        <v>-1.001</v>
      </c>
      <c r="BO88" s="23" t="n">
        <f aca="false">BO$21*(0-Planner!$C$43)</f>
        <v>-0.308</v>
      </c>
      <c r="BP88" s="23" t="n">
        <f aca="false">BP$21*(0-Planner!$C$43)</f>
        <v>-0.2975</v>
      </c>
      <c r="BQ88" s="23" t="n">
        <f aca="false">BQ$21*(0-Planner!$C$43)</f>
        <v>-0</v>
      </c>
      <c r="BR88" s="23" t="n">
        <f aca="false">BR$21*(0-Planner!$C$43)</f>
        <v>-0</v>
      </c>
      <c r="BS88" s="23" t="n">
        <f aca="false">BS$21*(0-Planner!$C$43)</f>
        <v>-7.4025</v>
      </c>
      <c r="BT88" s="23" t="n">
        <f aca="false">BT$21*(0-Planner!$C$43)</f>
        <v>-0.686</v>
      </c>
      <c r="BU88" s="23" t="n">
        <f aca="false">BU$21*(0-Planner!$C$43)</f>
        <v>-1.785</v>
      </c>
      <c r="BV88" s="23" t="n">
        <f aca="false">BV$21*(0-Planner!$C$43)</f>
        <v>-1.9775</v>
      </c>
      <c r="BW88" s="23" t="n">
        <f aca="false">BW$21*(0-Planner!$C$43)</f>
        <v>-2.2365</v>
      </c>
      <c r="BX88" s="23" t="n">
        <f aca="false">BX$21*(0-Planner!$C$43)</f>
        <v>-1.225</v>
      </c>
    </row>
    <row r="89" customFormat="false" ht="15" hidden="false" customHeight="false" outlineLevel="0" collapsed="false">
      <c r="A89" s="4" t="s">
        <v>769</v>
      </c>
      <c r="B89" s="81" t="s">
        <v>767</v>
      </c>
      <c r="C89" s="84" t="n">
        <v>0</v>
      </c>
      <c r="D89" s="83" t="n">
        <v>-39.1999999928075</v>
      </c>
      <c r="E89" s="81" t="str">
        <f aca="false">IF(D89&lt;=C89+0.000001*MAX(1,ABS(C89)),IF(ABS(D89-C89)&lt;=0.000001*MAX(1,ABS(C89)),"tight","ok"),"VIOLATED")</f>
        <v>ok</v>
      </c>
      <c r="F89" s="23" t="n">
        <f aca="false">F$21*(0-Planner!$C$43)</f>
        <v>-10.857</v>
      </c>
      <c r="G89" s="23" t="n">
        <f aca="false">G$21*(0-Planner!$C$43)</f>
        <v>-8.1725</v>
      </c>
      <c r="H89" s="23" t="n">
        <f aca="false">H$21*(1-Planner!$C$43)</f>
        <v>16.094</v>
      </c>
      <c r="I89" s="23" t="n">
        <f aca="false">I$21*(0-Planner!$C$43)</f>
        <v>-5.7155</v>
      </c>
      <c r="J89" s="23" t="n">
        <f aca="false">J$21*(0-Planner!$C$43)</f>
        <v>-9.485</v>
      </c>
      <c r="K89" s="23" t="n">
        <f aca="false">K$21*(0-Planner!$C$43)</f>
        <v>-11.872</v>
      </c>
      <c r="L89" s="23" t="n">
        <f aca="false">L$21*(0-Planner!$C$43)</f>
        <v>-9.45</v>
      </c>
      <c r="M89" s="23" t="n">
        <f aca="false">M$21*(0-Planner!$C$43)</f>
        <v>-10.108</v>
      </c>
      <c r="N89" s="23" t="n">
        <f aca="false">N$21*(0-Planner!$C$43)</f>
        <v>-5.81</v>
      </c>
      <c r="O89" s="23" t="n">
        <f aca="false">O$21*(0-Planner!$C$43)</f>
        <v>-9.338</v>
      </c>
      <c r="P89" s="23" t="n">
        <f aca="false">P$21*(0-Planner!$C$43)</f>
        <v>-9.38</v>
      </c>
      <c r="Q89" s="23" t="n">
        <f aca="false">Q$21*(0-Planner!$C$43)</f>
        <v>-6.804</v>
      </c>
      <c r="R89" s="23" t="n">
        <f aca="false">R$21*(0-Planner!$C$43)</f>
        <v>-7.735</v>
      </c>
      <c r="S89" s="23" t="n">
        <f aca="false">S$21*(0-Planner!$C$43)</f>
        <v>-7.973</v>
      </c>
      <c r="T89" s="23" t="n">
        <f aca="false">T$21*(0-Planner!$C$43)</f>
        <v>-9.1525</v>
      </c>
      <c r="U89" s="23" t="n">
        <f aca="false">U$21*(0-Planner!$C$43)</f>
        <v>-4.396</v>
      </c>
      <c r="V89" s="23" t="n">
        <f aca="false">V$21*(0-Planner!$C$43)</f>
        <v>-2.1105</v>
      </c>
      <c r="W89" s="23" t="n">
        <f aca="false">W$21*(0-Planner!$C$43)</f>
        <v>-1.722</v>
      </c>
      <c r="X89" s="23" t="n">
        <f aca="false">X$21*(0-Planner!$C$43)</f>
        <v>-3.157</v>
      </c>
      <c r="Y89" s="23" t="n">
        <f aca="false">Y$21*(0-Planner!$C$43)</f>
        <v>-7.7735</v>
      </c>
      <c r="Z89" s="23" t="n">
        <f aca="false">Z$21*(0-Planner!$C$43)</f>
        <v>-3.1535</v>
      </c>
      <c r="AA89" s="23" t="n">
        <f aca="false">AA$21*(0-Planner!$C$43)</f>
        <v>-3.535</v>
      </c>
      <c r="AB89" s="23" t="n">
        <f aca="false">AB$21*(0-Planner!$C$43)</f>
        <v>-1.155</v>
      </c>
      <c r="AC89" s="23" t="n">
        <f aca="false">AC$21*(0-Planner!$C$43)</f>
        <v>-3.5665</v>
      </c>
      <c r="AD89" s="23" t="n">
        <f aca="false">AD$21*(0-Planner!$C$43)</f>
        <v>-0.91</v>
      </c>
      <c r="AE89" s="23" t="n">
        <f aca="false">AE$21*(0-Planner!$C$43)</f>
        <v>-1.1025</v>
      </c>
      <c r="AF89" s="23" t="n">
        <f aca="false">AF$21*(0-Planner!$C$43)</f>
        <v>-6.3455</v>
      </c>
      <c r="AG89" s="23" t="n">
        <f aca="false">AG$21*(0-Planner!$C$43)</f>
        <v>-8.0045</v>
      </c>
      <c r="AH89" s="23" t="n">
        <f aca="false">AH$21*(0-Planner!$C$43)</f>
        <v>-3.6575</v>
      </c>
      <c r="AI89" s="23" t="n">
        <f aca="false">AI$21*(0-Planner!$C$43)</f>
        <v>-8.3125</v>
      </c>
      <c r="AJ89" s="23" t="n">
        <f aca="false">AJ$21*(0-Planner!$C$43)</f>
        <v>-3.696</v>
      </c>
      <c r="AK89" s="23" t="n">
        <f aca="false">AK$21*(0-Planner!$C$43)</f>
        <v>-0.959</v>
      </c>
      <c r="AL89" s="23" t="n">
        <f aca="false">AL$21*(0-Planner!$C$43)</f>
        <v>-4.2315</v>
      </c>
      <c r="AM89" s="23" t="n">
        <f aca="false">AM$21*(0-Planner!$C$43)</f>
        <v>-1.995</v>
      </c>
      <c r="AN89" s="23" t="n">
        <f aca="false">AN$21*(0-Planner!$C$43)</f>
        <v>-2.8035</v>
      </c>
      <c r="AO89" s="23" t="n">
        <f aca="false">AO$21*(0-Planner!$C$43)</f>
        <v>-0.889</v>
      </c>
      <c r="AP89" s="23" t="n">
        <f aca="false">AP$21*(0-Planner!$C$43)</f>
        <v>-1.54</v>
      </c>
      <c r="AQ89" s="23" t="n">
        <f aca="false">AQ$21*(0-Planner!$C$43)</f>
        <v>-2.03</v>
      </c>
      <c r="AR89" s="23" t="n">
        <f aca="false">AR$21*(0-Planner!$C$43)</f>
        <v>-3.0975</v>
      </c>
      <c r="AS89" s="23" t="n">
        <f aca="false">AS$21*(0-Planner!$C$43)</f>
        <v>-0.9415</v>
      </c>
      <c r="AT89" s="23" t="n">
        <f aca="false">AT$21*(0-Planner!$C$43)</f>
        <v>-4.3575</v>
      </c>
      <c r="AU89" s="23" t="n">
        <f aca="false">AU$21*(0-Planner!$C$43)</f>
        <v>-2.0965</v>
      </c>
      <c r="AV89" s="23" t="n">
        <f aca="false">AV$21*(0-Planner!$C$43)</f>
        <v>-0.875</v>
      </c>
      <c r="AW89" s="23" t="n">
        <f aca="false">AW$21*(0-Planner!$C$43)</f>
        <v>-0.7035</v>
      </c>
      <c r="AX89" s="23" t="n">
        <f aca="false">AX$21*(0-Planner!$C$43)</f>
        <v>-0.8925</v>
      </c>
      <c r="AY89" s="23" t="n">
        <f aca="false">AY$21*(0-Planner!$C$43)</f>
        <v>-0.091</v>
      </c>
      <c r="AZ89" s="23" t="n">
        <f aca="false">AZ$21*(0-Planner!$C$43)</f>
        <v>-0.3815</v>
      </c>
      <c r="BA89" s="23" t="n">
        <f aca="false">BA$21*(0-Planner!$C$43)</f>
        <v>-0.147</v>
      </c>
      <c r="BB89" s="23" t="n">
        <f aca="false">BB$21*(0-Planner!$C$43)</f>
        <v>-0.252</v>
      </c>
      <c r="BC89" s="23" t="n">
        <f aca="false">BC$21*(0-Planner!$C$43)</f>
        <v>-0.238</v>
      </c>
      <c r="BD89" s="23" t="n">
        <f aca="false">BD$21*(0-Planner!$C$43)</f>
        <v>-0.3185</v>
      </c>
      <c r="BE89" s="23" t="n">
        <f aca="false">BE$21*(0-Planner!$C$43)</f>
        <v>-1.0745</v>
      </c>
      <c r="BF89" s="23" t="n">
        <f aca="false">BF$21*(0-Planner!$C$43)</f>
        <v>-0.2345</v>
      </c>
      <c r="BG89" s="23" t="n">
        <f aca="false">BG$21*(0-Planner!$C$43)</f>
        <v>-1.085</v>
      </c>
      <c r="BH89" s="23" t="n">
        <f aca="false">BH$21*(0-Planner!$C$43)</f>
        <v>-0.3255</v>
      </c>
      <c r="BI89" s="23" t="n">
        <f aca="false">BI$21*(0-Planner!$C$43)</f>
        <v>-0.392</v>
      </c>
      <c r="BJ89" s="23" t="n">
        <f aca="false">BJ$21*(0-Planner!$C$43)</f>
        <v>-0.301</v>
      </c>
      <c r="BK89" s="23" t="n">
        <f aca="false">BK$21*(0-Planner!$C$43)</f>
        <v>-1.001</v>
      </c>
      <c r="BL89" s="23" t="n">
        <f aca="false">BL$21*(0-Planner!$C$43)</f>
        <v>-0.385</v>
      </c>
      <c r="BM89" s="23" t="n">
        <f aca="false">BM$21*(0-Planner!$C$43)</f>
        <v>-0.4305</v>
      </c>
      <c r="BN89" s="23" t="n">
        <f aca="false">BN$21*(0-Planner!$C$43)</f>
        <v>-1.001</v>
      </c>
      <c r="BO89" s="23" t="n">
        <f aca="false">BO$21*(0-Planner!$C$43)</f>
        <v>-0.308</v>
      </c>
      <c r="BP89" s="23" t="n">
        <f aca="false">BP$21*(0-Planner!$C$43)</f>
        <v>-0.2975</v>
      </c>
      <c r="BQ89" s="23" t="n">
        <f aca="false">BQ$21*(0-Planner!$C$43)</f>
        <v>-0</v>
      </c>
      <c r="BR89" s="23" t="n">
        <f aca="false">BR$21*(0-Planner!$C$43)</f>
        <v>-0</v>
      </c>
      <c r="BS89" s="23" t="n">
        <f aca="false">BS$21*(0-Planner!$C$43)</f>
        <v>-7.4025</v>
      </c>
      <c r="BT89" s="23" t="n">
        <f aca="false">BT$21*(0-Planner!$C$43)</f>
        <v>-0.686</v>
      </c>
      <c r="BU89" s="23" t="n">
        <f aca="false">BU$21*(0-Planner!$C$43)</f>
        <v>-1.785</v>
      </c>
      <c r="BV89" s="23" t="n">
        <f aca="false">BV$21*(0-Planner!$C$43)</f>
        <v>-1.9775</v>
      </c>
      <c r="BW89" s="23" t="n">
        <f aca="false">BW$21*(0-Planner!$C$43)</f>
        <v>-2.2365</v>
      </c>
      <c r="BX89" s="23" t="n">
        <f aca="false">BX$21*(0-Planner!$C$43)</f>
        <v>-1.225</v>
      </c>
    </row>
    <row r="90" customFormat="false" ht="15" hidden="false" customHeight="false" outlineLevel="0" collapsed="false">
      <c r="A90" s="4" t="s">
        <v>770</v>
      </c>
      <c r="B90" s="81" t="s">
        <v>767</v>
      </c>
      <c r="C90" s="84" t="n">
        <v>0</v>
      </c>
      <c r="D90" s="83" t="n">
        <v>-39.1999999928075</v>
      </c>
      <c r="E90" s="81" t="str">
        <f aca="false">IF(D90&lt;=C90+0.000001*MAX(1,ABS(C90)),IF(ABS(D90-C90)&lt;=0.000001*MAX(1,ABS(C90)),"tight","ok"),"VIOLATED")</f>
        <v>ok</v>
      </c>
      <c r="F90" s="23" t="n">
        <f aca="false">F$21*(0-Planner!$C$43)</f>
        <v>-10.857</v>
      </c>
      <c r="G90" s="23" t="n">
        <f aca="false">G$21*(0-Planner!$C$43)</f>
        <v>-8.1725</v>
      </c>
      <c r="H90" s="23" t="n">
        <f aca="false">H$21*(0-Planner!$C$43)</f>
        <v>-8.666</v>
      </c>
      <c r="I90" s="23" t="n">
        <f aca="false">I$21*(1-Planner!$C$43)</f>
        <v>10.6145</v>
      </c>
      <c r="J90" s="23" t="n">
        <f aca="false">J$21*(0-Planner!$C$43)</f>
        <v>-9.485</v>
      </c>
      <c r="K90" s="23" t="n">
        <f aca="false">K$21*(0-Planner!$C$43)</f>
        <v>-11.872</v>
      </c>
      <c r="L90" s="23" t="n">
        <f aca="false">L$21*(0-Planner!$C$43)</f>
        <v>-9.45</v>
      </c>
      <c r="M90" s="23" t="n">
        <f aca="false">M$21*(0-Planner!$C$43)</f>
        <v>-10.108</v>
      </c>
      <c r="N90" s="23" t="n">
        <f aca="false">N$21*(0-Planner!$C$43)</f>
        <v>-5.81</v>
      </c>
      <c r="O90" s="23" t="n">
        <f aca="false">O$21*(0-Planner!$C$43)</f>
        <v>-9.338</v>
      </c>
      <c r="P90" s="23" t="n">
        <f aca="false">P$21*(0-Planner!$C$43)</f>
        <v>-9.38</v>
      </c>
      <c r="Q90" s="23" t="n">
        <f aca="false">Q$21*(0-Planner!$C$43)</f>
        <v>-6.804</v>
      </c>
      <c r="R90" s="23" t="n">
        <f aca="false">R$21*(0-Planner!$C$43)</f>
        <v>-7.735</v>
      </c>
      <c r="S90" s="23" t="n">
        <f aca="false">S$21*(0-Planner!$C$43)</f>
        <v>-7.973</v>
      </c>
      <c r="T90" s="23" t="n">
        <f aca="false">T$21*(0-Planner!$C$43)</f>
        <v>-9.1525</v>
      </c>
      <c r="U90" s="23" t="n">
        <f aca="false">U$21*(0-Planner!$C$43)</f>
        <v>-4.396</v>
      </c>
      <c r="V90" s="23" t="n">
        <f aca="false">V$21*(0-Planner!$C$43)</f>
        <v>-2.1105</v>
      </c>
      <c r="W90" s="23" t="n">
        <f aca="false">W$21*(0-Planner!$C$43)</f>
        <v>-1.722</v>
      </c>
      <c r="X90" s="23" t="n">
        <f aca="false">X$21*(0-Planner!$C$43)</f>
        <v>-3.157</v>
      </c>
      <c r="Y90" s="23" t="n">
        <f aca="false">Y$21*(0-Planner!$C$43)</f>
        <v>-7.7735</v>
      </c>
      <c r="Z90" s="23" t="n">
        <f aca="false">Z$21*(0-Planner!$C$43)</f>
        <v>-3.1535</v>
      </c>
      <c r="AA90" s="23" t="n">
        <f aca="false">AA$21*(0-Planner!$C$43)</f>
        <v>-3.535</v>
      </c>
      <c r="AB90" s="23" t="n">
        <f aca="false">AB$21*(0-Planner!$C$43)</f>
        <v>-1.155</v>
      </c>
      <c r="AC90" s="23" t="n">
        <f aca="false">AC$21*(0-Planner!$C$43)</f>
        <v>-3.5665</v>
      </c>
      <c r="AD90" s="23" t="n">
        <f aca="false">AD$21*(0-Planner!$C$43)</f>
        <v>-0.91</v>
      </c>
      <c r="AE90" s="23" t="n">
        <f aca="false">AE$21*(0-Planner!$C$43)</f>
        <v>-1.1025</v>
      </c>
      <c r="AF90" s="23" t="n">
        <f aca="false">AF$21*(0-Planner!$C$43)</f>
        <v>-6.3455</v>
      </c>
      <c r="AG90" s="23" t="n">
        <f aca="false">AG$21*(0-Planner!$C$43)</f>
        <v>-8.0045</v>
      </c>
      <c r="AH90" s="23" t="n">
        <f aca="false">AH$21*(0-Planner!$C$43)</f>
        <v>-3.6575</v>
      </c>
      <c r="AI90" s="23" t="n">
        <f aca="false">AI$21*(0-Planner!$C$43)</f>
        <v>-8.3125</v>
      </c>
      <c r="AJ90" s="23" t="n">
        <f aca="false">AJ$21*(0-Planner!$C$43)</f>
        <v>-3.696</v>
      </c>
      <c r="AK90" s="23" t="n">
        <f aca="false">AK$21*(0-Planner!$C$43)</f>
        <v>-0.959</v>
      </c>
      <c r="AL90" s="23" t="n">
        <f aca="false">AL$21*(0-Planner!$C$43)</f>
        <v>-4.2315</v>
      </c>
      <c r="AM90" s="23" t="n">
        <f aca="false">AM$21*(0-Planner!$C$43)</f>
        <v>-1.995</v>
      </c>
      <c r="AN90" s="23" t="n">
        <f aca="false">AN$21*(0-Planner!$C$43)</f>
        <v>-2.8035</v>
      </c>
      <c r="AO90" s="23" t="n">
        <f aca="false">AO$21*(0-Planner!$C$43)</f>
        <v>-0.889</v>
      </c>
      <c r="AP90" s="23" t="n">
        <f aca="false">AP$21*(0-Planner!$C$43)</f>
        <v>-1.54</v>
      </c>
      <c r="AQ90" s="23" t="n">
        <f aca="false">AQ$21*(0-Planner!$C$43)</f>
        <v>-2.03</v>
      </c>
      <c r="AR90" s="23" t="n">
        <f aca="false">AR$21*(0-Planner!$C$43)</f>
        <v>-3.0975</v>
      </c>
      <c r="AS90" s="23" t="n">
        <f aca="false">AS$21*(0-Planner!$C$43)</f>
        <v>-0.9415</v>
      </c>
      <c r="AT90" s="23" t="n">
        <f aca="false">AT$21*(0-Planner!$C$43)</f>
        <v>-4.3575</v>
      </c>
      <c r="AU90" s="23" t="n">
        <f aca="false">AU$21*(0-Planner!$C$43)</f>
        <v>-2.0965</v>
      </c>
      <c r="AV90" s="23" t="n">
        <f aca="false">AV$21*(0-Planner!$C$43)</f>
        <v>-0.875</v>
      </c>
      <c r="AW90" s="23" t="n">
        <f aca="false">AW$21*(0-Planner!$C$43)</f>
        <v>-0.7035</v>
      </c>
      <c r="AX90" s="23" t="n">
        <f aca="false">AX$21*(0-Planner!$C$43)</f>
        <v>-0.8925</v>
      </c>
      <c r="AY90" s="23" t="n">
        <f aca="false">AY$21*(0-Planner!$C$43)</f>
        <v>-0.091</v>
      </c>
      <c r="AZ90" s="23" t="n">
        <f aca="false">AZ$21*(0-Planner!$C$43)</f>
        <v>-0.3815</v>
      </c>
      <c r="BA90" s="23" t="n">
        <f aca="false">BA$21*(0-Planner!$C$43)</f>
        <v>-0.147</v>
      </c>
      <c r="BB90" s="23" t="n">
        <f aca="false">BB$21*(0-Planner!$C$43)</f>
        <v>-0.252</v>
      </c>
      <c r="BC90" s="23" t="n">
        <f aca="false">BC$21*(0-Planner!$C$43)</f>
        <v>-0.238</v>
      </c>
      <c r="BD90" s="23" t="n">
        <f aca="false">BD$21*(0-Planner!$C$43)</f>
        <v>-0.3185</v>
      </c>
      <c r="BE90" s="23" t="n">
        <f aca="false">BE$21*(0-Planner!$C$43)</f>
        <v>-1.0745</v>
      </c>
      <c r="BF90" s="23" t="n">
        <f aca="false">BF$21*(0-Planner!$C$43)</f>
        <v>-0.2345</v>
      </c>
      <c r="BG90" s="23" t="n">
        <f aca="false">BG$21*(0-Planner!$C$43)</f>
        <v>-1.085</v>
      </c>
      <c r="BH90" s="23" t="n">
        <f aca="false">BH$21*(0-Planner!$C$43)</f>
        <v>-0.3255</v>
      </c>
      <c r="BI90" s="23" t="n">
        <f aca="false">BI$21*(0-Planner!$C$43)</f>
        <v>-0.392</v>
      </c>
      <c r="BJ90" s="23" t="n">
        <f aca="false">BJ$21*(0-Planner!$C$43)</f>
        <v>-0.301</v>
      </c>
      <c r="BK90" s="23" t="n">
        <f aca="false">BK$21*(0-Planner!$C$43)</f>
        <v>-1.001</v>
      </c>
      <c r="BL90" s="23" t="n">
        <f aca="false">BL$21*(0-Planner!$C$43)</f>
        <v>-0.385</v>
      </c>
      <c r="BM90" s="23" t="n">
        <f aca="false">BM$21*(0-Planner!$C$43)</f>
        <v>-0.4305</v>
      </c>
      <c r="BN90" s="23" t="n">
        <f aca="false">BN$21*(0-Planner!$C$43)</f>
        <v>-1.001</v>
      </c>
      <c r="BO90" s="23" t="n">
        <f aca="false">BO$21*(0-Planner!$C$43)</f>
        <v>-0.308</v>
      </c>
      <c r="BP90" s="23" t="n">
        <f aca="false">BP$21*(0-Planner!$C$43)</f>
        <v>-0.2975</v>
      </c>
      <c r="BQ90" s="23" t="n">
        <f aca="false">BQ$21*(0-Planner!$C$43)</f>
        <v>-0</v>
      </c>
      <c r="BR90" s="23" t="n">
        <f aca="false">BR$21*(0-Planner!$C$43)</f>
        <v>-0</v>
      </c>
      <c r="BS90" s="23" t="n">
        <f aca="false">BS$21*(0-Planner!$C$43)</f>
        <v>-7.4025</v>
      </c>
      <c r="BT90" s="23" t="n">
        <f aca="false">BT$21*(0-Planner!$C$43)</f>
        <v>-0.686</v>
      </c>
      <c r="BU90" s="23" t="n">
        <f aca="false">BU$21*(0-Planner!$C$43)</f>
        <v>-1.785</v>
      </c>
      <c r="BV90" s="23" t="n">
        <f aca="false">BV$21*(0-Planner!$C$43)</f>
        <v>-1.9775</v>
      </c>
      <c r="BW90" s="23" t="n">
        <f aca="false">BW$21*(0-Planner!$C$43)</f>
        <v>-2.2365</v>
      </c>
      <c r="BX90" s="23" t="n">
        <f aca="false">BX$21*(0-Planner!$C$43)</f>
        <v>-1.225</v>
      </c>
    </row>
    <row r="91" customFormat="false" ht="15" hidden="false" customHeight="false" outlineLevel="0" collapsed="false">
      <c r="A91" s="4" t="s">
        <v>771</v>
      </c>
      <c r="B91" s="81" t="s">
        <v>767</v>
      </c>
      <c r="C91" s="84" t="n">
        <v>0</v>
      </c>
      <c r="D91" s="83" t="n">
        <v>-39.1999999928075</v>
      </c>
      <c r="E91" s="81" t="str">
        <f aca="false">IF(D91&lt;=C91+0.000001*MAX(1,ABS(C91)),IF(ABS(D91-C91)&lt;=0.000001*MAX(1,ABS(C91)),"tight","ok"),"VIOLATED")</f>
        <v>ok</v>
      </c>
      <c r="F91" s="23" t="n">
        <f aca="false">F$21*(0-Planner!$C$43)</f>
        <v>-10.857</v>
      </c>
      <c r="G91" s="23" t="n">
        <f aca="false">G$21*(0-Planner!$C$43)</f>
        <v>-8.1725</v>
      </c>
      <c r="H91" s="23" t="n">
        <f aca="false">H$21*(0-Planner!$C$43)</f>
        <v>-8.666</v>
      </c>
      <c r="I91" s="23" t="n">
        <f aca="false">I$21*(0-Planner!$C$43)</f>
        <v>-5.7155</v>
      </c>
      <c r="J91" s="23" t="n">
        <f aca="false">J$21*(1-Planner!$C$43)</f>
        <v>17.615</v>
      </c>
      <c r="K91" s="23" t="n">
        <f aca="false">K$21*(0-Planner!$C$43)</f>
        <v>-11.872</v>
      </c>
      <c r="L91" s="23" t="n">
        <f aca="false">L$21*(0-Planner!$C$43)</f>
        <v>-9.45</v>
      </c>
      <c r="M91" s="23" t="n">
        <f aca="false">M$21*(0-Planner!$C$43)</f>
        <v>-10.108</v>
      </c>
      <c r="N91" s="23" t="n">
        <f aca="false">N$21*(0-Planner!$C$43)</f>
        <v>-5.81</v>
      </c>
      <c r="O91" s="23" t="n">
        <f aca="false">O$21*(0-Planner!$C$43)</f>
        <v>-9.338</v>
      </c>
      <c r="P91" s="23" t="n">
        <f aca="false">P$21*(0-Planner!$C$43)</f>
        <v>-9.38</v>
      </c>
      <c r="Q91" s="23" t="n">
        <f aca="false">Q$21*(0-Planner!$C$43)</f>
        <v>-6.804</v>
      </c>
      <c r="R91" s="23" t="n">
        <f aca="false">R$21*(0-Planner!$C$43)</f>
        <v>-7.735</v>
      </c>
      <c r="S91" s="23" t="n">
        <f aca="false">S$21*(0-Planner!$C$43)</f>
        <v>-7.973</v>
      </c>
      <c r="T91" s="23" t="n">
        <f aca="false">T$21*(0-Planner!$C$43)</f>
        <v>-9.1525</v>
      </c>
      <c r="U91" s="23" t="n">
        <f aca="false">U$21*(0-Planner!$C$43)</f>
        <v>-4.396</v>
      </c>
      <c r="V91" s="23" t="n">
        <f aca="false">V$21*(0-Planner!$C$43)</f>
        <v>-2.1105</v>
      </c>
      <c r="W91" s="23" t="n">
        <f aca="false">W$21*(0-Planner!$C$43)</f>
        <v>-1.722</v>
      </c>
      <c r="X91" s="23" t="n">
        <f aca="false">X$21*(0-Planner!$C$43)</f>
        <v>-3.157</v>
      </c>
      <c r="Y91" s="23" t="n">
        <f aca="false">Y$21*(0-Planner!$C$43)</f>
        <v>-7.7735</v>
      </c>
      <c r="Z91" s="23" t="n">
        <f aca="false">Z$21*(0-Planner!$C$43)</f>
        <v>-3.1535</v>
      </c>
      <c r="AA91" s="23" t="n">
        <f aca="false">AA$21*(0-Planner!$C$43)</f>
        <v>-3.535</v>
      </c>
      <c r="AB91" s="23" t="n">
        <f aca="false">AB$21*(0-Planner!$C$43)</f>
        <v>-1.155</v>
      </c>
      <c r="AC91" s="23" t="n">
        <f aca="false">AC$21*(0-Planner!$C$43)</f>
        <v>-3.5665</v>
      </c>
      <c r="AD91" s="23" t="n">
        <f aca="false">AD$21*(0-Planner!$C$43)</f>
        <v>-0.91</v>
      </c>
      <c r="AE91" s="23" t="n">
        <f aca="false">AE$21*(0-Planner!$C$43)</f>
        <v>-1.1025</v>
      </c>
      <c r="AF91" s="23" t="n">
        <f aca="false">AF$21*(0-Planner!$C$43)</f>
        <v>-6.3455</v>
      </c>
      <c r="AG91" s="23" t="n">
        <f aca="false">AG$21*(0-Planner!$C$43)</f>
        <v>-8.0045</v>
      </c>
      <c r="AH91" s="23" t="n">
        <f aca="false">AH$21*(0-Planner!$C$43)</f>
        <v>-3.6575</v>
      </c>
      <c r="AI91" s="23" t="n">
        <f aca="false">AI$21*(0-Planner!$C$43)</f>
        <v>-8.3125</v>
      </c>
      <c r="AJ91" s="23" t="n">
        <f aca="false">AJ$21*(0-Planner!$C$43)</f>
        <v>-3.696</v>
      </c>
      <c r="AK91" s="23" t="n">
        <f aca="false">AK$21*(0-Planner!$C$43)</f>
        <v>-0.959</v>
      </c>
      <c r="AL91" s="23" t="n">
        <f aca="false">AL$21*(0-Planner!$C$43)</f>
        <v>-4.2315</v>
      </c>
      <c r="AM91" s="23" t="n">
        <f aca="false">AM$21*(0-Planner!$C$43)</f>
        <v>-1.995</v>
      </c>
      <c r="AN91" s="23" t="n">
        <f aca="false">AN$21*(0-Planner!$C$43)</f>
        <v>-2.8035</v>
      </c>
      <c r="AO91" s="23" t="n">
        <f aca="false">AO$21*(0-Planner!$C$43)</f>
        <v>-0.889</v>
      </c>
      <c r="AP91" s="23" t="n">
        <f aca="false">AP$21*(0-Planner!$C$43)</f>
        <v>-1.54</v>
      </c>
      <c r="AQ91" s="23" t="n">
        <f aca="false">AQ$21*(0-Planner!$C$43)</f>
        <v>-2.03</v>
      </c>
      <c r="AR91" s="23" t="n">
        <f aca="false">AR$21*(0-Planner!$C$43)</f>
        <v>-3.0975</v>
      </c>
      <c r="AS91" s="23" t="n">
        <f aca="false">AS$21*(0-Planner!$C$43)</f>
        <v>-0.9415</v>
      </c>
      <c r="AT91" s="23" t="n">
        <f aca="false">AT$21*(0-Planner!$C$43)</f>
        <v>-4.3575</v>
      </c>
      <c r="AU91" s="23" t="n">
        <f aca="false">AU$21*(0-Planner!$C$43)</f>
        <v>-2.0965</v>
      </c>
      <c r="AV91" s="23" t="n">
        <f aca="false">AV$21*(0-Planner!$C$43)</f>
        <v>-0.875</v>
      </c>
      <c r="AW91" s="23" t="n">
        <f aca="false">AW$21*(0-Planner!$C$43)</f>
        <v>-0.7035</v>
      </c>
      <c r="AX91" s="23" t="n">
        <f aca="false">AX$21*(0-Planner!$C$43)</f>
        <v>-0.8925</v>
      </c>
      <c r="AY91" s="23" t="n">
        <f aca="false">AY$21*(0-Planner!$C$43)</f>
        <v>-0.091</v>
      </c>
      <c r="AZ91" s="23" t="n">
        <f aca="false">AZ$21*(0-Planner!$C$43)</f>
        <v>-0.3815</v>
      </c>
      <c r="BA91" s="23" t="n">
        <f aca="false">BA$21*(0-Planner!$C$43)</f>
        <v>-0.147</v>
      </c>
      <c r="BB91" s="23" t="n">
        <f aca="false">BB$21*(0-Planner!$C$43)</f>
        <v>-0.252</v>
      </c>
      <c r="BC91" s="23" t="n">
        <f aca="false">BC$21*(0-Planner!$C$43)</f>
        <v>-0.238</v>
      </c>
      <c r="BD91" s="23" t="n">
        <f aca="false">BD$21*(0-Planner!$C$43)</f>
        <v>-0.3185</v>
      </c>
      <c r="BE91" s="23" t="n">
        <f aca="false">BE$21*(0-Planner!$C$43)</f>
        <v>-1.0745</v>
      </c>
      <c r="BF91" s="23" t="n">
        <f aca="false">BF$21*(0-Planner!$C$43)</f>
        <v>-0.2345</v>
      </c>
      <c r="BG91" s="23" t="n">
        <f aca="false">BG$21*(0-Planner!$C$43)</f>
        <v>-1.085</v>
      </c>
      <c r="BH91" s="23" t="n">
        <f aca="false">BH$21*(0-Planner!$C$43)</f>
        <v>-0.3255</v>
      </c>
      <c r="BI91" s="23" t="n">
        <f aca="false">BI$21*(0-Planner!$C$43)</f>
        <v>-0.392</v>
      </c>
      <c r="BJ91" s="23" t="n">
        <f aca="false">BJ$21*(0-Planner!$C$43)</f>
        <v>-0.301</v>
      </c>
      <c r="BK91" s="23" t="n">
        <f aca="false">BK$21*(0-Planner!$C$43)</f>
        <v>-1.001</v>
      </c>
      <c r="BL91" s="23" t="n">
        <f aca="false">BL$21*(0-Planner!$C$43)</f>
        <v>-0.385</v>
      </c>
      <c r="BM91" s="23" t="n">
        <f aca="false">BM$21*(0-Planner!$C$43)</f>
        <v>-0.4305</v>
      </c>
      <c r="BN91" s="23" t="n">
        <f aca="false">BN$21*(0-Planner!$C$43)</f>
        <v>-1.001</v>
      </c>
      <c r="BO91" s="23" t="n">
        <f aca="false">BO$21*(0-Planner!$C$43)</f>
        <v>-0.308</v>
      </c>
      <c r="BP91" s="23" t="n">
        <f aca="false">BP$21*(0-Planner!$C$43)</f>
        <v>-0.2975</v>
      </c>
      <c r="BQ91" s="23" t="n">
        <f aca="false">BQ$21*(0-Planner!$C$43)</f>
        <v>-0</v>
      </c>
      <c r="BR91" s="23" t="n">
        <f aca="false">BR$21*(0-Planner!$C$43)</f>
        <v>-0</v>
      </c>
      <c r="BS91" s="23" t="n">
        <f aca="false">BS$21*(0-Planner!$C$43)</f>
        <v>-7.4025</v>
      </c>
      <c r="BT91" s="23" t="n">
        <f aca="false">BT$21*(0-Planner!$C$43)</f>
        <v>-0.686</v>
      </c>
      <c r="BU91" s="23" t="n">
        <f aca="false">BU$21*(0-Planner!$C$43)</f>
        <v>-1.785</v>
      </c>
      <c r="BV91" s="23" t="n">
        <f aca="false">BV$21*(0-Planner!$C$43)</f>
        <v>-1.9775</v>
      </c>
      <c r="BW91" s="23" t="n">
        <f aca="false">BW$21*(0-Planner!$C$43)</f>
        <v>-2.2365</v>
      </c>
      <c r="BX91" s="23" t="n">
        <f aca="false">BX$21*(0-Planner!$C$43)</f>
        <v>-1.225</v>
      </c>
    </row>
    <row r="92" customFormat="false" ht="15" hidden="false" customHeight="false" outlineLevel="0" collapsed="false">
      <c r="A92" s="4" t="s">
        <v>772</v>
      </c>
      <c r="B92" s="81" t="s">
        <v>767</v>
      </c>
      <c r="C92" s="84" t="n">
        <v>0</v>
      </c>
      <c r="D92" s="83" t="n">
        <v>-39.1999999928075</v>
      </c>
      <c r="E92" s="81" t="str">
        <f aca="false">IF(D92&lt;=C92+0.000001*MAX(1,ABS(C92)),IF(ABS(D92-C92)&lt;=0.000001*MAX(1,ABS(C92)),"tight","ok"),"VIOLATED")</f>
        <v>ok</v>
      </c>
      <c r="F92" s="23" t="n">
        <f aca="false">F$21*(0-Planner!$C$43)</f>
        <v>-10.857</v>
      </c>
      <c r="G92" s="23" t="n">
        <f aca="false">G$21*(0-Planner!$C$43)</f>
        <v>-8.1725</v>
      </c>
      <c r="H92" s="23" t="n">
        <f aca="false">H$21*(0-Planner!$C$43)</f>
        <v>-8.666</v>
      </c>
      <c r="I92" s="23" t="n">
        <f aca="false">I$21*(0-Planner!$C$43)</f>
        <v>-5.7155</v>
      </c>
      <c r="J92" s="23" t="n">
        <f aca="false">J$21*(0-Planner!$C$43)</f>
        <v>-9.485</v>
      </c>
      <c r="K92" s="23" t="n">
        <f aca="false">K$21*(1-Planner!$C$43)</f>
        <v>22.048</v>
      </c>
      <c r="L92" s="23" t="n">
        <f aca="false">L$21*(0-Planner!$C$43)</f>
        <v>-9.45</v>
      </c>
      <c r="M92" s="23" t="n">
        <f aca="false">M$21*(0-Planner!$C$43)</f>
        <v>-10.108</v>
      </c>
      <c r="N92" s="23" t="n">
        <f aca="false">N$21*(0-Planner!$C$43)</f>
        <v>-5.81</v>
      </c>
      <c r="O92" s="23" t="n">
        <f aca="false">O$21*(0-Planner!$C$43)</f>
        <v>-9.338</v>
      </c>
      <c r="P92" s="23" t="n">
        <f aca="false">P$21*(0-Planner!$C$43)</f>
        <v>-9.38</v>
      </c>
      <c r="Q92" s="23" t="n">
        <f aca="false">Q$21*(0-Planner!$C$43)</f>
        <v>-6.804</v>
      </c>
      <c r="R92" s="23" t="n">
        <f aca="false">R$21*(0-Planner!$C$43)</f>
        <v>-7.735</v>
      </c>
      <c r="S92" s="23" t="n">
        <f aca="false">S$21*(0-Planner!$C$43)</f>
        <v>-7.973</v>
      </c>
      <c r="T92" s="23" t="n">
        <f aca="false">T$21*(0-Planner!$C$43)</f>
        <v>-9.1525</v>
      </c>
      <c r="U92" s="23" t="n">
        <f aca="false">U$21*(0-Planner!$C$43)</f>
        <v>-4.396</v>
      </c>
      <c r="V92" s="23" t="n">
        <f aca="false">V$21*(0-Planner!$C$43)</f>
        <v>-2.1105</v>
      </c>
      <c r="W92" s="23" t="n">
        <f aca="false">W$21*(0-Planner!$C$43)</f>
        <v>-1.722</v>
      </c>
      <c r="X92" s="23" t="n">
        <f aca="false">X$21*(0-Planner!$C$43)</f>
        <v>-3.157</v>
      </c>
      <c r="Y92" s="23" t="n">
        <f aca="false">Y$21*(0-Planner!$C$43)</f>
        <v>-7.7735</v>
      </c>
      <c r="Z92" s="23" t="n">
        <f aca="false">Z$21*(0-Planner!$C$43)</f>
        <v>-3.1535</v>
      </c>
      <c r="AA92" s="23" t="n">
        <f aca="false">AA$21*(0-Planner!$C$43)</f>
        <v>-3.535</v>
      </c>
      <c r="AB92" s="23" t="n">
        <f aca="false">AB$21*(0-Planner!$C$43)</f>
        <v>-1.155</v>
      </c>
      <c r="AC92" s="23" t="n">
        <f aca="false">AC$21*(0-Planner!$C$43)</f>
        <v>-3.5665</v>
      </c>
      <c r="AD92" s="23" t="n">
        <f aca="false">AD$21*(0-Planner!$C$43)</f>
        <v>-0.91</v>
      </c>
      <c r="AE92" s="23" t="n">
        <f aca="false">AE$21*(0-Planner!$C$43)</f>
        <v>-1.1025</v>
      </c>
      <c r="AF92" s="23" t="n">
        <f aca="false">AF$21*(0-Planner!$C$43)</f>
        <v>-6.3455</v>
      </c>
      <c r="AG92" s="23" t="n">
        <f aca="false">AG$21*(0-Planner!$C$43)</f>
        <v>-8.0045</v>
      </c>
      <c r="AH92" s="23" t="n">
        <f aca="false">AH$21*(0-Planner!$C$43)</f>
        <v>-3.6575</v>
      </c>
      <c r="AI92" s="23" t="n">
        <f aca="false">AI$21*(0-Planner!$C$43)</f>
        <v>-8.3125</v>
      </c>
      <c r="AJ92" s="23" t="n">
        <f aca="false">AJ$21*(0-Planner!$C$43)</f>
        <v>-3.696</v>
      </c>
      <c r="AK92" s="23" t="n">
        <f aca="false">AK$21*(0-Planner!$C$43)</f>
        <v>-0.959</v>
      </c>
      <c r="AL92" s="23" t="n">
        <f aca="false">AL$21*(0-Planner!$C$43)</f>
        <v>-4.2315</v>
      </c>
      <c r="AM92" s="23" t="n">
        <f aca="false">AM$21*(0-Planner!$C$43)</f>
        <v>-1.995</v>
      </c>
      <c r="AN92" s="23" t="n">
        <f aca="false">AN$21*(0-Planner!$C$43)</f>
        <v>-2.8035</v>
      </c>
      <c r="AO92" s="23" t="n">
        <f aca="false">AO$21*(0-Planner!$C$43)</f>
        <v>-0.889</v>
      </c>
      <c r="AP92" s="23" t="n">
        <f aca="false">AP$21*(0-Planner!$C$43)</f>
        <v>-1.54</v>
      </c>
      <c r="AQ92" s="23" t="n">
        <f aca="false">AQ$21*(0-Planner!$C$43)</f>
        <v>-2.03</v>
      </c>
      <c r="AR92" s="23" t="n">
        <f aca="false">AR$21*(0-Planner!$C$43)</f>
        <v>-3.0975</v>
      </c>
      <c r="AS92" s="23" t="n">
        <f aca="false">AS$21*(0-Planner!$C$43)</f>
        <v>-0.9415</v>
      </c>
      <c r="AT92" s="23" t="n">
        <f aca="false">AT$21*(0-Planner!$C$43)</f>
        <v>-4.3575</v>
      </c>
      <c r="AU92" s="23" t="n">
        <f aca="false">AU$21*(0-Planner!$C$43)</f>
        <v>-2.0965</v>
      </c>
      <c r="AV92" s="23" t="n">
        <f aca="false">AV$21*(0-Planner!$C$43)</f>
        <v>-0.875</v>
      </c>
      <c r="AW92" s="23" t="n">
        <f aca="false">AW$21*(0-Planner!$C$43)</f>
        <v>-0.7035</v>
      </c>
      <c r="AX92" s="23" t="n">
        <f aca="false">AX$21*(0-Planner!$C$43)</f>
        <v>-0.8925</v>
      </c>
      <c r="AY92" s="23" t="n">
        <f aca="false">AY$21*(0-Planner!$C$43)</f>
        <v>-0.091</v>
      </c>
      <c r="AZ92" s="23" t="n">
        <f aca="false">AZ$21*(0-Planner!$C$43)</f>
        <v>-0.3815</v>
      </c>
      <c r="BA92" s="23" t="n">
        <f aca="false">BA$21*(0-Planner!$C$43)</f>
        <v>-0.147</v>
      </c>
      <c r="BB92" s="23" t="n">
        <f aca="false">BB$21*(0-Planner!$C$43)</f>
        <v>-0.252</v>
      </c>
      <c r="BC92" s="23" t="n">
        <f aca="false">BC$21*(0-Planner!$C$43)</f>
        <v>-0.238</v>
      </c>
      <c r="BD92" s="23" t="n">
        <f aca="false">BD$21*(0-Planner!$C$43)</f>
        <v>-0.3185</v>
      </c>
      <c r="BE92" s="23" t="n">
        <f aca="false">BE$21*(0-Planner!$C$43)</f>
        <v>-1.0745</v>
      </c>
      <c r="BF92" s="23" t="n">
        <f aca="false">BF$21*(0-Planner!$C$43)</f>
        <v>-0.2345</v>
      </c>
      <c r="BG92" s="23" t="n">
        <f aca="false">BG$21*(0-Planner!$C$43)</f>
        <v>-1.085</v>
      </c>
      <c r="BH92" s="23" t="n">
        <f aca="false">BH$21*(0-Planner!$C$43)</f>
        <v>-0.3255</v>
      </c>
      <c r="BI92" s="23" t="n">
        <f aca="false">BI$21*(0-Planner!$C$43)</f>
        <v>-0.392</v>
      </c>
      <c r="BJ92" s="23" t="n">
        <f aca="false">BJ$21*(0-Planner!$C$43)</f>
        <v>-0.301</v>
      </c>
      <c r="BK92" s="23" t="n">
        <f aca="false">BK$21*(0-Planner!$C$43)</f>
        <v>-1.001</v>
      </c>
      <c r="BL92" s="23" t="n">
        <f aca="false">BL$21*(0-Planner!$C$43)</f>
        <v>-0.385</v>
      </c>
      <c r="BM92" s="23" t="n">
        <f aca="false">BM$21*(0-Planner!$C$43)</f>
        <v>-0.4305</v>
      </c>
      <c r="BN92" s="23" t="n">
        <f aca="false">BN$21*(0-Planner!$C$43)</f>
        <v>-1.001</v>
      </c>
      <c r="BO92" s="23" t="n">
        <f aca="false">BO$21*(0-Planner!$C$43)</f>
        <v>-0.308</v>
      </c>
      <c r="BP92" s="23" t="n">
        <f aca="false">BP$21*(0-Planner!$C$43)</f>
        <v>-0.2975</v>
      </c>
      <c r="BQ92" s="23" t="n">
        <f aca="false">BQ$21*(0-Planner!$C$43)</f>
        <v>-0</v>
      </c>
      <c r="BR92" s="23" t="n">
        <f aca="false">BR$21*(0-Planner!$C$43)</f>
        <v>-0</v>
      </c>
      <c r="BS92" s="23" t="n">
        <f aca="false">BS$21*(0-Planner!$C$43)</f>
        <v>-7.4025</v>
      </c>
      <c r="BT92" s="23" t="n">
        <f aca="false">BT$21*(0-Planner!$C$43)</f>
        <v>-0.686</v>
      </c>
      <c r="BU92" s="23" t="n">
        <f aca="false">BU$21*(0-Planner!$C$43)</f>
        <v>-1.785</v>
      </c>
      <c r="BV92" s="23" t="n">
        <f aca="false">BV$21*(0-Planner!$C$43)</f>
        <v>-1.9775</v>
      </c>
      <c r="BW92" s="23" t="n">
        <f aca="false">BW$21*(0-Planner!$C$43)</f>
        <v>-2.2365</v>
      </c>
      <c r="BX92" s="23" t="n">
        <f aca="false">BX$21*(0-Planner!$C$43)</f>
        <v>-1.225</v>
      </c>
    </row>
    <row r="93" customFormat="false" ht="15" hidden="false" customHeight="false" outlineLevel="0" collapsed="false">
      <c r="A93" s="4" t="s">
        <v>773</v>
      </c>
      <c r="B93" s="81" t="s">
        <v>767</v>
      </c>
      <c r="C93" s="84" t="n">
        <v>0</v>
      </c>
      <c r="D93" s="83" t="n">
        <v>-39.1999999928075</v>
      </c>
      <c r="E93" s="81" t="str">
        <f aca="false">IF(D93&lt;=C93+0.000001*MAX(1,ABS(C93)),IF(ABS(D93-C93)&lt;=0.000001*MAX(1,ABS(C93)),"tight","ok"),"VIOLATED")</f>
        <v>ok</v>
      </c>
      <c r="F93" s="23" t="n">
        <f aca="false">F$21*(0-Planner!$C$43)</f>
        <v>-10.857</v>
      </c>
      <c r="G93" s="23" t="n">
        <f aca="false">G$21*(0-Planner!$C$43)</f>
        <v>-8.1725</v>
      </c>
      <c r="H93" s="23" t="n">
        <f aca="false">H$21*(0-Planner!$C$43)</f>
        <v>-8.666</v>
      </c>
      <c r="I93" s="23" t="n">
        <f aca="false">I$21*(0-Planner!$C$43)</f>
        <v>-5.7155</v>
      </c>
      <c r="J93" s="23" t="n">
        <f aca="false">J$21*(0-Planner!$C$43)</f>
        <v>-9.485</v>
      </c>
      <c r="K93" s="23" t="n">
        <f aca="false">K$21*(0-Planner!$C$43)</f>
        <v>-11.872</v>
      </c>
      <c r="L93" s="23" t="n">
        <f aca="false">L$21*(1-Planner!$C$43)</f>
        <v>17.55</v>
      </c>
      <c r="M93" s="23" t="n">
        <f aca="false">M$21*(0-Planner!$C$43)</f>
        <v>-10.108</v>
      </c>
      <c r="N93" s="23" t="n">
        <f aca="false">N$21*(0-Planner!$C$43)</f>
        <v>-5.81</v>
      </c>
      <c r="O93" s="23" t="n">
        <f aca="false">O$21*(0-Planner!$C$43)</f>
        <v>-9.338</v>
      </c>
      <c r="P93" s="23" t="n">
        <f aca="false">P$21*(0-Planner!$C$43)</f>
        <v>-9.38</v>
      </c>
      <c r="Q93" s="23" t="n">
        <f aca="false">Q$21*(0-Planner!$C$43)</f>
        <v>-6.804</v>
      </c>
      <c r="R93" s="23" t="n">
        <f aca="false">R$21*(0-Planner!$C$43)</f>
        <v>-7.735</v>
      </c>
      <c r="S93" s="23" t="n">
        <f aca="false">S$21*(0-Planner!$C$43)</f>
        <v>-7.973</v>
      </c>
      <c r="T93" s="23" t="n">
        <f aca="false">T$21*(0-Planner!$C$43)</f>
        <v>-9.1525</v>
      </c>
      <c r="U93" s="23" t="n">
        <f aca="false">U$21*(0-Planner!$C$43)</f>
        <v>-4.396</v>
      </c>
      <c r="V93" s="23" t="n">
        <f aca="false">V$21*(0-Planner!$C$43)</f>
        <v>-2.1105</v>
      </c>
      <c r="W93" s="23" t="n">
        <f aca="false">W$21*(0-Planner!$C$43)</f>
        <v>-1.722</v>
      </c>
      <c r="X93" s="23" t="n">
        <f aca="false">X$21*(0-Planner!$C$43)</f>
        <v>-3.157</v>
      </c>
      <c r="Y93" s="23" t="n">
        <f aca="false">Y$21*(0-Planner!$C$43)</f>
        <v>-7.7735</v>
      </c>
      <c r="Z93" s="23" t="n">
        <f aca="false">Z$21*(0-Planner!$C$43)</f>
        <v>-3.1535</v>
      </c>
      <c r="AA93" s="23" t="n">
        <f aca="false">AA$21*(0-Planner!$C$43)</f>
        <v>-3.535</v>
      </c>
      <c r="AB93" s="23" t="n">
        <f aca="false">AB$21*(0-Planner!$C$43)</f>
        <v>-1.155</v>
      </c>
      <c r="AC93" s="23" t="n">
        <f aca="false">AC$21*(0-Planner!$C$43)</f>
        <v>-3.5665</v>
      </c>
      <c r="AD93" s="23" t="n">
        <f aca="false">AD$21*(0-Planner!$C$43)</f>
        <v>-0.91</v>
      </c>
      <c r="AE93" s="23" t="n">
        <f aca="false">AE$21*(0-Planner!$C$43)</f>
        <v>-1.1025</v>
      </c>
      <c r="AF93" s="23" t="n">
        <f aca="false">AF$21*(0-Planner!$C$43)</f>
        <v>-6.3455</v>
      </c>
      <c r="AG93" s="23" t="n">
        <f aca="false">AG$21*(0-Planner!$C$43)</f>
        <v>-8.0045</v>
      </c>
      <c r="AH93" s="23" t="n">
        <f aca="false">AH$21*(0-Planner!$C$43)</f>
        <v>-3.6575</v>
      </c>
      <c r="AI93" s="23" t="n">
        <f aca="false">AI$21*(0-Planner!$C$43)</f>
        <v>-8.3125</v>
      </c>
      <c r="AJ93" s="23" t="n">
        <f aca="false">AJ$21*(0-Planner!$C$43)</f>
        <v>-3.696</v>
      </c>
      <c r="AK93" s="23" t="n">
        <f aca="false">AK$21*(0-Planner!$C$43)</f>
        <v>-0.959</v>
      </c>
      <c r="AL93" s="23" t="n">
        <f aca="false">AL$21*(0-Planner!$C$43)</f>
        <v>-4.2315</v>
      </c>
      <c r="AM93" s="23" t="n">
        <f aca="false">AM$21*(0-Planner!$C$43)</f>
        <v>-1.995</v>
      </c>
      <c r="AN93" s="23" t="n">
        <f aca="false">AN$21*(0-Planner!$C$43)</f>
        <v>-2.8035</v>
      </c>
      <c r="AO93" s="23" t="n">
        <f aca="false">AO$21*(0-Planner!$C$43)</f>
        <v>-0.889</v>
      </c>
      <c r="AP93" s="23" t="n">
        <f aca="false">AP$21*(0-Planner!$C$43)</f>
        <v>-1.54</v>
      </c>
      <c r="AQ93" s="23" t="n">
        <f aca="false">AQ$21*(0-Planner!$C$43)</f>
        <v>-2.03</v>
      </c>
      <c r="AR93" s="23" t="n">
        <f aca="false">AR$21*(0-Planner!$C$43)</f>
        <v>-3.0975</v>
      </c>
      <c r="AS93" s="23" t="n">
        <f aca="false">AS$21*(0-Planner!$C$43)</f>
        <v>-0.9415</v>
      </c>
      <c r="AT93" s="23" t="n">
        <f aca="false">AT$21*(0-Planner!$C$43)</f>
        <v>-4.3575</v>
      </c>
      <c r="AU93" s="23" t="n">
        <f aca="false">AU$21*(0-Planner!$C$43)</f>
        <v>-2.0965</v>
      </c>
      <c r="AV93" s="23" t="n">
        <f aca="false">AV$21*(0-Planner!$C$43)</f>
        <v>-0.875</v>
      </c>
      <c r="AW93" s="23" t="n">
        <f aca="false">AW$21*(0-Planner!$C$43)</f>
        <v>-0.7035</v>
      </c>
      <c r="AX93" s="23" t="n">
        <f aca="false">AX$21*(0-Planner!$C$43)</f>
        <v>-0.8925</v>
      </c>
      <c r="AY93" s="23" t="n">
        <f aca="false">AY$21*(0-Planner!$C$43)</f>
        <v>-0.091</v>
      </c>
      <c r="AZ93" s="23" t="n">
        <f aca="false">AZ$21*(0-Planner!$C$43)</f>
        <v>-0.3815</v>
      </c>
      <c r="BA93" s="23" t="n">
        <f aca="false">BA$21*(0-Planner!$C$43)</f>
        <v>-0.147</v>
      </c>
      <c r="BB93" s="23" t="n">
        <f aca="false">BB$21*(0-Planner!$C$43)</f>
        <v>-0.252</v>
      </c>
      <c r="BC93" s="23" t="n">
        <f aca="false">BC$21*(0-Planner!$C$43)</f>
        <v>-0.238</v>
      </c>
      <c r="BD93" s="23" t="n">
        <f aca="false">BD$21*(0-Planner!$C$43)</f>
        <v>-0.3185</v>
      </c>
      <c r="BE93" s="23" t="n">
        <f aca="false">BE$21*(0-Planner!$C$43)</f>
        <v>-1.0745</v>
      </c>
      <c r="BF93" s="23" t="n">
        <f aca="false">BF$21*(0-Planner!$C$43)</f>
        <v>-0.2345</v>
      </c>
      <c r="BG93" s="23" t="n">
        <f aca="false">BG$21*(0-Planner!$C$43)</f>
        <v>-1.085</v>
      </c>
      <c r="BH93" s="23" t="n">
        <f aca="false">BH$21*(0-Planner!$C$43)</f>
        <v>-0.3255</v>
      </c>
      <c r="BI93" s="23" t="n">
        <f aca="false">BI$21*(0-Planner!$C$43)</f>
        <v>-0.392</v>
      </c>
      <c r="BJ93" s="23" t="n">
        <f aca="false">BJ$21*(0-Planner!$C$43)</f>
        <v>-0.301</v>
      </c>
      <c r="BK93" s="23" t="n">
        <f aca="false">BK$21*(0-Planner!$C$43)</f>
        <v>-1.001</v>
      </c>
      <c r="BL93" s="23" t="n">
        <f aca="false">BL$21*(0-Planner!$C$43)</f>
        <v>-0.385</v>
      </c>
      <c r="BM93" s="23" t="n">
        <f aca="false">BM$21*(0-Planner!$C$43)</f>
        <v>-0.4305</v>
      </c>
      <c r="BN93" s="23" t="n">
        <f aca="false">BN$21*(0-Planner!$C$43)</f>
        <v>-1.001</v>
      </c>
      <c r="BO93" s="23" t="n">
        <f aca="false">BO$21*(0-Planner!$C$43)</f>
        <v>-0.308</v>
      </c>
      <c r="BP93" s="23" t="n">
        <f aca="false">BP$21*(0-Planner!$C$43)</f>
        <v>-0.2975</v>
      </c>
      <c r="BQ93" s="23" t="n">
        <f aca="false">BQ$21*(0-Planner!$C$43)</f>
        <v>-0</v>
      </c>
      <c r="BR93" s="23" t="n">
        <f aca="false">BR$21*(0-Planner!$C$43)</f>
        <v>-0</v>
      </c>
      <c r="BS93" s="23" t="n">
        <f aca="false">BS$21*(0-Planner!$C$43)</f>
        <v>-7.4025</v>
      </c>
      <c r="BT93" s="23" t="n">
        <f aca="false">BT$21*(0-Planner!$C$43)</f>
        <v>-0.686</v>
      </c>
      <c r="BU93" s="23" t="n">
        <f aca="false">BU$21*(0-Planner!$C$43)</f>
        <v>-1.785</v>
      </c>
      <c r="BV93" s="23" t="n">
        <f aca="false">BV$21*(0-Planner!$C$43)</f>
        <v>-1.9775</v>
      </c>
      <c r="BW93" s="23" t="n">
        <f aca="false">BW$21*(0-Planner!$C$43)</f>
        <v>-2.2365</v>
      </c>
      <c r="BX93" s="23" t="n">
        <f aca="false">BX$21*(0-Planner!$C$43)</f>
        <v>-1.225</v>
      </c>
    </row>
    <row r="94" customFormat="false" ht="15" hidden="false" customHeight="false" outlineLevel="0" collapsed="false">
      <c r="A94" s="4" t="s">
        <v>774</v>
      </c>
      <c r="B94" s="81" t="s">
        <v>767</v>
      </c>
      <c r="C94" s="84" t="n">
        <v>0</v>
      </c>
      <c r="D94" s="83" t="n">
        <v>-39.1999999928075</v>
      </c>
      <c r="E94" s="81" t="str">
        <f aca="false">IF(D94&lt;=C94+0.000001*MAX(1,ABS(C94)),IF(ABS(D94-C94)&lt;=0.000001*MAX(1,ABS(C94)),"tight","ok"),"VIOLATED")</f>
        <v>ok</v>
      </c>
      <c r="F94" s="23" t="n">
        <f aca="false">F$21*(0-Planner!$C$43)</f>
        <v>-10.857</v>
      </c>
      <c r="G94" s="23" t="n">
        <f aca="false">G$21*(0-Planner!$C$43)</f>
        <v>-8.1725</v>
      </c>
      <c r="H94" s="23" t="n">
        <f aca="false">H$21*(0-Planner!$C$43)</f>
        <v>-8.666</v>
      </c>
      <c r="I94" s="23" t="n">
        <f aca="false">I$21*(0-Planner!$C$43)</f>
        <v>-5.7155</v>
      </c>
      <c r="J94" s="23" t="n">
        <f aca="false">J$21*(0-Planner!$C$43)</f>
        <v>-9.485</v>
      </c>
      <c r="K94" s="23" t="n">
        <f aca="false">K$21*(0-Planner!$C$43)</f>
        <v>-11.872</v>
      </c>
      <c r="L94" s="23" t="n">
        <f aca="false">L$21*(0-Planner!$C$43)</f>
        <v>-9.45</v>
      </c>
      <c r="M94" s="23" t="n">
        <f aca="false">M$21*(1-Planner!$C$43)</f>
        <v>18.772</v>
      </c>
      <c r="N94" s="23" t="n">
        <f aca="false">N$21*(0-Planner!$C$43)</f>
        <v>-5.81</v>
      </c>
      <c r="O94" s="23" t="n">
        <f aca="false">O$21*(0-Planner!$C$43)</f>
        <v>-9.338</v>
      </c>
      <c r="P94" s="23" t="n">
        <f aca="false">P$21*(0-Planner!$C$43)</f>
        <v>-9.38</v>
      </c>
      <c r="Q94" s="23" t="n">
        <f aca="false">Q$21*(0-Planner!$C$43)</f>
        <v>-6.804</v>
      </c>
      <c r="R94" s="23" t="n">
        <f aca="false">R$21*(0-Planner!$C$43)</f>
        <v>-7.735</v>
      </c>
      <c r="S94" s="23" t="n">
        <f aca="false">S$21*(0-Planner!$C$43)</f>
        <v>-7.973</v>
      </c>
      <c r="T94" s="23" t="n">
        <f aca="false">T$21*(0-Planner!$C$43)</f>
        <v>-9.1525</v>
      </c>
      <c r="U94" s="23" t="n">
        <f aca="false">U$21*(0-Planner!$C$43)</f>
        <v>-4.396</v>
      </c>
      <c r="V94" s="23" t="n">
        <f aca="false">V$21*(0-Planner!$C$43)</f>
        <v>-2.1105</v>
      </c>
      <c r="W94" s="23" t="n">
        <f aca="false">W$21*(0-Planner!$C$43)</f>
        <v>-1.722</v>
      </c>
      <c r="X94" s="23" t="n">
        <f aca="false">X$21*(0-Planner!$C$43)</f>
        <v>-3.157</v>
      </c>
      <c r="Y94" s="23" t="n">
        <f aca="false">Y$21*(0-Planner!$C$43)</f>
        <v>-7.7735</v>
      </c>
      <c r="Z94" s="23" t="n">
        <f aca="false">Z$21*(0-Planner!$C$43)</f>
        <v>-3.1535</v>
      </c>
      <c r="AA94" s="23" t="n">
        <f aca="false">AA$21*(0-Planner!$C$43)</f>
        <v>-3.535</v>
      </c>
      <c r="AB94" s="23" t="n">
        <f aca="false">AB$21*(0-Planner!$C$43)</f>
        <v>-1.155</v>
      </c>
      <c r="AC94" s="23" t="n">
        <f aca="false">AC$21*(0-Planner!$C$43)</f>
        <v>-3.5665</v>
      </c>
      <c r="AD94" s="23" t="n">
        <f aca="false">AD$21*(0-Planner!$C$43)</f>
        <v>-0.91</v>
      </c>
      <c r="AE94" s="23" t="n">
        <f aca="false">AE$21*(0-Planner!$C$43)</f>
        <v>-1.1025</v>
      </c>
      <c r="AF94" s="23" t="n">
        <f aca="false">AF$21*(0-Planner!$C$43)</f>
        <v>-6.3455</v>
      </c>
      <c r="AG94" s="23" t="n">
        <f aca="false">AG$21*(0-Planner!$C$43)</f>
        <v>-8.0045</v>
      </c>
      <c r="AH94" s="23" t="n">
        <f aca="false">AH$21*(0-Planner!$C$43)</f>
        <v>-3.6575</v>
      </c>
      <c r="AI94" s="23" t="n">
        <f aca="false">AI$21*(0-Planner!$C$43)</f>
        <v>-8.3125</v>
      </c>
      <c r="AJ94" s="23" t="n">
        <f aca="false">AJ$21*(0-Planner!$C$43)</f>
        <v>-3.696</v>
      </c>
      <c r="AK94" s="23" t="n">
        <f aca="false">AK$21*(0-Planner!$C$43)</f>
        <v>-0.959</v>
      </c>
      <c r="AL94" s="23" t="n">
        <f aca="false">AL$21*(0-Planner!$C$43)</f>
        <v>-4.2315</v>
      </c>
      <c r="AM94" s="23" t="n">
        <f aca="false">AM$21*(0-Planner!$C$43)</f>
        <v>-1.995</v>
      </c>
      <c r="AN94" s="23" t="n">
        <f aca="false">AN$21*(0-Planner!$C$43)</f>
        <v>-2.8035</v>
      </c>
      <c r="AO94" s="23" t="n">
        <f aca="false">AO$21*(0-Planner!$C$43)</f>
        <v>-0.889</v>
      </c>
      <c r="AP94" s="23" t="n">
        <f aca="false">AP$21*(0-Planner!$C$43)</f>
        <v>-1.54</v>
      </c>
      <c r="AQ94" s="23" t="n">
        <f aca="false">AQ$21*(0-Planner!$C$43)</f>
        <v>-2.03</v>
      </c>
      <c r="AR94" s="23" t="n">
        <f aca="false">AR$21*(0-Planner!$C$43)</f>
        <v>-3.0975</v>
      </c>
      <c r="AS94" s="23" t="n">
        <f aca="false">AS$21*(0-Planner!$C$43)</f>
        <v>-0.9415</v>
      </c>
      <c r="AT94" s="23" t="n">
        <f aca="false">AT$21*(0-Planner!$C$43)</f>
        <v>-4.3575</v>
      </c>
      <c r="AU94" s="23" t="n">
        <f aca="false">AU$21*(0-Planner!$C$43)</f>
        <v>-2.0965</v>
      </c>
      <c r="AV94" s="23" t="n">
        <f aca="false">AV$21*(0-Planner!$C$43)</f>
        <v>-0.875</v>
      </c>
      <c r="AW94" s="23" t="n">
        <f aca="false">AW$21*(0-Planner!$C$43)</f>
        <v>-0.7035</v>
      </c>
      <c r="AX94" s="23" t="n">
        <f aca="false">AX$21*(0-Planner!$C$43)</f>
        <v>-0.8925</v>
      </c>
      <c r="AY94" s="23" t="n">
        <f aca="false">AY$21*(0-Planner!$C$43)</f>
        <v>-0.091</v>
      </c>
      <c r="AZ94" s="23" t="n">
        <f aca="false">AZ$21*(0-Planner!$C$43)</f>
        <v>-0.3815</v>
      </c>
      <c r="BA94" s="23" t="n">
        <f aca="false">BA$21*(0-Planner!$C$43)</f>
        <v>-0.147</v>
      </c>
      <c r="BB94" s="23" t="n">
        <f aca="false">BB$21*(0-Planner!$C$43)</f>
        <v>-0.252</v>
      </c>
      <c r="BC94" s="23" t="n">
        <f aca="false">BC$21*(0-Planner!$C$43)</f>
        <v>-0.238</v>
      </c>
      <c r="BD94" s="23" t="n">
        <f aca="false">BD$21*(0-Planner!$C$43)</f>
        <v>-0.3185</v>
      </c>
      <c r="BE94" s="23" t="n">
        <f aca="false">BE$21*(0-Planner!$C$43)</f>
        <v>-1.0745</v>
      </c>
      <c r="BF94" s="23" t="n">
        <f aca="false">BF$21*(0-Planner!$C$43)</f>
        <v>-0.2345</v>
      </c>
      <c r="BG94" s="23" t="n">
        <f aca="false">BG$21*(0-Planner!$C$43)</f>
        <v>-1.085</v>
      </c>
      <c r="BH94" s="23" t="n">
        <f aca="false">BH$21*(0-Planner!$C$43)</f>
        <v>-0.3255</v>
      </c>
      <c r="BI94" s="23" t="n">
        <f aca="false">BI$21*(0-Planner!$C$43)</f>
        <v>-0.392</v>
      </c>
      <c r="BJ94" s="23" t="n">
        <f aca="false">BJ$21*(0-Planner!$C$43)</f>
        <v>-0.301</v>
      </c>
      <c r="BK94" s="23" t="n">
        <f aca="false">BK$21*(0-Planner!$C$43)</f>
        <v>-1.001</v>
      </c>
      <c r="BL94" s="23" t="n">
        <f aca="false">BL$21*(0-Planner!$C$43)</f>
        <v>-0.385</v>
      </c>
      <c r="BM94" s="23" t="n">
        <f aca="false">BM$21*(0-Planner!$C$43)</f>
        <v>-0.4305</v>
      </c>
      <c r="BN94" s="23" t="n">
        <f aca="false">BN$21*(0-Planner!$C$43)</f>
        <v>-1.001</v>
      </c>
      <c r="BO94" s="23" t="n">
        <f aca="false">BO$21*(0-Planner!$C$43)</f>
        <v>-0.308</v>
      </c>
      <c r="BP94" s="23" t="n">
        <f aca="false">BP$21*(0-Planner!$C$43)</f>
        <v>-0.2975</v>
      </c>
      <c r="BQ94" s="23" t="n">
        <f aca="false">BQ$21*(0-Planner!$C$43)</f>
        <v>-0</v>
      </c>
      <c r="BR94" s="23" t="n">
        <f aca="false">BR$21*(0-Planner!$C$43)</f>
        <v>-0</v>
      </c>
      <c r="BS94" s="23" t="n">
        <f aca="false">BS$21*(0-Planner!$C$43)</f>
        <v>-7.4025</v>
      </c>
      <c r="BT94" s="23" t="n">
        <f aca="false">BT$21*(0-Planner!$C$43)</f>
        <v>-0.686</v>
      </c>
      <c r="BU94" s="23" t="n">
        <f aca="false">BU$21*(0-Planner!$C$43)</f>
        <v>-1.785</v>
      </c>
      <c r="BV94" s="23" t="n">
        <f aca="false">BV$21*(0-Planner!$C$43)</f>
        <v>-1.9775</v>
      </c>
      <c r="BW94" s="23" t="n">
        <f aca="false">BW$21*(0-Planner!$C$43)</f>
        <v>-2.2365</v>
      </c>
      <c r="BX94" s="23" t="n">
        <f aca="false">BX$21*(0-Planner!$C$43)</f>
        <v>-1.225</v>
      </c>
    </row>
    <row r="95" customFormat="false" ht="15" hidden="false" customHeight="false" outlineLevel="0" collapsed="false">
      <c r="A95" s="4" t="s">
        <v>775</v>
      </c>
      <c r="B95" s="81" t="s">
        <v>767</v>
      </c>
      <c r="C95" s="84" t="n">
        <v>0</v>
      </c>
      <c r="D95" s="83" t="n">
        <v>-39.1999999928075</v>
      </c>
      <c r="E95" s="81" t="str">
        <f aca="false">IF(D95&lt;=C95+0.000001*MAX(1,ABS(C95)),IF(ABS(D95-C95)&lt;=0.000001*MAX(1,ABS(C95)),"tight","ok"),"VIOLATED")</f>
        <v>ok</v>
      </c>
      <c r="F95" s="23" t="n">
        <f aca="false">F$21*(0-Planner!$C$43)</f>
        <v>-10.857</v>
      </c>
      <c r="G95" s="23" t="n">
        <f aca="false">G$21*(0-Planner!$C$43)</f>
        <v>-8.1725</v>
      </c>
      <c r="H95" s="23" t="n">
        <f aca="false">H$21*(0-Planner!$C$43)</f>
        <v>-8.666</v>
      </c>
      <c r="I95" s="23" t="n">
        <f aca="false">I$21*(0-Planner!$C$43)</f>
        <v>-5.7155</v>
      </c>
      <c r="J95" s="23" t="n">
        <f aca="false">J$21*(0-Planner!$C$43)</f>
        <v>-9.485</v>
      </c>
      <c r="K95" s="23" t="n">
        <f aca="false">K$21*(0-Planner!$C$43)</f>
        <v>-11.872</v>
      </c>
      <c r="L95" s="23" t="n">
        <f aca="false">L$21*(0-Planner!$C$43)</f>
        <v>-9.45</v>
      </c>
      <c r="M95" s="23" t="n">
        <f aca="false">M$21*(0-Planner!$C$43)</f>
        <v>-10.108</v>
      </c>
      <c r="N95" s="23" t="n">
        <f aca="false">N$21*(1-Planner!$C$43)</f>
        <v>10.79</v>
      </c>
      <c r="O95" s="23" t="n">
        <f aca="false">O$21*(0-Planner!$C$43)</f>
        <v>-9.338</v>
      </c>
      <c r="P95" s="23" t="n">
        <f aca="false">P$21*(0-Planner!$C$43)</f>
        <v>-9.38</v>
      </c>
      <c r="Q95" s="23" t="n">
        <f aca="false">Q$21*(0-Planner!$C$43)</f>
        <v>-6.804</v>
      </c>
      <c r="R95" s="23" t="n">
        <f aca="false">R$21*(0-Planner!$C$43)</f>
        <v>-7.735</v>
      </c>
      <c r="S95" s="23" t="n">
        <f aca="false">S$21*(0-Planner!$C$43)</f>
        <v>-7.973</v>
      </c>
      <c r="T95" s="23" t="n">
        <f aca="false">T$21*(0-Planner!$C$43)</f>
        <v>-9.1525</v>
      </c>
      <c r="U95" s="23" t="n">
        <f aca="false">U$21*(0-Planner!$C$43)</f>
        <v>-4.396</v>
      </c>
      <c r="V95" s="23" t="n">
        <f aca="false">V$21*(0-Planner!$C$43)</f>
        <v>-2.1105</v>
      </c>
      <c r="W95" s="23" t="n">
        <f aca="false">W$21*(0-Planner!$C$43)</f>
        <v>-1.722</v>
      </c>
      <c r="X95" s="23" t="n">
        <f aca="false">X$21*(0-Planner!$C$43)</f>
        <v>-3.157</v>
      </c>
      <c r="Y95" s="23" t="n">
        <f aca="false">Y$21*(0-Planner!$C$43)</f>
        <v>-7.7735</v>
      </c>
      <c r="Z95" s="23" t="n">
        <f aca="false">Z$21*(0-Planner!$C$43)</f>
        <v>-3.1535</v>
      </c>
      <c r="AA95" s="23" t="n">
        <f aca="false">AA$21*(0-Planner!$C$43)</f>
        <v>-3.535</v>
      </c>
      <c r="AB95" s="23" t="n">
        <f aca="false">AB$21*(0-Planner!$C$43)</f>
        <v>-1.155</v>
      </c>
      <c r="AC95" s="23" t="n">
        <f aca="false">AC$21*(0-Planner!$C$43)</f>
        <v>-3.5665</v>
      </c>
      <c r="AD95" s="23" t="n">
        <f aca="false">AD$21*(0-Planner!$C$43)</f>
        <v>-0.91</v>
      </c>
      <c r="AE95" s="23" t="n">
        <f aca="false">AE$21*(0-Planner!$C$43)</f>
        <v>-1.1025</v>
      </c>
      <c r="AF95" s="23" t="n">
        <f aca="false">AF$21*(0-Planner!$C$43)</f>
        <v>-6.3455</v>
      </c>
      <c r="AG95" s="23" t="n">
        <f aca="false">AG$21*(0-Planner!$C$43)</f>
        <v>-8.0045</v>
      </c>
      <c r="AH95" s="23" t="n">
        <f aca="false">AH$21*(0-Planner!$C$43)</f>
        <v>-3.6575</v>
      </c>
      <c r="AI95" s="23" t="n">
        <f aca="false">AI$21*(0-Planner!$C$43)</f>
        <v>-8.3125</v>
      </c>
      <c r="AJ95" s="23" t="n">
        <f aca="false">AJ$21*(0-Planner!$C$43)</f>
        <v>-3.696</v>
      </c>
      <c r="AK95" s="23" t="n">
        <f aca="false">AK$21*(0-Planner!$C$43)</f>
        <v>-0.959</v>
      </c>
      <c r="AL95" s="23" t="n">
        <f aca="false">AL$21*(0-Planner!$C$43)</f>
        <v>-4.2315</v>
      </c>
      <c r="AM95" s="23" t="n">
        <f aca="false">AM$21*(0-Planner!$C$43)</f>
        <v>-1.995</v>
      </c>
      <c r="AN95" s="23" t="n">
        <f aca="false">AN$21*(0-Planner!$C$43)</f>
        <v>-2.8035</v>
      </c>
      <c r="AO95" s="23" t="n">
        <f aca="false">AO$21*(0-Planner!$C$43)</f>
        <v>-0.889</v>
      </c>
      <c r="AP95" s="23" t="n">
        <f aca="false">AP$21*(0-Planner!$C$43)</f>
        <v>-1.54</v>
      </c>
      <c r="AQ95" s="23" t="n">
        <f aca="false">AQ$21*(0-Planner!$C$43)</f>
        <v>-2.03</v>
      </c>
      <c r="AR95" s="23" t="n">
        <f aca="false">AR$21*(0-Planner!$C$43)</f>
        <v>-3.0975</v>
      </c>
      <c r="AS95" s="23" t="n">
        <f aca="false">AS$21*(0-Planner!$C$43)</f>
        <v>-0.9415</v>
      </c>
      <c r="AT95" s="23" t="n">
        <f aca="false">AT$21*(0-Planner!$C$43)</f>
        <v>-4.3575</v>
      </c>
      <c r="AU95" s="23" t="n">
        <f aca="false">AU$21*(0-Planner!$C$43)</f>
        <v>-2.0965</v>
      </c>
      <c r="AV95" s="23" t="n">
        <f aca="false">AV$21*(0-Planner!$C$43)</f>
        <v>-0.875</v>
      </c>
      <c r="AW95" s="23" t="n">
        <f aca="false">AW$21*(0-Planner!$C$43)</f>
        <v>-0.7035</v>
      </c>
      <c r="AX95" s="23" t="n">
        <f aca="false">AX$21*(0-Planner!$C$43)</f>
        <v>-0.8925</v>
      </c>
      <c r="AY95" s="23" t="n">
        <f aca="false">AY$21*(0-Planner!$C$43)</f>
        <v>-0.091</v>
      </c>
      <c r="AZ95" s="23" t="n">
        <f aca="false">AZ$21*(0-Planner!$C$43)</f>
        <v>-0.3815</v>
      </c>
      <c r="BA95" s="23" t="n">
        <f aca="false">BA$21*(0-Planner!$C$43)</f>
        <v>-0.147</v>
      </c>
      <c r="BB95" s="23" t="n">
        <f aca="false">BB$21*(0-Planner!$C$43)</f>
        <v>-0.252</v>
      </c>
      <c r="BC95" s="23" t="n">
        <f aca="false">BC$21*(0-Planner!$C$43)</f>
        <v>-0.238</v>
      </c>
      <c r="BD95" s="23" t="n">
        <f aca="false">BD$21*(0-Planner!$C$43)</f>
        <v>-0.3185</v>
      </c>
      <c r="BE95" s="23" t="n">
        <f aca="false">BE$21*(0-Planner!$C$43)</f>
        <v>-1.0745</v>
      </c>
      <c r="BF95" s="23" t="n">
        <f aca="false">BF$21*(0-Planner!$C$43)</f>
        <v>-0.2345</v>
      </c>
      <c r="BG95" s="23" t="n">
        <f aca="false">BG$21*(0-Planner!$C$43)</f>
        <v>-1.085</v>
      </c>
      <c r="BH95" s="23" t="n">
        <f aca="false">BH$21*(0-Planner!$C$43)</f>
        <v>-0.3255</v>
      </c>
      <c r="BI95" s="23" t="n">
        <f aca="false">BI$21*(0-Planner!$C$43)</f>
        <v>-0.392</v>
      </c>
      <c r="BJ95" s="23" t="n">
        <f aca="false">BJ$21*(0-Planner!$C$43)</f>
        <v>-0.301</v>
      </c>
      <c r="BK95" s="23" t="n">
        <f aca="false">BK$21*(0-Planner!$C$43)</f>
        <v>-1.001</v>
      </c>
      <c r="BL95" s="23" t="n">
        <f aca="false">BL$21*(0-Planner!$C$43)</f>
        <v>-0.385</v>
      </c>
      <c r="BM95" s="23" t="n">
        <f aca="false">BM$21*(0-Planner!$C$43)</f>
        <v>-0.4305</v>
      </c>
      <c r="BN95" s="23" t="n">
        <f aca="false">BN$21*(0-Planner!$C$43)</f>
        <v>-1.001</v>
      </c>
      <c r="BO95" s="23" t="n">
        <f aca="false">BO$21*(0-Planner!$C$43)</f>
        <v>-0.308</v>
      </c>
      <c r="BP95" s="23" t="n">
        <f aca="false">BP$21*(0-Planner!$C$43)</f>
        <v>-0.2975</v>
      </c>
      <c r="BQ95" s="23" t="n">
        <f aca="false">BQ$21*(0-Planner!$C$43)</f>
        <v>-0</v>
      </c>
      <c r="BR95" s="23" t="n">
        <f aca="false">BR$21*(0-Planner!$C$43)</f>
        <v>-0</v>
      </c>
      <c r="BS95" s="23" t="n">
        <f aca="false">BS$21*(0-Planner!$C$43)</f>
        <v>-7.4025</v>
      </c>
      <c r="BT95" s="23" t="n">
        <f aca="false">BT$21*(0-Planner!$C$43)</f>
        <v>-0.686</v>
      </c>
      <c r="BU95" s="23" t="n">
        <f aca="false">BU$21*(0-Planner!$C$43)</f>
        <v>-1.785</v>
      </c>
      <c r="BV95" s="23" t="n">
        <f aca="false">BV$21*(0-Planner!$C$43)</f>
        <v>-1.9775</v>
      </c>
      <c r="BW95" s="23" t="n">
        <f aca="false">BW$21*(0-Planner!$C$43)</f>
        <v>-2.2365</v>
      </c>
      <c r="BX95" s="23" t="n">
        <f aca="false">BX$21*(0-Planner!$C$43)</f>
        <v>-1.225</v>
      </c>
    </row>
    <row r="96" customFormat="false" ht="15" hidden="false" customHeight="false" outlineLevel="0" collapsed="false">
      <c r="A96" s="4" t="s">
        <v>776</v>
      </c>
      <c r="B96" s="81" t="s">
        <v>767</v>
      </c>
      <c r="C96" s="84" t="n">
        <v>0</v>
      </c>
      <c r="D96" s="83" t="n">
        <v>-39.1999999928075</v>
      </c>
      <c r="E96" s="81" t="str">
        <f aca="false">IF(D96&lt;=C96+0.000001*MAX(1,ABS(C96)),IF(ABS(D96-C96)&lt;=0.000001*MAX(1,ABS(C96)),"tight","ok"),"VIOLATED")</f>
        <v>ok</v>
      </c>
      <c r="F96" s="23" t="n">
        <f aca="false">F$21*(0-Planner!$C$43)</f>
        <v>-10.857</v>
      </c>
      <c r="G96" s="23" t="n">
        <f aca="false">G$21*(0-Planner!$C$43)</f>
        <v>-8.1725</v>
      </c>
      <c r="H96" s="23" t="n">
        <f aca="false">H$21*(0-Planner!$C$43)</f>
        <v>-8.666</v>
      </c>
      <c r="I96" s="23" t="n">
        <f aca="false">I$21*(0-Planner!$C$43)</f>
        <v>-5.7155</v>
      </c>
      <c r="J96" s="23" t="n">
        <f aca="false">J$21*(0-Planner!$C$43)</f>
        <v>-9.485</v>
      </c>
      <c r="K96" s="23" t="n">
        <f aca="false">K$21*(0-Planner!$C$43)</f>
        <v>-11.872</v>
      </c>
      <c r="L96" s="23" t="n">
        <f aca="false">L$21*(0-Planner!$C$43)</f>
        <v>-9.45</v>
      </c>
      <c r="M96" s="23" t="n">
        <f aca="false">M$21*(0-Planner!$C$43)</f>
        <v>-10.108</v>
      </c>
      <c r="N96" s="23" t="n">
        <f aca="false">N$21*(0-Planner!$C$43)</f>
        <v>-5.81</v>
      </c>
      <c r="O96" s="23" t="n">
        <f aca="false">O$21*(1-Planner!$C$43)</f>
        <v>17.342</v>
      </c>
      <c r="P96" s="23" t="n">
        <f aca="false">P$21*(0-Planner!$C$43)</f>
        <v>-9.38</v>
      </c>
      <c r="Q96" s="23" t="n">
        <f aca="false">Q$21*(0-Planner!$C$43)</f>
        <v>-6.804</v>
      </c>
      <c r="R96" s="23" t="n">
        <f aca="false">R$21*(0-Planner!$C$43)</f>
        <v>-7.735</v>
      </c>
      <c r="S96" s="23" t="n">
        <f aca="false">S$21*(0-Planner!$C$43)</f>
        <v>-7.973</v>
      </c>
      <c r="T96" s="23" t="n">
        <f aca="false">T$21*(0-Planner!$C$43)</f>
        <v>-9.1525</v>
      </c>
      <c r="U96" s="23" t="n">
        <f aca="false">U$21*(0-Planner!$C$43)</f>
        <v>-4.396</v>
      </c>
      <c r="V96" s="23" t="n">
        <f aca="false">V$21*(0-Planner!$C$43)</f>
        <v>-2.1105</v>
      </c>
      <c r="W96" s="23" t="n">
        <f aca="false">W$21*(0-Planner!$C$43)</f>
        <v>-1.722</v>
      </c>
      <c r="X96" s="23" t="n">
        <f aca="false">X$21*(0-Planner!$C$43)</f>
        <v>-3.157</v>
      </c>
      <c r="Y96" s="23" t="n">
        <f aca="false">Y$21*(0-Planner!$C$43)</f>
        <v>-7.7735</v>
      </c>
      <c r="Z96" s="23" t="n">
        <f aca="false">Z$21*(0-Planner!$C$43)</f>
        <v>-3.1535</v>
      </c>
      <c r="AA96" s="23" t="n">
        <f aca="false">AA$21*(0-Planner!$C$43)</f>
        <v>-3.535</v>
      </c>
      <c r="AB96" s="23" t="n">
        <f aca="false">AB$21*(0-Planner!$C$43)</f>
        <v>-1.155</v>
      </c>
      <c r="AC96" s="23" t="n">
        <f aca="false">AC$21*(0-Planner!$C$43)</f>
        <v>-3.5665</v>
      </c>
      <c r="AD96" s="23" t="n">
        <f aca="false">AD$21*(0-Planner!$C$43)</f>
        <v>-0.91</v>
      </c>
      <c r="AE96" s="23" t="n">
        <f aca="false">AE$21*(0-Planner!$C$43)</f>
        <v>-1.1025</v>
      </c>
      <c r="AF96" s="23" t="n">
        <f aca="false">AF$21*(0-Planner!$C$43)</f>
        <v>-6.3455</v>
      </c>
      <c r="AG96" s="23" t="n">
        <f aca="false">AG$21*(0-Planner!$C$43)</f>
        <v>-8.0045</v>
      </c>
      <c r="AH96" s="23" t="n">
        <f aca="false">AH$21*(0-Planner!$C$43)</f>
        <v>-3.6575</v>
      </c>
      <c r="AI96" s="23" t="n">
        <f aca="false">AI$21*(0-Planner!$C$43)</f>
        <v>-8.3125</v>
      </c>
      <c r="AJ96" s="23" t="n">
        <f aca="false">AJ$21*(0-Planner!$C$43)</f>
        <v>-3.696</v>
      </c>
      <c r="AK96" s="23" t="n">
        <f aca="false">AK$21*(0-Planner!$C$43)</f>
        <v>-0.959</v>
      </c>
      <c r="AL96" s="23" t="n">
        <f aca="false">AL$21*(0-Planner!$C$43)</f>
        <v>-4.2315</v>
      </c>
      <c r="AM96" s="23" t="n">
        <f aca="false">AM$21*(0-Planner!$C$43)</f>
        <v>-1.995</v>
      </c>
      <c r="AN96" s="23" t="n">
        <f aca="false">AN$21*(0-Planner!$C$43)</f>
        <v>-2.8035</v>
      </c>
      <c r="AO96" s="23" t="n">
        <f aca="false">AO$21*(0-Planner!$C$43)</f>
        <v>-0.889</v>
      </c>
      <c r="AP96" s="23" t="n">
        <f aca="false">AP$21*(0-Planner!$C$43)</f>
        <v>-1.54</v>
      </c>
      <c r="AQ96" s="23" t="n">
        <f aca="false">AQ$21*(0-Planner!$C$43)</f>
        <v>-2.03</v>
      </c>
      <c r="AR96" s="23" t="n">
        <f aca="false">AR$21*(0-Planner!$C$43)</f>
        <v>-3.0975</v>
      </c>
      <c r="AS96" s="23" t="n">
        <f aca="false">AS$21*(0-Planner!$C$43)</f>
        <v>-0.9415</v>
      </c>
      <c r="AT96" s="23" t="n">
        <f aca="false">AT$21*(0-Planner!$C$43)</f>
        <v>-4.3575</v>
      </c>
      <c r="AU96" s="23" t="n">
        <f aca="false">AU$21*(0-Planner!$C$43)</f>
        <v>-2.0965</v>
      </c>
      <c r="AV96" s="23" t="n">
        <f aca="false">AV$21*(0-Planner!$C$43)</f>
        <v>-0.875</v>
      </c>
      <c r="AW96" s="23" t="n">
        <f aca="false">AW$21*(0-Planner!$C$43)</f>
        <v>-0.7035</v>
      </c>
      <c r="AX96" s="23" t="n">
        <f aca="false">AX$21*(0-Planner!$C$43)</f>
        <v>-0.8925</v>
      </c>
      <c r="AY96" s="23" t="n">
        <f aca="false">AY$21*(0-Planner!$C$43)</f>
        <v>-0.091</v>
      </c>
      <c r="AZ96" s="23" t="n">
        <f aca="false">AZ$21*(0-Planner!$C$43)</f>
        <v>-0.3815</v>
      </c>
      <c r="BA96" s="23" t="n">
        <f aca="false">BA$21*(0-Planner!$C$43)</f>
        <v>-0.147</v>
      </c>
      <c r="BB96" s="23" t="n">
        <f aca="false">BB$21*(0-Planner!$C$43)</f>
        <v>-0.252</v>
      </c>
      <c r="BC96" s="23" t="n">
        <f aca="false">BC$21*(0-Planner!$C$43)</f>
        <v>-0.238</v>
      </c>
      <c r="BD96" s="23" t="n">
        <f aca="false">BD$21*(0-Planner!$C$43)</f>
        <v>-0.3185</v>
      </c>
      <c r="BE96" s="23" t="n">
        <f aca="false">BE$21*(0-Planner!$C$43)</f>
        <v>-1.0745</v>
      </c>
      <c r="BF96" s="23" t="n">
        <f aca="false">BF$21*(0-Planner!$C$43)</f>
        <v>-0.2345</v>
      </c>
      <c r="BG96" s="23" t="n">
        <f aca="false">BG$21*(0-Planner!$C$43)</f>
        <v>-1.085</v>
      </c>
      <c r="BH96" s="23" t="n">
        <f aca="false">BH$21*(0-Planner!$C$43)</f>
        <v>-0.3255</v>
      </c>
      <c r="BI96" s="23" t="n">
        <f aca="false">BI$21*(0-Planner!$C$43)</f>
        <v>-0.392</v>
      </c>
      <c r="BJ96" s="23" t="n">
        <f aca="false">BJ$21*(0-Planner!$C$43)</f>
        <v>-0.301</v>
      </c>
      <c r="BK96" s="23" t="n">
        <f aca="false">BK$21*(0-Planner!$C$43)</f>
        <v>-1.001</v>
      </c>
      <c r="BL96" s="23" t="n">
        <f aca="false">BL$21*(0-Planner!$C$43)</f>
        <v>-0.385</v>
      </c>
      <c r="BM96" s="23" t="n">
        <f aca="false">BM$21*(0-Planner!$C$43)</f>
        <v>-0.4305</v>
      </c>
      <c r="BN96" s="23" t="n">
        <f aca="false">BN$21*(0-Planner!$C$43)</f>
        <v>-1.001</v>
      </c>
      <c r="BO96" s="23" t="n">
        <f aca="false">BO$21*(0-Planner!$C$43)</f>
        <v>-0.308</v>
      </c>
      <c r="BP96" s="23" t="n">
        <f aca="false">BP$21*(0-Planner!$C$43)</f>
        <v>-0.2975</v>
      </c>
      <c r="BQ96" s="23" t="n">
        <f aca="false">BQ$21*(0-Planner!$C$43)</f>
        <v>-0</v>
      </c>
      <c r="BR96" s="23" t="n">
        <f aca="false">BR$21*(0-Planner!$C$43)</f>
        <v>-0</v>
      </c>
      <c r="BS96" s="23" t="n">
        <f aca="false">BS$21*(0-Planner!$C$43)</f>
        <v>-7.4025</v>
      </c>
      <c r="BT96" s="23" t="n">
        <f aca="false">BT$21*(0-Planner!$C$43)</f>
        <v>-0.686</v>
      </c>
      <c r="BU96" s="23" t="n">
        <f aca="false">BU$21*(0-Planner!$C$43)</f>
        <v>-1.785</v>
      </c>
      <c r="BV96" s="23" t="n">
        <f aca="false">BV$21*(0-Planner!$C$43)</f>
        <v>-1.9775</v>
      </c>
      <c r="BW96" s="23" t="n">
        <f aca="false">BW$21*(0-Planner!$C$43)</f>
        <v>-2.2365</v>
      </c>
      <c r="BX96" s="23" t="n">
        <f aca="false">BX$21*(0-Planner!$C$43)</f>
        <v>-1.225</v>
      </c>
    </row>
    <row r="97" customFormat="false" ht="15" hidden="false" customHeight="false" outlineLevel="0" collapsed="false">
      <c r="A97" s="4" t="s">
        <v>777</v>
      </c>
      <c r="B97" s="81" t="s">
        <v>767</v>
      </c>
      <c r="C97" s="84" t="n">
        <v>0</v>
      </c>
      <c r="D97" s="83" t="n">
        <v>-39.1999999928075</v>
      </c>
      <c r="E97" s="81" t="str">
        <f aca="false">IF(D97&lt;=C97+0.000001*MAX(1,ABS(C97)),IF(ABS(D97-C97)&lt;=0.000001*MAX(1,ABS(C97)),"tight","ok"),"VIOLATED")</f>
        <v>ok</v>
      </c>
      <c r="F97" s="23" t="n">
        <f aca="false">F$21*(0-Planner!$C$43)</f>
        <v>-10.857</v>
      </c>
      <c r="G97" s="23" t="n">
        <f aca="false">G$21*(0-Planner!$C$43)</f>
        <v>-8.1725</v>
      </c>
      <c r="H97" s="23" t="n">
        <f aca="false">H$21*(0-Planner!$C$43)</f>
        <v>-8.666</v>
      </c>
      <c r="I97" s="23" t="n">
        <f aca="false">I$21*(0-Planner!$C$43)</f>
        <v>-5.7155</v>
      </c>
      <c r="J97" s="23" t="n">
        <f aca="false">J$21*(0-Planner!$C$43)</f>
        <v>-9.485</v>
      </c>
      <c r="K97" s="23" t="n">
        <f aca="false">K$21*(0-Planner!$C$43)</f>
        <v>-11.872</v>
      </c>
      <c r="L97" s="23" t="n">
        <f aca="false">L$21*(0-Planner!$C$43)</f>
        <v>-9.45</v>
      </c>
      <c r="M97" s="23" t="n">
        <f aca="false">M$21*(0-Planner!$C$43)</f>
        <v>-10.108</v>
      </c>
      <c r="N97" s="23" t="n">
        <f aca="false">N$21*(0-Planner!$C$43)</f>
        <v>-5.81</v>
      </c>
      <c r="O97" s="23" t="n">
        <f aca="false">O$21*(0-Planner!$C$43)</f>
        <v>-9.338</v>
      </c>
      <c r="P97" s="23" t="n">
        <f aca="false">P$21*(1-Planner!$C$43)</f>
        <v>17.42</v>
      </c>
      <c r="Q97" s="23" t="n">
        <f aca="false">Q$21*(0-Planner!$C$43)</f>
        <v>-6.804</v>
      </c>
      <c r="R97" s="23" t="n">
        <f aca="false">R$21*(0-Planner!$C$43)</f>
        <v>-7.735</v>
      </c>
      <c r="S97" s="23" t="n">
        <f aca="false">S$21*(0-Planner!$C$43)</f>
        <v>-7.973</v>
      </c>
      <c r="T97" s="23" t="n">
        <f aca="false">T$21*(0-Planner!$C$43)</f>
        <v>-9.1525</v>
      </c>
      <c r="U97" s="23" t="n">
        <f aca="false">U$21*(0-Planner!$C$43)</f>
        <v>-4.396</v>
      </c>
      <c r="V97" s="23" t="n">
        <f aca="false">V$21*(0-Planner!$C$43)</f>
        <v>-2.1105</v>
      </c>
      <c r="W97" s="23" t="n">
        <f aca="false">W$21*(0-Planner!$C$43)</f>
        <v>-1.722</v>
      </c>
      <c r="X97" s="23" t="n">
        <f aca="false">X$21*(0-Planner!$C$43)</f>
        <v>-3.157</v>
      </c>
      <c r="Y97" s="23" t="n">
        <f aca="false">Y$21*(0-Planner!$C$43)</f>
        <v>-7.7735</v>
      </c>
      <c r="Z97" s="23" t="n">
        <f aca="false">Z$21*(0-Planner!$C$43)</f>
        <v>-3.1535</v>
      </c>
      <c r="AA97" s="23" t="n">
        <f aca="false">AA$21*(0-Planner!$C$43)</f>
        <v>-3.535</v>
      </c>
      <c r="AB97" s="23" t="n">
        <f aca="false">AB$21*(0-Planner!$C$43)</f>
        <v>-1.155</v>
      </c>
      <c r="AC97" s="23" t="n">
        <f aca="false">AC$21*(0-Planner!$C$43)</f>
        <v>-3.5665</v>
      </c>
      <c r="AD97" s="23" t="n">
        <f aca="false">AD$21*(0-Planner!$C$43)</f>
        <v>-0.91</v>
      </c>
      <c r="AE97" s="23" t="n">
        <f aca="false">AE$21*(0-Planner!$C$43)</f>
        <v>-1.1025</v>
      </c>
      <c r="AF97" s="23" t="n">
        <f aca="false">AF$21*(0-Planner!$C$43)</f>
        <v>-6.3455</v>
      </c>
      <c r="AG97" s="23" t="n">
        <f aca="false">AG$21*(0-Planner!$C$43)</f>
        <v>-8.0045</v>
      </c>
      <c r="AH97" s="23" t="n">
        <f aca="false">AH$21*(0-Planner!$C$43)</f>
        <v>-3.6575</v>
      </c>
      <c r="AI97" s="23" t="n">
        <f aca="false">AI$21*(0-Planner!$C$43)</f>
        <v>-8.3125</v>
      </c>
      <c r="AJ97" s="23" t="n">
        <f aca="false">AJ$21*(0-Planner!$C$43)</f>
        <v>-3.696</v>
      </c>
      <c r="AK97" s="23" t="n">
        <f aca="false">AK$21*(0-Planner!$C$43)</f>
        <v>-0.959</v>
      </c>
      <c r="AL97" s="23" t="n">
        <f aca="false">AL$21*(0-Planner!$C$43)</f>
        <v>-4.2315</v>
      </c>
      <c r="AM97" s="23" t="n">
        <f aca="false">AM$21*(0-Planner!$C$43)</f>
        <v>-1.995</v>
      </c>
      <c r="AN97" s="23" t="n">
        <f aca="false">AN$21*(0-Planner!$C$43)</f>
        <v>-2.8035</v>
      </c>
      <c r="AO97" s="23" t="n">
        <f aca="false">AO$21*(0-Planner!$C$43)</f>
        <v>-0.889</v>
      </c>
      <c r="AP97" s="23" t="n">
        <f aca="false">AP$21*(0-Planner!$C$43)</f>
        <v>-1.54</v>
      </c>
      <c r="AQ97" s="23" t="n">
        <f aca="false">AQ$21*(0-Planner!$C$43)</f>
        <v>-2.03</v>
      </c>
      <c r="AR97" s="23" t="n">
        <f aca="false">AR$21*(0-Planner!$C$43)</f>
        <v>-3.0975</v>
      </c>
      <c r="AS97" s="23" t="n">
        <f aca="false">AS$21*(0-Planner!$C$43)</f>
        <v>-0.9415</v>
      </c>
      <c r="AT97" s="23" t="n">
        <f aca="false">AT$21*(0-Planner!$C$43)</f>
        <v>-4.3575</v>
      </c>
      <c r="AU97" s="23" t="n">
        <f aca="false">AU$21*(0-Planner!$C$43)</f>
        <v>-2.0965</v>
      </c>
      <c r="AV97" s="23" t="n">
        <f aca="false">AV$21*(0-Planner!$C$43)</f>
        <v>-0.875</v>
      </c>
      <c r="AW97" s="23" t="n">
        <f aca="false">AW$21*(0-Planner!$C$43)</f>
        <v>-0.7035</v>
      </c>
      <c r="AX97" s="23" t="n">
        <f aca="false">AX$21*(0-Planner!$C$43)</f>
        <v>-0.8925</v>
      </c>
      <c r="AY97" s="23" t="n">
        <f aca="false">AY$21*(0-Planner!$C$43)</f>
        <v>-0.091</v>
      </c>
      <c r="AZ97" s="23" t="n">
        <f aca="false">AZ$21*(0-Planner!$C$43)</f>
        <v>-0.3815</v>
      </c>
      <c r="BA97" s="23" t="n">
        <f aca="false">BA$21*(0-Planner!$C$43)</f>
        <v>-0.147</v>
      </c>
      <c r="BB97" s="23" t="n">
        <f aca="false">BB$21*(0-Planner!$C$43)</f>
        <v>-0.252</v>
      </c>
      <c r="BC97" s="23" t="n">
        <f aca="false">BC$21*(0-Planner!$C$43)</f>
        <v>-0.238</v>
      </c>
      <c r="BD97" s="23" t="n">
        <f aca="false">BD$21*(0-Planner!$C$43)</f>
        <v>-0.3185</v>
      </c>
      <c r="BE97" s="23" t="n">
        <f aca="false">BE$21*(0-Planner!$C$43)</f>
        <v>-1.0745</v>
      </c>
      <c r="BF97" s="23" t="n">
        <f aca="false">BF$21*(0-Planner!$C$43)</f>
        <v>-0.2345</v>
      </c>
      <c r="BG97" s="23" t="n">
        <f aca="false">BG$21*(0-Planner!$C$43)</f>
        <v>-1.085</v>
      </c>
      <c r="BH97" s="23" t="n">
        <f aca="false">BH$21*(0-Planner!$C$43)</f>
        <v>-0.3255</v>
      </c>
      <c r="BI97" s="23" t="n">
        <f aca="false">BI$21*(0-Planner!$C$43)</f>
        <v>-0.392</v>
      </c>
      <c r="BJ97" s="23" t="n">
        <f aca="false">BJ$21*(0-Planner!$C$43)</f>
        <v>-0.301</v>
      </c>
      <c r="BK97" s="23" t="n">
        <f aca="false">BK$21*(0-Planner!$C$43)</f>
        <v>-1.001</v>
      </c>
      <c r="BL97" s="23" t="n">
        <f aca="false">BL$21*(0-Planner!$C$43)</f>
        <v>-0.385</v>
      </c>
      <c r="BM97" s="23" t="n">
        <f aca="false">BM$21*(0-Planner!$C$43)</f>
        <v>-0.4305</v>
      </c>
      <c r="BN97" s="23" t="n">
        <f aca="false">BN$21*(0-Planner!$C$43)</f>
        <v>-1.001</v>
      </c>
      <c r="BO97" s="23" t="n">
        <f aca="false">BO$21*(0-Planner!$C$43)</f>
        <v>-0.308</v>
      </c>
      <c r="BP97" s="23" t="n">
        <f aca="false">BP$21*(0-Planner!$C$43)</f>
        <v>-0.2975</v>
      </c>
      <c r="BQ97" s="23" t="n">
        <f aca="false">BQ$21*(0-Planner!$C$43)</f>
        <v>-0</v>
      </c>
      <c r="BR97" s="23" t="n">
        <f aca="false">BR$21*(0-Planner!$C$43)</f>
        <v>-0</v>
      </c>
      <c r="BS97" s="23" t="n">
        <f aca="false">BS$21*(0-Planner!$C$43)</f>
        <v>-7.4025</v>
      </c>
      <c r="BT97" s="23" t="n">
        <f aca="false">BT$21*(0-Planner!$C$43)</f>
        <v>-0.686</v>
      </c>
      <c r="BU97" s="23" t="n">
        <f aca="false">BU$21*(0-Planner!$C$43)</f>
        <v>-1.785</v>
      </c>
      <c r="BV97" s="23" t="n">
        <f aca="false">BV$21*(0-Planner!$C$43)</f>
        <v>-1.9775</v>
      </c>
      <c r="BW97" s="23" t="n">
        <f aca="false">BW$21*(0-Planner!$C$43)</f>
        <v>-2.2365</v>
      </c>
      <c r="BX97" s="23" t="n">
        <f aca="false">BX$21*(0-Planner!$C$43)</f>
        <v>-1.225</v>
      </c>
    </row>
    <row r="98" customFormat="false" ht="15" hidden="false" customHeight="false" outlineLevel="0" collapsed="false">
      <c r="A98" s="4" t="s">
        <v>778</v>
      </c>
      <c r="B98" s="81" t="s">
        <v>767</v>
      </c>
      <c r="C98" s="84" t="n">
        <v>0</v>
      </c>
      <c r="D98" s="83" t="n">
        <v>-39.1999999928075</v>
      </c>
      <c r="E98" s="81" t="str">
        <f aca="false">IF(D98&lt;=C98+0.000001*MAX(1,ABS(C98)),IF(ABS(D98-C98)&lt;=0.000001*MAX(1,ABS(C98)),"tight","ok"),"VIOLATED")</f>
        <v>ok</v>
      </c>
      <c r="F98" s="23" t="n">
        <f aca="false">F$21*(0-Planner!$C$43)</f>
        <v>-10.857</v>
      </c>
      <c r="G98" s="23" t="n">
        <f aca="false">G$21*(0-Planner!$C$43)</f>
        <v>-8.1725</v>
      </c>
      <c r="H98" s="23" t="n">
        <f aca="false">H$21*(0-Planner!$C$43)</f>
        <v>-8.666</v>
      </c>
      <c r="I98" s="23" t="n">
        <f aca="false">I$21*(0-Planner!$C$43)</f>
        <v>-5.7155</v>
      </c>
      <c r="J98" s="23" t="n">
        <f aca="false">J$21*(0-Planner!$C$43)</f>
        <v>-9.485</v>
      </c>
      <c r="K98" s="23" t="n">
        <f aca="false">K$21*(0-Planner!$C$43)</f>
        <v>-11.872</v>
      </c>
      <c r="L98" s="23" t="n">
        <f aca="false">L$21*(0-Planner!$C$43)</f>
        <v>-9.45</v>
      </c>
      <c r="M98" s="23" t="n">
        <f aca="false">M$21*(0-Planner!$C$43)</f>
        <v>-10.108</v>
      </c>
      <c r="N98" s="23" t="n">
        <f aca="false">N$21*(0-Planner!$C$43)</f>
        <v>-5.81</v>
      </c>
      <c r="O98" s="23" t="n">
        <f aca="false">O$21*(0-Planner!$C$43)</f>
        <v>-9.338</v>
      </c>
      <c r="P98" s="23" t="n">
        <f aca="false">P$21*(0-Planner!$C$43)</f>
        <v>-9.38</v>
      </c>
      <c r="Q98" s="23" t="n">
        <f aca="false">Q$21*(1-Planner!$C$43)</f>
        <v>12.636</v>
      </c>
      <c r="R98" s="23" t="n">
        <f aca="false">R$21*(0-Planner!$C$43)</f>
        <v>-7.735</v>
      </c>
      <c r="S98" s="23" t="n">
        <f aca="false">S$21*(0-Planner!$C$43)</f>
        <v>-7.973</v>
      </c>
      <c r="T98" s="23" t="n">
        <f aca="false">T$21*(0-Planner!$C$43)</f>
        <v>-9.1525</v>
      </c>
      <c r="U98" s="23" t="n">
        <f aca="false">U$21*(0-Planner!$C$43)</f>
        <v>-4.396</v>
      </c>
      <c r="V98" s="23" t="n">
        <f aca="false">V$21*(0-Planner!$C$43)</f>
        <v>-2.1105</v>
      </c>
      <c r="W98" s="23" t="n">
        <f aca="false">W$21*(0-Planner!$C$43)</f>
        <v>-1.722</v>
      </c>
      <c r="X98" s="23" t="n">
        <f aca="false">X$21*(0-Planner!$C$43)</f>
        <v>-3.157</v>
      </c>
      <c r="Y98" s="23" t="n">
        <f aca="false">Y$21*(0-Planner!$C$43)</f>
        <v>-7.7735</v>
      </c>
      <c r="Z98" s="23" t="n">
        <f aca="false">Z$21*(0-Planner!$C$43)</f>
        <v>-3.1535</v>
      </c>
      <c r="AA98" s="23" t="n">
        <f aca="false">AA$21*(0-Planner!$C$43)</f>
        <v>-3.535</v>
      </c>
      <c r="AB98" s="23" t="n">
        <f aca="false">AB$21*(0-Planner!$C$43)</f>
        <v>-1.155</v>
      </c>
      <c r="AC98" s="23" t="n">
        <f aca="false">AC$21*(0-Planner!$C$43)</f>
        <v>-3.5665</v>
      </c>
      <c r="AD98" s="23" t="n">
        <f aca="false">AD$21*(0-Planner!$C$43)</f>
        <v>-0.91</v>
      </c>
      <c r="AE98" s="23" t="n">
        <f aca="false">AE$21*(0-Planner!$C$43)</f>
        <v>-1.1025</v>
      </c>
      <c r="AF98" s="23" t="n">
        <f aca="false">AF$21*(0-Planner!$C$43)</f>
        <v>-6.3455</v>
      </c>
      <c r="AG98" s="23" t="n">
        <f aca="false">AG$21*(0-Planner!$C$43)</f>
        <v>-8.0045</v>
      </c>
      <c r="AH98" s="23" t="n">
        <f aca="false">AH$21*(0-Planner!$C$43)</f>
        <v>-3.6575</v>
      </c>
      <c r="AI98" s="23" t="n">
        <f aca="false">AI$21*(0-Planner!$C$43)</f>
        <v>-8.3125</v>
      </c>
      <c r="AJ98" s="23" t="n">
        <f aca="false">AJ$21*(0-Planner!$C$43)</f>
        <v>-3.696</v>
      </c>
      <c r="AK98" s="23" t="n">
        <f aca="false">AK$21*(0-Planner!$C$43)</f>
        <v>-0.959</v>
      </c>
      <c r="AL98" s="23" t="n">
        <f aca="false">AL$21*(0-Planner!$C$43)</f>
        <v>-4.2315</v>
      </c>
      <c r="AM98" s="23" t="n">
        <f aca="false">AM$21*(0-Planner!$C$43)</f>
        <v>-1.995</v>
      </c>
      <c r="AN98" s="23" t="n">
        <f aca="false">AN$21*(0-Planner!$C$43)</f>
        <v>-2.8035</v>
      </c>
      <c r="AO98" s="23" t="n">
        <f aca="false">AO$21*(0-Planner!$C$43)</f>
        <v>-0.889</v>
      </c>
      <c r="AP98" s="23" t="n">
        <f aca="false">AP$21*(0-Planner!$C$43)</f>
        <v>-1.54</v>
      </c>
      <c r="AQ98" s="23" t="n">
        <f aca="false">AQ$21*(0-Planner!$C$43)</f>
        <v>-2.03</v>
      </c>
      <c r="AR98" s="23" t="n">
        <f aca="false">AR$21*(0-Planner!$C$43)</f>
        <v>-3.0975</v>
      </c>
      <c r="AS98" s="23" t="n">
        <f aca="false">AS$21*(0-Planner!$C$43)</f>
        <v>-0.9415</v>
      </c>
      <c r="AT98" s="23" t="n">
        <f aca="false">AT$21*(0-Planner!$C$43)</f>
        <v>-4.3575</v>
      </c>
      <c r="AU98" s="23" t="n">
        <f aca="false">AU$21*(0-Planner!$C$43)</f>
        <v>-2.0965</v>
      </c>
      <c r="AV98" s="23" t="n">
        <f aca="false">AV$21*(0-Planner!$C$43)</f>
        <v>-0.875</v>
      </c>
      <c r="AW98" s="23" t="n">
        <f aca="false">AW$21*(0-Planner!$C$43)</f>
        <v>-0.7035</v>
      </c>
      <c r="AX98" s="23" t="n">
        <f aca="false">AX$21*(0-Planner!$C$43)</f>
        <v>-0.8925</v>
      </c>
      <c r="AY98" s="23" t="n">
        <f aca="false">AY$21*(0-Planner!$C$43)</f>
        <v>-0.091</v>
      </c>
      <c r="AZ98" s="23" t="n">
        <f aca="false">AZ$21*(0-Planner!$C$43)</f>
        <v>-0.3815</v>
      </c>
      <c r="BA98" s="23" t="n">
        <f aca="false">BA$21*(0-Planner!$C$43)</f>
        <v>-0.147</v>
      </c>
      <c r="BB98" s="23" t="n">
        <f aca="false">BB$21*(0-Planner!$C$43)</f>
        <v>-0.252</v>
      </c>
      <c r="BC98" s="23" t="n">
        <f aca="false">BC$21*(0-Planner!$C$43)</f>
        <v>-0.238</v>
      </c>
      <c r="BD98" s="23" t="n">
        <f aca="false">BD$21*(0-Planner!$C$43)</f>
        <v>-0.3185</v>
      </c>
      <c r="BE98" s="23" t="n">
        <f aca="false">BE$21*(0-Planner!$C$43)</f>
        <v>-1.0745</v>
      </c>
      <c r="BF98" s="23" t="n">
        <f aca="false">BF$21*(0-Planner!$C$43)</f>
        <v>-0.2345</v>
      </c>
      <c r="BG98" s="23" t="n">
        <f aca="false">BG$21*(0-Planner!$C$43)</f>
        <v>-1.085</v>
      </c>
      <c r="BH98" s="23" t="n">
        <f aca="false">BH$21*(0-Planner!$C$43)</f>
        <v>-0.3255</v>
      </c>
      <c r="BI98" s="23" t="n">
        <f aca="false">BI$21*(0-Planner!$C$43)</f>
        <v>-0.392</v>
      </c>
      <c r="BJ98" s="23" t="n">
        <f aca="false">BJ$21*(0-Planner!$C$43)</f>
        <v>-0.301</v>
      </c>
      <c r="BK98" s="23" t="n">
        <f aca="false">BK$21*(0-Planner!$C$43)</f>
        <v>-1.001</v>
      </c>
      <c r="BL98" s="23" t="n">
        <f aca="false">BL$21*(0-Planner!$C$43)</f>
        <v>-0.385</v>
      </c>
      <c r="BM98" s="23" t="n">
        <f aca="false">BM$21*(0-Planner!$C$43)</f>
        <v>-0.4305</v>
      </c>
      <c r="BN98" s="23" t="n">
        <f aca="false">BN$21*(0-Planner!$C$43)</f>
        <v>-1.001</v>
      </c>
      <c r="BO98" s="23" t="n">
        <f aca="false">BO$21*(0-Planner!$C$43)</f>
        <v>-0.308</v>
      </c>
      <c r="BP98" s="23" t="n">
        <f aca="false">BP$21*(0-Planner!$C$43)</f>
        <v>-0.2975</v>
      </c>
      <c r="BQ98" s="23" t="n">
        <f aca="false">BQ$21*(0-Planner!$C$43)</f>
        <v>-0</v>
      </c>
      <c r="BR98" s="23" t="n">
        <f aca="false">BR$21*(0-Planner!$C$43)</f>
        <v>-0</v>
      </c>
      <c r="BS98" s="23" t="n">
        <f aca="false">BS$21*(0-Planner!$C$43)</f>
        <v>-7.4025</v>
      </c>
      <c r="BT98" s="23" t="n">
        <f aca="false">BT$21*(0-Planner!$C$43)</f>
        <v>-0.686</v>
      </c>
      <c r="BU98" s="23" t="n">
        <f aca="false">BU$21*(0-Planner!$C$43)</f>
        <v>-1.785</v>
      </c>
      <c r="BV98" s="23" t="n">
        <f aca="false">BV$21*(0-Planner!$C$43)</f>
        <v>-1.9775</v>
      </c>
      <c r="BW98" s="23" t="n">
        <f aca="false">BW$21*(0-Planner!$C$43)</f>
        <v>-2.2365</v>
      </c>
      <c r="BX98" s="23" t="n">
        <f aca="false">BX$21*(0-Planner!$C$43)</f>
        <v>-1.225</v>
      </c>
    </row>
    <row r="99" customFormat="false" ht="15" hidden="false" customHeight="false" outlineLevel="0" collapsed="false">
      <c r="A99" s="4" t="s">
        <v>779</v>
      </c>
      <c r="B99" s="81" t="s">
        <v>767</v>
      </c>
      <c r="C99" s="84" t="n">
        <v>0</v>
      </c>
      <c r="D99" s="83" t="n">
        <v>-39.1999999928075</v>
      </c>
      <c r="E99" s="81" t="str">
        <f aca="false">IF(D99&lt;=C99+0.000001*MAX(1,ABS(C99)),IF(ABS(D99-C99)&lt;=0.000001*MAX(1,ABS(C99)),"tight","ok"),"VIOLATED")</f>
        <v>ok</v>
      </c>
      <c r="F99" s="23" t="n">
        <f aca="false">F$21*(0-Planner!$C$43)</f>
        <v>-10.857</v>
      </c>
      <c r="G99" s="23" t="n">
        <f aca="false">G$21*(0-Planner!$C$43)</f>
        <v>-8.1725</v>
      </c>
      <c r="H99" s="23" t="n">
        <f aca="false">H$21*(0-Planner!$C$43)</f>
        <v>-8.666</v>
      </c>
      <c r="I99" s="23" t="n">
        <f aca="false">I$21*(0-Planner!$C$43)</f>
        <v>-5.7155</v>
      </c>
      <c r="J99" s="23" t="n">
        <f aca="false">J$21*(0-Planner!$C$43)</f>
        <v>-9.485</v>
      </c>
      <c r="K99" s="23" t="n">
        <f aca="false">K$21*(0-Planner!$C$43)</f>
        <v>-11.872</v>
      </c>
      <c r="L99" s="23" t="n">
        <f aca="false">L$21*(0-Planner!$C$43)</f>
        <v>-9.45</v>
      </c>
      <c r="M99" s="23" t="n">
        <f aca="false">M$21*(0-Planner!$C$43)</f>
        <v>-10.108</v>
      </c>
      <c r="N99" s="23" t="n">
        <f aca="false">N$21*(0-Planner!$C$43)</f>
        <v>-5.81</v>
      </c>
      <c r="O99" s="23" t="n">
        <f aca="false">O$21*(0-Planner!$C$43)</f>
        <v>-9.338</v>
      </c>
      <c r="P99" s="23" t="n">
        <f aca="false">P$21*(0-Planner!$C$43)</f>
        <v>-9.38</v>
      </c>
      <c r="Q99" s="23" t="n">
        <f aca="false">Q$21*(0-Planner!$C$43)</f>
        <v>-6.804</v>
      </c>
      <c r="R99" s="23" t="n">
        <f aca="false">R$21*(1-Planner!$C$43)</f>
        <v>14.365</v>
      </c>
      <c r="S99" s="23" t="n">
        <f aca="false">S$21*(0-Planner!$C$43)</f>
        <v>-7.973</v>
      </c>
      <c r="T99" s="23" t="n">
        <f aca="false">T$21*(0-Planner!$C$43)</f>
        <v>-9.1525</v>
      </c>
      <c r="U99" s="23" t="n">
        <f aca="false">U$21*(0-Planner!$C$43)</f>
        <v>-4.396</v>
      </c>
      <c r="V99" s="23" t="n">
        <f aca="false">V$21*(0-Planner!$C$43)</f>
        <v>-2.1105</v>
      </c>
      <c r="W99" s="23" t="n">
        <f aca="false">W$21*(0-Planner!$C$43)</f>
        <v>-1.722</v>
      </c>
      <c r="X99" s="23" t="n">
        <f aca="false">X$21*(0-Planner!$C$43)</f>
        <v>-3.157</v>
      </c>
      <c r="Y99" s="23" t="n">
        <f aca="false">Y$21*(0-Planner!$C$43)</f>
        <v>-7.7735</v>
      </c>
      <c r="Z99" s="23" t="n">
        <f aca="false">Z$21*(0-Planner!$C$43)</f>
        <v>-3.1535</v>
      </c>
      <c r="AA99" s="23" t="n">
        <f aca="false">AA$21*(0-Planner!$C$43)</f>
        <v>-3.535</v>
      </c>
      <c r="AB99" s="23" t="n">
        <f aca="false">AB$21*(0-Planner!$C$43)</f>
        <v>-1.155</v>
      </c>
      <c r="AC99" s="23" t="n">
        <f aca="false">AC$21*(0-Planner!$C$43)</f>
        <v>-3.5665</v>
      </c>
      <c r="AD99" s="23" t="n">
        <f aca="false">AD$21*(0-Planner!$C$43)</f>
        <v>-0.91</v>
      </c>
      <c r="AE99" s="23" t="n">
        <f aca="false">AE$21*(0-Planner!$C$43)</f>
        <v>-1.1025</v>
      </c>
      <c r="AF99" s="23" t="n">
        <f aca="false">AF$21*(0-Planner!$C$43)</f>
        <v>-6.3455</v>
      </c>
      <c r="AG99" s="23" t="n">
        <f aca="false">AG$21*(0-Planner!$C$43)</f>
        <v>-8.0045</v>
      </c>
      <c r="AH99" s="23" t="n">
        <f aca="false">AH$21*(0-Planner!$C$43)</f>
        <v>-3.6575</v>
      </c>
      <c r="AI99" s="23" t="n">
        <f aca="false">AI$21*(0-Planner!$C$43)</f>
        <v>-8.3125</v>
      </c>
      <c r="AJ99" s="23" t="n">
        <f aca="false">AJ$21*(0-Planner!$C$43)</f>
        <v>-3.696</v>
      </c>
      <c r="AK99" s="23" t="n">
        <f aca="false">AK$21*(0-Planner!$C$43)</f>
        <v>-0.959</v>
      </c>
      <c r="AL99" s="23" t="n">
        <f aca="false">AL$21*(0-Planner!$C$43)</f>
        <v>-4.2315</v>
      </c>
      <c r="AM99" s="23" t="n">
        <f aca="false">AM$21*(0-Planner!$C$43)</f>
        <v>-1.995</v>
      </c>
      <c r="AN99" s="23" t="n">
        <f aca="false">AN$21*(0-Planner!$C$43)</f>
        <v>-2.8035</v>
      </c>
      <c r="AO99" s="23" t="n">
        <f aca="false">AO$21*(0-Planner!$C$43)</f>
        <v>-0.889</v>
      </c>
      <c r="AP99" s="23" t="n">
        <f aca="false">AP$21*(0-Planner!$C$43)</f>
        <v>-1.54</v>
      </c>
      <c r="AQ99" s="23" t="n">
        <f aca="false">AQ$21*(0-Planner!$C$43)</f>
        <v>-2.03</v>
      </c>
      <c r="AR99" s="23" t="n">
        <f aca="false">AR$21*(0-Planner!$C$43)</f>
        <v>-3.0975</v>
      </c>
      <c r="AS99" s="23" t="n">
        <f aca="false">AS$21*(0-Planner!$C$43)</f>
        <v>-0.9415</v>
      </c>
      <c r="AT99" s="23" t="n">
        <f aca="false">AT$21*(0-Planner!$C$43)</f>
        <v>-4.3575</v>
      </c>
      <c r="AU99" s="23" t="n">
        <f aca="false">AU$21*(0-Planner!$C$43)</f>
        <v>-2.0965</v>
      </c>
      <c r="AV99" s="23" t="n">
        <f aca="false">AV$21*(0-Planner!$C$43)</f>
        <v>-0.875</v>
      </c>
      <c r="AW99" s="23" t="n">
        <f aca="false">AW$21*(0-Planner!$C$43)</f>
        <v>-0.7035</v>
      </c>
      <c r="AX99" s="23" t="n">
        <f aca="false">AX$21*(0-Planner!$C$43)</f>
        <v>-0.8925</v>
      </c>
      <c r="AY99" s="23" t="n">
        <f aca="false">AY$21*(0-Planner!$C$43)</f>
        <v>-0.091</v>
      </c>
      <c r="AZ99" s="23" t="n">
        <f aca="false">AZ$21*(0-Planner!$C$43)</f>
        <v>-0.3815</v>
      </c>
      <c r="BA99" s="23" t="n">
        <f aca="false">BA$21*(0-Planner!$C$43)</f>
        <v>-0.147</v>
      </c>
      <c r="BB99" s="23" t="n">
        <f aca="false">BB$21*(0-Planner!$C$43)</f>
        <v>-0.252</v>
      </c>
      <c r="BC99" s="23" t="n">
        <f aca="false">BC$21*(0-Planner!$C$43)</f>
        <v>-0.238</v>
      </c>
      <c r="BD99" s="23" t="n">
        <f aca="false">BD$21*(0-Planner!$C$43)</f>
        <v>-0.3185</v>
      </c>
      <c r="BE99" s="23" t="n">
        <f aca="false">BE$21*(0-Planner!$C$43)</f>
        <v>-1.0745</v>
      </c>
      <c r="BF99" s="23" t="n">
        <f aca="false">BF$21*(0-Planner!$C$43)</f>
        <v>-0.2345</v>
      </c>
      <c r="BG99" s="23" t="n">
        <f aca="false">BG$21*(0-Planner!$C$43)</f>
        <v>-1.085</v>
      </c>
      <c r="BH99" s="23" t="n">
        <f aca="false">BH$21*(0-Planner!$C$43)</f>
        <v>-0.3255</v>
      </c>
      <c r="BI99" s="23" t="n">
        <f aca="false">BI$21*(0-Planner!$C$43)</f>
        <v>-0.392</v>
      </c>
      <c r="BJ99" s="23" t="n">
        <f aca="false">BJ$21*(0-Planner!$C$43)</f>
        <v>-0.301</v>
      </c>
      <c r="BK99" s="23" t="n">
        <f aca="false">BK$21*(0-Planner!$C$43)</f>
        <v>-1.001</v>
      </c>
      <c r="BL99" s="23" t="n">
        <f aca="false">BL$21*(0-Planner!$C$43)</f>
        <v>-0.385</v>
      </c>
      <c r="BM99" s="23" t="n">
        <f aca="false">BM$21*(0-Planner!$C$43)</f>
        <v>-0.4305</v>
      </c>
      <c r="BN99" s="23" t="n">
        <f aca="false">BN$21*(0-Planner!$C$43)</f>
        <v>-1.001</v>
      </c>
      <c r="BO99" s="23" t="n">
        <f aca="false">BO$21*(0-Planner!$C$43)</f>
        <v>-0.308</v>
      </c>
      <c r="BP99" s="23" t="n">
        <f aca="false">BP$21*(0-Planner!$C$43)</f>
        <v>-0.2975</v>
      </c>
      <c r="BQ99" s="23" t="n">
        <f aca="false">BQ$21*(0-Planner!$C$43)</f>
        <v>-0</v>
      </c>
      <c r="BR99" s="23" t="n">
        <f aca="false">BR$21*(0-Planner!$C$43)</f>
        <v>-0</v>
      </c>
      <c r="BS99" s="23" t="n">
        <f aca="false">BS$21*(0-Planner!$C$43)</f>
        <v>-7.4025</v>
      </c>
      <c r="BT99" s="23" t="n">
        <f aca="false">BT$21*(0-Planner!$C$43)</f>
        <v>-0.686</v>
      </c>
      <c r="BU99" s="23" t="n">
        <f aca="false">BU$21*(0-Planner!$C$43)</f>
        <v>-1.785</v>
      </c>
      <c r="BV99" s="23" t="n">
        <f aca="false">BV$21*(0-Planner!$C$43)</f>
        <v>-1.9775</v>
      </c>
      <c r="BW99" s="23" t="n">
        <f aca="false">BW$21*(0-Planner!$C$43)</f>
        <v>-2.2365</v>
      </c>
      <c r="BX99" s="23" t="n">
        <f aca="false">BX$21*(0-Planner!$C$43)</f>
        <v>-1.225</v>
      </c>
    </row>
    <row r="100" customFormat="false" ht="15" hidden="false" customHeight="false" outlineLevel="0" collapsed="false">
      <c r="A100" s="4" t="s">
        <v>780</v>
      </c>
      <c r="B100" s="81" t="s">
        <v>767</v>
      </c>
      <c r="C100" s="84" t="n">
        <v>0</v>
      </c>
      <c r="D100" s="83" t="n">
        <v>-39.1999999928075</v>
      </c>
      <c r="E100" s="81" t="str">
        <f aca="false">IF(D100&lt;=C100+0.000001*MAX(1,ABS(C100)),IF(ABS(D100-C100)&lt;=0.000001*MAX(1,ABS(C100)),"tight","ok"),"VIOLATED")</f>
        <v>ok</v>
      </c>
      <c r="F100" s="23" t="n">
        <f aca="false">F$21*(0-Planner!$C$43)</f>
        <v>-10.857</v>
      </c>
      <c r="G100" s="23" t="n">
        <f aca="false">G$21*(0-Planner!$C$43)</f>
        <v>-8.1725</v>
      </c>
      <c r="H100" s="23" t="n">
        <f aca="false">H$21*(0-Planner!$C$43)</f>
        <v>-8.666</v>
      </c>
      <c r="I100" s="23" t="n">
        <f aca="false">I$21*(0-Planner!$C$43)</f>
        <v>-5.7155</v>
      </c>
      <c r="J100" s="23" t="n">
        <f aca="false">J$21*(0-Planner!$C$43)</f>
        <v>-9.485</v>
      </c>
      <c r="K100" s="23" t="n">
        <f aca="false">K$21*(0-Planner!$C$43)</f>
        <v>-11.872</v>
      </c>
      <c r="L100" s="23" t="n">
        <f aca="false">L$21*(0-Planner!$C$43)</f>
        <v>-9.45</v>
      </c>
      <c r="M100" s="23" t="n">
        <f aca="false">M$21*(0-Planner!$C$43)</f>
        <v>-10.108</v>
      </c>
      <c r="N100" s="23" t="n">
        <f aca="false">N$21*(0-Planner!$C$43)</f>
        <v>-5.81</v>
      </c>
      <c r="O100" s="23" t="n">
        <f aca="false">O$21*(0-Planner!$C$43)</f>
        <v>-9.338</v>
      </c>
      <c r="P100" s="23" t="n">
        <f aca="false">P$21*(0-Planner!$C$43)</f>
        <v>-9.38</v>
      </c>
      <c r="Q100" s="23" t="n">
        <f aca="false">Q$21*(0-Planner!$C$43)</f>
        <v>-6.804</v>
      </c>
      <c r="R100" s="23" t="n">
        <f aca="false">R$21*(0-Planner!$C$43)</f>
        <v>-7.735</v>
      </c>
      <c r="S100" s="23" t="n">
        <f aca="false">S$21*(1-Planner!$C$43)</f>
        <v>14.807</v>
      </c>
      <c r="T100" s="23" t="n">
        <f aca="false">T$21*(0-Planner!$C$43)</f>
        <v>-9.1525</v>
      </c>
      <c r="U100" s="23" t="n">
        <f aca="false">U$21*(0-Planner!$C$43)</f>
        <v>-4.396</v>
      </c>
      <c r="V100" s="23" t="n">
        <f aca="false">V$21*(0-Planner!$C$43)</f>
        <v>-2.1105</v>
      </c>
      <c r="W100" s="23" t="n">
        <f aca="false">W$21*(0-Planner!$C$43)</f>
        <v>-1.722</v>
      </c>
      <c r="X100" s="23" t="n">
        <f aca="false">X$21*(0-Planner!$C$43)</f>
        <v>-3.157</v>
      </c>
      <c r="Y100" s="23" t="n">
        <f aca="false">Y$21*(0-Planner!$C$43)</f>
        <v>-7.7735</v>
      </c>
      <c r="Z100" s="23" t="n">
        <f aca="false">Z$21*(0-Planner!$C$43)</f>
        <v>-3.1535</v>
      </c>
      <c r="AA100" s="23" t="n">
        <f aca="false">AA$21*(0-Planner!$C$43)</f>
        <v>-3.535</v>
      </c>
      <c r="AB100" s="23" t="n">
        <f aca="false">AB$21*(0-Planner!$C$43)</f>
        <v>-1.155</v>
      </c>
      <c r="AC100" s="23" t="n">
        <f aca="false">AC$21*(0-Planner!$C$43)</f>
        <v>-3.5665</v>
      </c>
      <c r="AD100" s="23" t="n">
        <f aca="false">AD$21*(0-Planner!$C$43)</f>
        <v>-0.91</v>
      </c>
      <c r="AE100" s="23" t="n">
        <f aca="false">AE$21*(0-Planner!$C$43)</f>
        <v>-1.1025</v>
      </c>
      <c r="AF100" s="23" t="n">
        <f aca="false">AF$21*(0-Planner!$C$43)</f>
        <v>-6.3455</v>
      </c>
      <c r="AG100" s="23" t="n">
        <f aca="false">AG$21*(0-Planner!$C$43)</f>
        <v>-8.0045</v>
      </c>
      <c r="AH100" s="23" t="n">
        <f aca="false">AH$21*(0-Planner!$C$43)</f>
        <v>-3.6575</v>
      </c>
      <c r="AI100" s="23" t="n">
        <f aca="false">AI$21*(0-Planner!$C$43)</f>
        <v>-8.3125</v>
      </c>
      <c r="AJ100" s="23" t="n">
        <f aca="false">AJ$21*(0-Planner!$C$43)</f>
        <v>-3.696</v>
      </c>
      <c r="AK100" s="23" t="n">
        <f aca="false">AK$21*(0-Planner!$C$43)</f>
        <v>-0.959</v>
      </c>
      <c r="AL100" s="23" t="n">
        <f aca="false">AL$21*(0-Planner!$C$43)</f>
        <v>-4.2315</v>
      </c>
      <c r="AM100" s="23" t="n">
        <f aca="false">AM$21*(0-Planner!$C$43)</f>
        <v>-1.995</v>
      </c>
      <c r="AN100" s="23" t="n">
        <f aca="false">AN$21*(0-Planner!$C$43)</f>
        <v>-2.8035</v>
      </c>
      <c r="AO100" s="23" t="n">
        <f aca="false">AO$21*(0-Planner!$C$43)</f>
        <v>-0.889</v>
      </c>
      <c r="AP100" s="23" t="n">
        <f aca="false">AP$21*(0-Planner!$C$43)</f>
        <v>-1.54</v>
      </c>
      <c r="AQ100" s="23" t="n">
        <f aca="false">AQ$21*(0-Planner!$C$43)</f>
        <v>-2.03</v>
      </c>
      <c r="AR100" s="23" t="n">
        <f aca="false">AR$21*(0-Planner!$C$43)</f>
        <v>-3.0975</v>
      </c>
      <c r="AS100" s="23" t="n">
        <f aca="false">AS$21*(0-Planner!$C$43)</f>
        <v>-0.9415</v>
      </c>
      <c r="AT100" s="23" t="n">
        <f aca="false">AT$21*(0-Planner!$C$43)</f>
        <v>-4.3575</v>
      </c>
      <c r="AU100" s="23" t="n">
        <f aca="false">AU$21*(0-Planner!$C$43)</f>
        <v>-2.0965</v>
      </c>
      <c r="AV100" s="23" t="n">
        <f aca="false">AV$21*(0-Planner!$C$43)</f>
        <v>-0.875</v>
      </c>
      <c r="AW100" s="23" t="n">
        <f aca="false">AW$21*(0-Planner!$C$43)</f>
        <v>-0.7035</v>
      </c>
      <c r="AX100" s="23" t="n">
        <f aca="false">AX$21*(0-Planner!$C$43)</f>
        <v>-0.8925</v>
      </c>
      <c r="AY100" s="23" t="n">
        <f aca="false">AY$21*(0-Planner!$C$43)</f>
        <v>-0.091</v>
      </c>
      <c r="AZ100" s="23" t="n">
        <f aca="false">AZ$21*(0-Planner!$C$43)</f>
        <v>-0.3815</v>
      </c>
      <c r="BA100" s="23" t="n">
        <f aca="false">BA$21*(0-Planner!$C$43)</f>
        <v>-0.147</v>
      </c>
      <c r="BB100" s="23" t="n">
        <f aca="false">BB$21*(0-Planner!$C$43)</f>
        <v>-0.252</v>
      </c>
      <c r="BC100" s="23" t="n">
        <f aca="false">BC$21*(0-Planner!$C$43)</f>
        <v>-0.238</v>
      </c>
      <c r="BD100" s="23" t="n">
        <f aca="false">BD$21*(0-Planner!$C$43)</f>
        <v>-0.3185</v>
      </c>
      <c r="BE100" s="23" t="n">
        <f aca="false">BE$21*(0-Planner!$C$43)</f>
        <v>-1.0745</v>
      </c>
      <c r="BF100" s="23" t="n">
        <f aca="false">BF$21*(0-Planner!$C$43)</f>
        <v>-0.2345</v>
      </c>
      <c r="BG100" s="23" t="n">
        <f aca="false">BG$21*(0-Planner!$C$43)</f>
        <v>-1.085</v>
      </c>
      <c r="BH100" s="23" t="n">
        <f aca="false">BH$21*(0-Planner!$C$43)</f>
        <v>-0.3255</v>
      </c>
      <c r="BI100" s="23" t="n">
        <f aca="false">BI$21*(0-Planner!$C$43)</f>
        <v>-0.392</v>
      </c>
      <c r="BJ100" s="23" t="n">
        <f aca="false">BJ$21*(0-Planner!$C$43)</f>
        <v>-0.301</v>
      </c>
      <c r="BK100" s="23" t="n">
        <f aca="false">BK$21*(0-Planner!$C$43)</f>
        <v>-1.001</v>
      </c>
      <c r="BL100" s="23" t="n">
        <f aca="false">BL$21*(0-Planner!$C$43)</f>
        <v>-0.385</v>
      </c>
      <c r="BM100" s="23" t="n">
        <f aca="false">BM$21*(0-Planner!$C$43)</f>
        <v>-0.4305</v>
      </c>
      <c r="BN100" s="23" t="n">
        <f aca="false">BN$21*(0-Planner!$C$43)</f>
        <v>-1.001</v>
      </c>
      <c r="BO100" s="23" t="n">
        <f aca="false">BO$21*(0-Planner!$C$43)</f>
        <v>-0.308</v>
      </c>
      <c r="BP100" s="23" t="n">
        <f aca="false">BP$21*(0-Planner!$C$43)</f>
        <v>-0.2975</v>
      </c>
      <c r="BQ100" s="23" t="n">
        <f aca="false">BQ$21*(0-Planner!$C$43)</f>
        <v>-0</v>
      </c>
      <c r="BR100" s="23" t="n">
        <f aca="false">BR$21*(0-Planner!$C$43)</f>
        <v>-0</v>
      </c>
      <c r="BS100" s="23" t="n">
        <f aca="false">BS$21*(0-Planner!$C$43)</f>
        <v>-7.4025</v>
      </c>
      <c r="BT100" s="23" t="n">
        <f aca="false">BT$21*(0-Planner!$C$43)</f>
        <v>-0.686</v>
      </c>
      <c r="BU100" s="23" t="n">
        <f aca="false">BU$21*(0-Planner!$C$43)</f>
        <v>-1.785</v>
      </c>
      <c r="BV100" s="23" t="n">
        <f aca="false">BV$21*(0-Planner!$C$43)</f>
        <v>-1.9775</v>
      </c>
      <c r="BW100" s="23" t="n">
        <f aca="false">BW$21*(0-Planner!$C$43)</f>
        <v>-2.2365</v>
      </c>
      <c r="BX100" s="23" t="n">
        <f aca="false">BX$21*(0-Planner!$C$43)</f>
        <v>-1.225</v>
      </c>
    </row>
    <row r="101" customFormat="false" ht="15" hidden="false" customHeight="false" outlineLevel="0" collapsed="false">
      <c r="A101" s="4" t="s">
        <v>781</v>
      </c>
      <c r="B101" s="81" t="s">
        <v>767</v>
      </c>
      <c r="C101" s="84" t="n">
        <v>0</v>
      </c>
      <c r="D101" s="83" t="n">
        <v>-39.1999999928075</v>
      </c>
      <c r="E101" s="81" t="str">
        <f aca="false">IF(D101&lt;=C101+0.000001*MAX(1,ABS(C101)),IF(ABS(D101-C101)&lt;=0.000001*MAX(1,ABS(C101)),"tight","ok"),"VIOLATED")</f>
        <v>ok</v>
      </c>
      <c r="F101" s="23" t="n">
        <f aca="false">F$21*(0-Planner!$C$43)</f>
        <v>-10.857</v>
      </c>
      <c r="G101" s="23" t="n">
        <f aca="false">G$21*(0-Planner!$C$43)</f>
        <v>-8.1725</v>
      </c>
      <c r="H101" s="23" t="n">
        <f aca="false">H$21*(0-Planner!$C$43)</f>
        <v>-8.666</v>
      </c>
      <c r="I101" s="23" t="n">
        <f aca="false">I$21*(0-Planner!$C$43)</f>
        <v>-5.7155</v>
      </c>
      <c r="J101" s="23" t="n">
        <f aca="false">J$21*(0-Planner!$C$43)</f>
        <v>-9.485</v>
      </c>
      <c r="K101" s="23" t="n">
        <f aca="false">K$21*(0-Planner!$C$43)</f>
        <v>-11.872</v>
      </c>
      <c r="L101" s="23" t="n">
        <f aca="false">L$21*(0-Planner!$C$43)</f>
        <v>-9.45</v>
      </c>
      <c r="M101" s="23" t="n">
        <f aca="false">M$21*(0-Planner!$C$43)</f>
        <v>-10.108</v>
      </c>
      <c r="N101" s="23" t="n">
        <f aca="false">N$21*(0-Planner!$C$43)</f>
        <v>-5.81</v>
      </c>
      <c r="O101" s="23" t="n">
        <f aca="false">O$21*(0-Planner!$C$43)</f>
        <v>-9.338</v>
      </c>
      <c r="P101" s="23" t="n">
        <f aca="false">P$21*(0-Planner!$C$43)</f>
        <v>-9.38</v>
      </c>
      <c r="Q101" s="23" t="n">
        <f aca="false">Q$21*(0-Planner!$C$43)</f>
        <v>-6.804</v>
      </c>
      <c r="R101" s="23" t="n">
        <f aca="false">R$21*(0-Planner!$C$43)</f>
        <v>-7.735</v>
      </c>
      <c r="S101" s="23" t="n">
        <f aca="false">S$21*(0-Planner!$C$43)</f>
        <v>-7.973</v>
      </c>
      <c r="T101" s="23" t="n">
        <f aca="false">T$21*(1-Planner!$C$43)</f>
        <v>16.9975</v>
      </c>
      <c r="U101" s="23" t="n">
        <f aca="false">U$21*(0-Planner!$C$43)</f>
        <v>-4.396</v>
      </c>
      <c r="V101" s="23" t="n">
        <f aca="false">V$21*(0-Planner!$C$43)</f>
        <v>-2.1105</v>
      </c>
      <c r="W101" s="23" t="n">
        <f aca="false">W$21*(0-Planner!$C$43)</f>
        <v>-1.722</v>
      </c>
      <c r="X101" s="23" t="n">
        <f aca="false">X$21*(0-Planner!$C$43)</f>
        <v>-3.157</v>
      </c>
      <c r="Y101" s="23" t="n">
        <f aca="false">Y$21*(0-Planner!$C$43)</f>
        <v>-7.7735</v>
      </c>
      <c r="Z101" s="23" t="n">
        <f aca="false">Z$21*(0-Planner!$C$43)</f>
        <v>-3.1535</v>
      </c>
      <c r="AA101" s="23" t="n">
        <f aca="false">AA$21*(0-Planner!$C$43)</f>
        <v>-3.535</v>
      </c>
      <c r="AB101" s="23" t="n">
        <f aca="false">AB$21*(0-Planner!$C$43)</f>
        <v>-1.155</v>
      </c>
      <c r="AC101" s="23" t="n">
        <f aca="false">AC$21*(0-Planner!$C$43)</f>
        <v>-3.5665</v>
      </c>
      <c r="AD101" s="23" t="n">
        <f aca="false">AD$21*(0-Planner!$C$43)</f>
        <v>-0.91</v>
      </c>
      <c r="AE101" s="23" t="n">
        <f aca="false">AE$21*(0-Planner!$C$43)</f>
        <v>-1.1025</v>
      </c>
      <c r="AF101" s="23" t="n">
        <f aca="false">AF$21*(0-Planner!$C$43)</f>
        <v>-6.3455</v>
      </c>
      <c r="AG101" s="23" t="n">
        <f aca="false">AG$21*(0-Planner!$C$43)</f>
        <v>-8.0045</v>
      </c>
      <c r="AH101" s="23" t="n">
        <f aca="false">AH$21*(0-Planner!$C$43)</f>
        <v>-3.6575</v>
      </c>
      <c r="AI101" s="23" t="n">
        <f aca="false">AI$21*(0-Planner!$C$43)</f>
        <v>-8.3125</v>
      </c>
      <c r="AJ101" s="23" t="n">
        <f aca="false">AJ$21*(0-Planner!$C$43)</f>
        <v>-3.696</v>
      </c>
      <c r="AK101" s="23" t="n">
        <f aca="false">AK$21*(0-Planner!$C$43)</f>
        <v>-0.959</v>
      </c>
      <c r="AL101" s="23" t="n">
        <f aca="false">AL$21*(0-Planner!$C$43)</f>
        <v>-4.2315</v>
      </c>
      <c r="AM101" s="23" t="n">
        <f aca="false">AM$21*(0-Planner!$C$43)</f>
        <v>-1.995</v>
      </c>
      <c r="AN101" s="23" t="n">
        <f aca="false">AN$21*(0-Planner!$C$43)</f>
        <v>-2.8035</v>
      </c>
      <c r="AO101" s="23" t="n">
        <f aca="false">AO$21*(0-Planner!$C$43)</f>
        <v>-0.889</v>
      </c>
      <c r="AP101" s="23" t="n">
        <f aca="false">AP$21*(0-Planner!$C$43)</f>
        <v>-1.54</v>
      </c>
      <c r="AQ101" s="23" t="n">
        <f aca="false">AQ$21*(0-Planner!$C$43)</f>
        <v>-2.03</v>
      </c>
      <c r="AR101" s="23" t="n">
        <f aca="false">AR$21*(0-Planner!$C$43)</f>
        <v>-3.0975</v>
      </c>
      <c r="AS101" s="23" t="n">
        <f aca="false">AS$21*(0-Planner!$C$43)</f>
        <v>-0.9415</v>
      </c>
      <c r="AT101" s="23" t="n">
        <f aca="false">AT$21*(0-Planner!$C$43)</f>
        <v>-4.3575</v>
      </c>
      <c r="AU101" s="23" t="n">
        <f aca="false">AU$21*(0-Planner!$C$43)</f>
        <v>-2.0965</v>
      </c>
      <c r="AV101" s="23" t="n">
        <f aca="false">AV$21*(0-Planner!$C$43)</f>
        <v>-0.875</v>
      </c>
      <c r="AW101" s="23" t="n">
        <f aca="false">AW$21*(0-Planner!$C$43)</f>
        <v>-0.7035</v>
      </c>
      <c r="AX101" s="23" t="n">
        <f aca="false">AX$21*(0-Planner!$C$43)</f>
        <v>-0.8925</v>
      </c>
      <c r="AY101" s="23" t="n">
        <f aca="false">AY$21*(0-Planner!$C$43)</f>
        <v>-0.091</v>
      </c>
      <c r="AZ101" s="23" t="n">
        <f aca="false">AZ$21*(0-Planner!$C$43)</f>
        <v>-0.3815</v>
      </c>
      <c r="BA101" s="23" t="n">
        <f aca="false">BA$21*(0-Planner!$C$43)</f>
        <v>-0.147</v>
      </c>
      <c r="BB101" s="23" t="n">
        <f aca="false">BB$21*(0-Planner!$C$43)</f>
        <v>-0.252</v>
      </c>
      <c r="BC101" s="23" t="n">
        <f aca="false">BC$21*(0-Planner!$C$43)</f>
        <v>-0.238</v>
      </c>
      <c r="BD101" s="23" t="n">
        <f aca="false">BD$21*(0-Planner!$C$43)</f>
        <v>-0.3185</v>
      </c>
      <c r="BE101" s="23" t="n">
        <f aca="false">BE$21*(0-Planner!$C$43)</f>
        <v>-1.0745</v>
      </c>
      <c r="BF101" s="23" t="n">
        <f aca="false">BF$21*(0-Planner!$C$43)</f>
        <v>-0.2345</v>
      </c>
      <c r="BG101" s="23" t="n">
        <f aca="false">BG$21*(0-Planner!$C$43)</f>
        <v>-1.085</v>
      </c>
      <c r="BH101" s="23" t="n">
        <f aca="false">BH$21*(0-Planner!$C$43)</f>
        <v>-0.3255</v>
      </c>
      <c r="BI101" s="23" t="n">
        <f aca="false">BI$21*(0-Planner!$C$43)</f>
        <v>-0.392</v>
      </c>
      <c r="BJ101" s="23" t="n">
        <f aca="false">BJ$21*(0-Planner!$C$43)</f>
        <v>-0.301</v>
      </c>
      <c r="BK101" s="23" t="n">
        <f aca="false">BK$21*(0-Planner!$C$43)</f>
        <v>-1.001</v>
      </c>
      <c r="BL101" s="23" t="n">
        <f aca="false">BL$21*(0-Planner!$C$43)</f>
        <v>-0.385</v>
      </c>
      <c r="BM101" s="23" t="n">
        <f aca="false">BM$21*(0-Planner!$C$43)</f>
        <v>-0.4305</v>
      </c>
      <c r="BN101" s="23" t="n">
        <f aca="false">BN$21*(0-Planner!$C$43)</f>
        <v>-1.001</v>
      </c>
      <c r="BO101" s="23" t="n">
        <f aca="false">BO$21*(0-Planner!$C$43)</f>
        <v>-0.308</v>
      </c>
      <c r="BP101" s="23" t="n">
        <f aca="false">BP$21*(0-Planner!$C$43)</f>
        <v>-0.2975</v>
      </c>
      <c r="BQ101" s="23" t="n">
        <f aca="false">BQ$21*(0-Planner!$C$43)</f>
        <v>-0</v>
      </c>
      <c r="BR101" s="23" t="n">
        <f aca="false">BR$21*(0-Planner!$C$43)</f>
        <v>-0</v>
      </c>
      <c r="BS101" s="23" t="n">
        <f aca="false">BS$21*(0-Planner!$C$43)</f>
        <v>-7.4025</v>
      </c>
      <c r="BT101" s="23" t="n">
        <f aca="false">BT$21*(0-Planner!$C$43)</f>
        <v>-0.686</v>
      </c>
      <c r="BU101" s="23" t="n">
        <f aca="false">BU$21*(0-Planner!$C$43)</f>
        <v>-1.785</v>
      </c>
      <c r="BV101" s="23" t="n">
        <f aca="false">BV$21*(0-Planner!$C$43)</f>
        <v>-1.9775</v>
      </c>
      <c r="BW101" s="23" t="n">
        <f aca="false">BW$21*(0-Planner!$C$43)</f>
        <v>-2.2365</v>
      </c>
      <c r="BX101" s="23" t="n">
        <f aca="false">BX$21*(0-Planner!$C$43)</f>
        <v>-1.225</v>
      </c>
    </row>
    <row r="102" customFormat="false" ht="15" hidden="false" customHeight="false" outlineLevel="0" collapsed="false">
      <c r="A102" s="4" t="s">
        <v>782</v>
      </c>
      <c r="B102" s="81" t="s">
        <v>767</v>
      </c>
      <c r="C102" s="84" t="n">
        <v>0</v>
      </c>
      <c r="D102" s="83" t="n">
        <v>-39.1999999928075</v>
      </c>
      <c r="E102" s="81" t="str">
        <f aca="false">IF(D102&lt;=C102+0.000001*MAX(1,ABS(C102)),IF(ABS(D102-C102)&lt;=0.000001*MAX(1,ABS(C102)),"tight","ok"),"VIOLATED")</f>
        <v>ok</v>
      </c>
      <c r="F102" s="23" t="n">
        <f aca="false">F$21*(0-Planner!$C$43)</f>
        <v>-10.857</v>
      </c>
      <c r="G102" s="23" t="n">
        <f aca="false">G$21*(0-Planner!$C$43)</f>
        <v>-8.1725</v>
      </c>
      <c r="H102" s="23" t="n">
        <f aca="false">H$21*(0-Planner!$C$43)</f>
        <v>-8.666</v>
      </c>
      <c r="I102" s="23" t="n">
        <f aca="false">I$21*(0-Planner!$C$43)</f>
        <v>-5.7155</v>
      </c>
      <c r="J102" s="23" t="n">
        <f aca="false">J$21*(0-Planner!$C$43)</f>
        <v>-9.485</v>
      </c>
      <c r="K102" s="23" t="n">
        <f aca="false">K$21*(0-Planner!$C$43)</f>
        <v>-11.872</v>
      </c>
      <c r="L102" s="23" t="n">
        <f aca="false">L$21*(0-Planner!$C$43)</f>
        <v>-9.45</v>
      </c>
      <c r="M102" s="23" t="n">
        <f aca="false">M$21*(0-Planner!$C$43)</f>
        <v>-10.108</v>
      </c>
      <c r="N102" s="23" t="n">
        <f aca="false">N$21*(0-Planner!$C$43)</f>
        <v>-5.81</v>
      </c>
      <c r="O102" s="23" t="n">
        <f aca="false">O$21*(0-Planner!$C$43)</f>
        <v>-9.338</v>
      </c>
      <c r="P102" s="23" t="n">
        <f aca="false">P$21*(0-Planner!$C$43)</f>
        <v>-9.38</v>
      </c>
      <c r="Q102" s="23" t="n">
        <f aca="false">Q$21*(0-Planner!$C$43)</f>
        <v>-6.804</v>
      </c>
      <c r="R102" s="23" t="n">
        <f aca="false">R$21*(0-Planner!$C$43)</f>
        <v>-7.735</v>
      </c>
      <c r="S102" s="23" t="n">
        <f aca="false">S$21*(0-Planner!$C$43)</f>
        <v>-7.973</v>
      </c>
      <c r="T102" s="23" t="n">
        <f aca="false">T$21*(0-Planner!$C$43)</f>
        <v>-9.1525</v>
      </c>
      <c r="U102" s="23" t="n">
        <f aca="false">U$21*(1-Planner!$C$43)</f>
        <v>8.164</v>
      </c>
      <c r="V102" s="23" t="n">
        <f aca="false">V$21*(0-Planner!$C$43)</f>
        <v>-2.1105</v>
      </c>
      <c r="W102" s="23" t="n">
        <f aca="false">W$21*(0-Planner!$C$43)</f>
        <v>-1.722</v>
      </c>
      <c r="X102" s="23" t="n">
        <f aca="false">X$21*(0-Planner!$C$43)</f>
        <v>-3.157</v>
      </c>
      <c r="Y102" s="23" t="n">
        <f aca="false">Y$21*(0-Planner!$C$43)</f>
        <v>-7.7735</v>
      </c>
      <c r="Z102" s="23" t="n">
        <f aca="false">Z$21*(0-Planner!$C$43)</f>
        <v>-3.1535</v>
      </c>
      <c r="AA102" s="23" t="n">
        <f aca="false">AA$21*(0-Planner!$C$43)</f>
        <v>-3.535</v>
      </c>
      <c r="AB102" s="23" t="n">
        <f aca="false">AB$21*(0-Planner!$C$43)</f>
        <v>-1.155</v>
      </c>
      <c r="AC102" s="23" t="n">
        <f aca="false">AC$21*(0-Planner!$C$43)</f>
        <v>-3.5665</v>
      </c>
      <c r="AD102" s="23" t="n">
        <f aca="false">AD$21*(0-Planner!$C$43)</f>
        <v>-0.91</v>
      </c>
      <c r="AE102" s="23" t="n">
        <f aca="false">AE$21*(0-Planner!$C$43)</f>
        <v>-1.1025</v>
      </c>
      <c r="AF102" s="23" t="n">
        <f aca="false">AF$21*(0-Planner!$C$43)</f>
        <v>-6.3455</v>
      </c>
      <c r="AG102" s="23" t="n">
        <f aca="false">AG$21*(0-Planner!$C$43)</f>
        <v>-8.0045</v>
      </c>
      <c r="AH102" s="23" t="n">
        <f aca="false">AH$21*(0-Planner!$C$43)</f>
        <v>-3.6575</v>
      </c>
      <c r="AI102" s="23" t="n">
        <f aca="false">AI$21*(0-Planner!$C$43)</f>
        <v>-8.3125</v>
      </c>
      <c r="AJ102" s="23" t="n">
        <f aca="false">AJ$21*(0-Planner!$C$43)</f>
        <v>-3.696</v>
      </c>
      <c r="AK102" s="23" t="n">
        <f aca="false">AK$21*(0-Planner!$C$43)</f>
        <v>-0.959</v>
      </c>
      <c r="AL102" s="23" t="n">
        <f aca="false">AL$21*(0-Planner!$C$43)</f>
        <v>-4.2315</v>
      </c>
      <c r="AM102" s="23" t="n">
        <f aca="false">AM$21*(0-Planner!$C$43)</f>
        <v>-1.995</v>
      </c>
      <c r="AN102" s="23" t="n">
        <f aca="false">AN$21*(0-Planner!$C$43)</f>
        <v>-2.8035</v>
      </c>
      <c r="AO102" s="23" t="n">
        <f aca="false">AO$21*(0-Planner!$C$43)</f>
        <v>-0.889</v>
      </c>
      <c r="AP102" s="23" t="n">
        <f aca="false">AP$21*(0-Planner!$C$43)</f>
        <v>-1.54</v>
      </c>
      <c r="AQ102" s="23" t="n">
        <f aca="false">AQ$21*(0-Planner!$C$43)</f>
        <v>-2.03</v>
      </c>
      <c r="AR102" s="23" t="n">
        <f aca="false">AR$21*(0-Planner!$C$43)</f>
        <v>-3.0975</v>
      </c>
      <c r="AS102" s="23" t="n">
        <f aca="false">AS$21*(0-Planner!$C$43)</f>
        <v>-0.9415</v>
      </c>
      <c r="AT102" s="23" t="n">
        <f aca="false">AT$21*(0-Planner!$C$43)</f>
        <v>-4.3575</v>
      </c>
      <c r="AU102" s="23" t="n">
        <f aca="false">AU$21*(0-Planner!$C$43)</f>
        <v>-2.0965</v>
      </c>
      <c r="AV102" s="23" t="n">
        <f aca="false">AV$21*(0-Planner!$C$43)</f>
        <v>-0.875</v>
      </c>
      <c r="AW102" s="23" t="n">
        <f aca="false">AW$21*(0-Planner!$C$43)</f>
        <v>-0.7035</v>
      </c>
      <c r="AX102" s="23" t="n">
        <f aca="false">AX$21*(0-Planner!$C$43)</f>
        <v>-0.8925</v>
      </c>
      <c r="AY102" s="23" t="n">
        <f aca="false">AY$21*(0-Planner!$C$43)</f>
        <v>-0.091</v>
      </c>
      <c r="AZ102" s="23" t="n">
        <f aca="false">AZ$21*(0-Planner!$C$43)</f>
        <v>-0.3815</v>
      </c>
      <c r="BA102" s="23" t="n">
        <f aca="false">BA$21*(0-Planner!$C$43)</f>
        <v>-0.147</v>
      </c>
      <c r="BB102" s="23" t="n">
        <f aca="false">BB$21*(0-Planner!$C$43)</f>
        <v>-0.252</v>
      </c>
      <c r="BC102" s="23" t="n">
        <f aca="false">BC$21*(0-Planner!$C$43)</f>
        <v>-0.238</v>
      </c>
      <c r="BD102" s="23" t="n">
        <f aca="false">BD$21*(0-Planner!$C$43)</f>
        <v>-0.3185</v>
      </c>
      <c r="BE102" s="23" t="n">
        <f aca="false">BE$21*(0-Planner!$C$43)</f>
        <v>-1.0745</v>
      </c>
      <c r="BF102" s="23" t="n">
        <f aca="false">BF$21*(0-Planner!$C$43)</f>
        <v>-0.2345</v>
      </c>
      <c r="BG102" s="23" t="n">
        <f aca="false">BG$21*(0-Planner!$C$43)</f>
        <v>-1.085</v>
      </c>
      <c r="BH102" s="23" t="n">
        <f aca="false">BH$21*(0-Planner!$C$43)</f>
        <v>-0.3255</v>
      </c>
      <c r="BI102" s="23" t="n">
        <f aca="false">BI$21*(0-Planner!$C$43)</f>
        <v>-0.392</v>
      </c>
      <c r="BJ102" s="23" t="n">
        <f aca="false">BJ$21*(0-Planner!$C$43)</f>
        <v>-0.301</v>
      </c>
      <c r="BK102" s="23" t="n">
        <f aca="false">BK$21*(0-Planner!$C$43)</f>
        <v>-1.001</v>
      </c>
      <c r="BL102" s="23" t="n">
        <f aca="false">BL$21*(0-Planner!$C$43)</f>
        <v>-0.385</v>
      </c>
      <c r="BM102" s="23" t="n">
        <f aca="false">BM$21*(0-Planner!$C$43)</f>
        <v>-0.4305</v>
      </c>
      <c r="BN102" s="23" t="n">
        <f aca="false">BN$21*(0-Planner!$C$43)</f>
        <v>-1.001</v>
      </c>
      <c r="BO102" s="23" t="n">
        <f aca="false">BO$21*(0-Planner!$C$43)</f>
        <v>-0.308</v>
      </c>
      <c r="BP102" s="23" t="n">
        <f aca="false">BP$21*(0-Planner!$C$43)</f>
        <v>-0.2975</v>
      </c>
      <c r="BQ102" s="23" t="n">
        <f aca="false">BQ$21*(0-Planner!$C$43)</f>
        <v>-0</v>
      </c>
      <c r="BR102" s="23" t="n">
        <f aca="false">BR$21*(0-Planner!$C$43)</f>
        <v>-0</v>
      </c>
      <c r="BS102" s="23" t="n">
        <f aca="false">BS$21*(0-Planner!$C$43)</f>
        <v>-7.4025</v>
      </c>
      <c r="BT102" s="23" t="n">
        <f aca="false">BT$21*(0-Planner!$C$43)</f>
        <v>-0.686</v>
      </c>
      <c r="BU102" s="23" t="n">
        <f aca="false">BU$21*(0-Planner!$C$43)</f>
        <v>-1.785</v>
      </c>
      <c r="BV102" s="23" t="n">
        <f aca="false">BV$21*(0-Planner!$C$43)</f>
        <v>-1.9775</v>
      </c>
      <c r="BW102" s="23" t="n">
        <f aca="false">BW$21*(0-Planner!$C$43)</f>
        <v>-2.2365</v>
      </c>
      <c r="BX102" s="23" t="n">
        <f aca="false">BX$21*(0-Planner!$C$43)</f>
        <v>-1.225</v>
      </c>
    </row>
    <row r="103" customFormat="false" ht="15" hidden="false" customHeight="false" outlineLevel="0" collapsed="false">
      <c r="A103" s="4" t="s">
        <v>783</v>
      </c>
      <c r="B103" s="81" t="s">
        <v>767</v>
      </c>
      <c r="C103" s="84" t="n">
        <v>0</v>
      </c>
      <c r="D103" s="83" t="n">
        <v>-39.0065329533275</v>
      </c>
      <c r="E103" s="81" t="str">
        <f aca="false">IF(D103&lt;=C103+0.000001*MAX(1,ABS(C103)),IF(ABS(D103-C103)&lt;=0.000001*MAX(1,ABS(C103)),"tight","ok"),"VIOLATED")</f>
        <v>ok</v>
      </c>
      <c r="F103" s="23" t="n">
        <f aca="false">F$21*(0-Planner!$C$43)</f>
        <v>-10.857</v>
      </c>
      <c r="G103" s="23" t="n">
        <f aca="false">G$21*(0-Planner!$C$43)</f>
        <v>-8.1725</v>
      </c>
      <c r="H103" s="23" t="n">
        <f aca="false">H$21*(0-Planner!$C$43)</f>
        <v>-8.666</v>
      </c>
      <c r="I103" s="23" t="n">
        <f aca="false">I$21*(0-Planner!$C$43)</f>
        <v>-5.7155</v>
      </c>
      <c r="J103" s="23" t="n">
        <f aca="false">J$21*(0-Planner!$C$43)</f>
        <v>-9.485</v>
      </c>
      <c r="K103" s="23" t="n">
        <f aca="false">K$21*(0-Planner!$C$43)</f>
        <v>-11.872</v>
      </c>
      <c r="L103" s="23" t="n">
        <f aca="false">L$21*(0-Planner!$C$43)</f>
        <v>-9.45</v>
      </c>
      <c r="M103" s="23" t="n">
        <f aca="false">M$21*(0-Planner!$C$43)</f>
        <v>-10.108</v>
      </c>
      <c r="N103" s="23" t="n">
        <f aca="false">N$21*(0-Planner!$C$43)</f>
        <v>-5.81</v>
      </c>
      <c r="O103" s="23" t="n">
        <f aca="false">O$21*(0-Planner!$C$43)</f>
        <v>-9.338</v>
      </c>
      <c r="P103" s="23" t="n">
        <f aca="false">P$21*(0-Planner!$C$43)</f>
        <v>-9.38</v>
      </c>
      <c r="Q103" s="23" t="n">
        <f aca="false">Q$21*(0-Planner!$C$43)</f>
        <v>-6.804</v>
      </c>
      <c r="R103" s="23" t="n">
        <f aca="false">R$21*(0-Planner!$C$43)</f>
        <v>-7.735</v>
      </c>
      <c r="S103" s="23" t="n">
        <f aca="false">S$21*(0-Planner!$C$43)</f>
        <v>-7.973</v>
      </c>
      <c r="T103" s="23" t="n">
        <f aca="false">T$21*(0-Planner!$C$43)</f>
        <v>-9.1525</v>
      </c>
      <c r="U103" s="23" t="n">
        <f aca="false">U$21*(0-Planner!$C$43)</f>
        <v>-4.396</v>
      </c>
      <c r="V103" s="23" t="n">
        <f aca="false">V$21*(0-Planner!$C$43)</f>
        <v>-2.1105</v>
      </c>
      <c r="W103" s="23" t="n">
        <f aca="false">W$21*(0-Planner!$C$43)</f>
        <v>-1.722</v>
      </c>
      <c r="X103" s="23" t="n">
        <f aca="false">X$21*(1-Planner!$C$43)</f>
        <v>5.863</v>
      </c>
      <c r="Y103" s="23" t="n">
        <f aca="false">Y$21*(0-Planner!$C$43)</f>
        <v>-7.7735</v>
      </c>
      <c r="Z103" s="23" t="n">
        <f aca="false">Z$21*(0-Planner!$C$43)</f>
        <v>-3.1535</v>
      </c>
      <c r="AA103" s="23" t="n">
        <f aca="false">AA$21*(0-Planner!$C$43)</f>
        <v>-3.535</v>
      </c>
      <c r="AB103" s="23" t="n">
        <f aca="false">AB$21*(0-Planner!$C$43)</f>
        <v>-1.155</v>
      </c>
      <c r="AC103" s="23" t="n">
        <f aca="false">AC$21*(0-Planner!$C$43)</f>
        <v>-3.5665</v>
      </c>
      <c r="AD103" s="23" t="n">
        <f aca="false">AD$21*(0-Planner!$C$43)</f>
        <v>-0.91</v>
      </c>
      <c r="AE103" s="23" t="n">
        <f aca="false">AE$21*(0-Planner!$C$43)</f>
        <v>-1.1025</v>
      </c>
      <c r="AF103" s="23" t="n">
        <f aca="false">AF$21*(0-Planner!$C$43)</f>
        <v>-6.3455</v>
      </c>
      <c r="AG103" s="23" t="n">
        <f aca="false">AG$21*(0-Planner!$C$43)</f>
        <v>-8.0045</v>
      </c>
      <c r="AH103" s="23" t="n">
        <f aca="false">AH$21*(0-Planner!$C$43)</f>
        <v>-3.6575</v>
      </c>
      <c r="AI103" s="23" t="n">
        <f aca="false">AI$21*(0-Planner!$C$43)</f>
        <v>-8.3125</v>
      </c>
      <c r="AJ103" s="23" t="n">
        <f aca="false">AJ$21*(0-Planner!$C$43)</f>
        <v>-3.696</v>
      </c>
      <c r="AK103" s="23" t="n">
        <f aca="false">AK$21*(0-Planner!$C$43)</f>
        <v>-0.959</v>
      </c>
      <c r="AL103" s="23" t="n">
        <f aca="false">AL$21*(0-Planner!$C$43)</f>
        <v>-4.2315</v>
      </c>
      <c r="AM103" s="23" t="n">
        <f aca="false">AM$21*(0-Planner!$C$43)</f>
        <v>-1.995</v>
      </c>
      <c r="AN103" s="23" t="n">
        <f aca="false">AN$21*(0-Planner!$C$43)</f>
        <v>-2.8035</v>
      </c>
      <c r="AO103" s="23" t="n">
        <f aca="false">AO$21*(0-Planner!$C$43)</f>
        <v>-0.889</v>
      </c>
      <c r="AP103" s="23" t="n">
        <f aca="false">AP$21*(0-Planner!$C$43)</f>
        <v>-1.54</v>
      </c>
      <c r="AQ103" s="23" t="n">
        <f aca="false">AQ$21*(0-Planner!$C$43)</f>
        <v>-2.03</v>
      </c>
      <c r="AR103" s="23" t="n">
        <f aca="false">AR$21*(0-Planner!$C$43)</f>
        <v>-3.0975</v>
      </c>
      <c r="AS103" s="23" t="n">
        <f aca="false">AS$21*(0-Planner!$C$43)</f>
        <v>-0.9415</v>
      </c>
      <c r="AT103" s="23" t="n">
        <f aca="false">AT$21*(0-Planner!$C$43)</f>
        <v>-4.3575</v>
      </c>
      <c r="AU103" s="23" t="n">
        <f aca="false">AU$21*(0-Planner!$C$43)</f>
        <v>-2.0965</v>
      </c>
      <c r="AV103" s="23" t="n">
        <f aca="false">AV$21*(0-Planner!$C$43)</f>
        <v>-0.875</v>
      </c>
      <c r="AW103" s="23" t="n">
        <f aca="false">AW$21*(0-Planner!$C$43)</f>
        <v>-0.7035</v>
      </c>
      <c r="AX103" s="23" t="n">
        <f aca="false">AX$21*(0-Planner!$C$43)</f>
        <v>-0.8925</v>
      </c>
      <c r="AY103" s="23" t="n">
        <f aca="false">AY$21*(0-Planner!$C$43)</f>
        <v>-0.091</v>
      </c>
      <c r="AZ103" s="23" t="n">
        <f aca="false">AZ$21*(0-Planner!$C$43)</f>
        <v>-0.3815</v>
      </c>
      <c r="BA103" s="23" t="n">
        <f aca="false">BA$21*(0-Planner!$C$43)</f>
        <v>-0.147</v>
      </c>
      <c r="BB103" s="23" t="n">
        <f aca="false">BB$21*(0-Planner!$C$43)</f>
        <v>-0.252</v>
      </c>
      <c r="BC103" s="23" t="n">
        <f aca="false">BC$21*(0-Planner!$C$43)</f>
        <v>-0.238</v>
      </c>
      <c r="BD103" s="23" t="n">
        <f aca="false">BD$21*(0-Planner!$C$43)</f>
        <v>-0.3185</v>
      </c>
      <c r="BE103" s="23" t="n">
        <f aca="false">BE$21*(0-Planner!$C$43)</f>
        <v>-1.0745</v>
      </c>
      <c r="BF103" s="23" t="n">
        <f aca="false">BF$21*(0-Planner!$C$43)</f>
        <v>-0.2345</v>
      </c>
      <c r="BG103" s="23" t="n">
        <f aca="false">BG$21*(0-Planner!$C$43)</f>
        <v>-1.085</v>
      </c>
      <c r="BH103" s="23" t="n">
        <f aca="false">BH$21*(0-Planner!$C$43)</f>
        <v>-0.3255</v>
      </c>
      <c r="BI103" s="23" t="n">
        <f aca="false">BI$21*(0-Planner!$C$43)</f>
        <v>-0.392</v>
      </c>
      <c r="BJ103" s="23" t="n">
        <f aca="false">BJ$21*(0-Planner!$C$43)</f>
        <v>-0.301</v>
      </c>
      <c r="BK103" s="23" t="n">
        <f aca="false">BK$21*(0-Planner!$C$43)</f>
        <v>-1.001</v>
      </c>
      <c r="BL103" s="23" t="n">
        <f aca="false">BL$21*(0-Planner!$C$43)</f>
        <v>-0.385</v>
      </c>
      <c r="BM103" s="23" t="n">
        <f aca="false">BM$21*(0-Planner!$C$43)</f>
        <v>-0.4305</v>
      </c>
      <c r="BN103" s="23" t="n">
        <f aca="false">BN$21*(0-Planner!$C$43)</f>
        <v>-1.001</v>
      </c>
      <c r="BO103" s="23" t="n">
        <f aca="false">BO$21*(0-Planner!$C$43)</f>
        <v>-0.308</v>
      </c>
      <c r="BP103" s="23" t="n">
        <f aca="false">BP$21*(0-Planner!$C$43)</f>
        <v>-0.2975</v>
      </c>
      <c r="BQ103" s="23" t="n">
        <f aca="false">BQ$21*(0-Planner!$C$43)</f>
        <v>-0</v>
      </c>
      <c r="BR103" s="23" t="n">
        <f aca="false">BR$21*(0-Planner!$C$43)</f>
        <v>-0</v>
      </c>
      <c r="BS103" s="23" t="n">
        <f aca="false">BS$21*(0-Planner!$C$43)</f>
        <v>-7.4025</v>
      </c>
      <c r="BT103" s="23" t="n">
        <f aca="false">BT$21*(0-Planner!$C$43)</f>
        <v>-0.686</v>
      </c>
      <c r="BU103" s="23" t="n">
        <f aca="false">BU$21*(0-Planner!$C$43)</f>
        <v>-1.785</v>
      </c>
      <c r="BV103" s="23" t="n">
        <f aca="false">BV$21*(0-Planner!$C$43)</f>
        <v>-1.9775</v>
      </c>
      <c r="BW103" s="23" t="n">
        <f aca="false">BW$21*(0-Planner!$C$43)</f>
        <v>-2.2365</v>
      </c>
      <c r="BX103" s="23" t="n">
        <f aca="false">BX$21*(0-Planner!$C$43)</f>
        <v>-1.225</v>
      </c>
    </row>
    <row r="104" customFormat="false" ht="15" hidden="false" customHeight="false" outlineLevel="0" collapsed="false">
      <c r="A104" s="4" t="s">
        <v>784</v>
      </c>
      <c r="B104" s="81" t="s">
        <v>767</v>
      </c>
      <c r="C104" s="84" t="n">
        <v>0</v>
      </c>
      <c r="D104" s="83" t="n">
        <v>-24.9855999928075</v>
      </c>
      <c r="E104" s="81" t="str">
        <f aca="false">IF(D104&lt;=C104+0.000001*MAX(1,ABS(C104)),IF(ABS(D104-C104)&lt;=0.000001*MAX(1,ABS(C104)),"tight","ok"),"VIOLATED")</f>
        <v>ok</v>
      </c>
      <c r="F104" s="23" t="n">
        <f aca="false">F$21*(0-Planner!$C$43)</f>
        <v>-10.857</v>
      </c>
      <c r="G104" s="23" t="n">
        <f aca="false">G$21*(0-Planner!$C$43)</f>
        <v>-8.1725</v>
      </c>
      <c r="H104" s="23" t="n">
        <f aca="false">H$21*(0-Planner!$C$43)</f>
        <v>-8.666</v>
      </c>
      <c r="I104" s="23" t="n">
        <f aca="false">I$21*(0-Planner!$C$43)</f>
        <v>-5.7155</v>
      </c>
      <c r="J104" s="23" t="n">
        <f aca="false">J$21*(0-Planner!$C$43)</f>
        <v>-9.485</v>
      </c>
      <c r="K104" s="23" t="n">
        <f aca="false">K$21*(0-Planner!$C$43)</f>
        <v>-11.872</v>
      </c>
      <c r="L104" s="23" t="n">
        <f aca="false">L$21*(0-Planner!$C$43)</f>
        <v>-9.45</v>
      </c>
      <c r="M104" s="23" t="n">
        <f aca="false">M$21*(0-Planner!$C$43)</f>
        <v>-10.108</v>
      </c>
      <c r="N104" s="23" t="n">
        <f aca="false">N$21*(0-Planner!$C$43)</f>
        <v>-5.81</v>
      </c>
      <c r="O104" s="23" t="n">
        <f aca="false">O$21*(0-Planner!$C$43)</f>
        <v>-9.338</v>
      </c>
      <c r="P104" s="23" t="n">
        <f aca="false">P$21*(0-Planner!$C$43)</f>
        <v>-9.38</v>
      </c>
      <c r="Q104" s="23" t="n">
        <f aca="false">Q$21*(0-Planner!$C$43)</f>
        <v>-6.804</v>
      </c>
      <c r="R104" s="23" t="n">
        <f aca="false">R$21*(0-Planner!$C$43)</f>
        <v>-7.735</v>
      </c>
      <c r="S104" s="23" t="n">
        <f aca="false">S$21*(0-Planner!$C$43)</f>
        <v>-7.973</v>
      </c>
      <c r="T104" s="23" t="n">
        <f aca="false">T$21*(0-Planner!$C$43)</f>
        <v>-9.1525</v>
      </c>
      <c r="U104" s="23" t="n">
        <f aca="false">U$21*(0-Planner!$C$43)</f>
        <v>-4.396</v>
      </c>
      <c r="V104" s="23" t="n">
        <f aca="false">V$21*(0-Planner!$C$43)</f>
        <v>-2.1105</v>
      </c>
      <c r="W104" s="23" t="n">
        <f aca="false">W$21*(0-Planner!$C$43)</f>
        <v>-1.722</v>
      </c>
      <c r="X104" s="23" t="n">
        <f aca="false">X$21*(0-Planner!$C$43)</f>
        <v>-3.157</v>
      </c>
      <c r="Y104" s="23" t="n">
        <f aca="false">Y$21*(1-Planner!$C$43)</f>
        <v>14.4365</v>
      </c>
      <c r="Z104" s="23" t="n">
        <f aca="false">Z$21*(0-Planner!$C$43)</f>
        <v>-3.1535</v>
      </c>
      <c r="AA104" s="23" t="n">
        <f aca="false">AA$21*(0-Planner!$C$43)</f>
        <v>-3.535</v>
      </c>
      <c r="AB104" s="23" t="n">
        <f aca="false">AB$21*(0-Planner!$C$43)</f>
        <v>-1.155</v>
      </c>
      <c r="AC104" s="23" t="n">
        <f aca="false">AC$21*(0-Planner!$C$43)</f>
        <v>-3.5665</v>
      </c>
      <c r="AD104" s="23" t="n">
        <f aca="false">AD$21*(0-Planner!$C$43)</f>
        <v>-0.91</v>
      </c>
      <c r="AE104" s="23" t="n">
        <f aca="false">AE$21*(0-Planner!$C$43)</f>
        <v>-1.1025</v>
      </c>
      <c r="AF104" s="23" t="n">
        <f aca="false">AF$21*(0-Planner!$C$43)</f>
        <v>-6.3455</v>
      </c>
      <c r="AG104" s="23" t="n">
        <f aca="false">AG$21*(0-Planner!$C$43)</f>
        <v>-8.0045</v>
      </c>
      <c r="AH104" s="23" t="n">
        <f aca="false">AH$21*(0-Planner!$C$43)</f>
        <v>-3.6575</v>
      </c>
      <c r="AI104" s="23" t="n">
        <f aca="false">AI$21*(0-Planner!$C$43)</f>
        <v>-8.3125</v>
      </c>
      <c r="AJ104" s="23" t="n">
        <f aca="false">AJ$21*(0-Planner!$C$43)</f>
        <v>-3.696</v>
      </c>
      <c r="AK104" s="23" t="n">
        <f aca="false">AK$21*(0-Planner!$C$43)</f>
        <v>-0.959</v>
      </c>
      <c r="AL104" s="23" t="n">
        <f aca="false">AL$21*(0-Planner!$C$43)</f>
        <v>-4.2315</v>
      </c>
      <c r="AM104" s="23" t="n">
        <f aca="false">AM$21*(0-Planner!$C$43)</f>
        <v>-1.995</v>
      </c>
      <c r="AN104" s="23" t="n">
        <f aca="false">AN$21*(0-Planner!$C$43)</f>
        <v>-2.8035</v>
      </c>
      <c r="AO104" s="23" t="n">
        <f aca="false">AO$21*(0-Planner!$C$43)</f>
        <v>-0.889</v>
      </c>
      <c r="AP104" s="23" t="n">
        <f aca="false">AP$21*(0-Planner!$C$43)</f>
        <v>-1.54</v>
      </c>
      <c r="AQ104" s="23" t="n">
        <f aca="false">AQ$21*(0-Planner!$C$43)</f>
        <v>-2.03</v>
      </c>
      <c r="AR104" s="23" t="n">
        <f aca="false">AR$21*(0-Planner!$C$43)</f>
        <v>-3.0975</v>
      </c>
      <c r="AS104" s="23" t="n">
        <f aca="false">AS$21*(0-Planner!$C$43)</f>
        <v>-0.9415</v>
      </c>
      <c r="AT104" s="23" t="n">
        <f aca="false">AT$21*(0-Planner!$C$43)</f>
        <v>-4.3575</v>
      </c>
      <c r="AU104" s="23" t="n">
        <f aca="false">AU$21*(0-Planner!$C$43)</f>
        <v>-2.0965</v>
      </c>
      <c r="AV104" s="23" t="n">
        <f aca="false">AV$21*(0-Planner!$C$43)</f>
        <v>-0.875</v>
      </c>
      <c r="AW104" s="23" t="n">
        <f aca="false">AW$21*(0-Planner!$C$43)</f>
        <v>-0.7035</v>
      </c>
      <c r="AX104" s="23" t="n">
        <f aca="false">AX$21*(0-Planner!$C$43)</f>
        <v>-0.8925</v>
      </c>
      <c r="AY104" s="23" t="n">
        <f aca="false">AY$21*(0-Planner!$C$43)</f>
        <v>-0.091</v>
      </c>
      <c r="AZ104" s="23" t="n">
        <f aca="false">AZ$21*(0-Planner!$C$43)</f>
        <v>-0.3815</v>
      </c>
      <c r="BA104" s="23" t="n">
        <f aca="false">BA$21*(0-Planner!$C$43)</f>
        <v>-0.147</v>
      </c>
      <c r="BB104" s="23" t="n">
        <f aca="false">BB$21*(0-Planner!$C$43)</f>
        <v>-0.252</v>
      </c>
      <c r="BC104" s="23" t="n">
        <f aca="false">BC$21*(0-Planner!$C$43)</f>
        <v>-0.238</v>
      </c>
      <c r="BD104" s="23" t="n">
        <f aca="false">BD$21*(0-Planner!$C$43)</f>
        <v>-0.3185</v>
      </c>
      <c r="BE104" s="23" t="n">
        <f aca="false">BE$21*(0-Planner!$C$43)</f>
        <v>-1.0745</v>
      </c>
      <c r="BF104" s="23" t="n">
        <f aca="false">BF$21*(0-Planner!$C$43)</f>
        <v>-0.2345</v>
      </c>
      <c r="BG104" s="23" t="n">
        <f aca="false">BG$21*(0-Planner!$C$43)</f>
        <v>-1.085</v>
      </c>
      <c r="BH104" s="23" t="n">
        <f aca="false">BH$21*(0-Planner!$C$43)</f>
        <v>-0.3255</v>
      </c>
      <c r="BI104" s="23" t="n">
        <f aca="false">BI$21*(0-Planner!$C$43)</f>
        <v>-0.392</v>
      </c>
      <c r="BJ104" s="23" t="n">
        <f aca="false">BJ$21*(0-Planner!$C$43)</f>
        <v>-0.301</v>
      </c>
      <c r="BK104" s="23" t="n">
        <f aca="false">BK$21*(0-Planner!$C$43)</f>
        <v>-1.001</v>
      </c>
      <c r="BL104" s="23" t="n">
        <f aca="false">BL$21*(0-Planner!$C$43)</f>
        <v>-0.385</v>
      </c>
      <c r="BM104" s="23" t="n">
        <f aca="false">BM$21*(0-Planner!$C$43)</f>
        <v>-0.4305</v>
      </c>
      <c r="BN104" s="23" t="n">
        <f aca="false">BN$21*(0-Planner!$C$43)</f>
        <v>-1.001</v>
      </c>
      <c r="BO104" s="23" t="n">
        <f aca="false">BO$21*(0-Planner!$C$43)</f>
        <v>-0.308</v>
      </c>
      <c r="BP104" s="23" t="n">
        <f aca="false">BP$21*(0-Planner!$C$43)</f>
        <v>-0.2975</v>
      </c>
      <c r="BQ104" s="23" t="n">
        <f aca="false">BQ$21*(0-Planner!$C$43)</f>
        <v>-0</v>
      </c>
      <c r="BR104" s="23" t="n">
        <f aca="false">BR$21*(0-Planner!$C$43)</f>
        <v>-0</v>
      </c>
      <c r="BS104" s="23" t="n">
        <f aca="false">BS$21*(0-Planner!$C$43)</f>
        <v>-7.4025</v>
      </c>
      <c r="BT104" s="23" t="n">
        <f aca="false">BT$21*(0-Planner!$C$43)</f>
        <v>-0.686</v>
      </c>
      <c r="BU104" s="23" t="n">
        <f aca="false">BU$21*(0-Planner!$C$43)</f>
        <v>-1.785</v>
      </c>
      <c r="BV104" s="23" t="n">
        <f aca="false">BV$21*(0-Planner!$C$43)</f>
        <v>-1.9775</v>
      </c>
      <c r="BW104" s="23" t="n">
        <f aca="false">BW$21*(0-Planner!$C$43)</f>
        <v>-2.2365</v>
      </c>
      <c r="BX104" s="23" t="n">
        <f aca="false">BX$21*(0-Planner!$C$43)</f>
        <v>-1.225</v>
      </c>
    </row>
    <row r="105" customFormat="false" ht="15" hidden="false" customHeight="false" outlineLevel="0" collapsed="false">
      <c r="A105" s="4" t="s">
        <v>785</v>
      </c>
      <c r="B105" s="81" t="s">
        <v>767</v>
      </c>
      <c r="C105" s="84" t="n">
        <v>0</v>
      </c>
      <c r="D105" s="83" t="n">
        <v>-23.7928999928075</v>
      </c>
      <c r="E105" s="81" t="str">
        <f aca="false">IF(D105&lt;=C105+0.000001*MAX(1,ABS(C105)),IF(ABS(D105-C105)&lt;=0.000001*MAX(1,ABS(C105)),"tight","ok"),"VIOLATED")</f>
        <v>ok</v>
      </c>
      <c r="F105" s="23" t="n">
        <f aca="false">F$21*(0-Planner!$C$43)</f>
        <v>-10.857</v>
      </c>
      <c r="G105" s="23" t="n">
        <f aca="false">G$21*(0-Planner!$C$43)</f>
        <v>-8.1725</v>
      </c>
      <c r="H105" s="23" t="n">
        <f aca="false">H$21*(0-Planner!$C$43)</f>
        <v>-8.666</v>
      </c>
      <c r="I105" s="23" t="n">
        <f aca="false">I$21*(0-Planner!$C$43)</f>
        <v>-5.7155</v>
      </c>
      <c r="J105" s="23" t="n">
        <f aca="false">J$21*(0-Planner!$C$43)</f>
        <v>-9.485</v>
      </c>
      <c r="K105" s="23" t="n">
        <f aca="false">K$21*(0-Planner!$C$43)</f>
        <v>-11.872</v>
      </c>
      <c r="L105" s="23" t="n">
        <f aca="false">L$21*(0-Planner!$C$43)</f>
        <v>-9.45</v>
      </c>
      <c r="M105" s="23" t="n">
        <f aca="false">M$21*(0-Planner!$C$43)</f>
        <v>-10.108</v>
      </c>
      <c r="N105" s="23" t="n">
        <f aca="false">N$21*(0-Planner!$C$43)</f>
        <v>-5.81</v>
      </c>
      <c r="O105" s="23" t="n">
        <f aca="false">O$21*(0-Planner!$C$43)</f>
        <v>-9.338</v>
      </c>
      <c r="P105" s="23" t="n">
        <f aca="false">P$21*(0-Planner!$C$43)</f>
        <v>-9.38</v>
      </c>
      <c r="Q105" s="23" t="n">
        <f aca="false">Q$21*(0-Planner!$C$43)</f>
        <v>-6.804</v>
      </c>
      <c r="R105" s="23" t="n">
        <f aca="false">R$21*(0-Planner!$C$43)</f>
        <v>-7.735</v>
      </c>
      <c r="S105" s="23" t="n">
        <f aca="false">S$21*(0-Planner!$C$43)</f>
        <v>-7.973</v>
      </c>
      <c r="T105" s="23" t="n">
        <f aca="false">T$21*(0-Planner!$C$43)</f>
        <v>-9.1525</v>
      </c>
      <c r="U105" s="23" t="n">
        <f aca="false">U$21*(0-Planner!$C$43)</f>
        <v>-4.396</v>
      </c>
      <c r="V105" s="23" t="n">
        <f aca="false">V$21*(0-Planner!$C$43)</f>
        <v>-2.1105</v>
      </c>
      <c r="W105" s="23" t="n">
        <f aca="false">W$21*(0-Planner!$C$43)</f>
        <v>-1.722</v>
      </c>
      <c r="X105" s="23" t="n">
        <f aca="false">X$21*(0-Planner!$C$43)</f>
        <v>-3.157</v>
      </c>
      <c r="Y105" s="23" t="n">
        <f aca="false">Y$21*(0-Planner!$C$43)</f>
        <v>-7.7735</v>
      </c>
      <c r="Z105" s="23" t="n">
        <f aca="false">Z$21*(1-Planner!$C$43)</f>
        <v>5.8565</v>
      </c>
      <c r="AA105" s="23" t="n">
        <f aca="false">AA$21*(0-Planner!$C$43)</f>
        <v>-3.535</v>
      </c>
      <c r="AB105" s="23" t="n">
        <f aca="false">AB$21*(0-Planner!$C$43)</f>
        <v>-1.155</v>
      </c>
      <c r="AC105" s="23" t="n">
        <f aca="false">AC$21*(0-Planner!$C$43)</f>
        <v>-3.5665</v>
      </c>
      <c r="AD105" s="23" t="n">
        <f aca="false">AD$21*(0-Planner!$C$43)</f>
        <v>-0.91</v>
      </c>
      <c r="AE105" s="23" t="n">
        <f aca="false">AE$21*(0-Planner!$C$43)</f>
        <v>-1.1025</v>
      </c>
      <c r="AF105" s="23" t="n">
        <f aca="false">AF$21*(0-Planner!$C$43)</f>
        <v>-6.3455</v>
      </c>
      <c r="AG105" s="23" t="n">
        <f aca="false">AG$21*(0-Planner!$C$43)</f>
        <v>-8.0045</v>
      </c>
      <c r="AH105" s="23" t="n">
        <f aca="false">AH$21*(0-Planner!$C$43)</f>
        <v>-3.6575</v>
      </c>
      <c r="AI105" s="23" t="n">
        <f aca="false">AI$21*(0-Planner!$C$43)</f>
        <v>-8.3125</v>
      </c>
      <c r="AJ105" s="23" t="n">
        <f aca="false">AJ$21*(0-Planner!$C$43)</f>
        <v>-3.696</v>
      </c>
      <c r="AK105" s="23" t="n">
        <f aca="false">AK$21*(0-Planner!$C$43)</f>
        <v>-0.959</v>
      </c>
      <c r="AL105" s="23" t="n">
        <f aca="false">AL$21*(0-Planner!$C$43)</f>
        <v>-4.2315</v>
      </c>
      <c r="AM105" s="23" t="n">
        <f aca="false">AM$21*(0-Planner!$C$43)</f>
        <v>-1.995</v>
      </c>
      <c r="AN105" s="23" t="n">
        <f aca="false">AN$21*(0-Planner!$C$43)</f>
        <v>-2.8035</v>
      </c>
      <c r="AO105" s="23" t="n">
        <f aca="false">AO$21*(0-Planner!$C$43)</f>
        <v>-0.889</v>
      </c>
      <c r="AP105" s="23" t="n">
        <f aca="false">AP$21*(0-Planner!$C$43)</f>
        <v>-1.54</v>
      </c>
      <c r="AQ105" s="23" t="n">
        <f aca="false">AQ$21*(0-Planner!$C$43)</f>
        <v>-2.03</v>
      </c>
      <c r="AR105" s="23" t="n">
        <f aca="false">AR$21*(0-Planner!$C$43)</f>
        <v>-3.0975</v>
      </c>
      <c r="AS105" s="23" t="n">
        <f aca="false">AS$21*(0-Planner!$C$43)</f>
        <v>-0.9415</v>
      </c>
      <c r="AT105" s="23" t="n">
        <f aca="false">AT$21*(0-Planner!$C$43)</f>
        <v>-4.3575</v>
      </c>
      <c r="AU105" s="23" t="n">
        <f aca="false">AU$21*(0-Planner!$C$43)</f>
        <v>-2.0965</v>
      </c>
      <c r="AV105" s="23" t="n">
        <f aca="false">AV$21*(0-Planner!$C$43)</f>
        <v>-0.875</v>
      </c>
      <c r="AW105" s="23" t="n">
        <f aca="false">AW$21*(0-Planner!$C$43)</f>
        <v>-0.7035</v>
      </c>
      <c r="AX105" s="23" t="n">
        <f aca="false">AX$21*(0-Planner!$C$43)</f>
        <v>-0.8925</v>
      </c>
      <c r="AY105" s="23" t="n">
        <f aca="false">AY$21*(0-Planner!$C$43)</f>
        <v>-0.091</v>
      </c>
      <c r="AZ105" s="23" t="n">
        <f aca="false">AZ$21*(0-Planner!$C$43)</f>
        <v>-0.3815</v>
      </c>
      <c r="BA105" s="23" t="n">
        <f aca="false">BA$21*(0-Planner!$C$43)</f>
        <v>-0.147</v>
      </c>
      <c r="BB105" s="23" t="n">
        <f aca="false">BB$21*(0-Planner!$C$43)</f>
        <v>-0.252</v>
      </c>
      <c r="BC105" s="23" t="n">
        <f aca="false">BC$21*(0-Planner!$C$43)</f>
        <v>-0.238</v>
      </c>
      <c r="BD105" s="23" t="n">
        <f aca="false">BD$21*(0-Planner!$C$43)</f>
        <v>-0.3185</v>
      </c>
      <c r="BE105" s="23" t="n">
        <f aca="false">BE$21*(0-Planner!$C$43)</f>
        <v>-1.0745</v>
      </c>
      <c r="BF105" s="23" t="n">
        <f aca="false">BF$21*(0-Planner!$C$43)</f>
        <v>-0.2345</v>
      </c>
      <c r="BG105" s="23" t="n">
        <f aca="false">BG$21*(0-Planner!$C$43)</f>
        <v>-1.085</v>
      </c>
      <c r="BH105" s="23" t="n">
        <f aca="false">BH$21*(0-Planner!$C$43)</f>
        <v>-0.3255</v>
      </c>
      <c r="BI105" s="23" t="n">
        <f aca="false">BI$21*(0-Planner!$C$43)</f>
        <v>-0.392</v>
      </c>
      <c r="BJ105" s="23" t="n">
        <f aca="false">BJ$21*(0-Planner!$C$43)</f>
        <v>-0.301</v>
      </c>
      <c r="BK105" s="23" t="n">
        <f aca="false">BK$21*(0-Planner!$C$43)</f>
        <v>-1.001</v>
      </c>
      <c r="BL105" s="23" t="n">
        <f aca="false">BL$21*(0-Planner!$C$43)</f>
        <v>-0.385</v>
      </c>
      <c r="BM105" s="23" t="n">
        <f aca="false">BM$21*(0-Planner!$C$43)</f>
        <v>-0.4305</v>
      </c>
      <c r="BN105" s="23" t="n">
        <f aca="false">BN$21*(0-Planner!$C$43)</f>
        <v>-1.001</v>
      </c>
      <c r="BO105" s="23" t="n">
        <f aca="false">BO$21*(0-Planner!$C$43)</f>
        <v>-0.308</v>
      </c>
      <c r="BP105" s="23" t="n">
        <f aca="false">BP$21*(0-Planner!$C$43)</f>
        <v>-0.2975</v>
      </c>
      <c r="BQ105" s="23" t="n">
        <f aca="false">BQ$21*(0-Planner!$C$43)</f>
        <v>-0</v>
      </c>
      <c r="BR105" s="23" t="n">
        <f aca="false">BR$21*(0-Planner!$C$43)</f>
        <v>-0</v>
      </c>
      <c r="BS105" s="23" t="n">
        <f aca="false">BS$21*(0-Planner!$C$43)</f>
        <v>-7.4025</v>
      </c>
      <c r="BT105" s="23" t="n">
        <f aca="false">BT$21*(0-Planner!$C$43)</f>
        <v>-0.686</v>
      </c>
      <c r="BU105" s="23" t="n">
        <f aca="false">BU$21*(0-Planner!$C$43)</f>
        <v>-1.785</v>
      </c>
      <c r="BV105" s="23" t="n">
        <f aca="false">BV$21*(0-Planner!$C$43)</f>
        <v>-1.9775</v>
      </c>
      <c r="BW105" s="23" t="n">
        <f aca="false">BW$21*(0-Planner!$C$43)</f>
        <v>-2.2365</v>
      </c>
      <c r="BX105" s="23" t="n">
        <f aca="false">BX$21*(0-Planner!$C$43)</f>
        <v>-1.225</v>
      </c>
    </row>
    <row r="106" customFormat="false" ht="15" hidden="false" customHeight="false" outlineLevel="0" collapsed="false">
      <c r="A106" s="4" t="s">
        <v>786</v>
      </c>
      <c r="B106" s="81" t="s">
        <v>767</v>
      </c>
      <c r="C106" s="84" t="n">
        <v>0</v>
      </c>
      <c r="D106" s="83" t="n">
        <v>-39.1999999928075</v>
      </c>
      <c r="E106" s="81" t="str">
        <f aca="false">IF(D106&lt;=C106+0.000001*MAX(1,ABS(C106)),IF(ABS(D106-C106)&lt;=0.000001*MAX(1,ABS(C106)),"tight","ok"),"VIOLATED")</f>
        <v>ok</v>
      </c>
      <c r="F106" s="23" t="n">
        <f aca="false">F$21*(0-Planner!$C$43)</f>
        <v>-10.857</v>
      </c>
      <c r="G106" s="23" t="n">
        <f aca="false">G$21*(0-Planner!$C$43)</f>
        <v>-8.1725</v>
      </c>
      <c r="H106" s="23" t="n">
        <f aca="false">H$21*(0-Planner!$C$43)</f>
        <v>-8.666</v>
      </c>
      <c r="I106" s="23" t="n">
        <f aca="false">I$21*(0-Planner!$C$43)</f>
        <v>-5.7155</v>
      </c>
      <c r="J106" s="23" t="n">
        <f aca="false">J$21*(0-Planner!$C$43)</f>
        <v>-9.485</v>
      </c>
      <c r="K106" s="23" t="n">
        <f aca="false">K$21*(0-Planner!$C$43)</f>
        <v>-11.872</v>
      </c>
      <c r="L106" s="23" t="n">
        <f aca="false">L$21*(0-Planner!$C$43)</f>
        <v>-9.45</v>
      </c>
      <c r="M106" s="23" t="n">
        <f aca="false">M$21*(0-Planner!$C$43)</f>
        <v>-10.108</v>
      </c>
      <c r="N106" s="23" t="n">
        <f aca="false">N$21*(0-Planner!$C$43)</f>
        <v>-5.81</v>
      </c>
      <c r="O106" s="23" t="n">
        <f aca="false">O$21*(0-Planner!$C$43)</f>
        <v>-9.338</v>
      </c>
      <c r="P106" s="23" t="n">
        <f aca="false">P$21*(0-Planner!$C$43)</f>
        <v>-9.38</v>
      </c>
      <c r="Q106" s="23" t="n">
        <f aca="false">Q$21*(0-Planner!$C$43)</f>
        <v>-6.804</v>
      </c>
      <c r="R106" s="23" t="n">
        <f aca="false">R$21*(0-Planner!$C$43)</f>
        <v>-7.735</v>
      </c>
      <c r="S106" s="23" t="n">
        <f aca="false">S$21*(0-Planner!$C$43)</f>
        <v>-7.973</v>
      </c>
      <c r="T106" s="23" t="n">
        <f aca="false">T$21*(0-Planner!$C$43)</f>
        <v>-9.1525</v>
      </c>
      <c r="U106" s="23" t="n">
        <f aca="false">U$21*(0-Planner!$C$43)</f>
        <v>-4.396</v>
      </c>
      <c r="V106" s="23" t="n">
        <f aca="false">V$21*(0-Planner!$C$43)</f>
        <v>-2.1105</v>
      </c>
      <c r="W106" s="23" t="n">
        <f aca="false">W$21*(0-Planner!$C$43)</f>
        <v>-1.722</v>
      </c>
      <c r="X106" s="23" t="n">
        <f aca="false">X$21*(0-Planner!$C$43)</f>
        <v>-3.157</v>
      </c>
      <c r="Y106" s="23" t="n">
        <f aca="false">Y$21*(0-Planner!$C$43)</f>
        <v>-7.7735</v>
      </c>
      <c r="Z106" s="23" t="n">
        <f aca="false">Z$21*(0-Planner!$C$43)</f>
        <v>-3.1535</v>
      </c>
      <c r="AA106" s="23" t="n">
        <f aca="false">AA$21*(1-Planner!$C$43)</f>
        <v>6.565</v>
      </c>
      <c r="AB106" s="23" t="n">
        <f aca="false">AB$21*(0-Planner!$C$43)</f>
        <v>-1.155</v>
      </c>
      <c r="AC106" s="23" t="n">
        <f aca="false">AC$21*(0-Planner!$C$43)</f>
        <v>-3.5665</v>
      </c>
      <c r="AD106" s="23" t="n">
        <f aca="false">AD$21*(0-Planner!$C$43)</f>
        <v>-0.91</v>
      </c>
      <c r="AE106" s="23" t="n">
        <f aca="false">AE$21*(0-Planner!$C$43)</f>
        <v>-1.1025</v>
      </c>
      <c r="AF106" s="23" t="n">
        <f aca="false">AF$21*(0-Planner!$C$43)</f>
        <v>-6.3455</v>
      </c>
      <c r="AG106" s="23" t="n">
        <f aca="false">AG$21*(0-Planner!$C$43)</f>
        <v>-8.0045</v>
      </c>
      <c r="AH106" s="23" t="n">
        <f aca="false">AH$21*(0-Planner!$C$43)</f>
        <v>-3.6575</v>
      </c>
      <c r="AI106" s="23" t="n">
        <f aca="false">AI$21*(0-Planner!$C$43)</f>
        <v>-8.3125</v>
      </c>
      <c r="AJ106" s="23" t="n">
        <f aca="false">AJ$21*(0-Planner!$C$43)</f>
        <v>-3.696</v>
      </c>
      <c r="AK106" s="23" t="n">
        <f aca="false">AK$21*(0-Planner!$C$43)</f>
        <v>-0.959</v>
      </c>
      <c r="AL106" s="23" t="n">
        <f aca="false">AL$21*(0-Planner!$C$43)</f>
        <v>-4.2315</v>
      </c>
      <c r="AM106" s="23" t="n">
        <f aca="false">AM$21*(0-Planner!$C$43)</f>
        <v>-1.995</v>
      </c>
      <c r="AN106" s="23" t="n">
        <f aca="false">AN$21*(0-Planner!$C$43)</f>
        <v>-2.8035</v>
      </c>
      <c r="AO106" s="23" t="n">
        <f aca="false">AO$21*(0-Planner!$C$43)</f>
        <v>-0.889</v>
      </c>
      <c r="AP106" s="23" t="n">
        <f aca="false">AP$21*(0-Planner!$C$43)</f>
        <v>-1.54</v>
      </c>
      <c r="AQ106" s="23" t="n">
        <f aca="false">AQ$21*(0-Planner!$C$43)</f>
        <v>-2.03</v>
      </c>
      <c r="AR106" s="23" t="n">
        <f aca="false">AR$21*(0-Planner!$C$43)</f>
        <v>-3.0975</v>
      </c>
      <c r="AS106" s="23" t="n">
        <f aca="false">AS$21*(0-Planner!$C$43)</f>
        <v>-0.9415</v>
      </c>
      <c r="AT106" s="23" t="n">
        <f aca="false">AT$21*(0-Planner!$C$43)</f>
        <v>-4.3575</v>
      </c>
      <c r="AU106" s="23" t="n">
        <f aca="false">AU$21*(0-Planner!$C$43)</f>
        <v>-2.0965</v>
      </c>
      <c r="AV106" s="23" t="n">
        <f aca="false">AV$21*(0-Planner!$C$43)</f>
        <v>-0.875</v>
      </c>
      <c r="AW106" s="23" t="n">
        <f aca="false">AW$21*(0-Planner!$C$43)</f>
        <v>-0.7035</v>
      </c>
      <c r="AX106" s="23" t="n">
        <f aca="false">AX$21*(0-Planner!$C$43)</f>
        <v>-0.8925</v>
      </c>
      <c r="AY106" s="23" t="n">
        <f aca="false">AY$21*(0-Planner!$C$43)</f>
        <v>-0.091</v>
      </c>
      <c r="AZ106" s="23" t="n">
        <f aca="false">AZ$21*(0-Planner!$C$43)</f>
        <v>-0.3815</v>
      </c>
      <c r="BA106" s="23" t="n">
        <f aca="false">BA$21*(0-Planner!$C$43)</f>
        <v>-0.147</v>
      </c>
      <c r="BB106" s="23" t="n">
        <f aca="false">BB$21*(0-Planner!$C$43)</f>
        <v>-0.252</v>
      </c>
      <c r="BC106" s="23" t="n">
        <f aca="false">BC$21*(0-Planner!$C$43)</f>
        <v>-0.238</v>
      </c>
      <c r="BD106" s="23" t="n">
        <f aca="false">BD$21*(0-Planner!$C$43)</f>
        <v>-0.3185</v>
      </c>
      <c r="BE106" s="23" t="n">
        <f aca="false">BE$21*(0-Planner!$C$43)</f>
        <v>-1.0745</v>
      </c>
      <c r="BF106" s="23" t="n">
        <f aca="false">BF$21*(0-Planner!$C$43)</f>
        <v>-0.2345</v>
      </c>
      <c r="BG106" s="23" t="n">
        <f aca="false">BG$21*(0-Planner!$C$43)</f>
        <v>-1.085</v>
      </c>
      <c r="BH106" s="23" t="n">
        <f aca="false">BH$21*(0-Planner!$C$43)</f>
        <v>-0.3255</v>
      </c>
      <c r="BI106" s="23" t="n">
        <f aca="false">BI$21*(0-Planner!$C$43)</f>
        <v>-0.392</v>
      </c>
      <c r="BJ106" s="23" t="n">
        <f aca="false">BJ$21*(0-Planner!$C$43)</f>
        <v>-0.301</v>
      </c>
      <c r="BK106" s="23" t="n">
        <f aca="false">BK$21*(0-Planner!$C$43)</f>
        <v>-1.001</v>
      </c>
      <c r="BL106" s="23" t="n">
        <f aca="false">BL$21*(0-Planner!$C$43)</f>
        <v>-0.385</v>
      </c>
      <c r="BM106" s="23" t="n">
        <f aca="false">BM$21*(0-Planner!$C$43)</f>
        <v>-0.4305</v>
      </c>
      <c r="BN106" s="23" t="n">
        <f aca="false">BN$21*(0-Planner!$C$43)</f>
        <v>-1.001</v>
      </c>
      <c r="BO106" s="23" t="n">
        <f aca="false">BO$21*(0-Planner!$C$43)</f>
        <v>-0.308</v>
      </c>
      <c r="BP106" s="23" t="n">
        <f aca="false">BP$21*(0-Planner!$C$43)</f>
        <v>-0.2975</v>
      </c>
      <c r="BQ106" s="23" t="n">
        <f aca="false">BQ$21*(0-Planner!$C$43)</f>
        <v>-0</v>
      </c>
      <c r="BR106" s="23" t="n">
        <f aca="false">BR$21*(0-Planner!$C$43)</f>
        <v>-0</v>
      </c>
      <c r="BS106" s="23" t="n">
        <f aca="false">BS$21*(0-Planner!$C$43)</f>
        <v>-7.4025</v>
      </c>
      <c r="BT106" s="23" t="n">
        <f aca="false">BT$21*(0-Planner!$C$43)</f>
        <v>-0.686</v>
      </c>
      <c r="BU106" s="23" t="n">
        <f aca="false">BU$21*(0-Planner!$C$43)</f>
        <v>-1.785</v>
      </c>
      <c r="BV106" s="23" t="n">
        <f aca="false">BV$21*(0-Planner!$C$43)</f>
        <v>-1.9775</v>
      </c>
      <c r="BW106" s="23" t="n">
        <f aca="false">BW$21*(0-Planner!$C$43)</f>
        <v>-2.2365</v>
      </c>
      <c r="BX106" s="23" t="n">
        <f aca="false">BX$21*(0-Planner!$C$43)</f>
        <v>-1.225</v>
      </c>
    </row>
    <row r="107" customFormat="false" ht="15" hidden="false" customHeight="false" outlineLevel="0" collapsed="false">
      <c r="A107" s="4" t="s">
        <v>787</v>
      </c>
      <c r="B107" s="81" t="s">
        <v>767</v>
      </c>
      <c r="C107" s="84" t="n">
        <v>0</v>
      </c>
      <c r="D107" s="83" t="n">
        <v>-36.9261211493175</v>
      </c>
      <c r="E107" s="81" t="str">
        <f aca="false">IF(D107&lt;=C107+0.000001*MAX(1,ABS(C107)),IF(ABS(D107-C107)&lt;=0.000001*MAX(1,ABS(C107)),"tight","ok"),"VIOLATED")</f>
        <v>ok</v>
      </c>
      <c r="F107" s="23" t="n">
        <f aca="false">F$21*(0-Planner!$C$43)</f>
        <v>-10.857</v>
      </c>
      <c r="G107" s="23" t="n">
        <f aca="false">G$21*(0-Planner!$C$43)</f>
        <v>-8.1725</v>
      </c>
      <c r="H107" s="23" t="n">
        <f aca="false">H$21*(0-Planner!$C$43)</f>
        <v>-8.666</v>
      </c>
      <c r="I107" s="23" t="n">
        <f aca="false">I$21*(0-Planner!$C$43)</f>
        <v>-5.7155</v>
      </c>
      <c r="J107" s="23" t="n">
        <f aca="false">J$21*(0-Planner!$C$43)</f>
        <v>-9.485</v>
      </c>
      <c r="K107" s="23" t="n">
        <f aca="false">K$21*(0-Planner!$C$43)</f>
        <v>-11.872</v>
      </c>
      <c r="L107" s="23" t="n">
        <f aca="false">L$21*(0-Planner!$C$43)</f>
        <v>-9.45</v>
      </c>
      <c r="M107" s="23" t="n">
        <f aca="false">M$21*(0-Planner!$C$43)</f>
        <v>-10.108</v>
      </c>
      <c r="N107" s="23" t="n">
        <f aca="false">N$21*(0-Planner!$C$43)</f>
        <v>-5.81</v>
      </c>
      <c r="O107" s="23" t="n">
        <f aca="false">O$21*(0-Planner!$C$43)</f>
        <v>-9.338</v>
      </c>
      <c r="P107" s="23" t="n">
        <f aca="false">P$21*(0-Planner!$C$43)</f>
        <v>-9.38</v>
      </c>
      <c r="Q107" s="23" t="n">
        <f aca="false">Q$21*(0-Planner!$C$43)</f>
        <v>-6.804</v>
      </c>
      <c r="R107" s="23" t="n">
        <f aca="false">R$21*(0-Planner!$C$43)</f>
        <v>-7.735</v>
      </c>
      <c r="S107" s="23" t="n">
        <f aca="false">S$21*(0-Planner!$C$43)</f>
        <v>-7.973</v>
      </c>
      <c r="T107" s="23" t="n">
        <f aca="false">T$21*(0-Planner!$C$43)</f>
        <v>-9.1525</v>
      </c>
      <c r="U107" s="23" t="n">
        <f aca="false">U$21*(0-Planner!$C$43)</f>
        <v>-4.396</v>
      </c>
      <c r="V107" s="23" t="n">
        <f aca="false">V$21*(0-Planner!$C$43)</f>
        <v>-2.1105</v>
      </c>
      <c r="W107" s="23" t="n">
        <f aca="false">W$21*(0-Planner!$C$43)</f>
        <v>-1.722</v>
      </c>
      <c r="X107" s="23" t="n">
        <f aca="false">X$21*(0-Planner!$C$43)</f>
        <v>-3.157</v>
      </c>
      <c r="Y107" s="23" t="n">
        <f aca="false">Y$21*(0-Planner!$C$43)</f>
        <v>-7.7735</v>
      </c>
      <c r="Z107" s="23" t="n">
        <f aca="false">Z$21*(0-Planner!$C$43)</f>
        <v>-3.1535</v>
      </c>
      <c r="AA107" s="23" t="n">
        <f aca="false">AA$21*(0-Planner!$C$43)</f>
        <v>-3.535</v>
      </c>
      <c r="AB107" s="23" t="n">
        <f aca="false">AB$21*(0-Planner!$C$43)</f>
        <v>-1.155</v>
      </c>
      <c r="AC107" s="23" t="n">
        <f aca="false">AC$21*(1-Planner!$C$43)</f>
        <v>6.6235</v>
      </c>
      <c r="AD107" s="23" t="n">
        <f aca="false">AD$21*(0-Planner!$C$43)</f>
        <v>-0.91</v>
      </c>
      <c r="AE107" s="23" t="n">
        <f aca="false">AE$21*(0-Planner!$C$43)</f>
        <v>-1.1025</v>
      </c>
      <c r="AF107" s="23" t="n">
        <f aca="false">AF$21*(0-Planner!$C$43)</f>
        <v>-6.3455</v>
      </c>
      <c r="AG107" s="23" t="n">
        <f aca="false">AG$21*(0-Planner!$C$43)</f>
        <v>-8.0045</v>
      </c>
      <c r="AH107" s="23" t="n">
        <f aca="false">AH$21*(0-Planner!$C$43)</f>
        <v>-3.6575</v>
      </c>
      <c r="AI107" s="23" t="n">
        <f aca="false">AI$21*(0-Planner!$C$43)</f>
        <v>-8.3125</v>
      </c>
      <c r="AJ107" s="23" t="n">
        <f aca="false">AJ$21*(0-Planner!$C$43)</f>
        <v>-3.696</v>
      </c>
      <c r="AK107" s="23" t="n">
        <f aca="false">AK$21*(0-Planner!$C$43)</f>
        <v>-0.959</v>
      </c>
      <c r="AL107" s="23" t="n">
        <f aca="false">AL$21*(0-Planner!$C$43)</f>
        <v>-4.2315</v>
      </c>
      <c r="AM107" s="23" t="n">
        <f aca="false">AM$21*(0-Planner!$C$43)</f>
        <v>-1.995</v>
      </c>
      <c r="AN107" s="23" t="n">
        <f aca="false">AN$21*(0-Planner!$C$43)</f>
        <v>-2.8035</v>
      </c>
      <c r="AO107" s="23" t="n">
        <f aca="false">AO$21*(0-Planner!$C$43)</f>
        <v>-0.889</v>
      </c>
      <c r="AP107" s="23" t="n">
        <f aca="false">AP$21*(0-Planner!$C$43)</f>
        <v>-1.54</v>
      </c>
      <c r="AQ107" s="23" t="n">
        <f aca="false">AQ$21*(0-Planner!$C$43)</f>
        <v>-2.03</v>
      </c>
      <c r="AR107" s="23" t="n">
        <f aca="false">AR$21*(0-Planner!$C$43)</f>
        <v>-3.0975</v>
      </c>
      <c r="AS107" s="23" t="n">
        <f aca="false">AS$21*(0-Planner!$C$43)</f>
        <v>-0.9415</v>
      </c>
      <c r="AT107" s="23" t="n">
        <f aca="false">AT$21*(0-Planner!$C$43)</f>
        <v>-4.3575</v>
      </c>
      <c r="AU107" s="23" t="n">
        <f aca="false">AU$21*(0-Planner!$C$43)</f>
        <v>-2.0965</v>
      </c>
      <c r="AV107" s="23" t="n">
        <f aca="false">AV$21*(0-Planner!$C$43)</f>
        <v>-0.875</v>
      </c>
      <c r="AW107" s="23" t="n">
        <f aca="false">AW$21*(0-Planner!$C$43)</f>
        <v>-0.7035</v>
      </c>
      <c r="AX107" s="23" t="n">
        <f aca="false">AX$21*(0-Planner!$C$43)</f>
        <v>-0.8925</v>
      </c>
      <c r="AY107" s="23" t="n">
        <f aca="false">AY$21*(0-Planner!$C$43)</f>
        <v>-0.091</v>
      </c>
      <c r="AZ107" s="23" t="n">
        <f aca="false">AZ$21*(0-Planner!$C$43)</f>
        <v>-0.3815</v>
      </c>
      <c r="BA107" s="23" t="n">
        <f aca="false">BA$21*(0-Planner!$C$43)</f>
        <v>-0.147</v>
      </c>
      <c r="BB107" s="23" t="n">
        <f aca="false">BB$21*(0-Planner!$C$43)</f>
        <v>-0.252</v>
      </c>
      <c r="BC107" s="23" t="n">
        <f aca="false">BC$21*(0-Planner!$C$43)</f>
        <v>-0.238</v>
      </c>
      <c r="BD107" s="23" t="n">
        <f aca="false">BD$21*(0-Planner!$C$43)</f>
        <v>-0.3185</v>
      </c>
      <c r="BE107" s="23" t="n">
        <f aca="false">BE$21*(0-Planner!$C$43)</f>
        <v>-1.0745</v>
      </c>
      <c r="BF107" s="23" t="n">
        <f aca="false">BF$21*(0-Planner!$C$43)</f>
        <v>-0.2345</v>
      </c>
      <c r="BG107" s="23" t="n">
        <f aca="false">BG$21*(0-Planner!$C$43)</f>
        <v>-1.085</v>
      </c>
      <c r="BH107" s="23" t="n">
        <f aca="false">BH$21*(0-Planner!$C$43)</f>
        <v>-0.3255</v>
      </c>
      <c r="BI107" s="23" t="n">
        <f aca="false">BI$21*(0-Planner!$C$43)</f>
        <v>-0.392</v>
      </c>
      <c r="BJ107" s="23" t="n">
        <f aca="false">BJ$21*(0-Planner!$C$43)</f>
        <v>-0.301</v>
      </c>
      <c r="BK107" s="23" t="n">
        <f aca="false">BK$21*(0-Planner!$C$43)</f>
        <v>-1.001</v>
      </c>
      <c r="BL107" s="23" t="n">
        <f aca="false">BL$21*(0-Planner!$C$43)</f>
        <v>-0.385</v>
      </c>
      <c r="BM107" s="23" t="n">
        <f aca="false">BM$21*(0-Planner!$C$43)</f>
        <v>-0.4305</v>
      </c>
      <c r="BN107" s="23" t="n">
        <f aca="false">BN$21*(0-Planner!$C$43)</f>
        <v>-1.001</v>
      </c>
      <c r="BO107" s="23" t="n">
        <f aca="false">BO$21*(0-Planner!$C$43)</f>
        <v>-0.308</v>
      </c>
      <c r="BP107" s="23" t="n">
        <f aca="false">BP$21*(0-Planner!$C$43)</f>
        <v>-0.2975</v>
      </c>
      <c r="BQ107" s="23" t="n">
        <f aca="false">BQ$21*(0-Planner!$C$43)</f>
        <v>-0</v>
      </c>
      <c r="BR107" s="23" t="n">
        <f aca="false">BR$21*(0-Planner!$C$43)</f>
        <v>-0</v>
      </c>
      <c r="BS107" s="23" t="n">
        <f aca="false">BS$21*(0-Planner!$C$43)</f>
        <v>-7.4025</v>
      </c>
      <c r="BT107" s="23" t="n">
        <f aca="false">BT$21*(0-Planner!$C$43)</f>
        <v>-0.686</v>
      </c>
      <c r="BU107" s="23" t="n">
        <f aca="false">BU$21*(0-Planner!$C$43)</f>
        <v>-1.785</v>
      </c>
      <c r="BV107" s="23" t="n">
        <f aca="false">BV$21*(0-Planner!$C$43)</f>
        <v>-1.9775</v>
      </c>
      <c r="BW107" s="23" t="n">
        <f aca="false">BW$21*(0-Planner!$C$43)</f>
        <v>-2.2365</v>
      </c>
      <c r="BX107" s="23" t="n">
        <f aca="false">BX$21*(0-Planner!$C$43)</f>
        <v>-1.225</v>
      </c>
    </row>
    <row r="108" customFormat="false" ht="15" hidden="false" customHeight="false" outlineLevel="0" collapsed="false">
      <c r="A108" s="4" t="s">
        <v>788</v>
      </c>
      <c r="B108" s="81" t="s">
        <v>767</v>
      </c>
      <c r="C108" s="84" t="n">
        <v>0</v>
      </c>
      <c r="D108" s="83" t="n">
        <v>-32.2517463868075</v>
      </c>
      <c r="E108" s="81" t="str">
        <f aca="false">IF(D108&lt;=C108+0.000001*MAX(1,ABS(C108)),IF(ABS(D108-C108)&lt;=0.000001*MAX(1,ABS(C108)),"tight","ok"),"VIOLATED")</f>
        <v>ok</v>
      </c>
      <c r="F108" s="23" t="n">
        <f aca="false">F$21*(0-Planner!$C$43)</f>
        <v>-10.857</v>
      </c>
      <c r="G108" s="23" t="n">
        <f aca="false">G$21*(0-Planner!$C$43)</f>
        <v>-8.1725</v>
      </c>
      <c r="H108" s="23" t="n">
        <f aca="false">H$21*(0-Planner!$C$43)</f>
        <v>-8.666</v>
      </c>
      <c r="I108" s="23" t="n">
        <f aca="false">I$21*(0-Planner!$C$43)</f>
        <v>-5.7155</v>
      </c>
      <c r="J108" s="23" t="n">
        <f aca="false">J$21*(0-Planner!$C$43)</f>
        <v>-9.485</v>
      </c>
      <c r="K108" s="23" t="n">
        <f aca="false">K$21*(0-Planner!$C$43)</f>
        <v>-11.872</v>
      </c>
      <c r="L108" s="23" t="n">
        <f aca="false">L$21*(0-Planner!$C$43)</f>
        <v>-9.45</v>
      </c>
      <c r="M108" s="23" t="n">
        <f aca="false">M$21*(0-Planner!$C$43)</f>
        <v>-10.108</v>
      </c>
      <c r="N108" s="23" t="n">
        <f aca="false">N$21*(0-Planner!$C$43)</f>
        <v>-5.81</v>
      </c>
      <c r="O108" s="23" t="n">
        <f aca="false">O$21*(0-Planner!$C$43)</f>
        <v>-9.338</v>
      </c>
      <c r="P108" s="23" t="n">
        <f aca="false">P$21*(0-Planner!$C$43)</f>
        <v>-9.38</v>
      </c>
      <c r="Q108" s="23" t="n">
        <f aca="false">Q$21*(0-Planner!$C$43)</f>
        <v>-6.804</v>
      </c>
      <c r="R108" s="23" t="n">
        <f aca="false">R$21*(0-Planner!$C$43)</f>
        <v>-7.735</v>
      </c>
      <c r="S108" s="23" t="n">
        <f aca="false">S$21*(0-Planner!$C$43)</f>
        <v>-7.973</v>
      </c>
      <c r="T108" s="23" t="n">
        <f aca="false">T$21*(0-Planner!$C$43)</f>
        <v>-9.1525</v>
      </c>
      <c r="U108" s="23" t="n">
        <f aca="false">U$21*(0-Planner!$C$43)</f>
        <v>-4.396</v>
      </c>
      <c r="V108" s="23" t="n">
        <f aca="false">V$21*(0-Planner!$C$43)</f>
        <v>-2.1105</v>
      </c>
      <c r="W108" s="23" t="n">
        <f aca="false">W$21*(0-Planner!$C$43)</f>
        <v>-1.722</v>
      </c>
      <c r="X108" s="23" t="n">
        <f aca="false">X$21*(0-Planner!$C$43)</f>
        <v>-3.157</v>
      </c>
      <c r="Y108" s="23" t="n">
        <f aca="false">Y$21*(0-Planner!$C$43)</f>
        <v>-7.7735</v>
      </c>
      <c r="Z108" s="23" t="n">
        <f aca="false">Z$21*(0-Planner!$C$43)</f>
        <v>-3.1535</v>
      </c>
      <c r="AA108" s="23" t="n">
        <f aca="false">AA$21*(0-Planner!$C$43)</f>
        <v>-3.535</v>
      </c>
      <c r="AB108" s="23" t="n">
        <f aca="false">AB$21*(0-Planner!$C$43)</f>
        <v>-1.155</v>
      </c>
      <c r="AC108" s="23" t="n">
        <f aca="false">AC$21*(0-Planner!$C$43)</f>
        <v>-3.5665</v>
      </c>
      <c r="AD108" s="23" t="n">
        <f aca="false">AD$21*(0-Planner!$C$43)</f>
        <v>-0.91</v>
      </c>
      <c r="AE108" s="23" t="n">
        <f aca="false">AE$21*(0-Planner!$C$43)</f>
        <v>-1.1025</v>
      </c>
      <c r="AF108" s="23" t="n">
        <f aca="false">AF$21*(1-Planner!$C$43)</f>
        <v>11.7845</v>
      </c>
      <c r="AG108" s="23" t="n">
        <f aca="false">AG$21*(0-Planner!$C$43)</f>
        <v>-8.0045</v>
      </c>
      <c r="AH108" s="23" t="n">
        <f aca="false">AH$21*(0-Planner!$C$43)</f>
        <v>-3.6575</v>
      </c>
      <c r="AI108" s="23" t="n">
        <f aca="false">AI$21*(0-Planner!$C$43)</f>
        <v>-8.3125</v>
      </c>
      <c r="AJ108" s="23" t="n">
        <f aca="false">AJ$21*(0-Planner!$C$43)</f>
        <v>-3.696</v>
      </c>
      <c r="AK108" s="23" t="n">
        <f aca="false">AK$21*(0-Planner!$C$43)</f>
        <v>-0.959</v>
      </c>
      <c r="AL108" s="23" t="n">
        <f aca="false">AL$21*(0-Planner!$C$43)</f>
        <v>-4.2315</v>
      </c>
      <c r="AM108" s="23" t="n">
        <f aca="false">AM$21*(0-Planner!$C$43)</f>
        <v>-1.995</v>
      </c>
      <c r="AN108" s="23" t="n">
        <f aca="false">AN$21*(0-Planner!$C$43)</f>
        <v>-2.8035</v>
      </c>
      <c r="AO108" s="23" t="n">
        <f aca="false">AO$21*(0-Planner!$C$43)</f>
        <v>-0.889</v>
      </c>
      <c r="AP108" s="23" t="n">
        <f aca="false">AP$21*(0-Planner!$C$43)</f>
        <v>-1.54</v>
      </c>
      <c r="AQ108" s="23" t="n">
        <f aca="false">AQ$21*(0-Planner!$C$43)</f>
        <v>-2.03</v>
      </c>
      <c r="AR108" s="23" t="n">
        <f aca="false">AR$21*(0-Planner!$C$43)</f>
        <v>-3.0975</v>
      </c>
      <c r="AS108" s="23" t="n">
        <f aca="false">AS$21*(0-Planner!$C$43)</f>
        <v>-0.9415</v>
      </c>
      <c r="AT108" s="23" t="n">
        <f aca="false">AT$21*(0-Planner!$C$43)</f>
        <v>-4.3575</v>
      </c>
      <c r="AU108" s="23" t="n">
        <f aca="false">AU$21*(0-Planner!$C$43)</f>
        <v>-2.0965</v>
      </c>
      <c r="AV108" s="23" t="n">
        <f aca="false">AV$21*(0-Planner!$C$43)</f>
        <v>-0.875</v>
      </c>
      <c r="AW108" s="23" t="n">
        <f aca="false">AW$21*(0-Planner!$C$43)</f>
        <v>-0.7035</v>
      </c>
      <c r="AX108" s="23" t="n">
        <f aca="false">AX$21*(0-Planner!$C$43)</f>
        <v>-0.8925</v>
      </c>
      <c r="AY108" s="23" t="n">
        <f aca="false">AY$21*(0-Planner!$C$43)</f>
        <v>-0.091</v>
      </c>
      <c r="AZ108" s="23" t="n">
        <f aca="false">AZ$21*(0-Planner!$C$43)</f>
        <v>-0.3815</v>
      </c>
      <c r="BA108" s="23" t="n">
        <f aca="false">BA$21*(0-Planner!$C$43)</f>
        <v>-0.147</v>
      </c>
      <c r="BB108" s="23" t="n">
        <f aca="false">BB$21*(0-Planner!$C$43)</f>
        <v>-0.252</v>
      </c>
      <c r="BC108" s="23" t="n">
        <f aca="false">BC$21*(0-Planner!$C$43)</f>
        <v>-0.238</v>
      </c>
      <c r="BD108" s="23" t="n">
        <f aca="false">BD$21*(0-Planner!$C$43)</f>
        <v>-0.3185</v>
      </c>
      <c r="BE108" s="23" t="n">
        <f aca="false">BE$21*(0-Planner!$C$43)</f>
        <v>-1.0745</v>
      </c>
      <c r="BF108" s="23" t="n">
        <f aca="false">BF$21*(0-Planner!$C$43)</f>
        <v>-0.2345</v>
      </c>
      <c r="BG108" s="23" t="n">
        <f aca="false">BG$21*(0-Planner!$C$43)</f>
        <v>-1.085</v>
      </c>
      <c r="BH108" s="23" t="n">
        <f aca="false">BH$21*(0-Planner!$C$43)</f>
        <v>-0.3255</v>
      </c>
      <c r="BI108" s="23" t="n">
        <f aca="false">BI$21*(0-Planner!$C$43)</f>
        <v>-0.392</v>
      </c>
      <c r="BJ108" s="23" t="n">
        <f aca="false">BJ$21*(0-Planner!$C$43)</f>
        <v>-0.301</v>
      </c>
      <c r="BK108" s="23" t="n">
        <f aca="false">BK$21*(0-Planner!$C$43)</f>
        <v>-1.001</v>
      </c>
      <c r="BL108" s="23" t="n">
        <f aca="false">BL$21*(0-Planner!$C$43)</f>
        <v>-0.385</v>
      </c>
      <c r="BM108" s="23" t="n">
        <f aca="false">BM$21*(0-Planner!$C$43)</f>
        <v>-0.4305</v>
      </c>
      <c r="BN108" s="23" t="n">
        <f aca="false">BN$21*(0-Planner!$C$43)</f>
        <v>-1.001</v>
      </c>
      <c r="BO108" s="23" t="n">
        <f aca="false">BO$21*(0-Planner!$C$43)</f>
        <v>-0.308</v>
      </c>
      <c r="BP108" s="23" t="n">
        <f aca="false">BP$21*(0-Planner!$C$43)</f>
        <v>-0.2975</v>
      </c>
      <c r="BQ108" s="23" t="n">
        <f aca="false">BQ$21*(0-Planner!$C$43)</f>
        <v>-0</v>
      </c>
      <c r="BR108" s="23" t="n">
        <f aca="false">BR$21*(0-Planner!$C$43)</f>
        <v>-0</v>
      </c>
      <c r="BS108" s="23" t="n">
        <f aca="false">BS$21*(0-Planner!$C$43)</f>
        <v>-7.4025</v>
      </c>
      <c r="BT108" s="23" t="n">
        <f aca="false">BT$21*(0-Planner!$C$43)</f>
        <v>-0.686</v>
      </c>
      <c r="BU108" s="23" t="n">
        <f aca="false">BU$21*(0-Planner!$C$43)</f>
        <v>-1.785</v>
      </c>
      <c r="BV108" s="23" t="n">
        <f aca="false">BV$21*(0-Planner!$C$43)</f>
        <v>-1.9775</v>
      </c>
      <c r="BW108" s="23" t="n">
        <f aca="false">BW$21*(0-Planner!$C$43)</f>
        <v>-2.2365</v>
      </c>
      <c r="BX108" s="23" t="n">
        <f aca="false">BX$21*(0-Planner!$C$43)</f>
        <v>-1.225</v>
      </c>
    </row>
    <row r="109" customFormat="false" ht="15" hidden="false" customHeight="false" outlineLevel="0" collapsed="false">
      <c r="A109" s="4" t="s">
        <v>789</v>
      </c>
      <c r="B109" s="81" t="s">
        <v>767</v>
      </c>
      <c r="C109" s="84" t="n">
        <v>0</v>
      </c>
      <c r="D109" s="83" t="n">
        <v>-39.1999999928075</v>
      </c>
      <c r="E109" s="81" t="str">
        <f aca="false">IF(D109&lt;=C109+0.000001*MAX(1,ABS(C109)),IF(ABS(D109-C109)&lt;=0.000001*MAX(1,ABS(C109)),"tight","ok"),"VIOLATED")</f>
        <v>ok</v>
      </c>
      <c r="F109" s="23" t="n">
        <f aca="false">F$21*(0-Planner!$C$43)</f>
        <v>-10.857</v>
      </c>
      <c r="G109" s="23" t="n">
        <f aca="false">G$21*(0-Planner!$C$43)</f>
        <v>-8.1725</v>
      </c>
      <c r="H109" s="23" t="n">
        <f aca="false">H$21*(0-Planner!$C$43)</f>
        <v>-8.666</v>
      </c>
      <c r="I109" s="23" t="n">
        <f aca="false">I$21*(0-Planner!$C$43)</f>
        <v>-5.7155</v>
      </c>
      <c r="J109" s="23" t="n">
        <f aca="false">J$21*(0-Planner!$C$43)</f>
        <v>-9.485</v>
      </c>
      <c r="K109" s="23" t="n">
        <f aca="false">K$21*(0-Planner!$C$43)</f>
        <v>-11.872</v>
      </c>
      <c r="L109" s="23" t="n">
        <f aca="false">L$21*(0-Planner!$C$43)</f>
        <v>-9.45</v>
      </c>
      <c r="M109" s="23" t="n">
        <f aca="false">M$21*(0-Planner!$C$43)</f>
        <v>-10.108</v>
      </c>
      <c r="N109" s="23" t="n">
        <f aca="false">N$21*(0-Planner!$C$43)</f>
        <v>-5.81</v>
      </c>
      <c r="O109" s="23" t="n">
        <f aca="false">O$21*(0-Planner!$C$43)</f>
        <v>-9.338</v>
      </c>
      <c r="P109" s="23" t="n">
        <f aca="false">P$21*(0-Planner!$C$43)</f>
        <v>-9.38</v>
      </c>
      <c r="Q109" s="23" t="n">
        <f aca="false">Q$21*(0-Planner!$C$43)</f>
        <v>-6.804</v>
      </c>
      <c r="R109" s="23" t="n">
        <f aca="false">R$21*(0-Planner!$C$43)</f>
        <v>-7.735</v>
      </c>
      <c r="S109" s="23" t="n">
        <f aca="false">S$21*(0-Planner!$C$43)</f>
        <v>-7.973</v>
      </c>
      <c r="T109" s="23" t="n">
        <f aca="false">T$21*(0-Planner!$C$43)</f>
        <v>-9.1525</v>
      </c>
      <c r="U109" s="23" t="n">
        <f aca="false">U$21*(0-Planner!$C$43)</f>
        <v>-4.396</v>
      </c>
      <c r="V109" s="23" t="n">
        <f aca="false">V$21*(0-Planner!$C$43)</f>
        <v>-2.1105</v>
      </c>
      <c r="W109" s="23" t="n">
        <f aca="false">W$21*(0-Planner!$C$43)</f>
        <v>-1.722</v>
      </c>
      <c r="X109" s="23" t="n">
        <f aca="false">X$21*(0-Planner!$C$43)</f>
        <v>-3.157</v>
      </c>
      <c r="Y109" s="23" t="n">
        <f aca="false">Y$21*(0-Planner!$C$43)</f>
        <v>-7.7735</v>
      </c>
      <c r="Z109" s="23" t="n">
        <f aca="false">Z$21*(0-Planner!$C$43)</f>
        <v>-3.1535</v>
      </c>
      <c r="AA109" s="23" t="n">
        <f aca="false">AA$21*(0-Planner!$C$43)</f>
        <v>-3.535</v>
      </c>
      <c r="AB109" s="23" t="n">
        <f aca="false">AB$21*(0-Planner!$C$43)</f>
        <v>-1.155</v>
      </c>
      <c r="AC109" s="23" t="n">
        <f aca="false">AC$21*(0-Planner!$C$43)</f>
        <v>-3.5665</v>
      </c>
      <c r="AD109" s="23" t="n">
        <f aca="false">AD$21*(0-Planner!$C$43)</f>
        <v>-0.91</v>
      </c>
      <c r="AE109" s="23" t="n">
        <f aca="false">AE$21*(0-Planner!$C$43)</f>
        <v>-1.1025</v>
      </c>
      <c r="AF109" s="23" t="n">
        <f aca="false">AF$21*(0-Planner!$C$43)</f>
        <v>-6.3455</v>
      </c>
      <c r="AG109" s="23" t="n">
        <f aca="false">AG$21*(1-Planner!$C$43)</f>
        <v>14.8655</v>
      </c>
      <c r="AH109" s="23" t="n">
        <f aca="false">AH$21*(0-Planner!$C$43)</f>
        <v>-3.6575</v>
      </c>
      <c r="AI109" s="23" t="n">
        <f aca="false">AI$21*(0-Planner!$C$43)</f>
        <v>-8.3125</v>
      </c>
      <c r="AJ109" s="23" t="n">
        <f aca="false">AJ$21*(0-Planner!$C$43)</f>
        <v>-3.696</v>
      </c>
      <c r="AK109" s="23" t="n">
        <f aca="false">AK$21*(0-Planner!$C$43)</f>
        <v>-0.959</v>
      </c>
      <c r="AL109" s="23" t="n">
        <f aca="false">AL$21*(0-Planner!$C$43)</f>
        <v>-4.2315</v>
      </c>
      <c r="AM109" s="23" t="n">
        <f aca="false">AM$21*(0-Planner!$C$43)</f>
        <v>-1.995</v>
      </c>
      <c r="AN109" s="23" t="n">
        <f aca="false">AN$21*(0-Planner!$C$43)</f>
        <v>-2.8035</v>
      </c>
      <c r="AO109" s="23" t="n">
        <f aca="false">AO$21*(0-Planner!$C$43)</f>
        <v>-0.889</v>
      </c>
      <c r="AP109" s="23" t="n">
        <f aca="false">AP$21*(0-Planner!$C$43)</f>
        <v>-1.54</v>
      </c>
      <c r="AQ109" s="23" t="n">
        <f aca="false">AQ$21*(0-Planner!$C$43)</f>
        <v>-2.03</v>
      </c>
      <c r="AR109" s="23" t="n">
        <f aca="false">AR$21*(0-Planner!$C$43)</f>
        <v>-3.0975</v>
      </c>
      <c r="AS109" s="23" t="n">
        <f aca="false">AS$21*(0-Planner!$C$43)</f>
        <v>-0.9415</v>
      </c>
      <c r="AT109" s="23" t="n">
        <f aca="false">AT$21*(0-Planner!$C$43)</f>
        <v>-4.3575</v>
      </c>
      <c r="AU109" s="23" t="n">
        <f aca="false">AU$21*(0-Planner!$C$43)</f>
        <v>-2.0965</v>
      </c>
      <c r="AV109" s="23" t="n">
        <f aca="false">AV$21*(0-Planner!$C$43)</f>
        <v>-0.875</v>
      </c>
      <c r="AW109" s="23" t="n">
        <f aca="false">AW$21*(0-Planner!$C$43)</f>
        <v>-0.7035</v>
      </c>
      <c r="AX109" s="23" t="n">
        <f aca="false">AX$21*(0-Planner!$C$43)</f>
        <v>-0.8925</v>
      </c>
      <c r="AY109" s="23" t="n">
        <f aca="false">AY$21*(0-Planner!$C$43)</f>
        <v>-0.091</v>
      </c>
      <c r="AZ109" s="23" t="n">
        <f aca="false">AZ$21*(0-Planner!$C$43)</f>
        <v>-0.3815</v>
      </c>
      <c r="BA109" s="23" t="n">
        <f aca="false">BA$21*(0-Planner!$C$43)</f>
        <v>-0.147</v>
      </c>
      <c r="BB109" s="23" t="n">
        <f aca="false">BB$21*(0-Planner!$C$43)</f>
        <v>-0.252</v>
      </c>
      <c r="BC109" s="23" t="n">
        <f aca="false">BC$21*(0-Planner!$C$43)</f>
        <v>-0.238</v>
      </c>
      <c r="BD109" s="23" t="n">
        <f aca="false">BD$21*(0-Planner!$C$43)</f>
        <v>-0.3185</v>
      </c>
      <c r="BE109" s="23" t="n">
        <f aca="false">BE$21*(0-Planner!$C$43)</f>
        <v>-1.0745</v>
      </c>
      <c r="BF109" s="23" t="n">
        <f aca="false">BF$21*(0-Planner!$C$43)</f>
        <v>-0.2345</v>
      </c>
      <c r="BG109" s="23" t="n">
        <f aca="false">BG$21*(0-Planner!$C$43)</f>
        <v>-1.085</v>
      </c>
      <c r="BH109" s="23" t="n">
        <f aca="false">BH$21*(0-Planner!$C$43)</f>
        <v>-0.3255</v>
      </c>
      <c r="BI109" s="23" t="n">
        <f aca="false">BI$21*(0-Planner!$C$43)</f>
        <v>-0.392</v>
      </c>
      <c r="BJ109" s="23" t="n">
        <f aca="false">BJ$21*(0-Planner!$C$43)</f>
        <v>-0.301</v>
      </c>
      <c r="BK109" s="23" t="n">
        <f aca="false">BK$21*(0-Planner!$C$43)</f>
        <v>-1.001</v>
      </c>
      <c r="BL109" s="23" t="n">
        <f aca="false">BL$21*(0-Planner!$C$43)</f>
        <v>-0.385</v>
      </c>
      <c r="BM109" s="23" t="n">
        <f aca="false">BM$21*(0-Planner!$C$43)</f>
        <v>-0.4305</v>
      </c>
      <c r="BN109" s="23" t="n">
        <f aca="false">BN$21*(0-Planner!$C$43)</f>
        <v>-1.001</v>
      </c>
      <c r="BO109" s="23" t="n">
        <f aca="false">BO$21*(0-Planner!$C$43)</f>
        <v>-0.308</v>
      </c>
      <c r="BP109" s="23" t="n">
        <f aca="false">BP$21*(0-Planner!$C$43)</f>
        <v>-0.2975</v>
      </c>
      <c r="BQ109" s="23" t="n">
        <f aca="false">BQ$21*(0-Planner!$C$43)</f>
        <v>-0</v>
      </c>
      <c r="BR109" s="23" t="n">
        <f aca="false">BR$21*(0-Planner!$C$43)</f>
        <v>-0</v>
      </c>
      <c r="BS109" s="23" t="n">
        <f aca="false">BS$21*(0-Planner!$C$43)</f>
        <v>-7.4025</v>
      </c>
      <c r="BT109" s="23" t="n">
        <f aca="false">BT$21*(0-Planner!$C$43)</f>
        <v>-0.686</v>
      </c>
      <c r="BU109" s="23" t="n">
        <f aca="false">BU$21*(0-Planner!$C$43)</f>
        <v>-1.785</v>
      </c>
      <c r="BV109" s="23" t="n">
        <f aca="false">BV$21*(0-Planner!$C$43)</f>
        <v>-1.9775</v>
      </c>
      <c r="BW109" s="23" t="n">
        <f aca="false">BW$21*(0-Planner!$C$43)</f>
        <v>-2.2365</v>
      </c>
      <c r="BX109" s="23" t="n">
        <f aca="false">BX$21*(0-Planner!$C$43)</f>
        <v>-1.225</v>
      </c>
    </row>
    <row r="110" customFormat="false" ht="15" hidden="false" customHeight="false" outlineLevel="0" collapsed="false">
      <c r="A110" s="4" t="s">
        <v>790</v>
      </c>
      <c r="B110" s="81" t="s">
        <v>767</v>
      </c>
      <c r="C110" s="84" t="n">
        <v>0</v>
      </c>
      <c r="D110" s="83" t="n">
        <v>-39.1999999928075</v>
      </c>
      <c r="E110" s="81" t="str">
        <f aca="false">IF(D110&lt;=C110+0.000001*MAX(1,ABS(C110)),IF(ABS(D110-C110)&lt;=0.000001*MAX(1,ABS(C110)),"tight","ok"),"VIOLATED")</f>
        <v>ok</v>
      </c>
      <c r="F110" s="23" t="n">
        <f aca="false">F$21*(0-Planner!$C$43)</f>
        <v>-10.857</v>
      </c>
      <c r="G110" s="23" t="n">
        <f aca="false">G$21*(0-Planner!$C$43)</f>
        <v>-8.1725</v>
      </c>
      <c r="H110" s="23" t="n">
        <f aca="false">H$21*(0-Planner!$C$43)</f>
        <v>-8.666</v>
      </c>
      <c r="I110" s="23" t="n">
        <f aca="false">I$21*(0-Planner!$C$43)</f>
        <v>-5.7155</v>
      </c>
      <c r="J110" s="23" t="n">
        <f aca="false">J$21*(0-Planner!$C$43)</f>
        <v>-9.485</v>
      </c>
      <c r="K110" s="23" t="n">
        <f aca="false">K$21*(0-Planner!$C$43)</f>
        <v>-11.872</v>
      </c>
      <c r="L110" s="23" t="n">
        <f aca="false">L$21*(0-Planner!$C$43)</f>
        <v>-9.45</v>
      </c>
      <c r="M110" s="23" t="n">
        <f aca="false">M$21*(0-Planner!$C$43)</f>
        <v>-10.108</v>
      </c>
      <c r="N110" s="23" t="n">
        <f aca="false">N$21*(0-Planner!$C$43)</f>
        <v>-5.81</v>
      </c>
      <c r="O110" s="23" t="n">
        <f aca="false">O$21*(0-Planner!$C$43)</f>
        <v>-9.338</v>
      </c>
      <c r="P110" s="23" t="n">
        <f aca="false">P$21*(0-Planner!$C$43)</f>
        <v>-9.38</v>
      </c>
      <c r="Q110" s="23" t="n">
        <f aca="false">Q$21*(0-Planner!$C$43)</f>
        <v>-6.804</v>
      </c>
      <c r="R110" s="23" t="n">
        <f aca="false">R$21*(0-Planner!$C$43)</f>
        <v>-7.735</v>
      </c>
      <c r="S110" s="23" t="n">
        <f aca="false">S$21*(0-Planner!$C$43)</f>
        <v>-7.973</v>
      </c>
      <c r="T110" s="23" t="n">
        <f aca="false">T$21*(0-Planner!$C$43)</f>
        <v>-9.1525</v>
      </c>
      <c r="U110" s="23" t="n">
        <f aca="false">U$21*(0-Planner!$C$43)</f>
        <v>-4.396</v>
      </c>
      <c r="V110" s="23" t="n">
        <f aca="false">V$21*(0-Planner!$C$43)</f>
        <v>-2.1105</v>
      </c>
      <c r="W110" s="23" t="n">
        <f aca="false">W$21*(0-Planner!$C$43)</f>
        <v>-1.722</v>
      </c>
      <c r="X110" s="23" t="n">
        <f aca="false">X$21*(0-Planner!$C$43)</f>
        <v>-3.157</v>
      </c>
      <c r="Y110" s="23" t="n">
        <f aca="false">Y$21*(0-Planner!$C$43)</f>
        <v>-7.7735</v>
      </c>
      <c r="Z110" s="23" t="n">
        <f aca="false">Z$21*(0-Planner!$C$43)</f>
        <v>-3.1535</v>
      </c>
      <c r="AA110" s="23" t="n">
        <f aca="false">AA$21*(0-Planner!$C$43)</f>
        <v>-3.535</v>
      </c>
      <c r="AB110" s="23" t="n">
        <f aca="false">AB$21*(0-Planner!$C$43)</f>
        <v>-1.155</v>
      </c>
      <c r="AC110" s="23" t="n">
        <f aca="false">AC$21*(0-Planner!$C$43)</f>
        <v>-3.5665</v>
      </c>
      <c r="AD110" s="23" t="n">
        <f aca="false">AD$21*(0-Planner!$C$43)</f>
        <v>-0.91</v>
      </c>
      <c r="AE110" s="23" t="n">
        <f aca="false">AE$21*(0-Planner!$C$43)</f>
        <v>-1.1025</v>
      </c>
      <c r="AF110" s="23" t="n">
        <f aca="false">AF$21*(0-Planner!$C$43)</f>
        <v>-6.3455</v>
      </c>
      <c r="AG110" s="23" t="n">
        <f aca="false">AG$21*(0-Planner!$C$43)</f>
        <v>-8.0045</v>
      </c>
      <c r="AH110" s="23" t="n">
        <f aca="false">AH$21*(1-Planner!$C$43)</f>
        <v>6.7925</v>
      </c>
      <c r="AI110" s="23" t="n">
        <f aca="false">AI$21*(0-Planner!$C$43)</f>
        <v>-8.3125</v>
      </c>
      <c r="AJ110" s="23" t="n">
        <f aca="false">AJ$21*(0-Planner!$C$43)</f>
        <v>-3.696</v>
      </c>
      <c r="AK110" s="23" t="n">
        <f aca="false">AK$21*(0-Planner!$C$43)</f>
        <v>-0.959</v>
      </c>
      <c r="AL110" s="23" t="n">
        <f aca="false">AL$21*(0-Planner!$C$43)</f>
        <v>-4.2315</v>
      </c>
      <c r="AM110" s="23" t="n">
        <f aca="false">AM$21*(0-Planner!$C$43)</f>
        <v>-1.995</v>
      </c>
      <c r="AN110" s="23" t="n">
        <f aca="false">AN$21*(0-Planner!$C$43)</f>
        <v>-2.8035</v>
      </c>
      <c r="AO110" s="23" t="n">
        <f aca="false">AO$21*(0-Planner!$C$43)</f>
        <v>-0.889</v>
      </c>
      <c r="AP110" s="23" t="n">
        <f aca="false">AP$21*(0-Planner!$C$43)</f>
        <v>-1.54</v>
      </c>
      <c r="AQ110" s="23" t="n">
        <f aca="false">AQ$21*(0-Planner!$C$43)</f>
        <v>-2.03</v>
      </c>
      <c r="AR110" s="23" t="n">
        <f aca="false">AR$21*(0-Planner!$C$43)</f>
        <v>-3.0975</v>
      </c>
      <c r="AS110" s="23" t="n">
        <f aca="false">AS$21*(0-Planner!$C$43)</f>
        <v>-0.9415</v>
      </c>
      <c r="AT110" s="23" t="n">
        <f aca="false">AT$21*(0-Planner!$C$43)</f>
        <v>-4.3575</v>
      </c>
      <c r="AU110" s="23" t="n">
        <f aca="false">AU$21*(0-Planner!$C$43)</f>
        <v>-2.0965</v>
      </c>
      <c r="AV110" s="23" t="n">
        <f aca="false">AV$21*(0-Planner!$C$43)</f>
        <v>-0.875</v>
      </c>
      <c r="AW110" s="23" t="n">
        <f aca="false">AW$21*(0-Planner!$C$43)</f>
        <v>-0.7035</v>
      </c>
      <c r="AX110" s="23" t="n">
        <f aca="false">AX$21*(0-Planner!$C$43)</f>
        <v>-0.8925</v>
      </c>
      <c r="AY110" s="23" t="n">
        <f aca="false">AY$21*(0-Planner!$C$43)</f>
        <v>-0.091</v>
      </c>
      <c r="AZ110" s="23" t="n">
        <f aca="false">AZ$21*(0-Planner!$C$43)</f>
        <v>-0.3815</v>
      </c>
      <c r="BA110" s="23" t="n">
        <f aca="false">BA$21*(0-Planner!$C$43)</f>
        <v>-0.147</v>
      </c>
      <c r="BB110" s="23" t="n">
        <f aca="false">BB$21*(0-Planner!$C$43)</f>
        <v>-0.252</v>
      </c>
      <c r="BC110" s="23" t="n">
        <f aca="false">BC$21*(0-Planner!$C$43)</f>
        <v>-0.238</v>
      </c>
      <c r="BD110" s="23" t="n">
        <f aca="false">BD$21*(0-Planner!$C$43)</f>
        <v>-0.3185</v>
      </c>
      <c r="BE110" s="23" t="n">
        <f aca="false">BE$21*(0-Planner!$C$43)</f>
        <v>-1.0745</v>
      </c>
      <c r="BF110" s="23" t="n">
        <f aca="false">BF$21*(0-Planner!$C$43)</f>
        <v>-0.2345</v>
      </c>
      <c r="BG110" s="23" t="n">
        <f aca="false">BG$21*(0-Planner!$C$43)</f>
        <v>-1.085</v>
      </c>
      <c r="BH110" s="23" t="n">
        <f aca="false">BH$21*(0-Planner!$C$43)</f>
        <v>-0.3255</v>
      </c>
      <c r="BI110" s="23" t="n">
        <f aca="false">BI$21*(0-Planner!$C$43)</f>
        <v>-0.392</v>
      </c>
      <c r="BJ110" s="23" t="n">
        <f aca="false">BJ$21*(0-Planner!$C$43)</f>
        <v>-0.301</v>
      </c>
      <c r="BK110" s="23" t="n">
        <f aca="false">BK$21*(0-Planner!$C$43)</f>
        <v>-1.001</v>
      </c>
      <c r="BL110" s="23" t="n">
        <f aca="false">BL$21*(0-Planner!$C$43)</f>
        <v>-0.385</v>
      </c>
      <c r="BM110" s="23" t="n">
        <f aca="false">BM$21*(0-Planner!$C$43)</f>
        <v>-0.4305</v>
      </c>
      <c r="BN110" s="23" t="n">
        <f aca="false">BN$21*(0-Planner!$C$43)</f>
        <v>-1.001</v>
      </c>
      <c r="BO110" s="23" t="n">
        <f aca="false">BO$21*(0-Planner!$C$43)</f>
        <v>-0.308</v>
      </c>
      <c r="BP110" s="23" t="n">
        <f aca="false">BP$21*(0-Planner!$C$43)</f>
        <v>-0.2975</v>
      </c>
      <c r="BQ110" s="23" t="n">
        <f aca="false">BQ$21*(0-Planner!$C$43)</f>
        <v>-0</v>
      </c>
      <c r="BR110" s="23" t="n">
        <f aca="false">BR$21*(0-Planner!$C$43)</f>
        <v>-0</v>
      </c>
      <c r="BS110" s="23" t="n">
        <f aca="false">BS$21*(0-Planner!$C$43)</f>
        <v>-7.4025</v>
      </c>
      <c r="BT110" s="23" t="n">
        <f aca="false">BT$21*(0-Planner!$C$43)</f>
        <v>-0.686</v>
      </c>
      <c r="BU110" s="23" t="n">
        <f aca="false">BU$21*(0-Planner!$C$43)</f>
        <v>-1.785</v>
      </c>
      <c r="BV110" s="23" t="n">
        <f aca="false">BV$21*(0-Planner!$C$43)</f>
        <v>-1.9775</v>
      </c>
      <c r="BW110" s="23" t="n">
        <f aca="false">BW$21*(0-Planner!$C$43)</f>
        <v>-2.2365</v>
      </c>
      <c r="BX110" s="23" t="n">
        <f aca="false">BX$21*(0-Planner!$C$43)</f>
        <v>-1.225</v>
      </c>
    </row>
    <row r="111" customFormat="false" ht="15" hidden="false" customHeight="false" outlineLevel="0" collapsed="false">
      <c r="A111" s="4" t="s">
        <v>791</v>
      </c>
      <c r="B111" s="81" t="s">
        <v>767</v>
      </c>
      <c r="C111" s="84" t="n">
        <v>0</v>
      </c>
      <c r="D111" s="83" t="n">
        <v>-39.1999999928075</v>
      </c>
      <c r="E111" s="81" t="str">
        <f aca="false">IF(D111&lt;=C111+0.000001*MAX(1,ABS(C111)),IF(ABS(D111-C111)&lt;=0.000001*MAX(1,ABS(C111)),"tight","ok"),"VIOLATED")</f>
        <v>ok</v>
      </c>
      <c r="F111" s="23" t="n">
        <f aca="false">F$21*(0-Planner!$C$43)</f>
        <v>-10.857</v>
      </c>
      <c r="G111" s="23" t="n">
        <f aca="false">G$21*(0-Planner!$C$43)</f>
        <v>-8.1725</v>
      </c>
      <c r="H111" s="23" t="n">
        <f aca="false">H$21*(0-Planner!$C$43)</f>
        <v>-8.666</v>
      </c>
      <c r="I111" s="23" t="n">
        <f aca="false">I$21*(0-Planner!$C$43)</f>
        <v>-5.7155</v>
      </c>
      <c r="J111" s="23" t="n">
        <f aca="false">J$21*(0-Planner!$C$43)</f>
        <v>-9.485</v>
      </c>
      <c r="K111" s="23" t="n">
        <f aca="false">K$21*(0-Planner!$C$43)</f>
        <v>-11.872</v>
      </c>
      <c r="L111" s="23" t="n">
        <f aca="false">L$21*(0-Planner!$C$43)</f>
        <v>-9.45</v>
      </c>
      <c r="M111" s="23" t="n">
        <f aca="false">M$21*(0-Planner!$C$43)</f>
        <v>-10.108</v>
      </c>
      <c r="N111" s="23" t="n">
        <f aca="false">N$21*(0-Planner!$C$43)</f>
        <v>-5.81</v>
      </c>
      <c r="O111" s="23" t="n">
        <f aca="false">O$21*(0-Planner!$C$43)</f>
        <v>-9.338</v>
      </c>
      <c r="P111" s="23" t="n">
        <f aca="false">P$21*(0-Planner!$C$43)</f>
        <v>-9.38</v>
      </c>
      <c r="Q111" s="23" t="n">
        <f aca="false">Q$21*(0-Planner!$C$43)</f>
        <v>-6.804</v>
      </c>
      <c r="R111" s="23" t="n">
        <f aca="false">R$21*(0-Planner!$C$43)</f>
        <v>-7.735</v>
      </c>
      <c r="S111" s="23" t="n">
        <f aca="false">S$21*(0-Planner!$C$43)</f>
        <v>-7.973</v>
      </c>
      <c r="T111" s="23" t="n">
        <f aca="false">T$21*(0-Planner!$C$43)</f>
        <v>-9.1525</v>
      </c>
      <c r="U111" s="23" t="n">
        <f aca="false">U$21*(0-Planner!$C$43)</f>
        <v>-4.396</v>
      </c>
      <c r="V111" s="23" t="n">
        <f aca="false">V$21*(0-Planner!$C$43)</f>
        <v>-2.1105</v>
      </c>
      <c r="W111" s="23" t="n">
        <f aca="false">W$21*(0-Planner!$C$43)</f>
        <v>-1.722</v>
      </c>
      <c r="X111" s="23" t="n">
        <f aca="false">X$21*(0-Planner!$C$43)</f>
        <v>-3.157</v>
      </c>
      <c r="Y111" s="23" t="n">
        <f aca="false">Y$21*(0-Planner!$C$43)</f>
        <v>-7.7735</v>
      </c>
      <c r="Z111" s="23" t="n">
        <f aca="false">Z$21*(0-Planner!$C$43)</f>
        <v>-3.1535</v>
      </c>
      <c r="AA111" s="23" t="n">
        <f aca="false">AA$21*(0-Planner!$C$43)</f>
        <v>-3.535</v>
      </c>
      <c r="AB111" s="23" t="n">
        <f aca="false">AB$21*(0-Planner!$C$43)</f>
        <v>-1.155</v>
      </c>
      <c r="AC111" s="23" t="n">
        <f aca="false">AC$21*(0-Planner!$C$43)</f>
        <v>-3.5665</v>
      </c>
      <c r="AD111" s="23" t="n">
        <f aca="false">AD$21*(0-Planner!$C$43)</f>
        <v>-0.91</v>
      </c>
      <c r="AE111" s="23" t="n">
        <f aca="false">AE$21*(0-Planner!$C$43)</f>
        <v>-1.1025</v>
      </c>
      <c r="AF111" s="23" t="n">
        <f aca="false">AF$21*(0-Planner!$C$43)</f>
        <v>-6.3455</v>
      </c>
      <c r="AG111" s="23" t="n">
        <f aca="false">AG$21*(0-Planner!$C$43)</f>
        <v>-8.0045</v>
      </c>
      <c r="AH111" s="23" t="n">
        <f aca="false">AH$21*(0-Planner!$C$43)</f>
        <v>-3.6575</v>
      </c>
      <c r="AI111" s="23" t="n">
        <f aca="false">AI$21*(1-Planner!$C$43)</f>
        <v>15.4375</v>
      </c>
      <c r="AJ111" s="23" t="n">
        <f aca="false">AJ$21*(0-Planner!$C$43)</f>
        <v>-3.696</v>
      </c>
      <c r="AK111" s="23" t="n">
        <f aca="false">AK$21*(0-Planner!$C$43)</f>
        <v>-0.959</v>
      </c>
      <c r="AL111" s="23" t="n">
        <f aca="false">AL$21*(0-Planner!$C$43)</f>
        <v>-4.2315</v>
      </c>
      <c r="AM111" s="23" t="n">
        <f aca="false">AM$21*(0-Planner!$C$43)</f>
        <v>-1.995</v>
      </c>
      <c r="AN111" s="23" t="n">
        <f aca="false">AN$21*(0-Planner!$C$43)</f>
        <v>-2.8035</v>
      </c>
      <c r="AO111" s="23" t="n">
        <f aca="false">AO$21*(0-Planner!$C$43)</f>
        <v>-0.889</v>
      </c>
      <c r="AP111" s="23" t="n">
        <f aca="false">AP$21*(0-Planner!$C$43)</f>
        <v>-1.54</v>
      </c>
      <c r="AQ111" s="23" t="n">
        <f aca="false">AQ$21*(0-Planner!$C$43)</f>
        <v>-2.03</v>
      </c>
      <c r="AR111" s="23" t="n">
        <f aca="false">AR$21*(0-Planner!$C$43)</f>
        <v>-3.0975</v>
      </c>
      <c r="AS111" s="23" t="n">
        <f aca="false">AS$21*(0-Planner!$C$43)</f>
        <v>-0.9415</v>
      </c>
      <c r="AT111" s="23" t="n">
        <f aca="false">AT$21*(0-Planner!$C$43)</f>
        <v>-4.3575</v>
      </c>
      <c r="AU111" s="23" t="n">
        <f aca="false">AU$21*(0-Planner!$C$43)</f>
        <v>-2.0965</v>
      </c>
      <c r="AV111" s="23" t="n">
        <f aca="false">AV$21*(0-Planner!$C$43)</f>
        <v>-0.875</v>
      </c>
      <c r="AW111" s="23" t="n">
        <f aca="false">AW$21*(0-Planner!$C$43)</f>
        <v>-0.7035</v>
      </c>
      <c r="AX111" s="23" t="n">
        <f aca="false">AX$21*(0-Planner!$C$43)</f>
        <v>-0.8925</v>
      </c>
      <c r="AY111" s="23" t="n">
        <f aca="false">AY$21*(0-Planner!$C$43)</f>
        <v>-0.091</v>
      </c>
      <c r="AZ111" s="23" t="n">
        <f aca="false">AZ$21*(0-Planner!$C$43)</f>
        <v>-0.3815</v>
      </c>
      <c r="BA111" s="23" t="n">
        <f aca="false">BA$21*(0-Planner!$C$43)</f>
        <v>-0.147</v>
      </c>
      <c r="BB111" s="23" t="n">
        <f aca="false">BB$21*(0-Planner!$C$43)</f>
        <v>-0.252</v>
      </c>
      <c r="BC111" s="23" t="n">
        <f aca="false">BC$21*(0-Planner!$C$43)</f>
        <v>-0.238</v>
      </c>
      <c r="BD111" s="23" t="n">
        <f aca="false">BD$21*(0-Planner!$C$43)</f>
        <v>-0.3185</v>
      </c>
      <c r="BE111" s="23" t="n">
        <f aca="false">BE$21*(0-Planner!$C$43)</f>
        <v>-1.0745</v>
      </c>
      <c r="BF111" s="23" t="n">
        <f aca="false">BF$21*(0-Planner!$C$43)</f>
        <v>-0.2345</v>
      </c>
      <c r="BG111" s="23" t="n">
        <f aca="false">BG$21*(0-Planner!$C$43)</f>
        <v>-1.085</v>
      </c>
      <c r="BH111" s="23" t="n">
        <f aca="false">BH$21*(0-Planner!$C$43)</f>
        <v>-0.3255</v>
      </c>
      <c r="BI111" s="23" t="n">
        <f aca="false">BI$21*(0-Planner!$C$43)</f>
        <v>-0.392</v>
      </c>
      <c r="BJ111" s="23" t="n">
        <f aca="false">BJ$21*(0-Planner!$C$43)</f>
        <v>-0.301</v>
      </c>
      <c r="BK111" s="23" t="n">
        <f aca="false">BK$21*(0-Planner!$C$43)</f>
        <v>-1.001</v>
      </c>
      <c r="BL111" s="23" t="n">
        <f aca="false">BL$21*(0-Planner!$C$43)</f>
        <v>-0.385</v>
      </c>
      <c r="BM111" s="23" t="n">
        <f aca="false">BM$21*(0-Planner!$C$43)</f>
        <v>-0.4305</v>
      </c>
      <c r="BN111" s="23" t="n">
        <f aca="false">BN$21*(0-Planner!$C$43)</f>
        <v>-1.001</v>
      </c>
      <c r="BO111" s="23" t="n">
        <f aca="false">BO$21*(0-Planner!$C$43)</f>
        <v>-0.308</v>
      </c>
      <c r="BP111" s="23" t="n">
        <f aca="false">BP$21*(0-Planner!$C$43)</f>
        <v>-0.2975</v>
      </c>
      <c r="BQ111" s="23" t="n">
        <f aca="false">BQ$21*(0-Planner!$C$43)</f>
        <v>-0</v>
      </c>
      <c r="BR111" s="23" t="n">
        <f aca="false">BR$21*(0-Planner!$C$43)</f>
        <v>-0</v>
      </c>
      <c r="BS111" s="23" t="n">
        <f aca="false">BS$21*(0-Planner!$C$43)</f>
        <v>-7.4025</v>
      </c>
      <c r="BT111" s="23" t="n">
        <f aca="false">BT$21*(0-Planner!$C$43)</f>
        <v>-0.686</v>
      </c>
      <c r="BU111" s="23" t="n">
        <f aca="false">BU$21*(0-Planner!$C$43)</f>
        <v>-1.785</v>
      </c>
      <c r="BV111" s="23" t="n">
        <f aca="false">BV$21*(0-Planner!$C$43)</f>
        <v>-1.9775</v>
      </c>
      <c r="BW111" s="23" t="n">
        <f aca="false">BW$21*(0-Planner!$C$43)</f>
        <v>-2.2365</v>
      </c>
      <c r="BX111" s="23" t="n">
        <f aca="false">BX$21*(0-Planner!$C$43)</f>
        <v>-1.225</v>
      </c>
    </row>
    <row r="112" customFormat="false" ht="15" hidden="false" customHeight="false" outlineLevel="0" collapsed="false">
      <c r="A112" s="4" t="s">
        <v>792</v>
      </c>
      <c r="B112" s="81" t="s">
        <v>767</v>
      </c>
      <c r="C112" s="84" t="n">
        <v>0</v>
      </c>
      <c r="D112" s="83" t="n">
        <v>-39.1999999928075</v>
      </c>
      <c r="E112" s="81" t="str">
        <f aca="false">IF(D112&lt;=C112+0.000001*MAX(1,ABS(C112)),IF(ABS(D112-C112)&lt;=0.000001*MAX(1,ABS(C112)),"tight","ok"),"VIOLATED")</f>
        <v>ok</v>
      </c>
      <c r="F112" s="23" t="n">
        <f aca="false">F$21*(0-Planner!$C$43)</f>
        <v>-10.857</v>
      </c>
      <c r="G112" s="23" t="n">
        <f aca="false">G$21*(0-Planner!$C$43)</f>
        <v>-8.1725</v>
      </c>
      <c r="H112" s="23" t="n">
        <f aca="false">H$21*(0-Planner!$C$43)</f>
        <v>-8.666</v>
      </c>
      <c r="I112" s="23" t="n">
        <f aca="false">I$21*(0-Planner!$C$43)</f>
        <v>-5.7155</v>
      </c>
      <c r="J112" s="23" t="n">
        <f aca="false">J$21*(0-Planner!$C$43)</f>
        <v>-9.485</v>
      </c>
      <c r="K112" s="23" t="n">
        <f aca="false">K$21*(0-Planner!$C$43)</f>
        <v>-11.872</v>
      </c>
      <c r="L112" s="23" t="n">
        <f aca="false">L$21*(0-Planner!$C$43)</f>
        <v>-9.45</v>
      </c>
      <c r="M112" s="23" t="n">
        <f aca="false">M$21*(0-Planner!$C$43)</f>
        <v>-10.108</v>
      </c>
      <c r="N112" s="23" t="n">
        <f aca="false">N$21*(0-Planner!$C$43)</f>
        <v>-5.81</v>
      </c>
      <c r="O112" s="23" t="n">
        <f aca="false">O$21*(0-Planner!$C$43)</f>
        <v>-9.338</v>
      </c>
      <c r="P112" s="23" t="n">
        <f aca="false">P$21*(0-Planner!$C$43)</f>
        <v>-9.38</v>
      </c>
      <c r="Q112" s="23" t="n">
        <f aca="false">Q$21*(0-Planner!$C$43)</f>
        <v>-6.804</v>
      </c>
      <c r="R112" s="23" t="n">
        <f aca="false">R$21*(0-Planner!$C$43)</f>
        <v>-7.735</v>
      </c>
      <c r="S112" s="23" t="n">
        <f aca="false">S$21*(0-Planner!$C$43)</f>
        <v>-7.973</v>
      </c>
      <c r="T112" s="23" t="n">
        <f aca="false">T$21*(0-Planner!$C$43)</f>
        <v>-9.1525</v>
      </c>
      <c r="U112" s="23" t="n">
        <f aca="false">U$21*(0-Planner!$C$43)</f>
        <v>-4.396</v>
      </c>
      <c r="V112" s="23" t="n">
        <f aca="false">V$21*(0-Planner!$C$43)</f>
        <v>-2.1105</v>
      </c>
      <c r="W112" s="23" t="n">
        <f aca="false">W$21*(0-Planner!$C$43)</f>
        <v>-1.722</v>
      </c>
      <c r="X112" s="23" t="n">
        <f aca="false">X$21*(0-Planner!$C$43)</f>
        <v>-3.157</v>
      </c>
      <c r="Y112" s="23" t="n">
        <f aca="false">Y$21*(0-Planner!$C$43)</f>
        <v>-7.7735</v>
      </c>
      <c r="Z112" s="23" t="n">
        <f aca="false">Z$21*(0-Planner!$C$43)</f>
        <v>-3.1535</v>
      </c>
      <c r="AA112" s="23" t="n">
        <f aca="false">AA$21*(0-Planner!$C$43)</f>
        <v>-3.535</v>
      </c>
      <c r="AB112" s="23" t="n">
        <f aca="false">AB$21*(0-Planner!$C$43)</f>
        <v>-1.155</v>
      </c>
      <c r="AC112" s="23" t="n">
        <f aca="false">AC$21*(0-Planner!$C$43)</f>
        <v>-3.5665</v>
      </c>
      <c r="AD112" s="23" t="n">
        <f aca="false">AD$21*(0-Planner!$C$43)</f>
        <v>-0.91</v>
      </c>
      <c r="AE112" s="23" t="n">
        <f aca="false">AE$21*(0-Planner!$C$43)</f>
        <v>-1.1025</v>
      </c>
      <c r="AF112" s="23" t="n">
        <f aca="false">AF$21*(0-Planner!$C$43)</f>
        <v>-6.3455</v>
      </c>
      <c r="AG112" s="23" t="n">
        <f aca="false">AG$21*(0-Planner!$C$43)</f>
        <v>-8.0045</v>
      </c>
      <c r="AH112" s="23" t="n">
        <f aca="false">AH$21*(0-Planner!$C$43)</f>
        <v>-3.6575</v>
      </c>
      <c r="AI112" s="23" t="n">
        <f aca="false">AI$21*(0-Planner!$C$43)</f>
        <v>-8.3125</v>
      </c>
      <c r="AJ112" s="23" t="n">
        <f aca="false">AJ$21*(1-Planner!$C$43)</f>
        <v>6.864</v>
      </c>
      <c r="AK112" s="23" t="n">
        <f aca="false">AK$21*(0-Planner!$C$43)</f>
        <v>-0.959</v>
      </c>
      <c r="AL112" s="23" t="n">
        <f aca="false">AL$21*(0-Planner!$C$43)</f>
        <v>-4.2315</v>
      </c>
      <c r="AM112" s="23" t="n">
        <f aca="false">AM$21*(0-Planner!$C$43)</f>
        <v>-1.995</v>
      </c>
      <c r="AN112" s="23" t="n">
        <f aca="false">AN$21*(0-Planner!$C$43)</f>
        <v>-2.8035</v>
      </c>
      <c r="AO112" s="23" t="n">
        <f aca="false">AO$21*(0-Planner!$C$43)</f>
        <v>-0.889</v>
      </c>
      <c r="AP112" s="23" t="n">
        <f aca="false">AP$21*(0-Planner!$C$43)</f>
        <v>-1.54</v>
      </c>
      <c r="AQ112" s="23" t="n">
        <f aca="false">AQ$21*(0-Planner!$C$43)</f>
        <v>-2.03</v>
      </c>
      <c r="AR112" s="23" t="n">
        <f aca="false">AR$21*(0-Planner!$C$43)</f>
        <v>-3.0975</v>
      </c>
      <c r="AS112" s="23" t="n">
        <f aca="false">AS$21*(0-Planner!$C$43)</f>
        <v>-0.9415</v>
      </c>
      <c r="AT112" s="23" t="n">
        <f aca="false">AT$21*(0-Planner!$C$43)</f>
        <v>-4.3575</v>
      </c>
      <c r="AU112" s="23" t="n">
        <f aca="false">AU$21*(0-Planner!$C$43)</f>
        <v>-2.0965</v>
      </c>
      <c r="AV112" s="23" t="n">
        <f aca="false">AV$21*(0-Planner!$C$43)</f>
        <v>-0.875</v>
      </c>
      <c r="AW112" s="23" t="n">
        <f aca="false">AW$21*(0-Planner!$C$43)</f>
        <v>-0.7035</v>
      </c>
      <c r="AX112" s="23" t="n">
        <f aca="false">AX$21*(0-Planner!$C$43)</f>
        <v>-0.8925</v>
      </c>
      <c r="AY112" s="23" t="n">
        <f aca="false">AY$21*(0-Planner!$C$43)</f>
        <v>-0.091</v>
      </c>
      <c r="AZ112" s="23" t="n">
        <f aca="false">AZ$21*(0-Planner!$C$43)</f>
        <v>-0.3815</v>
      </c>
      <c r="BA112" s="23" t="n">
        <f aca="false">BA$21*(0-Planner!$C$43)</f>
        <v>-0.147</v>
      </c>
      <c r="BB112" s="23" t="n">
        <f aca="false">BB$21*(0-Planner!$C$43)</f>
        <v>-0.252</v>
      </c>
      <c r="BC112" s="23" t="n">
        <f aca="false">BC$21*(0-Planner!$C$43)</f>
        <v>-0.238</v>
      </c>
      <c r="BD112" s="23" t="n">
        <f aca="false">BD$21*(0-Planner!$C$43)</f>
        <v>-0.3185</v>
      </c>
      <c r="BE112" s="23" t="n">
        <f aca="false">BE$21*(0-Planner!$C$43)</f>
        <v>-1.0745</v>
      </c>
      <c r="BF112" s="23" t="n">
        <f aca="false">BF$21*(0-Planner!$C$43)</f>
        <v>-0.2345</v>
      </c>
      <c r="BG112" s="23" t="n">
        <f aca="false">BG$21*(0-Planner!$C$43)</f>
        <v>-1.085</v>
      </c>
      <c r="BH112" s="23" t="n">
        <f aca="false">BH$21*(0-Planner!$C$43)</f>
        <v>-0.3255</v>
      </c>
      <c r="BI112" s="23" t="n">
        <f aca="false">BI$21*(0-Planner!$C$43)</f>
        <v>-0.392</v>
      </c>
      <c r="BJ112" s="23" t="n">
        <f aca="false">BJ$21*(0-Planner!$C$43)</f>
        <v>-0.301</v>
      </c>
      <c r="BK112" s="23" t="n">
        <f aca="false">BK$21*(0-Planner!$C$43)</f>
        <v>-1.001</v>
      </c>
      <c r="BL112" s="23" t="n">
        <f aca="false">BL$21*(0-Planner!$C$43)</f>
        <v>-0.385</v>
      </c>
      <c r="BM112" s="23" t="n">
        <f aca="false">BM$21*(0-Planner!$C$43)</f>
        <v>-0.4305</v>
      </c>
      <c r="BN112" s="23" t="n">
        <f aca="false">BN$21*(0-Planner!$C$43)</f>
        <v>-1.001</v>
      </c>
      <c r="BO112" s="23" t="n">
        <f aca="false">BO$21*(0-Planner!$C$43)</f>
        <v>-0.308</v>
      </c>
      <c r="BP112" s="23" t="n">
        <f aca="false">BP$21*(0-Planner!$C$43)</f>
        <v>-0.2975</v>
      </c>
      <c r="BQ112" s="23" t="n">
        <f aca="false">BQ$21*(0-Planner!$C$43)</f>
        <v>-0</v>
      </c>
      <c r="BR112" s="23" t="n">
        <f aca="false">BR$21*(0-Planner!$C$43)</f>
        <v>-0</v>
      </c>
      <c r="BS112" s="23" t="n">
        <f aca="false">BS$21*(0-Planner!$C$43)</f>
        <v>-7.4025</v>
      </c>
      <c r="BT112" s="23" t="n">
        <f aca="false">BT$21*(0-Planner!$C$43)</f>
        <v>-0.686</v>
      </c>
      <c r="BU112" s="23" t="n">
        <f aca="false">BU$21*(0-Planner!$C$43)</f>
        <v>-1.785</v>
      </c>
      <c r="BV112" s="23" t="n">
        <f aca="false">BV$21*(0-Planner!$C$43)</f>
        <v>-1.9775</v>
      </c>
      <c r="BW112" s="23" t="n">
        <f aca="false">BW$21*(0-Planner!$C$43)</f>
        <v>-2.2365</v>
      </c>
      <c r="BX112" s="23" t="n">
        <f aca="false">BX$21*(0-Planner!$C$43)</f>
        <v>-1.225</v>
      </c>
    </row>
    <row r="113" customFormat="false" ht="15" hidden="false" customHeight="false" outlineLevel="0" collapsed="false">
      <c r="A113" s="4" t="s">
        <v>793</v>
      </c>
      <c r="B113" s="81" t="s">
        <v>767</v>
      </c>
      <c r="C113" s="84" t="n">
        <v>0</v>
      </c>
      <c r="D113" s="83" t="n">
        <v>-39.1999999928075</v>
      </c>
      <c r="E113" s="81" t="str">
        <f aca="false">IF(D113&lt;=C113+0.000001*MAX(1,ABS(C113)),IF(ABS(D113-C113)&lt;=0.000001*MAX(1,ABS(C113)),"tight","ok"),"VIOLATED")</f>
        <v>ok</v>
      </c>
      <c r="F113" s="23" t="n">
        <f aca="false">F$21*(0-Planner!$C$43)</f>
        <v>-10.857</v>
      </c>
      <c r="G113" s="23" t="n">
        <f aca="false">G$21*(0-Planner!$C$43)</f>
        <v>-8.1725</v>
      </c>
      <c r="H113" s="23" t="n">
        <f aca="false">H$21*(0-Planner!$C$43)</f>
        <v>-8.666</v>
      </c>
      <c r="I113" s="23" t="n">
        <f aca="false">I$21*(0-Planner!$C$43)</f>
        <v>-5.7155</v>
      </c>
      <c r="J113" s="23" t="n">
        <f aca="false">J$21*(0-Planner!$C$43)</f>
        <v>-9.485</v>
      </c>
      <c r="K113" s="23" t="n">
        <f aca="false">K$21*(0-Planner!$C$43)</f>
        <v>-11.872</v>
      </c>
      <c r="L113" s="23" t="n">
        <f aca="false">L$21*(0-Planner!$C$43)</f>
        <v>-9.45</v>
      </c>
      <c r="M113" s="23" t="n">
        <f aca="false">M$21*(0-Planner!$C$43)</f>
        <v>-10.108</v>
      </c>
      <c r="N113" s="23" t="n">
        <f aca="false">N$21*(0-Planner!$C$43)</f>
        <v>-5.81</v>
      </c>
      <c r="O113" s="23" t="n">
        <f aca="false">O$21*(0-Planner!$C$43)</f>
        <v>-9.338</v>
      </c>
      <c r="P113" s="23" t="n">
        <f aca="false">P$21*(0-Planner!$C$43)</f>
        <v>-9.38</v>
      </c>
      <c r="Q113" s="23" t="n">
        <f aca="false">Q$21*(0-Planner!$C$43)</f>
        <v>-6.804</v>
      </c>
      <c r="R113" s="23" t="n">
        <f aca="false">R$21*(0-Planner!$C$43)</f>
        <v>-7.735</v>
      </c>
      <c r="S113" s="23" t="n">
        <f aca="false">S$21*(0-Planner!$C$43)</f>
        <v>-7.973</v>
      </c>
      <c r="T113" s="23" t="n">
        <f aca="false">T$21*(0-Planner!$C$43)</f>
        <v>-9.1525</v>
      </c>
      <c r="U113" s="23" t="n">
        <f aca="false">U$21*(0-Planner!$C$43)</f>
        <v>-4.396</v>
      </c>
      <c r="V113" s="23" t="n">
        <f aca="false">V$21*(0-Planner!$C$43)</f>
        <v>-2.1105</v>
      </c>
      <c r="W113" s="23" t="n">
        <f aca="false">W$21*(0-Planner!$C$43)</f>
        <v>-1.722</v>
      </c>
      <c r="X113" s="23" t="n">
        <f aca="false">X$21*(0-Planner!$C$43)</f>
        <v>-3.157</v>
      </c>
      <c r="Y113" s="23" t="n">
        <f aca="false">Y$21*(0-Planner!$C$43)</f>
        <v>-7.7735</v>
      </c>
      <c r="Z113" s="23" t="n">
        <f aca="false">Z$21*(0-Planner!$C$43)</f>
        <v>-3.1535</v>
      </c>
      <c r="AA113" s="23" t="n">
        <f aca="false">AA$21*(0-Planner!$C$43)</f>
        <v>-3.535</v>
      </c>
      <c r="AB113" s="23" t="n">
        <f aca="false">AB$21*(0-Planner!$C$43)</f>
        <v>-1.155</v>
      </c>
      <c r="AC113" s="23" t="n">
        <f aca="false">AC$21*(0-Planner!$C$43)</f>
        <v>-3.5665</v>
      </c>
      <c r="AD113" s="23" t="n">
        <f aca="false">AD$21*(0-Planner!$C$43)</f>
        <v>-0.91</v>
      </c>
      <c r="AE113" s="23" t="n">
        <f aca="false">AE$21*(0-Planner!$C$43)</f>
        <v>-1.1025</v>
      </c>
      <c r="AF113" s="23" t="n">
        <f aca="false">AF$21*(0-Planner!$C$43)</f>
        <v>-6.3455</v>
      </c>
      <c r="AG113" s="23" t="n">
        <f aca="false">AG$21*(0-Planner!$C$43)</f>
        <v>-8.0045</v>
      </c>
      <c r="AH113" s="23" t="n">
        <f aca="false">AH$21*(0-Planner!$C$43)</f>
        <v>-3.6575</v>
      </c>
      <c r="AI113" s="23" t="n">
        <f aca="false">AI$21*(0-Planner!$C$43)</f>
        <v>-8.3125</v>
      </c>
      <c r="AJ113" s="23" t="n">
        <f aca="false">AJ$21*(0-Planner!$C$43)</f>
        <v>-3.696</v>
      </c>
      <c r="AK113" s="23" t="n">
        <f aca="false">AK$21*(0-Planner!$C$43)</f>
        <v>-0.959</v>
      </c>
      <c r="AL113" s="23" t="n">
        <f aca="false">AL$21*(1-Planner!$C$43)</f>
        <v>7.8585</v>
      </c>
      <c r="AM113" s="23" t="n">
        <f aca="false">AM$21*(0-Planner!$C$43)</f>
        <v>-1.995</v>
      </c>
      <c r="AN113" s="23" t="n">
        <f aca="false">AN$21*(0-Planner!$C$43)</f>
        <v>-2.8035</v>
      </c>
      <c r="AO113" s="23" t="n">
        <f aca="false">AO$21*(0-Planner!$C$43)</f>
        <v>-0.889</v>
      </c>
      <c r="AP113" s="23" t="n">
        <f aca="false">AP$21*(0-Planner!$C$43)</f>
        <v>-1.54</v>
      </c>
      <c r="AQ113" s="23" t="n">
        <f aca="false">AQ$21*(0-Planner!$C$43)</f>
        <v>-2.03</v>
      </c>
      <c r="AR113" s="23" t="n">
        <f aca="false">AR$21*(0-Planner!$C$43)</f>
        <v>-3.0975</v>
      </c>
      <c r="AS113" s="23" t="n">
        <f aca="false">AS$21*(0-Planner!$C$43)</f>
        <v>-0.9415</v>
      </c>
      <c r="AT113" s="23" t="n">
        <f aca="false">AT$21*(0-Planner!$C$43)</f>
        <v>-4.3575</v>
      </c>
      <c r="AU113" s="23" t="n">
        <f aca="false">AU$21*(0-Planner!$C$43)</f>
        <v>-2.0965</v>
      </c>
      <c r="AV113" s="23" t="n">
        <f aca="false">AV$21*(0-Planner!$C$43)</f>
        <v>-0.875</v>
      </c>
      <c r="AW113" s="23" t="n">
        <f aca="false">AW$21*(0-Planner!$C$43)</f>
        <v>-0.7035</v>
      </c>
      <c r="AX113" s="23" t="n">
        <f aca="false">AX$21*(0-Planner!$C$43)</f>
        <v>-0.8925</v>
      </c>
      <c r="AY113" s="23" t="n">
        <f aca="false">AY$21*(0-Planner!$C$43)</f>
        <v>-0.091</v>
      </c>
      <c r="AZ113" s="23" t="n">
        <f aca="false">AZ$21*(0-Planner!$C$43)</f>
        <v>-0.3815</v>
      </c>
      <c r="BA113" s="23" t="n">
        <f aca="false">BA$21*(0-Planner!$C$43)</f>
        <v>-0.147</v>
      </c>
      <c r="BB113" s="23" t="n">
        <f aca="false">BB$21*(0-Planner!$C$43)</f>
        <v>-0.252</v>
      </c>
      <c r="BC113" s="23" t="n">
        <f aca="false">BC$21*(0-Planner!$C$43)</f>
        <v>-0.238</v>
      </c>
      <c r="BD113" s="23" t="n">
        <f aca="false">BD$21*(0-Planner!$C$43)</f>
        <v>-0.3185</v>
      </c>
      <c r="BE113" s="23" t="n">
        <f aca="false">BE$21*(0-Planner!$C$43)</f>
        <v>-1.0745</v>
      </c>
      <c r="BF113" s="23" t="n">
        <f aca="false">BF$21*(0-Planner!$C$43)</f>
        <v>-0.2345</v>
      </c>
      <c r="BG113" s="23" t="n">
        <f aca="false">BG$21*(0-Planner!$C$43)</f>
        <v>-1.085</v>
      </c>
      <c r="BH113" s="23" t="n">
        <f aca="false">BH$21*(0-Planner!$C$43)</f>
        <v>-0.3255</v>
      </c>
      <c r="BI113" s="23" t="n">
        <f aca="false">BI$21*(0-Planner!$C$43)</f>
        <v>-0.392</v>
      </c>
      <c r="BJ113" s="23" t="n">
        <f aca="false">BJ$21*(0-Planner!$C$43)</f>
        <v>-0.301</v>
      </c>
      <c r="BK113" s="23" t="n">
        <f aca="false">BK$21*(0-Planner!$C$43)</f>
        <v>-1.001</v>
      </c>
      <c r="BL113" s="23" t="n">
        <f aca="false">BL$21*(0-Planner!$C$43)</f>
        <v>-0.385</v>
      </c>
      <c r="BM113" s="23" t="n">
        <f aca="false">BM$21*(0-Planner!$C$43)</f>
        <v>-0.4305</v>
      </c>
      <c r="BN113" s="23" t="n">
        <f aca="false">BN$21*(0-Planner!$C$43)</f>
        <v>-1.001</v>
      </c>
      <c r="BO113" s="23" t="n">
        <f aca="false">BO$21*(0-Planner!$C$43)</f>
        <v>-0.308</v>
      </c>
      <c r="BP113" s="23" t="n">
        <f aca="false">BP$21*(0-Planner!$C$43)</f>
        <v>-0.2975</v>
      </c>
      <c r="BQ113" s="23" t="n">
        <f aca="false">BQ$21*(0-Planner!$C$43)</f>
        <v>-0</v>
      </c>
      <c r="BR113" s="23" t="n">
        <f aca="false">BR$21*(0-Planner!$C$43)</f>
        <v>-0</v>
      </c>
      <c r="BS113" s="23" t="n">
        <f aca="false">BS$21*(0-Planner!$C$43)</f>
        <v>-7.4025</v>
      </c>
      <c r="BT113" s="23" t="n">
        <f aca="false">BT$21*(0-Planner!$C$43)</f>
        <v>-0.686</v>
      </c>
      <c r="BU113" s="23" t="n">
        <f aca="false">BU$21*(0-Planner!$C$43)</f>
        <v>-1.785</v>
      </c>
      <c r="BV113" s="23" t="n">
        <f aca="false">BV$21*(0-Planner!$C$43)</f>
        <v>-1.9775</v>
      </c>
      <c r="BW113" s="23" t="n">
        <f aca="false">BW$21*(0-Planner!$C$43)</f>
        <v>-2.2365</v>
      </c>
      <c r="BX113" s="23" t="n">
        <f aca="false">BX$21*(0-Planner!$C$43)</f>
        <v>-1.225</v>
      </c>
    </row>
    <row r="114" customFormat="false" ht="15" hidden="false" customHeight="false" outlineLevel="0" collapsed="false">
      <c r="A114" s="4" t="s">
        <v>794</v>
      </c>
      <c r="B114" s="81" t="s">
        <v>767</v>
      </c>
      <c r="C114" s="84" t="n">
        <v>0</v>
      </c>
      <c r="D114" s="83" t="n">
        <v>-39.1999999928075</v>
      </c>
      <c r="E114" s="81" t="str">
        <f aca="false">IF(D114&lt;=C114+0.000001*MAX(1,ABS(C114)),IF(ABS(D114-C114)&lt;=0.000001*MAX(1,ABS(C114)),"tight","ok"),"VIOLATED")</f>
        <v>ok</v>
      </c>
      <c r="F114" s="23" t="n">
        <f aca="false">F$21*(0-Planner!$C$43)</f>
        <v>-10.857</v>
      </c>
      <c r="G114" s="23" t="n">
        <f aca="false">G$21*(0-Planner!$C$43)</f>
        <v>-8.1725</v>
      </c>
      <c r="H114" s="23" t="n">
        <f aca="false">H$21*(0-Planner!$C$43)</f>
        <v>-8.666</v>
      </c>
      <c r="I114" s="23" t="n">
        <f aca="false">I$21*(0-Planner!$C$43)</f>
        <v>-5.7155</v>
      </c>
      <c r="J114" s="23" t="n">
        <f aca="false">J$21*(0-Planner!$C$43)</f>
        <v>-9.485</v>
      </c>
      <c r="K114" s="23" t="n">
        <f aca="false">K$21*(0-Planner!$C$43)</f>
        <v>-11.872</v>
      </c>
      <c r="L114" s="23" t="n">
        <f aca="false">L$21*(0-Planner!$C$43)</f>
        <v>-9.45</v>
      </c>
      <c r="M114" s="23" t="n">
        <f aca="false">M$21*(0-Planner!$C$43)</f>
        <v>-10.108</v>
      </c>
      <c r="N114" s="23" t="n">
        <f aca="false">N$21*(0-Planner!$C$43)</f>
        <v>-5.81</v>
      </c>
      <c r="O114" s="23" t="n">
        <f aca="false">O$21*(0-Planner!$C$43)</f>
        <v>-9.338</v>
      </c>
      <c r="P114" s="23" t="n">
        <f aca="false">P$21*(0-Planner!$C$43)</f>
        <v>-9.38</v>
      </c>
      <c r="Q114" s="23" t="n">
        <f aca="false">Q$21*(0-Planner!$C$43)</f>
        <v>-6.804</v>
      </c>
      <c r="R114" s="23" t="n">
        <f aca="false">R$21*(0-Planner!$C$43)</f>
        <v>-7.735</v>
      </c>
      <c r="S114" s="23" t="n">
        <f aca="false">S$21*(0-Planner!$C$43)</f>
        <v>-7.973</v>
      </c>
      <c r="T114" s="23" t="n">
        <f aca="false">T$21*(0-Planner!$C$43)</f>
        <v>-9.1525</v>
      </c>
      <c r="U114" s="23" t="n">
        <f aca="false">U$21*(0-Planner!$C$43)</f>
        <v>-4.396</v>
      </c>
      <c r="V114" s="23" t="n">
        <f aca="false">V$21*(0-Planner!$C$43)</f>
        <v>-2.1105</v>
      </c>
      <c r="W114" s="23" t="n">
        <f aca="false">W$21*(0-Planner!$C$43)</f>
        <v>-1.722</v>
      </c>
      <c r="X114" s="23" t="n">
        <f aca="false">X$21*(0-Planner!$C$43)</f>
        <v>-3.157</v>
      </c>
      <c r="Y114" s="23" t="n">
        <f aca="false">Y$21*(0-Planner!$C$43)</f>
        <v>-7.7735</v>
      </c>
      <c r="Z114" s="23" t="n">
        <f aca="false">Z$21*(0-Planner!$C$43)</f>
        <v>-3.1535</v>
      </c>
      <c r="AA114" s="23" t="n">
        <f aca="false">AA$21*(0-Planner!$C$43)</f>
        <v>-3.535</v>
      </c>
      <c r="AB114" s="23" t="n">
        <f aca="false">AB$21*(0-Planner!$C$43)</f>
        <v>-1.155</v>
      </c>
      <c r="AC114" s="23" t="n">
        <f aca="false">AC$21*(0-Planner!$C$43)</f>
        <v>-3.5665</v>
      </c>
      <c r="AD114" s="23" t="n">
        <f aca="false">AD$21*(0-Planner!$C$43)</f>
        <v>-0.91</v>
      </c>
      <c r="AE114" s="23" t="n">
        <f aca="false">AE$21*(0-Planner!$C$43)</f>
        <v>-1.1025</v>
      </c>
      <c r="AF114" s="23" t="n">
        <f aca="false">AF$21*(0-Planner!$C$43)</f>
        <v>-6.3455</v>
      </c>
      <c r="AG114" s="23" t="n">
        <f aca="false">AG$21*(0-Planner!$C$43)</f>
        <v>-8.0045</v>
      </c>
      <c r="AH114" s="23" t="n">
        <f aca="false">AH$21*(0-Planner!$C$43)</f>
        <v>-3.6575</v>
      </c>
      <c r="AI114" s="23" t="n">
        <f aca="false">AI$21*(0-Planner!$C$43)</f>
        <v>-8.3125</v>
      </c>
      <c r="AJ114" s="23" t="n">
        <f aca="false">AJ$21*(0-Planner!$C$43)</f>
        <v>-3.696</v>
      </c>
      <c r="AK114" s="23" t="n">
        <f aca="false">AK$21*(0-Planner!$C$43)</f>
        <v>-0.959</v>
      </c>
      <c r="AL114" s="23" t="n">
        <f aca="false">AL$21*(0-Planner!$C$43)</f>
        <v>-4.2315</v>
      </c>
      <c r="AM114" s="23" t="n">
        <f aca="false">AM$21*(0-Planner!$C$43)</f>
        <v>-1.995</v>
      </c>
      <c r="AN114" s="23" t="n">
        <f aca="false">AN$21*(0-Planner!$C$43)</f>
        <v>-2.8035</v>
      </c>
      <c r="AO114" s="23" t="n">
        <f aca="false">AO$21*(0-Planner!$C$43)</f>
        <v>-0.889</v>
      </c>
      <c r="AP114" s="23" t="n">
        <f aca="false">AP$21*(0-Planner!$C$43)</f>
        <v>-1.54</v>
      </c>
      <c r="AQ114" s="23" t="n">
        <f aca="false">AQ$21*(0-Planner!$C$43)</f>
        <v>-2.03</v>
      </c>
      <c r="AR114" s="23" t="n">
        <f aca="false">AR$21*(1-Planner!$C$43)</f>
        <v>5.7525</v>
      </c>
      <c r="AS114" s="23" t="n">
        <f aca="false">AS$21*(0-Planner!$C$43)</f>
        <v>-0.9415</v>
      </c>
      <c r="AT114" s="23" t="n">
        <f aca="false">AT$21*(0-Planner!$C$43)</f>
        <v>-4.3575</v>
      </c>
      <c r="AU114" s="23" t="n">
        <f aca="false">AU$21*(0-Planner!$C$43)</f>
        <v>-2.0965</v>
      </c>
      <c r="AV114" s="23" t="n">
        <f aca="false">AV$21*(0-Planner!$C$43)</f>
        <v>-0.875</v>
      </c>
      <c r="AW114" s="23" t="n">
        <f aca="false">AW$21*(0-Planner!$C$43)</f>
        <v>-0.7035</v>
      </c>
      <c r="AX114" s="23" t="n">
        <f aca="false">AX$21*(0-Planner!$C$43)</f>
        <v>-0.8925</v>
      </c>
      <c r="AY114" s="23" t="n">
        <f aca="false">AY$21*(0-Planner!$C$43)</f>
        <v>-0.091</v>
      </c>
      <c r="AZ114" s="23" t="n">
        <f aca="false">AZ$21*(0-Planner!$C$43)</f>
        <v>-0.3815</v>
      </c>
      <c r="BA114" s="23" t="n">
        <f aca="false">BA$21*(0-Planner!$C$43)</f>
        <v>-0.147</v>
      </c>
      <c r="BB114" s="23" t="n">
        <f aca="false">BB$21*(0-Planner!$C$43)</f>
        <v>-0.252</v>
      </c>
      <c r="BC114" s="23" t="n">
        <f aca="false">BC$21*(0-Planner!$C$43)</f>
        <v>-0.238</v>
      </c>
      <c r="BD114" s="23" t="n">
        <f aca="false">BD$21*(0-Planner!$C$43)</f>
        <v>-0.3185</v>
      </c>
      <c r="BE114" s="23" t="n">
        <f aca="false">BE$21*(0-Planner!$C$43)</f>
        <v>-1.0745</v>
      </c>
      <c r="BF114" s="23" t="n">
        <f aca="false">BF$21*(0-Planner!$C$43)</f>
        <v>-0.2345</v>
      </c>
      <c r="BG114" s="23" t="n">
        <f aca="false">BG$21*(0-Planner!$C$43)</f>
        <v>-1.085</v>
      </c>
      <c r="BH114" s="23" t="n">
        <f aca="false">BH$21*(0-Planner!$C$43)</f>
        <v>-0.3255</v>
      </c>
      <c r="BI114" s="23" t="n">
        <f aca="false">BI$21*(0-Planner!$C$43)</f>
        <v>-0.392</v>
      </c>
      <c r="BJ114" s="23" t="n">
        <f aca="false">BJ$21*(0-Planner!$C$43)</f>
        <v>-0.301</v>
      </c>
      <c r="BK114" s="23" t="n">
        <f aca="false">BK$21*(0-Planner!$C$43)</f>
        <v>-1.001</v>
      </c>
      <c r="BL114" s="23" t="n">
        <f aca="false">BL$21*(0-Planner!$C$43)</f>
        <v>-0.385</v>
      </c>
      <c r="BM114" s="23" t="n">
        <f aca="false">BM$21*(0-Planner!$C$43)</f>
        <v>-0.4305</v>
      </c>
      <c r="BN114" s="23" t="n">
        <f aca="false">BN$21*(0-Planner!$C$43)</f>
        <v>-1.001</v>
      </c>
      <c r="BO114" s="23" t="n">
        <f aca="false">BO$21*(0-Planner!$C$43)</f>
        <v>-0.308</v>
      </c>
      <c r="BP114" s="23" t="n">
        <f aca="false">BP$21*(0-Planner!$C$43)</f>
        <v>-0.2975</v>
      </c>
      <c r="BQ114" s="23" t="n">
        <f aca="false">BQ$21*(0-Planner!$C$43)</f>
        <v>-0</v>
      </c>
      <c r="BR114" s="23" t="n">
        <f aca="false">BR$21*(0-Planner!$C$43)</f>
        <v>-0</v>
      </c>
      <c r="BS114" s="23" t="n">
        <f aca="false">BS$21*(0-Planner!$C$43)</f>
        <v>-7.4025</v>
      </c>
      <c r="BT114" s="23" t="n">
        <f aca="false">BT$21*(0-Planner!$C$43)</f>
        <v>-0.686</v>
      </c>
      <c r="BU114" s="23" t="n">
        <f aca="false">BU$21*(0-Planner!$C$43)</f>
        <v>-1.785</v>
      </c>
      <c r="BV114" s="23" t="n">
        <f aca="false">BV$21*(0-Planner!$C$43)</f>
        <v>-1.9775</v>
      </c>
      <c r="BW114" s="23" t="n">
        <f aca="false">BW$21*(0-Planner!$C$43)</f>
        <v>-2.2365</v>
      </c>
      <c r="BX114" s="23" t="n">
        <f aca="false">BX$21*(0-Planner!$C$43)</f>
        <v>-1.225</v>
      </c>
    </row>
    <row r="115" customFormat="false" ht="15" hidden="false" customHeight="false" outlineLevel="0" collapsed="false">
      <c r="A115" s="4" t="s">
        <v>795</v>
      </c>
      <c r="B115" s="81" t="s">
        <v>767</v>
      </c>
      <c r="C115" s="84" t="n">
        <v>0</v>
      </c>
      <c r="D115" s="83" t="n">
        <v>-32.7259999928075</v>
      </c>
      <c r="E115" s="81" t="str">
        <f aca="false">IF(D115&lt;=C115+0.000001*MAX(1,ABS(C115)),IF(ABS(D115-C115)&lt;=0.000001*MAX(1,ABS(C115)),"tight","ok"),"VIOLATED")</f>
        <v>ok</v>
      </c>
      <c r="F115" s="23" t="n">
        <f aca="false">F$21*(0-Planner!$C$43)</f>
        <v>-10.857</v>
      </c>
      <c r="G115" s="23" t="n">
        <f aca="false">G$21*(0-Planner!$C$43)</f>
        <v>-8.1725</v>
      </c>
      <c r="H115" s="23" t="n">
        <f aca="false">H$21*(0-Planner!$C$43)</f>
        <v>-8.666</v>
      </c>
      <c r="I115" s="23" t="n">
        <f aca="false">I$21*(0-Planner!$C$43)</f>
        <v>-5.7155</v>
      </c>
      <c r="J115" s="23" t="n">
        <f aca="false">J$21*(0-Planner!$C$43)</f>
        <v>-9.485</v>
      </c>
      <c r="K115" s="23" t="n">
        <f aca="false">K$21*(0-Planner!$C$43)</f>
        <v>-11.872</v>
      </c>
      <c r="L115" s="23" t="n">
        <f aca="false">L$21*(0-Planner!$C$43)</f>
        <v>-9.45</v>
      </c>
      <c r="M115" s="23" t="n">
        <f aca="false">M$21*(0-Planner!$C$43)</f>
        <v>-10.108</v>
      </c>
      <c r="N115" s="23" t="n">
        <f aca="false">N$21*(0-Planner!$C$43)</f>
        <v>-5.81</v>
      </c>
      <c r="O115" s="23" t="n">
        <f aca="false">O$21*(0-Planner!$C$43)</f>
        <v>-9.338</v>
      </c>
      <c r="P115" s="23" t="n">
        <f aca="false">P$21*(0-Planner!$C$43)</f>
        <v>-9.38</v>
      </c>
      <c r="Q115" s="23" t="n">
        <f aca="false">Q$21*(0-Planner!$C$43)</f>
        <v>-6.804</v>
      </c>
      <c r="R115" s="23" t="n">
        <f aca="false">R$21*(0-Planner!$C$43)</f>
        <v>-7.735</v>
      </c>
      <c r="S115" s="23" t="n">
        <f aca="false">S$21*(0-Planner!$C$43)</f>
        <v>-7.973</v>
      </c>
      <c r="T115" s="23" t="n">
        <f aca="false">T$21*(0-Planner!$C$43)</f>
        <v>-9.1525</v>
      </c>
      <c r="U115" s="23" t="n">
        <f aca="false">U$21*(0-Planner!$C$43)</f>
        <v>-4.396</v>
      </c>
      <c r="V115" s="23" t="n">
        <f aca="false">V$21*(0-Planner!$C$43)</f>
        <v>-2.1105</v>
      </c>
      <c r="W115" s="23" t="n">
        <f aca="false">W$21*(0-Planner!$C$43)</f>
        <v>-1.722</v>
      </c>
      <c r="X115" s="23" t="n">
        <f aca="false">X$21*(0-Planner!$C$43)</f>
        <v>-3.157</v>
      </c>
      <c r="Y115" s="23" t="n">
        <f aca="false">Y$21*(0-Planner!$C$43)</f>
        <v>-7.7735</v>
      </c>
      <c r="Z115" s="23" t="n">
        <f aca="false">Z$21*(0-Planner!$C$43)</f>
        <v>-3.1535</v>
      </c>
      <c r="AA115" s="23" t="n">
        <f aca="false">AA$21*(0-Planner!$C$43)</f>
        <v>-3.535</v>
      </c>
      <c r="AB115" s="23" t="n">
        <f aca="false">AB$21*(0-Planner!$C$43)</f>
        <v>-1.155</v>
      </c>
      <c r="AC115" s="23" t="n">
        <f aca="false">AC$21*(0-Planner!$C$43)</f>
        <v>-3.5665</v>
      </c>
      <c r="AD115" s="23" t="n">
        <f aca="false">AD$21*(0-Planner!$C$43)</f>
        <v>-0.91</v>
      </c>
      <c r="AE115" s="23" t="n">
        <f aca="false">AE$21*(0-Planner!$C$43)</f>
        <v>-1.1025</v>
      </c>
      <c r="AF115" s="23" t="n">
        <f aca="false">AF$21*(0-Planner!$C$43)</f>
        <v>-6.3455</v>
      </c>
      <c r="AG115" s="23" t="n">
        <f aca="false">AG$21*(0-Planner!$C$43)</f>
        <v>-8.0045</v>
      </c>
      <c r="AH115" s="23" t="n">
        <f aca="false">AH$21*(0-Planner!$C$43)</f>
        <v>-3.6575</v>
      </c>
      <c r="AI115" s="23" t="n">
        <f aca="false">AI$21*(0-Planner!$C$43)</f>
        <v>-8.3125</v>
      </c>
      <c r="AJ115" s="23" t="n">
        <f aca="false">AJ$21*(0-Planner!$C$43)</f>
        <v>-3.696</v>
      </c>
      <c r="AK115" s="23" t="n">
        <f aca="false">AK$21*(0-Planner!$C$43)</f>
        <v>-0.959</v>
      </c>
      <c r="AL115" s="23" t="n">
        <f aca="false">AL$21*(0-Planner!$C$43)</f>
        <v>-4.2315</v>
      </c>
      <c r="AM115" s="23" t="n">
        <f aca="false">AM$21*(0-Planner!$C$43)</f>
        <v>-1.995</v>
      </c>
      <c r="AN115" s="23" t="n">
        <f aca="false">AN$21*(0-Planner!$C$43)</f>
        <v>-2.8035</v>
      </c>
      <c r="AO115" s="23" t="n">
        <f aca="false">AO$21*(0-Planner!$C$43)</f>
        <v>-0.889</v>
      </c>
      <c r="AP115" s="23" t="n">
        <f aca="false">AP$21*(0-Planner!$C$43)</f>
        <v>-1.54</v>
      </c>
      <c r="AQ115" s="23" t="n">
        <f aca="false">AQ$21*(0-Planner!$C$43)</f>
        <v>-2.03</v>
      </c>
      <c r="AR115" s="23" t="n">
        <f aca="false">AR$21*(0-Planner!$C$43)</f>
        <v>-3.0975</v>
      </c>
      <c r="AS115" s="23" t="n">
        <f aca="false">AS$21*(0-Planner!$C$43)</f>
        <v>-0.9415</v>
      </c>
      <c r="AT115" s="23" t="n">
        <f aca="false">AT$21*(1-Planner!$C$43)</f>
        <v>8.0925</v>
      </c>
      <c r="AU115" s="23" t="n">
        <f aca="false">AU$21*(0-Planner!$C$43)</f>
        <v>-2.0965</v>
      </c>
      <c r="AV115" s="23" t="n">
        <f aca="false">AV$21*(0-Planner!$C$43)</f>
        <v>-0.875</v>
      </c>
      <c r="AW115" s="23" t="n">
        <f aca="false">AW$21*(0-Planner!$C$43)</f>
        <v>-0.7035</v>
      </c>
      <c r="AX115" s="23" t="n">
        <f aca="false">AX$21*(0-Planner!$C$43)</f>
        <v>-0.8925</v>
      </c>
      <c r="AY115" s="23" t="n">
        <f aca="false">AY$21*(0-Planner!$C$43)</f>
        <v>-0.091</v>
      </c>
      <c r="AZ115" s="23" t="n">
        <f aca="false">AZ$21*(0-Planner!$C$43)</f>
        <v>-0.3815</v>
      </c>
      <c r="BA115" s="23" t="n">
        <f aca="false">BA$21*(0-Planner!$C$43)</f>
        <v>-0.147</v>
      </c>
      <c r="BB115" s="23" t="n">
        <f aca="false">BB$21*(0-Planner!$C$43)</f>
        <v>-0.252</v>
      </c>
      <c r="BC115" s="23" t="n">
        <f aca="false">BC$21*(0-Planner!$C$43)</f>
        <v>-0.238</v>
      </c>
      <c r="BD115" s="23" t="n">
        <f aca="false">BD$21*(0-Planner!$C$43)</f>
        <v>-0.3185</v>
      </c>
      <c r="BE115" s="23" t="n">
        <f aca="false">BE$21*(0-Planner!$C$43)</f>
        <v>-1.0745</v>
      </c>
      <c r="BF115" s="23" t="n">
        <f aca="false">BF$21*(0-Planner!$C$43)</f>
        <v>-0.2345</v>
      </c>
      <c r="BG115" s="23" t="n">
        <f aca="false">BG$21*(0-Planner!$C$43)</f>
        <v>-1.085</v>
      </c>
      <c r="BH115" s="23" t="n">
        <f aca="false">BH$21*(0-Planner!$C$43)</f>
        <v>-0.3255</v>
      </c>
      <c r="BI115" s="23" t="n">
        <f aca="false">BI$21*(0-Planner!$C$43)</f>
        <v>-0.392</v>
      </c>
      <c r="BJ115" s="23" t="n">
        <f aca="false">BJ$21*(0-Planner!$C$43)</f>
        <v>-0.301</v>
      </c>
      <c r="BK115" s="23" t="n">
        <f aca="false">BK$21*(0-Planner!$C$43)</f>
        <v>-1.001</v>
      </c>
      <c r="BL115" s="23" t="n">
        <f aca="false">BL$21*(0-Planner!$C$43)</f>
        <v>-0.385</v>
      </c>
      <c r="BM115" s="23" t="n">
        <f aca="false">BM$21*(0-Planner!$C$43)</f>
        <v>-0.4305</v>
      </c>
      <c r="BN115" s="23" t="n">
        <f aca="false">BN$21*(0-Planner!$C$43)</f>
        <v>-1.001</v>
      </c>
      <c r="BO115" s="23" t="n">
        <f aca="false">BO$21*(0-Planner!$C$43)</f>
        <v>-0.308</v>
      </c>
      <c r="BP115" s="23" t="n">
        <f aca="false">BP$21*(0-Planner!$C$43)</f>
        <v>-0.2975</v>
      </c>
      <c r="BQ115" s="23" t="n">
        <f aca="false">BQ$21*(0-Planner!$C$43)</f>
        <v>-0</v>
      </c>
      <c r="BR115" s="23" t="n">
        <f aca="false">BR$21*(0-Planner!$C$43)</f>
        <v>-0</v>
      </c>
      <c r="BS115" s="23" t="n">
        <f aca="false">BS$21*(0-Planner!$C$43)</f>
        <v>-7.4025</v>
      </c>
      <c r="BT115" s="23" t="n">
        <f aca="false">BT$21*(0-Planner!$C$43)</f>
        <v>-0.686</v>
      </c>
      <c r="BU115" s="23" t="n">
        <f aca="false">BU$21*(0-Planner!$C$43)</f>
        <v>-1.785</v>
      </c>
      <c r="BV115" s="23" t="n">
        <f aca="false">BV$21*(0-Planner!$C$43)</f>
        <v>-1.9775</v>
      </c>
      <c r="BW115" s="23" t="n">
        <f aca="false">BW$21*(0-Planner!$C$43)</f>
        <v>-2.2365</v>
      </c>
      <c r="BX115" s="23" t="n">
        <f aca="false">BX$21*(0-Planner!$C$43)</f>
        <v>-1.225</v>
      </c>
    </row>
    <row r="116" customFormat="false" ht="15" hidden="false" customHeight="false" outlineLevel="0" collapsed="false">
      <c r="A116" s="4" t="s">
        <v>796</v>
      </c>
      <c r="B116" s="81" t="s">
        <v>767</v>
      </c>
      <c r="C116" s="84" t="n">
        <v>0</v>
      </c>
      <c r="D116" s="83" t="n">
        <v>-39.1999999928075</v>
      </c>
      <c r="E116" s="81" t="str">
        <f aca="false">IF(D116&lt;=C116+0.000001*MAX(1,ABS(C116)),IF(ABS(D116-C116)&lt;=0.000001*MAX(1,ABS(C116)),"tight","ok"),"VIOLATED")</f>
        <v>ok</v>
      </c>
      <c r="F116" s="23" t="n">
        <f aca="false">F$21*(0-Planner!$C$43)</f>
        <v>-10.857</v>
      </c>
      <c r="G116" s="23" t="n">
        <f aca="false">G$21*(0-Planner!$C$43)</f>
        <v>-8.1725</v>
      </c>
      <c r="H116" s="23" t="n">
        <f aca="false">H$21*(0-Planner!$C$43)</f>
        <v>-8.666</v>
      </c>
      <c r="I116" s="23" t="n">
        <f aca="false">I$21*(0-Planner!$C$43)</f>
        <v>-5.7155</v>
      </c>
      <c r="J116" s="23" t="n">
        <f aca="false">J$21*(0-Planner!$C$43)</f>
        <v>-9.485</v>
      </c>
      <c r="K116" s="23" t="n">
        <f aca="false">K$21*(0-Planner!$C$43)</f>
        <v>-11.872</v>
      </c>
      <c r="L116" s="23" t="n">
        <f aca="false">L$21*(0-Planner!$C$43)</f>
        <v>-9.45</v>
      </c>
      <c r="M116" s="23" t="n">
        <f aca="false">M$21*(0-Planner!$C$43)</f>
        <v>-10.108</v>
      </c>
      <c r="N116" s="23" t="n">
        <f aca="false">N$21*(0-Planner!$C$43)</f>
        <v>-5.81</v>
      </c>
      <c r="O116" s="23" t="n">
        <f aca="false">O$21*(0-Planner!$C$43)</f>
        <v>-9.338</v>
      </c>
      <c r="P116" s="23" t="n">
        <f aca="false">P$21*(0-Planner!$C$43)</f>
        <v>-9.38</v>
      </c>
      <c r="Q116" s="23" t="n">
        <f aca="false">Q$21*(0-Planner!$C$43)</f>
        <v>-6.804</v>
      </c>
      <c r="R116" s="23" t="n">
        <f aca="false">R$21*(0-Planner!$C$43)</f>
        <v>-7.735</v>
      </c>
      <c r="S116" s="23" t="n">
        <f aca="false">S$21*(0-Planner!$C$43)</f>
        <v>-7.973</v>
      </c>
      <c r="T116" s="23" t="n">
        <f aca="false">T$21*(0-Planner!$C$43)</f>
        <v>-9.1525</v>
      </c>
      <c r="U116" s="23" t="n">
        <f aca="false">U$21*(0-Planner!$C$43)</f>
        <v>-4.396</v>
      </c>
      <c r="V116" s="23" t="n">
        <f aca="false">V$21*(0-Planner!$C$43)</f>
        <v>-2.1105</v>
      </c>
      <c r="W116" s="23" t="n">
        <f aca="false">W$21*(0-Planner!$C$43)</f>
        <v>-1.722</v>
      </c>
      <c r="X116" s="23" t="n">
        <f aca="false">X$21*(0-Planner!$C$43)</f>
        <v>-3.157</v>
      </c>
      <c r="Y116" s="23" t="n">
        <f aca="false">Y$21*(0-Planner!$C$43)</f>
        <v>-7.7735</v>
      </c>
      <c r="Z116" s="23" t="n">
        <f aca="false">Z$21*(0-Planner!$C$43)</f>
        <v>-3.1535</v>
      </c>
      <c r="AA116" s="23" t="n">
        <f aca="false">AA$21*(0-Planner!$C$43)</f>
        <v>-3.535</v>
      </c>
      <c r="AB116" s="23" t="n">
        <f aca="false">AB$21*(0-Planner!$C$43)</f>
        <v>-1.155</v>
      </c>
      <c r="AC116" s="23" t="n">
        <f aca="false">AC$21*(0-Planner!$C$43)</f>
        <v>-3.5665</v>
      </c>
      <c r="AD116" s="23" t="n">
        <f aca="false">AD$21*(0-Planner!$C$43)</f>
        <v>-0.91</v>
      </c>
      <c r="AE116" s="23" t="n">
        <f aca="false">AE$21*(0-Planner!$C$43)</f>
        <v>-1.1025</v>
      </c>
      <c r="AF116" s="23" t="n">
        <f aca="false">AF$21*(0-Planner!$C$43)</f>
        <v>-6.3455</v>
      </c>
      <c r="AG116" s="23" t="n">
        <f aca="false">AG$21*(0-Planner!$C$43)</f>
        <v>-8.0045</v>
      </c>
      <c r="AH116" s="23" t="n">
        <f aca="false">AH$21*(0-Planner!$C$43)</f>
        <v>-3.6575</v>
      </c>
      <c r="AI116" s="23" t="n">
        <f aca="false">AI$21*(0-Planner!$C$43)</f>
        <v>-8.3125</v>
      </c>
      <c r="AJ116" s="23" t="n">
        <f aca="false">AJ$21*(0-Planner!$C$43)</f>
        <v>-3.696</v>
      </c>
      <c r="AK116" s="23" t="n">
        <f aca="false">AK$21*(0-Planner!$C$43)</f>
        <v>-0.959</v>
      </c>
      <c r="AL116" s="23" t="n">
        <f aca="false">AL$21*(0-Planner!$C$43)</f>
        <v>-4.2315</v>
      </c>
      <c r="AM116" s="23" t="n">
        <f aca="false">AM$21*(0-Planner!$C$43)</f>
        <v>-1.995</v>
      </c>
      <c r="AN116" s="23" t="n">
        <f aca="false">AN$21*(0-Planner!$C$43)</f>
        <v>-2.8035</v>
      </c>
      <c r="AO116" s="23" t="n">
        <f aca="false">AO$21*(0-Planner!$C$43)</f>
        <v>-0.889</v>
      </c>
      <c r="AP116" s="23" t="n">
        <f aca="false">AP$21*(0-Planner!$C$43)</f>
        <v>-1.54</v>
      </c>
      <c r="AQ116" s="23" t="n">
        <f aca="false">AQ$21*(0-Planner!$C$43)</f>
        <v>-2.03</v>
      </c>
      <c r="AR116" s="23" t="n">
        <f aca="false">AR$21*(0-Planner!$C$43)</f>
        <v>-3.0975</v>
      </c>
      <c r="AS116" s="23" t="n">
        <f aca="false">AS$21*(0-Planner!$C$43)</f>
        <v>-0.9415</v>
      </c>
      <c r="AT116" s="23" t="n">
        <f aca="false">AT$21*(0-Planner!$C$43)</f>
        <v>-4.3575</v>
      </c>
      <c r="AU116" s="23" t="n">
        <f aca="false">AU$21*(0-Planner!$C$43)</f>
        <v>-2.0965</v>
      </c>
      <c r="AV116" s="23" t="n">
        <f aca="false">AV$21*(0-Planner!$C$43)</f>
        <v>-0.875</v>
      </c>
      <c r="AW116" s="23" t="n">
        <f aca="false">AW$21*(0-Planner!$C$43)</f>
        <v>-0.7035</v>
      </c>
      <c r="AX116" s="23" t="n">
        <f aca="false">AX$21*(0-Planner!$C$43)</f>
        <v>-0.8925</v>
      </c>
      <c r="AY116" s="23" t="n">
        <f aca="false">AY$21*(0-Planner!$C$43)</f>
        <v>-0.091</v>
      </c>
      <c r="AZ116" s="23" t="n">
        <f aca="false">AZ$21*(0-Planner!$C$43)</f>
        <v>-0.3815</v>
      </c>
      <c r="BA116" s="23" t="n">
        <f aca="false">BA$21*(0-Planner!$C$43)</f>
        <v>-0.147</v>
      </c>
      <c r="BB116" s="23" t="n">
        <f aca="false">BB$21*(0-Planner!$C$43)</f>
        <v>-0.252</v>
      </c>
      <c r="BC116" s="23" t="n">
        <f aca="false">BC$21*(0-Planner!$C$43)</f>
        <v>-0.238</v>
      </c>
      <c r="BD116" s="23" t="n">
        <f aca="false">BD$21*(0-Planner!$C$43)</f>
        <v>-0.3185</v>
      </c>
      <c r="BE116" s="23" t="n">
        <f aca="false">BE$21*(0-Planner!$C$43)</f>
        <v>-1.0745</v>
      </c>
      <c r="BF116" s="23" t="n">
        <f aca="false">BF$21*(0-Planner!$C$43)</f>
        <v>-0.2345</v>
      </c>
      <c r="BG116" s="23" t="n">
        <f aca="false">BG$21*(0-Planner!$C$43)</f>
        <v>-1.085</v>
      </c>
      <c r="BH116" s="23" t="n">
        <f aca="false">BH$21*(0-Planner!$C$43)</f>
        <v>-0.3255</v>
      </c>
      <c r="BI116" s="23" t="n">
        <f aca="false">BI$21*(0-Planner!$C$43)</f>
        <v>-0.392</v>
      </c>
      <c r="BJ116" s="23" t="n">
        <f aca="false">BJ$21*(0-Planner!$C$43)</f>
        <v>-0.301</v>
      </c>
      <c r="BK116" s="23" t="n">
        <f aca="false">BK$21*(0-Planner!$C$43)</f>
        <v>-1.001</v>
      </c>
      <c r="BL116" s="23" t="n">
        <f aca="false">BL$21*(0-Planner!$C$43)</f>
        <v>-0.385</v>
      </c>
      <c r="BM116" s="23" t="n">
        <f aca="false">BM$21*(0-Planner!$C$43)</f>
        <v>-0.4305</v>
      </c>
      <c r="BN116" s="23" t="n">
        <f aca="false">BN$21*(0-Planner!$C$43)</f>
        <v>-1.001</v>
      </c>
      <c r="BO116" s="23" t="n">
        <f aca="false">BO$21*(0-Planner!$C$43)</f>
        <v>-0.308</v>
      </c>
      <c r="BP116" s="23" t="n">
        <f aca="false">BP$21*(0-Planner!$C$43)</f>
        <v>-0.2975</v>
      </c>
      <c r="BQ116" s="23" t="n">
        <f aca="false">BQ$21*(0-Planner!$C$43)</f>
        <v>-0</v>
      </c>
      <c r="BR116" s="23" t="n">
        <f aca="false">BR$21*(0-Planner!$C$43)</f>
        <v>-0</v>
      </c>
      <c r="BS116" s="23" t="n">
        <f aca="false">BS$21*(1-Planner!$C$43)</f>
        <v>13.7475</v>
      </c>
      <c r="BT116" s="23" t="n">
        <f aca="false">BT$21*(0-Planner!$C$43)</f>
        <v>-0.686</v>
      </c>
      <c r="BU116" s="23" t="n">
        <f aca="false">BU$21*(0-Planner!$C$43)</f>
        <v>-1.785</v>
      </c>
      <c r="BV116" s="23" t="n">
        <f aca="false">BV$21*(0-Planner!$C$43)</f>
        <v>-1.9775</v>
      </c>
      <c r="BW116" s="23" t="n">
        <f aca="false">BW$21*(0-Planner!$C$43)</f>
        <v>-2.2365</v>
      </c>
      <c r="BX116" s="23" t="n">
        <f aca="false">BX$21*(0-Planner!$C$43)</f>
        <v>-1.225</v>
      </c>
    </row>
    <row r="118" customFormat="false" ht="15" hidden="false" customHeight="false" outlineLevel="0" collapsed="false">
      <c r="A118" s="3" t="s">
        <v>797</v>
      </c>
    </row>
    <row r="120" customFormat="false" ht="39.75" hidden="false" customHeight="true" outlineLevel="0" collapsed="false">
      <c r="A120" s="16" t="s">
        <v>198</v>
      </c>
      <c r="B120" s="16" t="s">
        <v>696</v>
      </c>
      <c r="C120" s="16" t="s">
        <v>798</v>
      </c>
      <c r="D120" s="16" t="s">
        <v>799</v>
      </c>
      <c r="E120" s="16" t="s">
        <v>800</v>
      </c>
      <c r="F120" s="16" t="s">
        <v>801</v>
      </c>
      <c r="G120" s="16" t="s">
        <v>83</v>
      </c>
      <c r="H120" s="16" t="s">
        <v>802</v>
      </c>
      <c r="I120" s="16" t="s">
        <v>803</v>
      </c>
      <c r="J120" s="16" t="s">
        <v>804</v>
      </c>
      <c r="K120" s="16" t="s">
        <v>805</v>
      </c>
      <c r="L120" s="16" t="s">
        <v>806</v>
      </c>
      <c r="M120" s="16" t="s">
        <v>807</v>
      </c>
      <c r="N120" s="16" t="s">
        <v>808</v>
      </c>
      <c r="O120" s="16" t="s">
        <v>809</v>
      </c>
      <c r="P120" s="16" t="s">
        <v>810</v>
      </c>
      <c r="Q120" s="16" t="s">
        <v>811</v>
      </c>
    </row>
    <row r="121" customFormat="false" ht="15" hidden="false" customHeight="false" outlineLevel="0" collapsed="false">
      <c r="A121" s="4" t="n">
        <v>1</v>
      </c>
      <c r="B121" s="85" t="str">
        <f aca="false">F$13</f>
        <v>Chicken breast, roasted</v>
      </c>
      <c r="C121" s="86" t="n">
        <v>0</v>
      </c>
      <c r="D121" s="78" t="n">
        <f aca="false">INDEX($F$15:$BX$15,1,A121)</f>
        <v>1.7</v>
      </c>
      <c r="E121" s="78" t="n">
        <f aca="false">INDEX($F$16:$BX$16,1,A121)</f>
        <v>0</v>
      </c>
      <c r="F121" s="24" t="n">
        <f aca="false">C121*100</f>
        <v>0</v>
      </c>
      <c r="G121" s="23" t="n">
        <f aca="false">F121/'Food Data'!R6</f>
        <v>0</v>
      </c>
      <c r="H121" s="34" t="n">
        <f aca="false">C121*INDEX($F$14:$BX$14,1,A121)</f>
        <v>0</v>
      </c>
      <c r="I121" s="81" t="str">
        <f aca="false">IF(AND(D121&gt;0,C121&gt;=D121-0.00001),"at cap","")</f>
        <v/>
      </c>
      <c r="J121" s="24" t="n">
        <f aca="false">F121*INDEX($F$33:$BX$33,1,A121)</f>
        <v>0</v>
      </c>
      <c r="K121" s="24" t="n">
        <f aca="false">F121*INDEX($F$34:$BX$34,1,A121)</f>
        <v>0</v>
      </c>
      <c r="L121" s="24" t="n">
        <f aca="false">F121*INDEX($F$35:$BX$35,1,A121)</f>
        <v>0</v>
      </c>
      <c r="M121" s="24" t="n">
        <f aca="false">F121*INDEX($F$36:$BX$36,1,A121)</f>
        <v>0</v>
      </c>
      <c r="N121" s="24" t="str">
        <f aca="false">IF(J121&gt;=0.5,COUNTIF(J$121:J121,"&gt;=0.5"),"")</f>
        <v/>
      </c>
      <c r="O121" s="24" t="str">
        <f aca="false">IF(K121&gt;=0.5,COUNTIF(K$121:K121,"&gt;=0.5"),"")</f>
        <v/>
      </c>
      <c r="P121" s="24" t="str">
        <f aca="false">IF(L121&gt;=0.5,COUNTIF(L$121:L121,"&gt;=0.5"),"")</f>
        <v/>
      </c>
      <c r="Q121" s="24" t="str">
        <f aca="false">IF(M121&gt;=0.5,COUNTIF(M$121:M121,"&gt;=0.5"),"")</f>
        <v/>
      </c>
    </row>
    <row r="122" customFormat="false" ht="15" hidden="false" customHeight="false" outlineLevel="0" collapsed="false">
      <c r="A122" s="4" t="n">
        <v>2</v>
      </c>
      <c r="B122" s="85" t="str">
        <f aca="false">G$13</f>
        <v>Chicken drumsticks, roasted (meat &amp; skin)</v>
      </c>
      <c r="C122" s="86" t="n">
        <v>0.831584471</v>
      </c>
      <c r="D122" s="78" t="n">
        <f aca="false">INDEX($F$15:$BX$15,1,A122)</f>
        <v>1.7</v>
      </c>
      <c r="E122" s="78" t="n">
        <f aca="false">INDEX($F$16:$BX$16,1,A122)</f>
        <v>0</v>
      </c>
      <c r="F122" s="24" t="n">
        <f aca="false">C122*100</f>
        <v>83.1584471</v>
      </c>
      <c r="G122" s="23" t="n">
        <f aca="false">F122/'Food Data'!R7</f>
        <v>0.978334671764706</v>
      </c>
      <c r="H122" s="34" t="n">
        <f aca="false">C122*INDEX($F$14:$BX$14,1,A122)</f>
        <v>0.547068614157788</v>
      </c>
      <c r="I122" s="81" t="str">
        <f aca="false">IF(AND(D122&gt;0,C122&gt;=D122-0.00001),"at cap","")</f>
        <v/>
      </c>
      <c r="J122" s="24" t="n">
        <f aca="false">F122*INDEX($F$33:$BX$33,1,A122)</f>
        <v>0</v>
      </c>
      <c r="K122" s="24" t="n">
        <f aca="false">F122*INDEX($F$34:$BX$34,1,A122)</f>
        <v>41.57922355</v>
      </c>
      <c r="L122" s="24" t="n">
        <f aca="false">F122*INDEX($F$35:$BX$35,1,A122)</f>
        <v>41.57922355</v>
      </c>
      <c r="M122" s="24" t="n">
        <f aca="false">F122*INDEX($F$36:$BX$36,1,A122)</f>
        <v>0</v>
      </c>
      <c r="N122" s="24" t="str">
        <f aca="false">IF(J122&gt;=0.5,COUNTIF(J$121:J122,"&gt;=0.5"),"")</f>
        <v/>
      </c>
      <c r="O122" s="24" t="n">
        <f aca="false">IF(K122&gt;=0.5,COUNTIF(K$121:K122,"&gt;=0.5"),"")</f>
        <v>1</v>
      </c>
      <c r="P122" s="24" t="n">
        <f aca="false">IF(L122&gt;=0.5,COUNTIF(L$121:L122,"&gt;=0.5"),"")</f>
        <v>1</v>
      </c>
      <c r="Q122" s="24" t="str">
        <f aca="false">IF(M122&gt;=0.5,COUNTIF(M$121:M122,"&gt;=0.5"),"")</f>
        <v/>
      </c>
    </row>
    <row r="123" customFormat="false" ht="15" hidden="false" customHeight="false" outlineLevel="0" collapsed="false">
      <c r="A123" s="4" t="n">
        <v>3</v>
      </c>
      <c r="B123" s="85" t="str">
        <f aca="false">H$13</f>
        <v>Chicken thighs, roasted</v>
      </c>
      <c r="C123" s="86" t="n">
        <v>0</v>
      </c>
      <c r="D123" s="78" t="n">
        <f aca="false">INDEX($F$15:$BX$15,1,A123)</f>
        <v>1.7</v>
      </c>
      <c r="E123" s="78" t="n">
        <f aca="false">INDEX($F$16:$BX$16,1,A123)</f>
        <v>0</v>
      </c>
      <c r="F123" s="24" t="n">
        <f aca="false">C123*100</f>
        <v>0</v>
      </c>
      <c r="G123" s="23" t="n">
        <f aca="false">F123/'Food Data'!R8</f>
        <v>0</v>
      </c>
      <c r="H123" s="34" t="n">
        <f aca="false">C123*INDEX($F$14:$BX$14,1,A123)</f>
        <v>0</v>
      </c>
      <c r="I123" s="81" t="str">
        <f aca="false">IF(AND(D123&gt;0,C123&gt;=D123-0.00001),"at cap","")</f>
        <v/>
      </c>
      <c r="J123" s="24" t="n">
        <f aca="false">F123*INDEX($F$33:$BX$33,1,A123)</f>
        <v>0</v>
      </c>
      <c r="K123" s="24" t="n">
        <f aca="false">F123*INDEX($F$34:$BX$34,1,A123)</f>
        <v>0</v>
      </c>
      <c r="L123" s="24" t="n">
        <f aca="false">F123*INDEX($F$35:$BX$35,1,A123)</f>
        <v>0</v>
      </c>
      <c r="M123" s="24" t="n">
        <f aca="false">F123*INDEX($F$36:$BX$36,1,A123)</f>
        <v>0</v>
      </c>
      <c r="N123" s="24" t="str">
        <f aca="false">IF(J123&gt;=0.5,COUNTIF(J$121:J123,"&gt;=0.5"),"")</f>
        <v/>
      </c>
      <c r="O123" s="24" t="str">
        <f aca="false">IF(K123&gt;=0.5,COUNTIF(K$121:K123,"&gt;=0.5"),"")</f>
        <v/>
      </c>
      <c r="P123" s="24" t="str">
        <f aca="false">IF(L123&gt;=0.5,COUNTIF(L$121:L123,"&gt;=0.5"),"")</f>
        <v/>
      </c>
      <c r="Q123" s="24" t="str">
        <f aca="false">IF(M123&gt;=0.5,COUNTIF(M$121:M123,"&gt;=0.5"),"")</f>
        <v/>
      </c>
    </row>
    <row r="124" customFormat="false" ht="15" hidden="false" customHeight="false" outlineLevel="0" collapsed="false">
      <c r="A124" s="4" t="n">
        <v>4</v>
      </c>
      <c r="B124" s="85" t="str">
        <f aca="false">I$13</f>
        <v>Deli turkey breast (sliced)</v>
      </c>
      <c r="C124" s="86" t="n">
        <v>0</v>
      </c>
      <c r="D124" s="78" t="n">
        <f aca="false">INDEX($F$15:$BX$15,1,A124)</f>
        <v>1.12</v>
      </c>
      <c r="E124" s="78" t="n">
        <f aca="false">INDEX($F$16:$BX$16,1,A124)</f>
        <v>0</v>
      </c>
      <c r="F124" s="24" t="n">
        <f aca="false">C124*100</f>
        <v>0</v>
      </c>
      <c r="G124" s="23" t="n">
        <f aca="false">F124/'Food Data'!R9</f>
        <v>0</v>
      </c>
      <c r="H124" s="34" t="n">
        <f aca="false">C124*INDEX($F$14:$BX$14,1,A124)</f>
        <v>0</v>
      </c>
      <c r="I124" s="81" t="str">
        <f aca="false">IF(AND(D124&gt;0,C124&gt;=D124-0.00001),"at cap","")</f>
        <v/>
      </c>
      <c r="J124" s="24" t="n">
        <f aca="false">F124*INDEX($F$33:$BX$33,1,A124)</f>
        <v>0</v>
      </c>
      <c r="K124" s="24" t="n">
        <f aca="false">F124*INDEX($F$34:$BX$34,1,A124)</f>
        <v>0</v>
      </c>
      <c r="L124" s="24" t="n">
        <f aca="false">F124*INDEX($F$35:$BX$35,1,A124)</f>
        <v>0</v>
      </c>
      <c r="M124" s="24" t="n">
        <f aca="false">F124*INDEX($F$36:$BX$36,1,A124)</f>
        <v>0</v>
      </c>
      <c r="N124" s="24" t="str">
        <f aca="false">IF(J124&gt;=0.5,COUNTIF(J$121:J124,"&gt;=0.5"),"")</f>
        <v/>
      </c>
      <c r="O124" s="24" t="str">
        <f aca="false">IF(K124&gt;=0.5,COUNTIF(K$121:K124,"&gt;=0.5"),"")</f>
        <v/>
      </c>
      <c r="P124" s="24" t="str">
        <f aca="false">IF(L124&gt;=0.5,COUNTIF(L$121:L124,"&gt;=0.5"),"")</f>
        <v/>
      </c>
      <c r="Q124" s="24" t="str">
        <f aca="false">IF(M124&gt;=0.5,COUNTIF(M$121:M124,"&gt;=0.5"),"")</f>
        <v/>
      </c>
    </row>
    <row r="125" customFormat="false" ht="15" hidden="false" customHeight="false" outlineLevel="0" collapsed="false">
      <c r="A125" s="4" t="n">
        <v>5</v>
      </c>
      <c r="B125" s="85" t="str">
        <f aca="false">J$13</f>
        <v>Ground turkey 93/7, cooked</v>
      </c>
      <c r="C125" s="86" t="n">
        <v>0</v>
      </c>
      <c r="D125" s="78" t="n">
        <f aca="false">INDEX($F$15:$BX$15,1,A125)</f>
        <v>1.7</v>
      </c>
      <c r="E125" s="78" t="n">
        <f aca="false">INDEX($F$16:$BX$16,1,A125)</f>
        <v>0</v>
      </c>
      <c r="F125" s="24" t="n">
        <f aca="false">C125*100</f>
        <v>0</v>
      </c>
      <c r="G125" s="23" t="n">
        <f aca="false">F125/'Food Data'!R10</f>
        <v>0</v>
      </c>
      <c r="H125" s="34" t="n">
        <f aca="false">C125*INDEX($F$14:$BX$14,1,A125)</f>
        <v>0</v>
      </c>
      <c r="I125" s="81" t="str">
        <f aca="false">IF(AND(D125&gt;0,C125&gt;=D125-0.00001),"at cap","")</f>
        <v/>
      </c>
      <c r="J125" s="24" t="n">
        <f aca="false">F125*INDEX($F$33:$BX$33,1,A125)</f>
        <v>0</v>
      </c>
      <c r="K125" s="24" t="n">
        <f aca="false">F125*INDEX($F$34:$BX$34,1,A125)</f>
        <v>0</v>
      </c>
      <c r="L125" s="24" t="n">
        <f aca="false">F125*INDEX($F$35:$BX$35,1,A125)</f>
        <v>0</v>
      </c>
      <c r="M125" s="24" t="n">
        <f aca="false">F125*INDEX($F$36:$BX$36,1,A125)</f>
        <v>0</v>
      </c>
      <c r="N125" s="24" t="str">
        <f aca="false">IF(J125&gt;=0.5,COUNTIF(J$121:J125,"&gt;=0.5"),"")</f>
        <v/>
      </c>
      <c r="O125" s="24" t="str">
        <f aca="false">IF(K125&gt;=0.5,COUNTIF(K$121:K125,"&gt;=0.5"),"")</f>
        <v/>
      </c>
      <c r="P125" s="24" t="str">
        <f aca="false">IF(L125&gt;=0.5,COUNTIF(L$121:L125,"&gt;=0.5"),"")</f>
        <v/>
      </c>
      <c r="Q125" s="24" t="str">
        <f aca="false">IF(M125&gt;=0.5,COUNTIF(M$121:M125,"&gt;=0.5"),"")</f>
        <v/>
      </c>
    </row>
    <row r="126" customFormat="false" ht="15" hidden="false" customHeight="false" outlineLevel="0" collapsed="false">
      <c r="A126" s="4" t="n">
        <v>6</v>
      </c>
      <c r="B126" s="85" t="str">
        <f aca="false">K$13</f>
        <v>Bacon, cooked</v>
      </c>
      <c r="C126" s="86" t="n">
        <v>0</v>
      </c>
      <c r="D126" s="78" t="n">
        <f aca="false">INDEX($F$15:$BX$15,1,A126)</f>
        <v>0.2875</v>
      </c>
      <c r="E126" s="78" t="n">
        <f aca="false">INDEX($F$16:$BX$16,1,A126)</f>
        <v>0</v>
      </c>
      <c r="F126" s="24" t="n">
        <f aca="false">C126*100</f>
        <v>0</v>
      </c>
      <c r="G126" s="23" t="n">
        <f aca="false">F126/'Food Data'!R11</f>
        <v>0</v>
      </c>
      <c r="H126" s="34" t="n">
        <f aca="false">C126*INDEX($F$14:$BX$14,1,A126)</f>
        <v>0</v>
      </c>
      <c r="I126" s="81" t="str">
        <f aca="false">IF(AND(D126&gt;0,C126&gt;=D126-0.00001),"at cap","")</f>
        <v/>
      </c>
      <c r="J126" s="24" t="n">
        <f aca="false">F126*INDEX($F$33:$BX$33,1,A126)</f>
        <v>0</v>
      </c>
      <c r="K126" s="24" t="n">
        <f aca="false">F126*INDEX($F$34:$BX$34,1,A126)</f>
        <v>0</v>
      </c>
      <c r="L126" s="24" t="n">
        <f aca="false">F126*INDEX($F$35:$BX$35,1,A126)</f>
        <v>0</v>
      </c>
      <c r="M126" s="24" t="n">
        <f aca="false">F126*INDEX($F$36:$BX$36,1,A126)</f>
        <v>0</v>
      </c>
      <c r="N126" s="24" t="str">
        <f aca="false">IF(J126&gt;=0.5,COUNTIF(J$121:J126,"&gt;=0.5"),"")</f>
        <v/>
      </c>
      <c r="O126" s="24" t="str">
        <f aca="false">IF(K126&gt;=0.5,COUNTIF(K$121:K126,"&gt;=0.5"),"")</f>
        <v/>
      </c>
      <c r="P126" s="24" t="str">
        <f aca="false">IF(L126&gt;=0.5,COUNTIF(L$121:L126,"&gt;=0.5"),"")</f>
        <v/>
      </c>
      <c r="Q126" s="24" t="str">
        <f aca="false">IF(M126&gt;=0.5,COUNTIF(M$121:M126,"&gt;=0.5"),"")</f>
        <v/>
      </c>
    </row>
    <row r="127" customFormat="false" ht="15" hidden="false" customHeight="false" outlineLevel="0" collapsed="false">
      <c r="A127" s="4" t="n">
        <v>7</v>
      </c>
      <c r="B127" s="85" t="str">
        <f aca="false">L$13</f>
        <v>Ground beef 80/20, cooked</v>
      </c>
      <c r="C127" s="86" t="n">
        <v>0</v>
      </c>
      <c r="D127" s="78" t="n">
        <f aca="false">INDEX($F$15:$BX$15,1,A127)</f>
        <v>1.275</v>
      </c>
      <c r="E127" s="78" t="n">
        <f aca="false">INDEX($F$16:$BX$16,1,A127)</f>
        <v>0</v>
      </c>
      <c r="F127" s="24" t="n">
        <f aca="false">C127*100</f>
        <v>0</v>
      </c>
      <c r="G127" s="23" t="n">
        <f aca="false">F127/'Food Data'!R12</f>
        <v>0</v>
      </c>
      <c r="H127" s="34" t="n">
        <f aca="false">C127*INDEX($F$14:$BX$14,1,A127)</f>
        <v>0</v>
      </c>
      <c r="I127" s="81" t="str">
        <f aca="false">IF(AND(D127&gt;0,C127&gt;=D127-0.00001),"at cap","")</f>
        <v/>
      </c>
      <c r="J127" s="24" t="n">
        <f aca="false">F127*INDEX($F$33:$BX$33,1,A127)</f>
        <v>0</v>
      </c>
      <c r="K127" s="24" t="n">
        <f aca="false">F127*INDEX($F$34:$BX$34,1,A127)</f>
        <v>0</v>
      </c>
      <c r="L127" s="24" t="n">
        <f aca="false">F127*INDEX($F$35:$BX$35,1,A127)</f>
        <v>0</v>
      </c>
      <c r="M127" s="24" t="n">
        <f aca="false">F127*INDEX($F$36:$BX$36,1,A127)</f>
        <v>0</v>
      </c>
      <c r="N127" s="24" t="str">
        <f aca="false">IF(J127&gt;=0.5,COUNTIF(J$121:J127,"&gt;=0.5"),"")</f>
        <v/>
      </c>
      <c r="O127" s="24" t="str">
        <f aca="false">IF(K127&gt;=0.5,COUNTIF(K$121:K127,"&gt;=0.5"),"")</f>
        <v/>
      </c>
      <c r="P127" s="24" t="str">
        <f aca="false">IF(L127&gt;=0.5,COUNTIF(L$121:L127,"&gt;=0.5"),"")</f>
        <v/>
      </c>
      <c r="Q127" s="24" t="str">
        <f aca="false">IF(M127&gt;=0.5,COUNTIF(M$121:M127,"&gt;=0.5"),"")</f>
        <v/>
      </c>
    </row>
    <row r="128" customFormat="false" ht="15" hidden="false" customHeight="false" outlineLevel="0" collapsed="false">
      <c r="A128" s="4" t="n">
        <v>8</v>
      </c>
      <c r="B128" s="85" t="str">
        <f aca="false">M$13</f>
        <v>Ground beef 93/7, cooked</v>
      </c>
      <c r="C128" s="86" t="n">
        <v>0</v>
      </c>
      <c r="D128" s="78" t="n">
        <f aca="false">INDEX($F$15:$BX$15,1,A128)</f>
        <v>1.7</v>
      </c>
      <c r="E128" s="78" t="n">
        <f aca="false">INDEX($F$16:$BX$16,1,A128)</f>
        <v>0</v>
      </c>
      <c r="F128" s="24" t="n">
        <f aca="false">C128*100</f>
        <v>0</v>
      </c>
      <c r="G128" s="23" t="n">
        <f aca="false">F128/'Food Data'!R13</f>
        <v>0</v>
      </c>
      <c r="H128" s="34" t="n">
        <f aca="false">C128*INDEX($F$14:$BX$14,1,A128)</f>
        <v>0</v>
      </c>
      <c r="I128" s="81" t="str">
        <f aca="false">IF(AND(D128&gt;0,C128&gt;=D128-0.00001),"at cap","")</f>
        <v/>
      </c>
      <c r="J128" s="24" t="n">
        <f aca="false">F128*INDEX($F$33:$BX$33,1,A128)</f>
        <v>0</v>
      </c>
      <c r="K128" s="24" t="n">
        <f aca="false">F128*INDEX($F$34:$BX$34,1,A128)</f>
        <v>0</v>
      </c>
      <c r="L128" s="24" t="n">
        <f aca="false">F128*INDEX($F$35:$BX$35,1,A128)</f>
        <v>0</v>
      </c>
      <c r="M128" s="24" t="n">
        <f aca="false">F128*INDEX($F$36:$BX$36,1,A128)</f>
        <v>0</v>
      </c>
      <c r="N128" s="24" t="str">
        <f aca="false">IF(J128&gt;=0.5,COUNTIF(J$121:J128,"&gt;=0.5"),"")</f>
        <v/>
      </c>
      <c r="O128" s="24" t="str">
        <f aca="false">IF(K128&gt;=0.5,COUNTIF(K$121:K128,"&gt;=0.5"),"")</f>
        <v/>
      </c>
      <c r="P128" s="24" t="str">
        <f aca="false">IF(L128&gt;=0.5,COUNTIF(L$121:L128,"&gt;=0.5"),"")</f>
        <v/>
      </c>
      <c r="Q128" s="24" t="str">
        <f aca="false">IF(M128&gt;=0.5,COUNTIF(M$121:M128,"&gt;=0.5"),"")</f>
        <v/>
      </c>
    </row>
    <row r="129" customFormat="false" ht="15" hidden="false" customHeight="false" outlineLevel="0" collapsed="false">
      <c r="A129" s="4" t="n">
        <v>9</v>
      </c>
      <c r="B129" s="85" t="str">
        <f aca="false">N$13</f>
        <v>Ham (sliced, cooked)</v>
      </c>
      <c r="C129" s="86" t="n">
        <v>0</v>
      </c>
      <c r="D129" s="78" t="n">
        <f aca="false">INDEX($F$15:$BX$15,1,A129)</f>
        <v>1.12</v>
      </c>
      <c r="E129" s="78" t="n">
        <f aca="false">INDEX($F$16:$BX$16,1,A129)</f>
        <v>0</v>
      </c>
      <c r="F129" s="24" t="n">
        <f aca="false">C129*100</f>
        <v>0</v>
      </c>
      <c r="G129" s="23" t="n">
        <f aca="false">F129/'Food Data'!R14</f>
        <v>0</v>
      </c>
      <c r="H129" s="34" t="n">
        <f aca="false">C129*INDEX($F$14:$BX$14,1,A129)</f>
        <v>0</v>
      </c>
      <c r="I129" s="81" t="str">
        <f aca="false">IF(AND(D129&gt;0,C129&gt;=D129-0.00001),"at cap","")</f>
        <v/>
      </c>
      <c r="J129" s="24" t="n">
        <f aca="false">F129*INDEX($F$33:$BX$33,1,A129)</f>
        <v>0</v>
      </c>
      <c r="K129" s="24" t="n">
        <f aca="false">F129*INDEX($F$34:$BX$34,1,A129)</f>
        <v>0</v>
      </c>
      <c r="L129" s="24" t="n">
        <f aca="false">F129*INDEX($F$35:$BX$35,1,A129)</f>
        <v>0</v>
      </c>
      <c r="M129" s="24" t="n">
        <f aca="false">F129*INDEX($F$36:$BX$36,1,A129)</f>
        <v>0</v>
      </c>
      <c r="N129" s="24" t="str">
        <f aca="false">IF(J129&gt;=0.5,COUNTIF(J$121:J129,"&gt;=0.5"),"")</f>
        <v/>
      </c>
      <c r="O129" s="24" t="str">
        <f aca="false">IF(K129&gt;=0.5,COUNTIF(K$121:K129,"&gt;=0.5"),"")</f>
        <v/>
      </c>
      <c r="P129" s="24" t="str">
        <f aca="false">IF(L129&gt;=0.5,COUNTIF(L$121:L129,"&gt;=0.5"),"")</f>
        <v/>
      </c>
      <c r="Q129" s="24" t="str">
        <f aca="false">IF(M129&gt;=0.5,COUNTIF(M$121:M129,"&gt;=0.5"),"")</f>
        <v/>
      </c>
    </row>
    <row r="130" customFormat="false" ht="15" hidden="false" customHeight="false" outlineLevel="0" collapsed="false">
      <c r="A130" s="4" t="n">
        <v>10</v>
      </c>
      <c r="B130" s="85" t="str">
        <f aca="false">O$13</f>
        <v>Pork loin chops, pan-cooked</v>
      </c>
      <c r="C130" s="86" t="n">
        <v>0</v>
      </c>
      <c r="D130" s="78" t="n">
        <f aca="false">INDEX($F$15:$BX$15,1,A130)</f>
        <v>1.7</v>
      </c>
      <c r="E130" s="78" t="n">
        <f aca="false">INDEX($F$16:$BX$16,1,A130)</f>
        <v>0</v>
      </c>
      <c r="F130" s="24" t="n">
        <f aca="false">C130*100</f>
        <v>0</v>
      </c>
      <c r="G130" s="23" t="n">
        <f aca="false">F130/'Food Data'!R15</f>
        <v>0</v>
      </c>
      <c r="H130" s="34" t="n">
        <f aca="false">C130*INDEX($F$14:$BX$14,1,A130)</f>
        <v>0</v>
      </c>
      <c r="I130" s="81" t="str">
        <f aca="false">IF(AND(D130&gt;0,C130&gt;=D130-0.00001),"at cap","")</f>
        <v/>
      </c>
      <c r="J130" s="24" t="n">
        <f aca="false">F130*INDEX($F$33:$BX$33,1,A130)</f>
        <v>0</v>
      </c>
      <c r="K130" s="24" t="n">
        <f aca="false">F130*INDEX($F$34:$BX$34,1,A130)</f>
        <v>0</v>
      </c>
      <c r="L130" s="24" t="n">
        <f aca="false">F130*INDEX($F$35:$BX$35,1,A130)</f>
        <v>0</v>
      </c>
      <c r="M130" s="24" t="n">
        <f aca="false">F130*INDEX($F$36:$BX$36,1,A130)</f>
        <v>0</v>
      </c>
      <c r="N130" s="24" t="str">
        <f aca="false">IF(J130&gt;=0.5,COUNTIF(J$121:J130,"&gt;=0.5"),"")</f>
        <v/>
      </c>
      <c r="O130" s="24" t="str">
        <f aca="false">IF(K130&gt;=0.5,COUNTIF(K$121:K130,"&gt;=0.5"),"")</f>
        <v/>
      </c>
      <c r="P130" s="24" t="str">
        <f aca="false">IF(L130&gt;=0.5,COUNTIF(L$121:L130,"&gt;=0.5"),"")</f>
        <v/>
      </c>
      <c r="Q130" s="24" t="str">
        <f aca="false">IF(M130&gt;=0.5,COUNTIF(M$121:M130,"&gt;=0.5"),"")</f>
        <v/>
      </c>
    </row>
    <row r="131" customFormat="false" ht="15" hidden="false" customHeight="false" outlineLevel="0" collapsed="false">
      <c r="A131" s="4" t="n">
        <v>11</v>
      </c>
      <c r="B131" s="85" t="str">
        <f aca="false">P$13</f>
        <v>Top sirloin steak, broiled</v>
      </c>
      <c r="C131" s="86" t="n">
        <v>0</v>
      </c>
      <c r="D131" s="78" t="n">
        <f aca="false">INDEX($F$15:$BX$15,1,A131)</f>
        <v>1.7</v>
      </c>
      <c r="E131" s="78" t="n">
        <f aca="false">INDEX($F$16:$BX$16,1,A131)</f>
        <v>0</v>
      </c>
      <c r="F131" s="24" t="n">
        <f aca="false">C131*100</f>
        <v>0</v>
      </c>
      <c r="G131" s="23" t="n">
        <f aca="false">F131/'Food Data'!R16</f>
        <v>0</v>
      </c>
      <c r="H131" s="34" t="n">
        <f aca="false">C131*INDEX($F$14:$BX$14,1,A131)</f>
        <v>0</v>
      </c>
      <c r="I131" s="81" t="str">
        <f aca="false">IF(AND(D131&gt;0,C131&gt;=D131-0.00001),"at cap","")</f>
        <v/>
      </c>
      <c r="J131" s="24" t="n">
        <f aca="false">F131*INDEX($F$33:$BX$33,1,A131)</f>
        <v>0</v>
      </c>
      <c r="K131" s="24" t="n">
        <f aca="false">F131*INDEX($F$34:$BX$34,1,A131)</f>
        <v>0</v>
      </c>
      <c r="L131" s="24" t="n">
        <f aca="false">F131*INDEX($F$35:$BX$35,1,A131)</f>
        <v>0</v>
      </c>
      <c r="M131" s="24" t="n">
        <f aca="false">F131*INDEX($F$36:$BX$36,1,A131)</f>
        <v>0</v>
      </c>
      <c r="N131" s="24" t="str">
        <f aca="false">IF(J131&gt;=0.5,COUNTIF(J$121:J131,"&gt;=0.5"),"")</f>
        <v/>
      </c>
      <c r="O131" s="24" t="str">
        <f aca="false">IF(K131&gt;=0.5,COUNTIF(K$121:K131,"&gt;=0.5"),"")</f>
        <v/>
      </c>
      <c r="P131" s="24" t="str">
        <f aca="false">IF(L131&gt;=0.5,COUNTIF(L$121:L131,"&gt;=0.5"),"")</f>
        <v/>
      </c>
      <c r="Q131" s="24" t="str">
        <f aca="false">IF(M131&gt;=0.5,COUNTIF(M$121:M131,"&gt;=0.5"),"")</f>
        <v/>
      </c>
    </row>
    <row r="132" customFormat="false" ht="15" hidden="false" customHeight="false" outlineLevel="0" collapsed="false">
      <c r="A132" s="4" t="n">
        <v>12</v>
      </c>
      <c r="B132" s="85" t="str">
        <f aca="false">Q$13</f>
        <v>Canned light tuna (in water)</v>
      </c>
      <c r="C132" s="86" t="n">
        <v>0</v>
      </c>
      <c r="D132" s="78" t="n">
        <f aca="false">INDEX($F$15:$BX$15,1,A132)</f>
        <v>1.7</v>
      </c>
      <c r="E132" s="78" t="n">
        <f aca="false">INDEX($F$16:$BX$16,1,A132)</f>
        <v>0</v>
      </c>
      <c r="F132" s="24" t="n">
        <f aca="false">C132*100</f>
        <v>0</v>
      </c>
      <c r="G132" s="23" t="n">
        <f aca="false">F132/'Food Data'!R17</f>
        <v>0</v>
      </c>
      <c r="H132" s="34" t="n">
        <f aca="false">C132*INDEX($F$14:$BX$14,1,A132)</f>
        <v>0</v>
      </c>
      <c r="I132" s="81" t="str">
        <f aca="false">IF(AND(D132&gt;0,C132&gt;=D132-0.00001),"at cap","")</f>
        <v/>
      </c>
      <c r="J132" s="24" t="n">
        <f aca="false">F132*INDEX($F$33:$BX$33,1,A132)</f>
        <v>0</v>
      </c>
      <c r="K132" s="24" t="n">
        <f aca="false">F132*INDEX($F$34:$BX$34,1,A132)</f>
        <v>0</v>
      </c>
      <c r="L132" s="24" t="n">
        <f aca="false">F132*INDEX($F$35:$BX$35,1,A132)</f>
        <v>0</v>
      </c>
      <c r="M132" s="24" t="n">
        <f aca="false">F132*INDEX($F$36:$BX$36,1,A132)</f>
        <v>0</v>
      </c>
      <c r="N132" s="24" t="str">
        <f aca="false">IF(J132&gt;=0.5,COUNTIF(J$121:J132,"&gt;=0.5"),"")</f>
        <v/>
      </c>
      <c r="O132" s="24" t="str">
        <f aca="false">IF(K132&gt;=0.5,COUNTIF(K$121:K132,"&gt;=0.5"),"")</f>
        <v/>
      </c>
      <c r="P132" s="24" t="str">
        <f aca="false">IF(L132&gt;=0.5,COUNTIF(L$121:L132,"&gt;=0.5"),"")</f>
        <v/>
      </c>
      <c r="Q132" s="24" t="str">
        <f aca="false">IF(M132&gt;=0.5,COUNTIF(M$121:M132,"&gt;=0.5"),"")</f>
        <v/>
      </c>
    </row>
    <row r="133" customFormat="false" ht="15" hidden="false" customHeight="false" outlineLevel="0" collapsed="false">
      <c r="A133" s="4" t="n">
        <v>13</v>
      </c>
      <c r="B133" s="85" t="str">
        <f aca="false">R$13</f>
        <v>Salmon, baked</v>
      </c>
      <c r="C133" s="86" t="n">
        <v>0</v>
      </c>
      <c r="D133" s="78" t="n">
        <f aca="false">INDEX($F$15:$BX$15,1,A133)</f>
        <v>1.7</v>
      </c>
      <c r="E133" s="78" t="n">
        <f aca="false">INDEX($F$16:$BX$16,1,A133)</f>
        <v>0</v>
      </c>
      <c r="F133" s="24" t="n">
        <f aca="false">C133*100</f>
        <v>0</v>
      </c>
      <c r="G133" s="23" t="n">
        <f aca="false">F133/'Food Data'!R18</f>
        <v>0</v>
      </c>
      <c r="H133" s="34" t="n">
        <f aca="false">C133*INDEX($F$14:$BX$14,1,A133)</f>
        <v>0</v>
      </c>
      <c r="I133" s="81" t="str">
        <f aca="false">IF(AND(D133&gt;0,C133&gt;=D133-0.00001),"at cap","")</f>
        <v/>
      </c>
      <c r="J133" s="24" t="n">
        <f aca="false">F133*INDEX($F$33:$BX$33,1,A133)</f>
        <v>0</v>
      </c>
      <c r="K133" s="24" t="n">
        <f aca="false">F133*INDEX($F$34:$BX$34,1,A133)</f>
        <v>0</v>
      </c>
      <c r="L133" s="24" t="n">
        <f aca="false">F133*INDEX($F$35:$BX$35,1,A133)</f>
        <v>0</v>
      </c>
      <c r="M133" s="24" t="n">
        <f aca="false">F133*INDEX($F$36:$BX$36,1,A133)</f>
        <v>0</v>
      </c>
      <c r="N133" s="24" t="str">
        <f aca="false">IF(J133&gt;=0.5,COUNTIF(J$121:J133,"&gt;=0.5"),"")</f>
        <v/>
      </c>
      <c r="O133" s="24" t="str">
        <f aca="false">IF(K133&gt;=0.5,COUNTIF(K$121:K133,"&gt;=0.5"),"")</f>
        <v/>
      </c>
      <c r="P133" s="24" t="str">
        <f aca="false">IF(L133&gt;=0.5,COUNTIF(L$121:L133,"&gt;=0.5"),"")</f>
        <v/>
      </c>
      <c r="Q133" s="24" t="str">
        <f aca="false">IF(M133&gt;=0.5,COUNTIF(M$121:M133,"&gt;=0.5"),"")</f>
        <v/>
      </c>
    </row>
    <row r="134" customFormat="false" ht="15" hidden="false" customHeight="false" outlineLevel="0" collapsed="false">
      <c r="A134" s="4" t="n">
        <v>14</v>
      </c>
      <c r="B134" s="85" t="str">
        <f aca="false">S$13</f>
        <v>Shrimp, cooked</v>
      </c>
      <c r="C134" s="86" t="n">
        <v>0</v>
      </c>
      <c r="D134" s="78" t="n">
        <f aca="false">INDEX($F$15:$BX$15,1,A134)</f>
        <v>1.275</v>
      </c>
      <c r="E134" s="78" t="n">
        <f aca="false">INDEX($F$16:$BX$16,1,A134)</f>
        <v>0</v>
      </c>
      <c r="F134" s="24" t="n">
        <f aca="false">C134*100</f>
        <v>0</v>
      </c>
      <c r="G134" s="23" t="n">
        <f aca="false">F134/'Food Data'!R19</f>
        <v>0</v>
      </c>
      <c r="H134" s="34" t="n">
        <f aca="false">C134*INDEX($F$14:$BX$14,1,A134)</f>
        <v>0</v>
      </c>
      <c r="I134" s="81" t="str">
        <f aca="false">IF(AND(D134&gt;0,C134&gt;=D134-0.00001),"at cap","")</f>
        <v/>
      </c>
      <c r="J134" s="24" t="n">
        <f aca="false">F134*INDEX($F$33:$BX$33,1,A134)</f>
        <v>0</v>
      </c>
      <c r="K134" s="24" t="n">
        <f aca="false">F134*INDEX($F$34:$BX$34,1,A134)</f>
        <v>0</v>
      </c>
      <c r="L134" s="24" t="n">
        <f aca="false">F134*INDEX($F$35:$BX$35,1,A134)</f>
        <v>0</v>
      </c>
      <c r="M134" s="24" t="n">
        <f aca="false">F134*INDEX($F$36:$BX$36,1,A134)</f>
        <v>0</v>
      </c>
      <c r="N134" s="24" t="str">
        <f aca="false">IF(J134&gt;=0.5,COUNTIF(J$121:J134,"&gt;=0.5"),"")</f>
        <v/>
      </c>
      <c r="O134" s="24" t="str">
        <f aca="false">IF(K134&gt;=0.5,COUNTIF(K$121:K134,"&gt;=0.5"),"")</f>
        <v/>
      </c>
      <c r="P134" s="24" t="str">
        <f aca="false">IF(L134&gt;=0.5,COUNTIF(L$121:L134,"&gt;=0.5"),"")</f>
        <v/>
      </c>
      <c r="Q134" s="24" t="str">
        <f aca="false">IF(M134&gt;=0.5,COUNTIF(M$121:M134,"&gt;=0.5"),"")</f>
        <v/>
      </c>
    </row>
    <row r="135" customFormat="false" ht="15" hidden="false" customHeight="false" outlineLevel="0" collapsed="false">
      <c r="A135" s="4" t="n">
        <v>15</v>
      </c>
      <c r="B135" s="85" t="str">
        <f aca="false">T$13</f>
        <v>Tilapia, baked</v>
      </c>
      <c r="C135" s="86" t="n">
        <v>0</v>
      </c>
      <c r="D135" s="78" t="n">
        <f aca="false">INDEX($F$15:$BX$15,1,A135)</f>
        <v>1.7</v>
      </c>
      <c r="E135" s="78" t="n">
        <f aca="false">INDEX($F$16:$BX$16,1,A135)</f>
        <v>0</v>
      </c>
      <c r="F135" s="24" t="n">
        <f aca="false">C135*100</f>
        <v>0</v>
      </c>
      <c r="G135" s="23" t="n">
        <f aca="false">F135/'Food Data'!R20</f>
        <v>0</v>
      </c>
      <c r="H135" s="34" t="n">
        <f aca="false">C135*INDEX($F$14:$BX$14,1,A135)</f>
        <v>0</v>
      </c>
      <c r="I135" s="81" t="str">
        <f aca="false">IF(AND(D135&gt;0,C135&gt;=D135-0.00001),"at cap","")</f>
        <v/>
      </c>
      <c r="J135" s="24" t="n">
        <f aca="false">F135*INDEX($F$33:$BX$33,1,A135)</f>
        <v>0</v>
      </c>
      <c r="K135" s="24" t="n">
        <f aca="false">F135*INDEX($F$34:$BX$34,1,A135)</f>
        <v>0</v>
      </c>
      <c r="L135" s="24" t="n">
        <f aca="false">F135*INDEX($F$35:$BX$35,1,A135)</f>
        <v>0</v>
      </c>
      <c r="M135" s="24" t="n">
        <f aca="false">F135*INDEX($F$36:$BX$36,1,A135)</f>
        <v>0</v>
      </c>
      <c r="N135" s="24" t="str">
        <f aca="false">IF(J135&gt;=0.5,COUNTIF(J$121:J135,"&gt;=0.5"),"")</f>
        <v/>
      </c>
      <c r="O135" s="24" t="str">
        <f aca="false">IF(K135&gt;=0.5,COUNTIF(K$121:K135,"&gt;=0.5"),"")</f>
        <v/>
      </c>
      <c r="P135" s="24" t="str">
        <f aca="false">IF(L135&gt;=0.5,COUNTIF(L$121:L135,"&gt;=0.5"),"")</f>
        <v/>
      </c>
      <c r="Q135" s="24" t="str">
        <f aca="false">IF(M135&gt;=0.5,COUNTIF(M$121:M135,"&gt;=0.5"),"")</f>
        <v/>
      </c>
    </row>
    <row r="136" customFormat="false" ht="15" hidden="false" customHeight="false" outlineLevel="0" collapsed="false">
      <c r="A136" s="4" t="n">
        <v>16</v>
      </c>
      <c r="B136" s="85" t="str">
        <f aca="false">U$13</f>
        <v>Eggs (large)</v>
      </c>
      <c r="C136" s="86" t="n">
        <v>0</v>
      </c>
      <c r="D136" s="78" t="n">
        <f aca="false">INDEX($F$15:$BX$15,1,A136)</f>
        <v>1</v>
      </c>
      <c r="E136" s="78" t="n">
        <f aca="false">INDEX($F$16:$BX$16,1,A136)</f>
        <v>0</v>
      </c>
      <c r="F136" s="24" t="n">
        <f aca="false">C136*100</f>
        <v>0</v>
      </c>
      <c r="G136" s="23" t="n">
        <f aca="false">F136/'Food Data'!R21</f>
        <v>0</v>
      </c>
      <c r="H136" s="34" t="n">
        <f aca="false">C136*INDEX($F$14:$BX$14,1,A136)</f>
        <v>0</v>
      </c>
      <c r="I136" s="81" t="str">
        <f aca="false">IF(AND(D136&gt;0,C136&gt;=D136-0.00001),"at cap","")</f>
        <v/>
      </c>
      <c r="J136" s="24" t="n">
        <f aca="false">F136*INDEX($F$33:$BX$33,1,A136)</f>
        <v>0</v>
      </c>
      <c r="K136" s="24" t="n">
        <f aca="false">F136*INDEX($F$34:$BX$34,1,A136)</f>
        <v>0</v>
      </c>
      <c r="L136" s="24" t="n">
        <f aca="false">F136*INDEX($F$35:$BX$35,1,A136)</f>
        <v>0</v>
      </c>
      <c r="M136" s="24" t="n">
        <f aca="false">F136*INDEX($F$36:$BX$36,1,A136)</f>
        <v>0</v>
      </c>
      <c r="N136" s="24" t="str">
        <f aca="false">IF(J136&gt;=0.5,COUNTIF(J$121:J136,"&gt;=0.5"),"")</f>
        <v/>
      </c>
      <c r="O136" s="24" t="str">
        <f aca="false">IF(K136&gt;=0.5,COUNTIF(K$121:K136,"&gt;=0.5"),"")</f>
        <v/>
      </c>
      <c r="P136" s="24" t="str">
        <f aca="false">IF(L136&gt;=0.5,COUNTIF(L$121:L136,"&gt;=0.5"),"")</f>
        <v/>
      </c>
      <c r="Q136" s="24" t="str">
        <f aca="false">IF(M136&gt;=0.5,COUNTIF(M$121:M136,"&gt;=0.5"),"")</f>
        <v/>
      </c>
    </row>
    <row r="137" customFormat="false" ht="15" hidden="false" customHeight="false" outlineLevel="0" collapsed="false">
      <c r="A137" s="4" t="n">
        <v>17</v>
      </c>
      <c r="B137" s="85" t="str">
        <f aca="false">V$13</f>
        <v>Black beans (canned)</v>
      </c>
      <c r="C137" s="86" t="n">
        <v>0</v>
      </c>
      <c r="D137" s="78" t="n">
        <f aca="false">INDEX($F$15:$BX$15,1,A137)</f>
        <v>2.4</v>
      </c>
      <c r="E137" s="78" t="n">
        <f aca="false">INDEX($F$16:$BX$16,1,A137)</f>
        <v>0</v>
      </c>
      <c r="F137" s="24" t="n">
        <f aca="false">C137*100</f>
        <v>0</v>
      </c>
      <c r="G137" s="23" t="n">
        <f aca="false">F137/'Food Data'!R22</f>
        <v>0</v>
      </c>
      <c r="H137" s="34" t="n">
        <f aca="false">C137*INDEX($F$14:$BX$14,1,A137)</f>
        <v>0</v>
      </c>
      <c r="I137" s="81" t="str">
        <f aca="false">IF(AND(D137&gt;0,C137&gt;=D137-0.00001),"at cap","")</f>
        <v/>
      </c>
      <c r="J137" s="24" t="n">
        <f aca="false">F137*INDEX($F$33:$BX$33,1,A137)</f>
        <v>0</v>
      </c>
      <c r="K137" s="24" t="n">
        <f aca="false">F137*INDEX($F$34:$BX$34,1,A137)</f>
        <v>0</v>
      </c>
      <c r="L137" s="24" t="n">
        <f aca="false">F137*INDEX($F$35:$BX$35,1,A137)</f>
        <v>0</v>
      </c>
      <c r="M137" s="24" t="n">
        <f aca="false">F137*INDEX($F$36:$BX$36,1,A137)</f>
        <v>0</v>
      </c>
      <c r="N137" s="24" t="str">
        <f aca="false">IF(J137&gt;=0.5,COUNTIF(J$121:J137,"&gt;=0.5"),"")</f>
        <v/>
      </c>
      <c r="O137" s="24" t="str">
        <f aca="false">IF(K137&gt;=0.5,COUNTIF(K$121:K137,"&gt;=0.5"),"")</f>
        <v/>
      </c>
      <c r="P137" s="24" t="str">
        <f aca="false">IF(L137&gt;=0.5,COUNTIF(L$121:L137,"&gt;=0.5"),"")</f>
        <v/>
      </c>
      <c r="Q137" s="24" t="str">
        <f aca="false">IF(M137&gt;=0.5,COUNTIF(M$121:M137,"&gt;=0.5"),"")</f>
        <v/>
      </c>
    </row>
    <row r="138" customFormat="false" ht="15" hidden="false" customHeight="false" outlineLevel="0" collapsed="false">
      <c r="A138" s="4" t="n">
        <v>18</v>
      </c>
      <c r="B138" s="85" t="str">
        <f aca="false">W$13</f>
        <v>Chickpeas (canned)</v>
      </c>
      <c r="C138" s="86" t="n">
        <v>0</v>
      </c>
      <c r="D138" s="78" t="n">
        <f aca="false">INDEX($F$15:$BX$15,1,A138)</f>
        <v>2.4</v>
      </c>
      <c r="E138" s="78" t="n">
        <f aca="false">INDEX($F$16:$BX$16,1,A138)</f>
        <v>0</v>
      </c>
      <c r="F138" s="24" t="n">
        <f aca="false">C138*100</f>
        <v>0</v>
      </c>
      <c r="G138" s="23" t="n">
        <f aca="false">F138/'Food Data'!R23</f>
        <v>0</v>
      </c>
      <c r="H138" s="34" t="n">
        <f aca="false">C138*INDEX($F$14:$BX$14,1,A138)</f>
        <v>0</v>
      </c>
      <c r="I138" s="81" t="str">
        <f aca="false">IF(AND(D138&gt;0,C138&gt;=D138-0.00001),"at cap","")</f>
        <v/>
      </c>
      <c r="J138" s="24" t="n">
        <f aca="false">F138*INDEX($F$33:$BX$33,1,A138)</f>
        <v>0</v>
      </c>
      <c r="K138" s="24" t="n">
        <f aca="false">F138*INDEX($F$34:$BX$34,1,A138)</f>
        <v>0</v>
      </c>
      <c r="L138" s="24" t="n">
        <f aca="false">F138*INDEX($F$35:$BX$35,1,A138)</f>
        <v>0</v>
      </c>
      <c r="M138" s="24" t="n">
        <f aca="false">F138*INDEX($F$36:$BX$36,1,A138)</f>
        <v>0</v>
      </c>
      <c r="N138" s="24" t="str">
        <f aca="false">IF(J138&gt;=0.5,COUNTIF(J$121:J138,"&gt;=0.5"),"")</f>
        <v/>
      </c>
      <c r="O138" s="24" t="str">
        <f aca="false">IF(K138&gt;=0.5,COUNTIF(K$121:K138,"&gt;=0.5"),"")</f>
        <v/>
      </c>
      <c r="P138" s="24" t="str">
        <f aca="false">IF(L138&gt;=0.5,COUNTIF(L$121:L138,"&gt;=0.5"),"")</f>
        <v/>
      </c>
      <c r="Q138" s="24" t="str">
        <f aca="false">IF(M138&gt;=0.5,COUNTIF(M$121:M138,"&gt;=0.5"),"")</f>
        <v/>
      </c>
    </row>
    <row r="139" customFormat="false" ht="15" hidden="false" customHeight="false" outlineLevel="0" collapsed="false">
      <c r="A139" s="4" t="n">
        <v>19</v>
      </c>
      <c r="B139" s="85" t="str">
        <f aca="false">X$13</f>
        <v>Lentils, cooked</v>
      </c>
      <c r="C139" s="86" t="n">
        <v>0.021448674</v>
      </c>
      <c r="D139" s="78" t="n">
        <f aca="false">INDEX($F$15:$BX$15,1,A139)</f>
        <v>1.98</v>
      </c>
      <c r="E139" s="78" t="n">
        <f aca="false">INDEX($F$16:$BX$16,1,A139)</f>
        <v>0</v>
      </c>
      <c r="F139" s="24" t="n">
        <f aca="false">C139*100</f>
        <v>2.1448674</v>
      </c>
      <c r="G139" s="23" t="n">
        <f aca="false">F139/'Food Data'!R24</f>
        <v>0.0216653272727273</v>
      </c>
      <c r="H139" s="34" t="n">
        <f aca="false">C139*INDEX($F$14:$BX$14,1,A139)</f>
        <v>0.00405468100887494</v>
      </c>
      <c r="I139" s="81" t="str">
        <f aca="false">IF(AND(D139&gt;0,C139&gt;=D139-0.00001),"at cap","")</f>
        <v/>
      </c>
      <c r="J139" s="24" t="n">
        <f aca="false">F139*INDEX($F$33:$BX$33,1,A139)</f>
        <v>0</v>
      </c>
      <c r="K139" s="24" t="n">
        <f aca="false">F139*INDEX($F$34:$BX$34,1,A139)</f>
        <v>1.0724337</v>
      </c>
      <c r="L139" s="24" t="n">
        <f aca="false">F139*INDEX($F$35:$BX$35,1,A139)</f>
        <v>1.0724337</v>
      </c>
      <c r="M139" s="24" t="n">
        <f aca="false">F139*INDEX($F$36:$BX$36,1,A139)</f>
        <v>0</v>
      </c>
      <c r="N139" s="24" t="str">
        <f aca="false">IF(J139&gt;=0.5,COUNTIF(J$121:J139,"&gt;=0.5"),"")</f>
        <v/>
      </c>
      <c r="O139" s="24" t="n">
        <f aca="false">IF(K139&gt;=0.5,COUNTIF(K$121:K139,"&gt;=0.5"),"")</f>
        <v>2</v>
      </c>
      <c r="P139" s="24" t="n">
        <f aca="false">IF(L139&gt;=0.5,COUNTIF(L$121:L139,"&gt;=0.5"),"")</f>
        <v>2</v>
      </c>
      <c r="Q139" s="24" t="str">
        <f aca="false">IF(M139&gt;=0.5,COUNTIF(M$121:M139,"&gt;=0.5"),"")</f>
        <v/>
      </c>
    </row>
    <row r="140" customFormat="false" ht="15" hidden="false" customHeight="false" outlineLevel="0" collapsed="false">
      <c r="A140" s="4" t="n">
        <v>20</v>
      </c>
      <c r="B140" s="85" t="str">
        <f aca="false">Y$13</f>
        <v>Peanut butter</v>
      </c>
      <c r="C140" s="86" t="n">
        <v>0.64</v>
      </c>
      <c r="D140" s="78" t="n">
        <f aca="false">INDEX($F$15:$BX$15,1,A140)</f>
        <v>0.64</v>
      </c>
      <c r="E140" s="78" t="n">
        <f aca="false">INDEX($F$16:$BX$16,1,A140)</f>
        <v>0</v>
      </c>
      <c r="F140" s="24" t="n">
        <f aca="false">C140*100</f>
        <v>64</v>
      </c>
      <c r="G140" s="23" t="n">
        <f aca="false">F140/'Food Data'!R25</f>
        <v>2</v>
      </c>
      <c r="H140" s="34" t="n">
        <f aca="false">C140*INDEX($F$14:$BX$14,1,A140)</f>
        <v>0.246836056359866</v>
      </c>
      <c r="I140" s="81" t="str">
        <f aca="false">IF(AND(D140&gt;0,C140&gt;=D140-0.00001),"at cap","")</f>
        <v>at cap</v>
      </c>
      <c r="J140" s="24" t="n">
        <f aca="false">F140*INDEX($F$33:$BX$33,1,A140)</f>
        <v>32</v>
      </c>
      <c r="K140" s="24" t="n">
        <f aca="false">F140*INDEX($F$34:$BX$34,1,A140)</f>
        <v>0</v>
      </c>
      <c r="L140" s="24" t="n">
        <f aca="false">F140*INDEX($F$35:$BX$35,1,A140)</f>
        <v>0</v>
      </c>
      <c r="M140" s="24" t="n">
        <f aca="false">F140*INDEX($F$36:$BX$36,1,A140)</f>
        <v>32</v>
      </c>
      <c r="N140" s="24" t="n">
        <f aca="false">IF(J140&gt;=0.5,COUNTIF(J$121:J140,"&gt;=0.5"),"")</f>
        <v>1</v>
      </c>
      <c r="O140" s="24" t="str">
        <f aca="false">IF(K140&gt;=0.5,COUNTIF(K$121:K140,"&gt;=0.5"),"")</f>
        <v/>
      </c>
      <c r="P140" s="24" t="str">
        <f aca="false">IF(L140&gt;=0.5,COUNTIF(L$121:L140,"&gt;=0.5"),"")</f>
        <v/>
      </c>
      <c r="Q140" s="24" t="n">
        <f aca="false">IF(M140&gt;=0.5,COUNTIF(M$121:M140,"&gt;=0.5"),"")</f>
        <v>1</v>
      </c>
    </row>
    <row r="141" customFormat="false" ht="15" hidden="false" customHeight="false" outlineLevel="0" collapsed="false">
      <c r="A141" s="4" t="n">
        <v>21</v>
      </c>
      <c r="B141" s="85" t="str">
        <f aca="false">Z$13</f>
        <v>Pinto beans, cooked</v>
      </c>
      <c r="C141" s="86" t="n">
        <v>1.71</v>
      </c>
      <c r="D141" s="78" t="n">
        <f aca="false">INDEX($F$15:$BX$15,1,A141)</f>
        <v>1.71</v>
      </c>
      <c r="E141" s="78" t="n">
        <f aca="false">INDEX($F$16:$BX$16,1,A141)</f>
        <v>0</v>
      </c>
      <c r="F141" s="24" t="n">
        <f aca="false">C141*100</f>
        <v>171</v>
      </c>
      <c r="G141" s="23" t="n">
        <f aca="false">F141/'Food Data'!R26</f>
        <v>2</v>
      </c>
      <c r="H141" s="34" t="n">
        <f aca="false">C141*INDEX($F$14:$BX$14,1,A141)</f>
        <v>0.191444171288929</v>
      </c>
      <c r="I141" s="81" t="str">
        <f aca="false">IF(AND(D141&gt;0,C141&gt;=D141-0.00001),"at cap","")</f>
        <v>at cap</v>
      </c>
      <c r="J141" s="24" t="n">
        <f aca="false">F141*INDEX($F$33:$BX$33,1,A141)</f>
        <v>0</v>
      </c>
      <c r="K141" s="24" t="n">
        <f aca="false">F141*INDEX($F$34:$BX$34,1,A141)</f>
        <v>85.5</v>
      </c>
      <c r="L141" s="24" t="n">
        <f aca="false">F141*INDEX($F$35:$BX$35,1,A141)</f>
        <v>85.5</v>
      </c>
      <c r="M141" s="24" t="n">
        <f aca="false">F141*INDEX($F$36:$BX$36,1,A141)</f>
        <v>0</v>
      </c>
      <c r="N141" s="24" t="str">
        <f aca="false">IF(J141&gt;=0.5,COUNTIF(J$121:J141,"&gt;=0.5"),"")</f>
        <v/>
      </c>
      <c r="O141" s="24" t="n">
        <f aca="false">IF(K141&gt;=0.5,COUNTIF(K$121:K141,"&gt;=0.5"),"")</f>
        <v>3</v>
      </c>
      <c r="P141" s="24" t="n">
        <f aca="false">IF(L141&gt;=0.5,COUNTIF(L$121:L141,"&gt;=0.5"),"")</f>
        <v>3</v>
      </c>
      <c r="Q141" s="24" t="str">
        <f aca="false">IF(M141&gt;=0.5,COUNTIF(M$121:M141,"&gt;=0.5"),"")</f>
        <v/>
      </c>
    </row>
    <row r="142" customFormat="false" ht="15" hidden="false" customHeight="false" outlineLevel="0" collapsed="false">
      <c r="A142" s="4" t="n">
        <v>22</v>
      </c>
      <c r="B142" s="85" t="str">
        <f aca="false">AA$13</f>
        <v>Tofu (extra firm)</v>
      </c>
      <c r="C142" s="86" t="n">
        <v>0</v>
      </c>
      <c r="D142" s="78" t="n">
        <f aca="false">INDEX($F$15:$BX$15,1,A142)</f>
        <v>1.7</v>
      </c>
      <c r="E142" s="78" t="n">
        <f aca="false">INDEX($F$16:$BX$16,1,A142)</f>
        <v>0</v>
      </c>
      <c r="F142" s="24" t="n">
        <f aca="false">C142*100</f>
        <v>0</v>
      </c>
      <c r="G142" s="23" t="n">
        <f aca="false">F142/'Food Data'!R27</f>
        <v>0</v>
      </c>
      <c r="H142" s="34" t="n">
        <f aca="false">C142*INDEX($F$14:$BX$14,1,A142)</f>
        <v>0</v>
      </c>
      <c r="I142" s="81" t="str">
        <f aca="false">IF(AND(D142&gt;0,C142&gt;=D142-0.00001),"at cap","")</f>
        <v/>
      </c>
      <c r="J142" s="24" t="n">
        <f aca="false">F142*INDEX($F$33:$BX$33,1,A142)</f>
        <v>0</v>
      </c>
      <c r="K142" s="24" t="n">
        <f aca="false">F142*INDEX($F$34:$BX$34,1,A142)</f>
        <v>0</v>
      </c>
      <c r="L142" s="24" t="n">
        <f aca="false">F142*INDEX($F$35:$BX$35,1,A142)</f>
        <v>0</v>
      </c>
      <c r="M142" s="24" t="n">
        <f aca="false">F142*INDEX($F$36:$BX$36,1,A142)</f>
        <v>0</v>
      </c>
      <c r="N142" s="24" t="str">
        <f aca="false">IF(J142&gt;=0.5,COUNTIF(J$121:J142,"&gt;=0.5"),"")</f>
        <v/>
      </c>
      <c r="O142" s="24" t="str">
        <f aca="false">IF(K142&gt;=0.5,COUNTIF(K$121:K142,"&gt;=0.5"),"")</f>
        <v/>
      </c>
      <c r="P142" s="24" t="str">
        <f aca="false">IF(L142&gt;=0.5,COUNTIF(L$121:L142,"&gt;=0.5"),"")</f>
        <v/>
      </c>
      <c r="Q142" s="24" t="str">
        <f aca="false">IF(M142&gt;=0.5,COUNTIF(M$121:M142,"&gt;=0.5"),"")</f>
        <v/>
      </c>
    </row>
    <row r="143" customFormat="false" ht="15" hidden="false" customHeight="false" outlineLevel="0" collapsed="false">
      <c r="A143" s="4" t="n">
        <v>23</v>
      </c>
      <c r="B143" s="85" t="str">
        <f aca="false">AB$13</f>
        <v>2% milk</v>
      </c>
      <c r="C143" s="86" t="n">
        <v>3.66</v>
      </c>
      <c r="D143" s="78" t="n">
        <f aca="false">INDEX($F$15:$BX$15,1,A143)</f>
        <v>3.66</v>
      </c>
      <c r="E143" s="78" t="n">
        <f aca="false">INDEX($F$16:$BX$16,1,A143)</f>
        <v>0</v>
      </c>
      <c r="F143" s="24" t="n">
        <f aca="false">C143*100</f>
        <v>366</v>
      </c>
      <c r="G143" s="23" t="n">
        <f aca="false">F143/'Food Data'!R28</f>
        <v>1.5</v>
      </c>
      <c r="H143" s="34" t="n">
        <f aca="false">C143*INDEX($F$14:$BX$14,1,A143)</f>
        <v>0.387890625</v>
      </c>
      <c r="I143" s="81" t="str">
        <f aca="false">IF(AND(D143&gt;0,C143&gt;=D143-0.00001),"at cap","")</f>
        <v>at cap</v>
      </c>
      <c r="J143" s="24" t="n">
        <f aca="false">F143*INDEX($F$33:$BX$33,1,A143)</f>
        <v>183</v>
      </c>
      <c r="K143" s="24" t="n">
        <f aca="false">F143*INDEX($F$34:$BX$34,1,A143)</f>
        <v>0</v>
      </c>
      <c r="L143" s="24" t="n">
        <f aca="false">F143*INDEX($F$35:$BX$35,1,A143)</f>
        <v>0</v>
      </c>
      <c r="M143" s="24" t="n">
        <f aca="false">F143*INDEX($F$36:$BX$36,1,A143)</f>
        <v>183</v>
      </c>
      <c r="N143" s="24" t="n">
        <f aca="false">IF(J143&gt;=0.5,COUNTIF(J$121:J143,"&gt;=0.5"),"")</f>
        <v>2</v>
      </c>
      <c r="O143" s="24" t="str">
        <f aca="false">IF(K143&gt;=0.5,COUNTIF(K$121:K143,"&gt;=0.5"),"")</f>
        <v/>
      </c>
      <c r="P143" s="24" t="str">
        <f aca="false">IF(L143&gt;=0.5,COUNTIF(L$121:L143,"&gt;=0.5"),"")</f>
        <v/>
      </c>
      <c r="Q143" s="24" t="n">
        <f aca="false">IF(M143&gt;=0.5,COUNTIF(M$121:M143,"&gt;=0.5"),"")</f>
        <v>2</v>
      </c>
    </row>
    <row r="144" customFormat="false" ht="15" hidden="false" customHeight="false" outlineLevel="0" collapsed="false">
      <c r="A144" s="4" t="n">
        <v>24</v>
      </c>
      <c r="B144" s="85" t="str">
        <f aca="false">AC$13</f>
        <v>Greek yogurt (plain, nonfat)</v>
      </c>
      <c r="C144" s="86" t="n">
        <v>0.223148071</v>
      </c>
      <c r="D144" s="78" t="n">
        <f aca="false">INDEX($F$15:$BX$15,1,A144)</f>
        <v>2.55</v>
      </c>
      <c r="E144" s="78" t="n">
        <f aca="false">INDEX($F$16:$BX$16,1,A144)</f>
        <v>0</v>
      </c>
      <c r="F144" s="24" t="n">
        <f aca="false">C144*100</f>
        <v>22.3148071</v>
      </c>
      <c r="G144" s="23" t="n">
        <f aca="false">F144/'Food Data'!R29</f>
        <v>0.131263571176471</v>
      </c>
      <c r="H144" s="34" t="n">
        <f aca="false">C144*INDEX($F$14:$BX$14,1,A144)</f>
        <v>0.0996044909421473</v>
      </c>
      <c r="I144" s="81" t="str">
        <f aca="false">IF(AND(D144&gt;0,C144&gt;=D144-0.00001),"at cap","")</f>
        <v/>
      </c>
      <c r="J144" s="24" t="n">
        <f aca="false">F144*INDEX($F$33:$BX$33,1,A144)</f>
        <v>11.15740355</v>
      </c>
      <c r="K144" s="24" t="n">
        <f aca="false">F144*INDEX($F$34:$BX$34,1,A144)</f>
        <v>0</v>
      </c>
      <c r="L144" s="24" t="n">
        <f aca="false">F144*INDEX($F$35:$BX$35,1,A144)</f>
        <v>0</v>
      </c>
      <c r="M144" s="24" t="n">
        <f aca="false">F144*INDEX($F$36:$BX$36,1,A144)</f>
        <v>11.15740355</v>
      </c>
      <c r="N144" s="24" t="n">
        <f aca="false">IF(J144&gt;=0.5,COUNTIF(J$121:J144,"&gt;=0.5"),"")</f>
        <v>3</v>
      </c>
      <c r="O144" s="24" t="str">
        <f aca="false">IF(K144&gt;=0.5,COUNTIF(K$121:K144,"&gt;=0.5"),"")</f>
        <v/>
      </c>
      <c r="P144" s="24" t="str">
        <f aca="false">IF(L144&gt;=0.5,COUNTIF(L$121:L144,"&gt;=0.5"),"")</f>
        <v/>
      </c>
      <c r="Q144" s="24" t="n">
        <f aca="false">IF(M144&gt;=0.5,COUNTIF(M$121:M144,"&gt;=0.5"),"")</f>
        <v>3</v>
      </c>
    </row>
    <row r="145" customFormat="false" ht="15" hidden="false" customHeight="false" outlineLevel="0" collapsed="false">
      <c r="A145" s="4" t="n">
        <v>25</v>
      </c>
      <c r="B145" s="85" t="str">
        <f aca="false">AD$13</f>
        <v>Soy milk (calcium-fortified)</v>
      </c>
      <c r="C145" s="86" t="n">
        <v>0</v>
      </c>
      <c r="D145" s="78" t="n">
        <f aca="false">INDEX($F$15:$BX$15,1,A145)</f>
        <v>3.645</v>
      </c>
      <c r="E145" s="78" t="n">
        <f aca="false">INDEX($F$16:$BX$16,1,A145)</f>
        <v>0</v>
      </c>
      <c r="F145" s="24" t="n">
        <f aca="false">C145*100</f>
        <v>0</v>
      </c>
      <c r="G145" s="23" t="n">
        <f aca="false">F145/'Food Data'!R30</f>
        <v>0</v>
      </c>
      <c r="H145" s="34" t="n">
        <f aca="false">C145*INDEX($F$14:$BX$14,1,A145)</f>
        <v>0</v>
      </c>
      <c r="I145" s="81" t="str">
        <f aca="false">IF(AND(D145&gt;0,C145&gt;=D145-0.00001),"at cap","")</f>
        <v/>
      </c>
      <c r="J145" s="24" t="n">
        <f aca="false">F145*INDEX($F$33:$BX$33,1,A145)</f>
        <v>0</v>
      </c>
      <c r="K145" s="24" t="n">
        <f aca="false">F145*INDEX($F$34:$BX$34,1,A145)</f>
        <v>0</v>
      </c>
      <c r="L145" s="24" t="n">
        <f aca="false">F145*INDEX($F$35:$BX$35,1,A145)</f>
        <v>0</v>
      </c>
      <c r="M145" s="24" t="n">
        <f aca="false">F145*INDEX($F$36:$BX$36,1,A145)</f>
        <v>0</v>
      </c>
      <c r="N145" s="24" t="str">
        <f aca="false">IF(J145&gt;=0.5,COUNTIF(J$121:J145,"&gt;=0.5"),"")</f>
        <v/>
      </c>
      <c r="O145" s="24" t="str">
        <f aca="false">IF(K145&gt;=0.5,COUNTIF(K$121:K145,"&gt;=0.5"),"")</f>
        <v/>
      </c>
      <c r="P145" s="24" t="str">
        <f aca="false">IF(L145&gt;=0.5,COUNTIF(L$121:L145,"&gt;=0.5"),"")</f>
        <v/>
      </c>
      <c r="Q145" s="24" t="str">
        <f aca="false">IF(M145&gt;=0.5,COUNTIF(M$121:M145,"&gt;=0.5"),"")</f>
        <v/>
      </c>
    </row>
    <row r="146" customFormat="false" ht="15" hidden="false" customHeight="false" outlineLevel="0" collapsed="false">
      <c r="A146" s="4" t="n">
        <v>26</v>
      </c>
      <c r="B146" s="85" t="str">
        <f aca="false">AE$13</f>
        <v>Whole milk</v>
      </c>
      <c r="C146" s="86" t="n">
        <v>0</v>
      </c>
      <c r="D146" s="78" t="n">
        <f aca="false">INDEX($F$15:$BX$15,1,A146)</f>
        <v>3.66</v>
      </c>
      <c r="E146" s="78" t="n">
        <f aca="false">INDEX($F$16:$BX$16,1,A146)</f>
        <v>0</v>
      </c>
      <c r="F146" s="24" t="n">
        <f aca="false">C146*100</f>
        <v>0</v>
      </c>
      <c r="G146" s="23" t="n">
        <f aca="false">F146/'Food Data'!R31</f>
        <v>0</v>
      </c>
      <c r="H146" s="34" t="n">
        <f aca="false">C146*INDEX($F$14:$BX$14,1,A146)</f>
        <v>0</v>
      </c>
      <c r="I146" s="81" t="str">
        <f aca="false">IF(AND(D146&gt;0,C146&gt;=D146-0.00001),"at cap","")</f>
        <v/>
      </c>
      <c r="J146" s="24" t="n">
        <f aca="false">F146*INDEX($F$33:$BX$33,1,A146)</f>
        <v>0</v>
      </c>
      <c r="K146" s="24" t="n">
        <f aca="false">F146*INDEX($F$34:$BX$34,1,A146)</f>
        <v>0</v>
      </c>
      <c r="L146" s="24" t="n">
        <f aca="false">F146*INDEX($F$35:$BX$35,1,A146)</f>
        <v>0</v>
      </c>
      <c r="M146" s="24" t="n">
        <f aca="false">F146*INDEX($F$36:$BX$36,1,A146)</f>
        <v>0</v>
      </c>
      <c r="N146" s="24" t="str">
        <f aca="false">IF(J146&gt;=0.5,COUNTIF(J$121:J146,"&gt;=0.5"),"")</f>
        <v/>
      </c>
      <c r="O146" s="24" t="str">
        <f aca="false">IF(K146&gt;=0.5,COUNTIF(K$121:K146,"&gt;=0.5"),"")</f>
        <v/>
      </c>
      <c r="P146" s="24" t="str">
        <f aca="false">IF(L146&gt;=0.5,COUNTIF(L$121:L146,"&gt;=0.5"),"")</f>
        <v/>
      </c>
      <c r="Q146" s="24" t="str">
        <f aca="false">IF(M146&gt;=0.5,COUNTIF(M$121:M146,"&gt;=0.5"),"")</f>
        <v/>
      </c>
    </row>
    <row r="147" customFormat="false" ht="15" hidden="false" customHeight="false" outlineLevel="0" collapsed="false">
      <c r="A147" s="4" t="n">
        <v>27</v>
      </c>
      <c r="B147" s="85" t="str">
        <f aca="false">AF$13</f>
        <v>American cheese (singles)</v>
      </c>
      <c r="C147" s="86" t="n">
        <v>0.3832462</v>
      </c>
      <c r="D147" s="78" t="n">
        <f aca="false">INDEX($F$15:$BX$15,1,A147)</f>
        <v>0.42</v>
      </c>
      <c r="E147" s="78" t="n">
        <f aca="false">INDEX($F$16:$BX$16,1,A147)</f>
        <v>0</v>
      </c>
      <c r="F147" s="24" t="n">
        <f aca="false">C147*100</f>
        <v>38.32462</v>
      </c>
      <c r="G147" s="23" t="n">
        <f aca="false">F147/'Food Data'!R32</f>
        <v>2.01708526315789</v>
      </c>
      <c r="H147" s="34" t="n">
        <f aca="false">C147*INDEX($F$14:$BX$14,1,A147)</f>
        <v>0.258685135105711</v>
      </c>
      <c r="I147" s="81" t="str">
        <f aca="false">IF(AND(D147&gt;0,C147&gt;=D147-0.00001),"at cap","")</f>
        <v/>
      </c>
      <c r="J147" s="24" t="n">
        <f aca="false">F147*INDEX($F$33:$BX$33,1,A147)</f>
        <v>0</v>
      </c>
      <c r="K147" s="24" t="n">
        <f aca="false">F147*INDEX($F$34:$BX$34,1,A147)</f>
        <v>38.32462</v>
      </c>
      <c r="L147" s="24" t="n">
        <f aca="false">F147*INDEX($F$35:$BX$35,1,A147)</f>
        <v>0</v>
      </c>
      <c r="M147" s="24" t="n">
        <f aca="false">F147*INDEX($F$36:$BX$36,1,A147)</f>
        <v>0</v>
      </c>
      <c r="N147" s="24" t="str">
        <f aca="false">IF(J147&gt;=0.5,COUNTIF(J$121:J147,"&gt;=0.5"),"")</f>
        <v/>
      </c>
      <c r="O147" s="24" t="n">
        <f aca="false">IF(K147&gt;=0.5,COUNTIF(K$121:K147,"&gt;=0.5"),"")</f>
        <v>4</v>
      </c>
      <c r="P147" s="24" t="str">
        <f aca="false">IF(L147&gt;=0.5,COUNTIF(L$121:L147,"&gt;=0.5"),"")</f>
        <v/>
      </c>
      <c r="Q147" s="24" t="str">
        <f aca="false">IF(M147&gt;=0.5,COUNTIF(M$121:M147,"&gt;=0.5"),"")</f>
        <v/>
      </c>
    </row>
    <row r="148" customFormat="false" ht="15" hidden="false" customHeight="false" outlineLevel="0" collapsed="false">
      <c r="A148" s="4" t="n">
        <v>28</v>
      </c>
      <c r="B148" s="85" t="str">
        <f aca="false">AG$13</f>
        <v>Cheddar cheese</v>
      </c>
      <c r="C148" s="86" t="n">
        <v>0</v>
      </c>
      <c r="D148" s="78" t="n">
        <f aca="false">INDEX($F$15:$BX$15,1,A148)</f>
        <v>0.42</v>
      </c>
      <c r="E148" s="78" t="n">
        <f aca="false">INDEX($F$16:$BX$16,1,A148)</f>
        <v>0</v>
      </c>
      <c r="F148" s="24" t="n">
        <f aca="false">C148*100</f>
        <v>0</v>
      </c>
      <c r="G148" s="23" t="n">
        <f aca="false">F148/'Food Data'!R33</f>
        <v>0</v>
      </c>
      <c r="H148" s="34" t="n">
        <f aca="false">C148*INDEX($F$14:$BX$14,1,A148)</f>
        <v>0</v>
      </c>
      <c r="I148" s="81" t="str">
        <f aca="false">IF(AND(D148&gt;0,C148&gt;=D148-0.00001),"at cap","")</f>
        <v/>
      </c>
      <c r="J148" s="24" t="n">
        <f aca="false">F148*INDEX($F$33:$BX$33,1,A148)</f>
        <v>0</v>
      </c>
      <c r="K148" s="24" t="n">
        <f aca="false">F148*INDEX($F$34:$BX$34,1,A148)</f>
        <v>0</v>
      </c>
      <c r="L148" s="24" t="n">
        <f aca="false">F148*INDEX($F$35:$BX$35,1,A148)</f>
        <v>0</v>
      </c>
      <c r="M148" s="24" t="n">
        <f aca="false">F148*INDEX($F$36:$BX$36,1,A148)</f>
        <v>0</v>
      </c>
      <c r="N148" s="24" t="str">
        <f aca="false">IF(J148&gt;=0.5,COUNTIF(J$121:J148,"&gt;=0.5"),"")</f>
        <v/>
      </c>
      <c r="O148" s="24" t="str">
        <f aca="false">IF(K148&gt;=0.5,COUNTIF(K$121:K148,"&gt;=0.5"),"")</f>
        <v/>
      </c>
      <c r="P148" s="24" t="str">
        <f aca="false">IF(L148&gt;=0.5,COUNTIF(L$121:L148,"&gt;=0.5"),"")</f>
        <v/>
      </c>
      <c r="Q148" s="24" t="str">
        <f aca="false">IF(M148&gt;=0.5,COUNTIF(M$121:M148,"&gt;=0.5"),"")</f>
        <v/>
      </c>
    </row>
    <row r="149" customFormat="false" ht="15" hidden="false" customHeight="false" outlineLevel="0" collapsed="false">
      <c r="A149" s="4" t="n">
        <v>29</v>
      </c>
      <c r="B149" s="85" t="str">
        <f aca="false">AH$13</f>
        <v>Cottage cheese (2%)</v>
      </c>
      <c r="C149" s="86" t="n">
        <v>0</v>
      </c>
      <c r="D149" s="78" t="n">
        <f aca="false">INDEX($F$15:$BX$15,1,A149)</f>
        <v>2.26</v>
      </c>
      <c r="E149" s="78" t="n">
        <f aca="false">INDEX($F$16:$BX$16,1,A149)</f>
        <v>0</v>
      </c>
      <c r="F149" s="24" t="n">
        <f aca="false">C149*100</f>
        <v>0</v>
      </c>
      <c r="G149" s="23" t="n">
        <f aca="false">F149/'Food Data'!R34</f>
        <v>0</v>
      </c>
      <c r="H149" s="34" t="n">
        <f aca="false">C149*INDEX($F$14:$BX$14,1,A149)</f>
        <v>0</v>
      </c>
      <c r="I149" s="81" t="str">
        <f aca="false">IF(AND(D149&gt;0,C149&gt;=D149-0.00001),"at cap","")</f>
        <v/>
      </c>
      <c r="J149" s="24" t="n">
        <f aca="false">F149*INDEX($F$33:$BX$33,1,A149)</f>
        <v>0</v>
      </c>
      <c r="K149" s="24" t="n">
        <f aca="false">F149*INDEX($F$34:$BX$34,1,A149)</f>
        <v>0</v>
      </c>
      <c r="L149" s="24" t="n">
        <f aca="false">F149*INDEX($F$35:$BX$35,1,A149)</f>
        <v>0</v>
      </c>
      <c r="M149" s="24" t="n">
        <f aca="false">F149*INDEX($F$36:$BX$36,1,A149)</f>
        <v>0</v>
      </c>
      <c r="N149" s="24" t="str">
        <f aca="false">IF(J149&gt;=0.5,COUNTIF(J$121:J149,"&gt;=0.5"),"")</f>
        <v/>
      </c>
      <c r="O149" s="24" t="str">
        <f aca="false">IF(K149&gt;=0.5,COUNTIF(K$121:K149,"&gt;=0.5"),"")</f>
        <v/>
      </c>
      <c r="P149" s="24" t="str">
        <f aca="false">IF(L149&gt;=0.5,COUNTIF(L$121:L149,"&gt;=0.5"),"")</f>
        <v/>
      </c>
      <c r="Q149" s="24" t="str">
        <f aca="false">IF(M149&gt;=0.5,COUNTIF(M$121:M149,"&gt;=0.5"),"")</f>
        <v/>
      </c>
    </row>
    <row r="150" customFormat="false" ht="15" hidden="false" customHeight="false" outlineLevel="0" collapsed="false">
      <c r="A150" s="4" t="n">
        <v>30</v>
      </c>
      <c r="B150" s="85" t="str">
        <f aca="false">AI$13</f>
        <v>Mozzarella string cheese</v>
      </c>
      <c r="C150" s="86" t="n">
        <v>0</v>
      </c>
      <c r="D150" s="78" t="n">
        <f aca="false">INDEX($F$15:$BX$15,1,A150)</f>
        <v>0.42</v>
      </c>
      <c r="E150" s="78" t="n">
        <f aca="false">INDEX($F$16:$BX$16,1,A150)</f>
        <v>0</v>
      </c>
      <c r="F150" s="24" t="n">
        <f aca="false">C150*100</f>
        <v>0</v>
      </c>
      <c r="G150" s="23" t="n">
        <f aca="false">F150/'Food Data'!R35</f>
        <v>0</v>
      </c>
      <c r="H150" s="34" t="n">
        <f aca="false">C150*INDEX($F$14:$BX$14,1,A150)</f>
        <v>0</v>
      </c>
      <c r="I150" s="81" t="str">
        <f aca="false">IF(AND(D150&gt;0,C150&gt;=D150-0.00001),"at cap","")</f>
        <v/>
      </c>
      <c r="J150" s="24" t="n">
        <f aca="false">F150*INDEX($F$33:$BX$33,1,A150)</f>
        <v>0</v>
      </c>
      <c r="K150" s="24" t="n">
        <f aca="false">F150*INDEX($F$34:$BX$34,1,A150)</f>
        <v>0</v>
      </c>
      <c r="L150" s="24" t="n">
        <f aca="false">F150*INDEX($F$35:$BX$35,1,A150)</f>
        <v>0</v>
      </c>
      <c r="M150" s="24" t="n">
        <f aca="false">F150*INDEX($F$36:$BX$36,1,A150)</f>
        <v>0</v>
      </c>
      <c r="N150" s="24" t="str">
        <f aca="false">IF(J150&gt;=0.5,COUNTIF(J$121:J150,"&gt;=0.5"),"")</f>
        <v/>
      </c>
      <c r="O150" s="24" t="str">
        <f aca="false">IF(K150&gt;=0.5,COUNTIF(K$121:K150,"&gt;=0.5"),"")</f>
        <v/>
      </c>
      <c r="P150" s="24" t="str">
        <f aca="false">IF(L150&gt;=0.5,COUNTIF(L$121:L150,"&gt;=0.5"),"")</f>
        <v/>
      </c>
      <c r="Q150" s="24" t="str">
        <f aca="false">IF(M150&gt;=0.5,COUNTIF(M$121:M150,"&gt;=0.5"),"")</f>
        <v/>
      </c>
    </row>
    <row r="151" customFormat="false" ht="15" hidden="false" customHeight="false" outlineLevel="0" collapsed="false">
      <c r="A151" s="4" t="n">
        <v>31</v>
      </c>
      <c r="B151" s="85" t="str">
        <f aca="false">AJ$13</f>
        <v>Bagels (plain)</v>
      </c>
      <c r="C151" s="86" t="n">
        <v>0</v>
      </c>
      <c r="D151" s="78" t="n">
        <f aca="false">INDEX($F$15:$BX$15,1,A151)</f>
        <v>0.94</v>
      </c>
      <c r="E151" s="78" t="n">
        <f aca="false">INDEX($F$16:$BX$16,1,A151)</f>
        <v>0</v>
      </c>
      <c r="F151" s="24" t="n">
        <f aca="false">C151*100</f>
        <v>0</v>
      </c>
      <c r="G151" s="23" t="n">
        <f aca="false">F151/'Food Data'!R36</f>
        <v>0</v>
      </c>
      <c r="H151" s="34" t="n">
        <f aca="false">C151*INDEX($F$14:$BX$14,1,A151)</f>
        <v>0</v>
      </c>
      <c r="I151" s="81" t="str">
        <f aca="false">IF(AND(D151&gt;0,C151&gt;=D151-0.00001),"at cap","")</f>
        <v/>
      </c>
      <c r="J151" s="24" t="n">
        <f aca="false">F151*INDEX($F$33:$BX$33,1,A151)</f>
        <v>0</v>
      </c>
      <c r="K151" s="24" t="n">
        <f aca="false">F151*INDEX($F$34:$BX$34,1,A151)</f>
        <v>0</v>
      </c>
      <c r="L151" s="24" t="n">
        <f aca="false">F151*INDEX($F$35:$BX$35,1,A151)</f>
        <v>0</v>
      </c>
      <c r="M151" s="24" t="n">
        <f aca="false">F151*INDEX($F$36:$BX$36,1,A151)</f>
        <v>0</v>
      </c>
      <c r="N151" s="24" t="str">
        <f aca="false">IF(J151&gt;=0.5,COUNTIF(J$121:J151,"&gt;=0.5"),"")</f>
        <v/>
      </c>
      <c r="O151" s="24" t="str">
        <f aca="false">IF(K151&gt;=0.5,COUNTIF(K$121:K151,"&gt;=0.5"),"")</f>
        <v/>
      </c>
      <c r="P151" s="24" t="str">
        <f aca="false">IF(L151&gt;=0.5,COUNTIF(L$121:L151,"&gt;=0.5"),"")</f>
        <v/>
      </c>
      <c r="Q151" s="24" t="str">
        <f aca="false">IF(M151&gt;=0.5,COUNTIF(M$121:M151,"&gt;=0.5"),"")</f>
        <v/>
      </c>
    </row>
    <row r="152" customFormat="false" ht="15" hidden="false" customHeight="false" outlineLevel="0" collapsed="false">
      <c r="A152" s="4" t="n">
        <v>32</v>
      </c>
      <c r="B152" s="85" t="str">
        <f aca="false">AK$13</f>
        <v>Brown rice, cooked</v>
      </c>
      <c r="C152" s="86" t="n">
        <v>1.086315138</v>
      </c>
      <c r="D152" s="78" t="n">
        <f aca="false">INDEX($F$15:$BX$15,1,A152)</f>
        <v>1.64125</v>
      </c>
      <c r="E152" s="78" t="n">
        <f aca="false">INDEX($F$16:$BX$16,1,A152)</f>
        <v>0</v>
      </c>
      <c r="F152" s="24" t="n">
        <f aca="false">C152*100</f>
        <v>108.6315138</v>
      </c>
      <c r="G152" s="23" t="n">
        <f aca="false">F152/'Food Data'!R37</f>
        <v>1.07555954257426</v>
      </c>
      <c r="H152" s="34" t="n">
        <f aca="false">C152*INDEX($F$14:$BX$14,1,A152)</f>
        <v>0.0924015702788991</v>
      </c>
      <c r="I152" s="81" t="str">
        <f aca="false">IF(AND(D152&gt;0,C152&gt;=D152-0.00001),"at cap","")</f>
        <v/>
      </c>
      <c r="J152" s="24" t="n">
        <f aca="false">F152*INDEX($F$33:$BX$33,1,A152)</f>
        <v>0</v>
      </c>
      <c r="K152" s="24" t="n">
        <f aca="false">F152*INDEX($F$34:$BX$34,1,A152)</f>
        <v>54.3157569</v>
      </c>
      <c r="L152" s="24" t="n">
        <f aca="false">F152*INDEX($F$35:$BX$35,1,A152)</f>
        <v>54.3157569</v>
      </c>
      <c r="M152" s="24" t="n">
        <f aca="false">F152*INDEX($F$36:$BX$36,1,A152)</f>
        <v>0</v>
      </c>
      <c r="N152" s="24" t="str">
        <f aca="false">IF(J152&gt;=0.5,COUNTIF(J$121:J152,"&gt;=0.5"),"")</f>
        <v/>
      </c>
      <c r="O152" s="24" t="n">
        <f aca="false">IF(K152&gt;=0.5,COUNTIF(K$121:K152,"&gt;=0.5"),"")</f>
        <v>5</v>
      </c>
      <c r="P152" s="24" t="n">
        <f aca="false">IF(L152&gt;=0.5,COUNTIF(L$121:L152,"&gt;=0.5"),"")</f>
        <v>4</v>
      </c>
      <c r="Q152" s="24" t="str">
        <f aca="false">IF(M152&gt;=0.5,COUNTIF(M$121:M152,"&gt;=0.5"),"")</f>
        <v/>
      </c>
    </row>
    <row r="153" customFormat="false" ht="15" hidden="false" customHeight="false" outlineLevel="0" collapsed="false">
      <c r="A153" s="4" t="n">
        <v>33</v>
      </c>
      <c r="B153" s="85" t="str">
        <f aca="false">AL$13</f>
        <v>Cheerios</v>
      </c>
      <c r="C153" s="86" t="n">
        <v>0</v>
      </c>
      <c r="D153" s="78" t="n">
        <f aca="false">INDEX($F$15:$BX$15,1,A153)</f>
        <v>0.455</v>
      </c>
      <c r="E153" s="78" t="n">
        <f aca="false">INDEX($F$16:$BX$16,1,A153)</f>
        <v>0</v>
      </c>
      <c r="F153" s="24" t="n">
        <f aca="false">C153*100</f>
        <v>0</v>
      </c>
      <c r="G153" s="23" t="n">
        <f aca="false">F153/'Food Data'!R38</f>
        <v>0</v>
      </c>
      <c r="H153" s="34" t="n">
        <f aca="false">C153*INDEX($F$14:$BX$14,1,A153)</f>
        <v>0</v>
      </c>
      <c r="I153" s="81" t="str">
        <f aca="false">IF(AND(D153&gt;0,C153&gt;=D153-0.00001),"at cap","")</f>
        <v/>
      </c>
      <c r="J153" s="24" t="n">
        <f aca="false">F153*INDEX($F$33:$BX$33,1,A153)</f>
        <v>0</v>
      </c>
      <c r="K153" s="24" t="n">
        <f aca="false">F153*INDEX($F$34:$BX$34,1,A153)</f>
        <v>0</v>
      </c>
      <c r="L153" s="24" t="n">
        <f aca="false">F153*INDEX($F$35:$BX$35,1,A153)</f>
        <v>0</v>
      </c>
      <c r="M153" s="24" t="n">
        <f aca="false">F153*INDEX($F$36:$BX$36,1,A153)</f>
        <v>0</v>
      </c>
      <c r="N153" s="24" t="str">
        <f aca="false">IF(J153&gt;=0.5,COUNTIF(J$121:J153,"&gt;=0.5"),"")</f>
        <v/>
      </c>
      <c r="O153" s="24" t="str">
        <f aca="false">IF(K153&gt;=0.5,COUNTIF(K$121:K153,"&gt;=0.5"),"")</f>
        <v/>
      </c>
      <c r="P153" s="24" t="str">
        <f aca="false">IF(L153&gt;=0.5,COUNTIF(L$121:L153,"&gt;=0.5"),"")</f>
        <v/>
      </c>
      <c r="Q153" s="24" t="str">
        <f aca="false">IF(M153&gt;=0.5,COUNTIF(M$121:M153,"&gt;=0.5"),"")</f>
        <v/>
      </c>
    </row>
    <row r="154" customFormat="false" ht="15" hidden="false" customHeight="false" outlineLevel="0" collapsed="false">
      <c r="A154" s="4" t="n">
        <v>34</v>
      </c>
      <c r="B154" s="85" t="str">
        <f aca="false">AM$13</f>
        <v>Corn tortillas</v>
      </c>
      <c r="C154" s="86" t="n">
        <v>0</v>
      </c>
      <c r="D154" s="78" t="n">
        <f aca="false">INDEX($F$15:$BX$15,1,A154)</f>
        <v>1.56</v>
      </c>
      <c r="E154" s="78" t="n">
        <f aca="false">INDEX($F$16:$BX$16,1,A154)</f>
        <v>0</v>
      </c>
      <c r="F154" s="24" t="n">
        <f aca="false">C154*100</f>
        <v>0</v>
      </c>
      <c r="G154" s="23" t="n">
        <f aca="false">F154/'Food Data'!R39</f>
        <v>0</v>
      </c>
      <c r="H154" s="34" t="n">
        <f aca="false">C154*INDEX($F$14:$BX$14,1,A154)</f>
        <v>0</v>
      </c>
      <c r="I154" s="81" t="str">
        <f aca="false">IF(AND(D154&gt;0,C154&gt;=D154-0.00001),"at cap","")</f>
        <v/>
      </c>
      <c r="J154" s="24" t="n">
        <f aca="false">F154*INDEX($F$33:$BX$33,1,A154)</f>
        <v>0</v>
      </c>
      <c r="K154" s="24" t="n">
        <f aca="false">F154*INDEX($F$34:$BX$34,1,A154)</f>
        <v>0</v>
      </c>
      <c r="L154" s="24" t="n">
        <f aca="false">F154*INDEX($F$35:$BX$35,1,A154)</f>
        <v>0</v>
      </c>
      <c r="M154" s="24" t="n">
        <f aca="false">F154*INDEX($F$36:$BX$36,1,A154)</f>
        <v>0</v>
      </c>
      <c r="N154" s="24" t="str">
        <f aca="false">IF(J154&gt;=0.5,COUNTIF(J$121:J154,"&gt;=0.5"),"")</f>
        <v/>
      </c>
      <c r="O154" s="24" t="str">
        <f aca="false">IF(K154&gt;=0.5,COUNTIF(K$121:K154,"&gt;=0.5"),"")</f>
        <v/>
      </c>
      <c r="P154" s="24" t="str">
        <f aca="false">IF(L154&gt;=0.5,COUNTIF(L$121:L154,"&gt;=0.5"),"")</f>
        <v/>
      </c>
      <c r="Q154" s="24" t="str">
        <f aca="false">IF(M154&gt;=0.5,COUNTIF(M$121:M154,"&gt;=0.5"),"")</f>
        <v/>
      </c>
    </row>
    <row r="155" customFormat="false" ht="15" hidden="false" customHeight="false" outlineLevel="0" collapsed="false">
      <c r="A155" s="4" t="n">
        <v>35</v>
      </c>
      <c r="B155" s="85" t="str">
        <f aca="false">AN$13</f>
        <v>Flour tortillas</v>
      </c>
      <c r="C155" s="86" t="n">
        <v>0</v>
      </c>
      <c r="D155" s="78" t="n">
        <f aca="false">INDEX($F$15:$BX$15,1,A155)</f>
        <v>1.35</v>
      </c>
      <c r="E155" s="78" t="n">
        <f aca="false">INDEX($F$16:$BX$16,1,A155)</f>
        <v>0</v>
      </c>
      <c r="F155" s="24" t="n">
        <f aca="false">C155*100</f>
        <v>0</v>
      </c>
      <c r="G155" s="23" t="n">
        <f aca="false">F155/'Food Data'!R40</f>
        <v>0</v>
      </c>
      <c r="H155" s="34" t="n">
        <f aca="false">C155*INDEX($F$14:$BX$14,1,A155)</f>
        <v>0</v>
      </c>
      <c r="I155" s="81" t="str">
        <f aca="false">IF(AND(D155&gt;0,C155&gt;=D155-0.00001),"at cap","")</f>
        <v/>
      </c>
      <c r="J155" s="24" t="n">
        <f aca="false">F155*INDEX($F$33:$BX$33,1,A155)</f>
        <v>0</v>
      </c>
      <c r="K155" s="24" t="n">
        <f aca="false">F155*INDEX($F$34:$BX$34,1,A155)</f>
        <v>0</v>
      </c>
      <c r="L155" s="24" t="n">
        <f aca="false">F155*INDEX($F$35:$BX$35,1,A155)</f>
        <v>0</v>
      </c>
      <c r="M155" s="24" t="n">
        <f aca="false">F155*INDEX($F$36:$BX$36,1,A155)</f>
        <v>0</v>
      </c>
      <c r="N155" s="24" t="str">
        <f aca="false">IF(J155&gt;=0.5,COUNTIF(J$121:J155,"&gt;=0.5"),"")</f>
        <v/>
      </c>
      <c r="O155" s="24" t="str">
        <f aca="false">IF(K155&gt;=0.5,COUNTIF(K$121:K155,"&gt;=0.5"),"")</f>
        <v/>
      </c>
      <c r="P155" s="24" t="str">
        <f aca="false">IF(L155&gt;=0.5,COUNTIF(L$121:L155,"&gt;=0.5"),"")</f>
        <v/>
      </c>
      <c r="Q155" s="24" t="str">
        <f aca="false">IF(M155&gt;=0.5,COUNTIF(M$121:M155,"&gt;=0.5"),"")</f>
        <v/>
      </c>
    </row>
    <row r="156" customFormat="false" ht="15" hidden="false" customHeight="false" outlineLevel="0" collapsed="false">
      <c r="A156" s="4" t="n">
        <v>36</v>
      </c>
      <c r="B156" s="85" t="str">
        <f aca="false">AO$13</f>
        <v>Oatmeal (made with water)</v>
      </c>
      <c r="C156" s="86" t="n">
        <v>1.90125</v>
      </c>
      <c r="D156" s="78" t="n">
        <f aca="false">INDEX($F$15:$BX$15,1,A156)</f>
        <v>1.90125</v>
      </c>
      <c r="E156" s="78" t="n">
        <f aca="false">INDEX($F$16:$BX$16,1,A156)</f>
        <v>0</v>
      </c>
      <c r="F156" s="24" t="n">
        <f aca="false">C156*100</f>
        <v>190.125</v>
      </c>
      <c r="G156" s="23" t="n">
        <f aca="false">F156/'Food Data'!R41</f>
        <v>1.625</v>
      </c>
      <c r="H156" s="34" t="n">
        <f aca="false">C156*INDEX($F$14:$BX$14,1,A156)</f>
        <v>0.166775028122728</v>
      </c>
      <c r="I156" s="81" t="str">
        <f aca="false">IF(AND(D156&gt;0,C156&gt;=D156-0.00001),"at cap","")</f>
        <v>at cap</v>
      </c>
      <c r="J156" s="24" t="n">
        <f aca="false">F156*INDEX($F$33:$BX$33,1,A156)</f>
        <v>190.125</v>
      </c>
      <c r="K156" s="24" t="n">
        <f aca="false">F156*INDEX($F$34:$BX$34,1,A156)</f>
        <v>0</v>
      </c>
      <c r="L156" s="24" t="n">
        <f aca="false">F156*INDEX($F$35:$BX$35,1,A156)</f>
        <v>0</v>
      </c>
      <c r="M156" s="24" t="n">
        <f aca="false">F156*INDEX($F$36:$BX$36,1,A156)</f>
        <v>0</v>
      </c>
      <c r="N156" s="24" t="n">
        <f aca="false">IF(J156&gt;=0.5,COUNTIF(J$121:J156,"&gt;=0.5"),"")</f>
        <v>4</v>
      </c>
      <c r="O156" s="24" t="str">
        <f aca="false">IF(K156&gt;=0.5,COUNTIF(K$121:K156,"&gt;=0.5"),"")</f>
        <v/>
      </c>
      <c r="P156" s="24" t="str">
        <f aca="false">IF(L156&gt;=0.5,COUNTIF(L$121:L156,"&gt;=0.5"),"")</f>
        <v/>
      </c>
      <c r="Q156" s="24" t="str">
        <f aca="false">IF(M156&gt;=0.5,COUNTIF(M$121:M156,"&gt;=0.5"),"")</f>
        <v/>
      </c>
    </row>
    <row r="157" customFormat="false" ht="15" hidden="false" customHeight="false" outlineLevel="0" collapsed="false">
      <c r="A157" s="4" t="n">
        <v>37</v>
      </c>
      <c r="B157" s="85" t="str">
        <f aca="false">AP$13</f>
        <v>Quinoa, cooked</v>
      </c>
      <c r="C157" s="86" t="n">
        <v>0</v>
      </c>
      <c r="D157" s="78" t="n">
        <f aca="false">INDEX($F$15:$BX$15,1,A157)</f>
        <v>1.503125</v>
      </c>
      <c r="E157" s="78" t="n">
        <f aca="false">INDEX($F$16:$BX$16,1,A157)</f>
        <v>0</v>
      </c>
      <c r="F157" s="24" t="n">
        <f aca="false">C157*100</f>
        <v>0</v>
      </c>
      <c r="G157" s="23" t="n">
        <f aca="false">F157/'Food Data'!R42</f>
        <v>0</v>
      </c>
      <c r="H157" s="34" t="n">
        <f aca="false">C157*INDEX($F$14:$BX$14,1,A157)</f>
        <v>0</v>
      </c>
      <c r="I157" s="81" t="str">
        <f aca="false">IF(AND(D157&gt;0,C157&gt;=D157-0.00001),"at cap","")</f>
        <v/>
      </c>
      <c r="J157" s="24" t="n">
        <f aca="false">F157*INDEX($F$33:$BX$33,1,A157)</f>
        <v>0</v>
      </c>
      <c r="K157" s="24" t="n">
        <f aca="false">F157*INDEX($F$34:$BX$34,1,A157)</f>
        <v>0</v>
      </c>
      <c r="L157" s="24" t="n">
        <f aca="false">F157*INDEX($F$35:$BX$35,1,A157)</f>
        <v>0</v>
      </c>
      <c r="M157" s="24" t="n">
        <f aca="false">F157*INDEX($F$36:$BX$36,1,A157)</f>
        <v>0</v>
      </c>
      <c r="N157" s="24" t="str">
        <f aca="false">IF(J157&gt;=0.5,COUNTIF(J$121:J157,"&gt;=0.5"),"")</f>
        <v/>
      </c>
      <c r="O157" s="24" t="str">
        <f aca="false">IF(K157&gt;=0.5,COUNTIF(K$121:K157,"&gt;=0.5"),"")</f>
        <v/>
      </c>
      <c r="P157" s="24" t="str">
        <f aca="false">IF(L157&gt;=0.5,COUNTIF(L$121:L157,"&gt;=0.5"),"")</f>
        <v/>
      </c>
      <c r="Q157" s="24" t="str">
        <f aca="false">IF(M157&gt;=0.5,COUNTIF(M$121:M157,"&gt;=0.5"),"")</f>
        <v/>
      </c>
    </row>
    <row r="158" customFormat="false" ht="15" hidden="false" customHeight="false" outlineLevel="0" collapsed="false">
      <c r="A158" s="4" t="n">
        <v>38</v>
      </c>
      <c r="B158" s="85" t="str">
        <f aca="false">AQ$13</f>
        <v>Spaghetti, cooked</v>
      </c>
      <c r="C158" s="86" t="n">
        <v>0</v>
      </c>
      <c r="D158" s="78" t="n">
        <f aca="false">INDEX($F$15:$BX$15,1,A158)</f>
        <v>3.72</v>
      </c>
      <c r="E158" s="78" t="n">
        <f aca="false">INDEX($F$16:$BX$16,1,A158)</f>
        <v>0</v>
      </c>
      <c r="F158" s="24" t="n">
        <f aca="false">C158*100</f>
        <v>0</v>
      </c>
      <c r="G158" s="23" t="n">
        <f aca="false">F158/'Food Data'!R43</f>
        <v>0</v>
      </c>
      <c r="H158" s="34" t="n">
        <f aca="false">C158*INDEX($F$14:$BX$14,1,A158)</f>
        <v>0</v>
      </c>
      <c r="I158" s="81" t="str">
        <f aca="false">IF(AND(D158&gt;0,C158&gt;=D158-0.00001),"at cap","")</f>
        <v/>
      </c>
      <c r="J158" s="24" t="n">
        <f aca="false">F158*INDEX($F$33:$BX$33,1,A158)</f>
        <v>0</v>
      </c>
      <c r="K158" s="24" t="n">
        <f aca="false">F158*INDEX($F$34:$BX$34,1,A158)</f>
        <v>0</v>
      </c>
      <c r="L158" s="24" t="n">
        <f aca="false">F158*INDEX($F$35:$BX$35,1,A158)</f>
        <v>0</v>
      </c>
      <c r="M158" s="24" t="n">
        <f aca="false">F158*INDEX($F$36:$BX$36,1,A158)</f>
        <v>0</v>
      </c>
      <c r="N158" s="24" t="str">
        <f aca="false">IF(J158&gt;=0.5,COUNTIF(J$121:J158,"&gt;=0.5"),"")</f>
        <v/>
      </c>
      <c r="O158" s="24" t="str">
        <f aca="false">IF(K158&gt;=0.5,COUNTIF(K$121:K158,"&gt;=0.5"),"")</f>
        <v/>
      </c>
      <c r="P158" s="24" t="str">
        <f aca="false">IF(L158&gt;=0.5,COUNTIF(L$121:L158,"&gt;=0.5"),"")</f>
        <v/>
      </c>
      <c r="Q158" s="24" t="str">
        <f aca="false">IF(M158&gt;=0.5,COUNTIF(M$121:M158,"&gt;=0.5"),"")</f>
        <v/>
      </c>
    </row>
    <row r="159" customFormat="false" ht="15" hidden="false" customHeight="false" outlineLevel="0" collapsed="false">
      <c r="A159" s="4" t="n">
        <v>39</v>
      </c>
      <c r="B159" s="85" t="str">
        <f aca="false">AR$13</f>
        <v>White bread</v>
      </c>
      <c r="C159" s="86" t="n">
        <v>0</v>
      </c>
      <c r="D159" s="78" t="n">
        <f aca="false">INDEX($F$15:$BX$15,1,A159)</f>
        <v>1.12</v>
      </c>
      <c r="E159" s="78" t="n">
        <f aca="false">INDEX($F$16:$BX$16,1,A159)</f>
        <v>0</v>
      </c>
      <c r="F159" s="24" t="n">
        <f aca="false">C159*100</f>
        <v>0</v>
      </c>
      <c r="G159" s="23" t="n">
        <f aca="false">F159/'Food Data'!R44</f>
        <v>0</v>
      </c>
      <c r="H159" s="34" t="n">
        <f aca="false">C159*INDEX($F$14:$BX$14,1,A159)</f>
        <v>0</v>
      </c>
      <c r="I159" s="81" t="str">
        <f aca="false">IF(AND(D159&gt;0,C159&gt;=D159-0.00001),"at cap","")</f>
        <v/>
      </c>
      <c r="J159" s="24" t="n">
        <f aca="false">F159*INDEX($F$33:$BX$33,1,A159)</f>
        <v>0</v>
      </c>
      <c r="K159" s="24" t="n">
        <f aca="false">F159*INDEX($F$34:$BX$34,1,A159)</f>
        <v>0</v>
      </c>
      <c r="L159" s="24" t="n">
        <f aca="false">F159*INDEX($F$35:$BX$35,1,A159)</f>
        <v>0</v>
      </c>
      <c r="M159" s="24" t="n">
        <f aca="false">F159*INDEX($F$36:$BX$36,1,A159)</f>
        <v>0</v>
      </c>
      <c r="N159" s="24" t="str">
        <f aca="false">IF(J159&gt;=0.5,COUNTIF(J$121:J159,"&gt;=0.5"),"")</f>
        <v/>
      </c>
      <c r="O159" s="24" t="str">
        <f aca="false">IF(K159&gt;=0.5,COUNTIF(K$121:K159,"&gt;=0.5"),"")</f>
        <v/>
      </c>
      <c r="P159" s="24" t="str">
        <f aca="false">IF(L159&gt;=0.5,COUNTIF(L$121:L159,"&gt;=0.5"),"")</f>
        <v/>
      </c>
      <c r="Q159" s="24" t="str">
        <f aca="false">IF(M159&gt;=0.5,COUNTIF(M$121:M159,"&gt;=0.5"),"")</f>
        <v/>
      </c>
    </row>
    <row r="160" customFormat="false" ht="15" hidden="false" customHeight="false" outlineLevel="0" collapsed="false">
      <c r="A160" s="4" t="n">
        <v>40</v>
      </c>
      <c r="B160" s="85" t="str">
        <f aca="false">AS$13</f>
        <v>White rice, cooked</v>
      </c>
      <c r="C160" s="86" t="n">
        <v>4.700942039</v>
      </c>
      <c r="D160" s="78" t="n">
        <f aca="false">INDEX($F$15:$BX$15,1,A160)</f>
        <v>4.74</v>
      </c>
      <c r="E160" s="78" t="n">
        <f aca="false">INDEX($F$16:$BX$16,1,A160)</f>
        <v>0</v>
      </c>
      <c r="F160" s="24" t="n">
        <f aca="false">C160*100</f>
        <v>470.0942039</v>
      </c>
      <c r="G160" s="23" t="n">
        <f aca="false">F160/'Food Data'!R45</f>
        <v>5.95055954303798</v>
      </c>
      <c r="H160" s="34" t="n">
        <f aca="false">C160*INDEX($F$14:$BX$14,1,A160)</f>
        <v>0.239422143486358</v>
      </c>
      <c r="I160" s="81" t="str">
        <f aca="false">IF(AND(D160&gt;0,C160&gt;=D160-0.00001),"at cap","")</f>
        <v/>
      </c>
      <c r="J160" s="24" t="n">
        <f aca="false">F160*INDEX($F$33:$BX$33,1,A160)</f>
        <v>0</v>
      </c>
      <c r="K160" s="24" t="n">
        <f aca="false">F160*INDEX($F$34:$BX$34,1,A160)</f>
        <v>235.04710195</v>
      </c>
      <c r="L160" s="24" t="n">
        <f aca="false">F160*INDEX($F$35:$BX$35,1,A160)</f>
        <v>235.04710195</v>
      </c>
      <c r="M160" s="24" t="n">
        <f aca="false">F160*INDEX($F$36:$BX$36,1,A160)</f>
        <v>0</v>
      </c>
      <c r="N160" s="24" t="str">
        <f aca="false">IF(J160&gt;=0.5,COUNTIF(J$121:J160,"&gt;=0.5"),"")</f>
        <v/>
      </c>
      <c r="O160" s="24" t="n">
        <f aca="false">IF(K160&gt;=0.5,COUNTIF(K$121:K160,"&gt;=0.5"),"")</f>
        <v>6</v>
      </c>
      <c r="P160" s="24" t="n">
        <f aca="false">IF(L160&gt;=0.5,COUNTIF(L$121:L160,"&gt;=0.5"),"")</f>
        <v>5</v>
      </c>
      <c r="Q160" s="24" t="str">
        <f aca="false">IF(M160&gt;=0.5,COUNTIF(M$121:M160,"&gt;=0.5"),"")</f>
        <v/>
      </c>
    </row>
    <row r="161" customFormat="false" ht="15" hidden="false" customHeight="false" outlineLevel="0" collapsed="false">
      <c r="A161" s="4" t="n">
        <v>41</v>
      </c>
      <c r="B161" s="85" t="str">
        <f aca="false">AT$13</f>
        <v>Whole-wheat bread</v>
      </c>
      <c r="C161" s="86" t="n">
        <v>0.52</v>
      </c>
      <c r="D161" s="78" t="n">
        <f aca="false">INDEX($F$15:$BX$15,1,A161)</f>
        <v>0.52</v>
      </c>
      <c r="E161" s="78" t="n">
        <f aca="false">INDEX($F$16:$BX$16,1,A161)</f>
        <v>0</v>
      </c>
      <c r="F161" s="24" t="n">
        <f aca="false">C161*100</f>
        <v>52</v>
      </c>
      <c r="G161" s="23" t="n">
        <f aca="false">F161/'Food Data'!R46</f>
        <v>1.625</v>
      </c>
      <c r="H161" s="34" t="n">
        <f aca="false">C161*INDEX($F$14:$BX$14,1,A161)</f>
        <v>0.228710780151109</v>
      </c>
      <c r="I161" s="81" t="str">
        <f aca="false">IF(AND(D161&gt;0,C161&gt;=D161-0.00001),"at cap","")</f>
        <v>at cap</v>
      </c>
      <c r="J161" s="24" t="n">
        <f aca="false">F161*INDEX($F$33:$BX$33,1,A161)</f>
        <v>26</v>
      </c>
      <c r="K161" s="24" t="n">
        <f aca="false">F161*INDEX($F$34:$BX$34,1,A161)</f>
        <v>26</v>
      </c>
      <c r="L161" s="24" t="n">
        <f aca="false">F161*INDEX($F$35:$BX$35,1,A161)</f>
        <v>0</v>
      </c>
      <c r="M161" s="24" t="n">
        <f aca="false">F161*INDEX($F$36:$BX$36,1,A161)</f>
        <v>0</v>
      </c>
      <c r="N161" s="24" t="n">
        <f aca="false">IF(J161&gt;=0.5,COUNTIF(J$121:J161,"&gt;=0.5"),"")</f>
        <v>5</v>
      </c>
      <c r="O161" s="24" t="n">
        <f aca="false">IF(K161&gt;=0.5,COUNTIF(K$121:K161,"&gt;=0.5"),"")</f>
        <v>7</v>
      </c>
      <c r="P161" s="24" t="str">
        <f aca="false">IF(L161&gt;=0.5,COUNTIF(L$121:L161,"&gt;=0.5"),"")</f>
        <v/>
      </c>
      <c r="Q161" s="24" t="str">
        <f aca="false">IF(M161&gt;=0.5,COUNTIF(M$121:M161,"&gt;=0.5"),"")</f>
        <v/>
      </c>
    </row>
    <row r="162" customFormat="false" ht="15" hidden="false" customHeight="false" outlineLevel="0" collapsed="false">
      <c r="A162" s="4" t="n">
        <v>42</v>
      </c>
      <c r="B162" s="85" t="str">
        <f aca="false">AU$13</f>
        <v>Whole-wheat spaghetti, cooked</v>
      </c>
      <c r="C162" s="86" t="n">
        <v>0.950625</v>
      </c>
      <c r="D162" s="78" t="n">
        <f aca="false">INDEX($F$15:$BX$15,1,A162)</f>
        <v>0.950625</v>
      </c>
      <c r="E162" s="78" t="n">
        <f aca="false">INDEX($F$16:$BX$16,1,A162)</f>
        <v>0</v>
      </c>
      <c r="F162" s="24" t="n">
        <f aca="false">C162*100</f>
        <v>95.0625</v>
      </c>
      <c r="G162" s="23" t="n">
        <f aca="false">F162/'Food Data'!R47</f>
        <v>1.625</v>
      </c>
      <c r="H162" s="34" t="n">
        <f aca="false">C162*INDEX($F$14:$BX$14,1,A162)</f>
        <v>0.194426576717419</v>
      </c>
      <c r="I162" s="81" t="str">
        <f aca="false">IF(AND(D162&gt;0,C162&gt;=D162-0.00001),"at cap","")</f>
        <v>at cap</v>
      </c>
      <c r="J162" s="24" t="n">
        <f aca="false">F162*INDEX($F$33:$BX$33,1,A162)</f>
        <v>0</v>
      </c>
      <c r="K162" s="24" t="n">
        <f aca="false">F162*INDEX($F$34:$BX$34,1,A162)</f>
        <v>47.53125</v>
      </c>
      <c r="L162" s="24" t="n">
        <f aca="false">F162*INDEX($F$35:$BX$35,1,A162)</f>
        <v>47.53125</v>
      </c>
      <c r="M162" s="24" t="n">
        <f aca="false">F162*INDEX($F$36:$BX$36,1,A162)</f>
        <v>0</v>
      </c>
      <c r="N162" s="24" t="str">
        <f aca="false">IF(J162&gt;=0.5,COUNTIF(J$121:J162,"&gt;=0.5"),"")</f>
        <v/>
      </c>
      <c r="O162" s="24" t="n">
        <f aca="false">IF(K162&gt;=0.5,COUNTIF(K$121:K162,"&gt;=0.5"),"")</f>
        <v>8</v>
      </c>
      <c r="P162" s="24" t="n">
        <f aca="false">IF(L162&gt;=0.5,COUNTIF(L$121:L162,"&gt;=0.5"),"")</f>
        <v>6</v>
      </c>
      <c r="Q162" s="24" t="str">
        <f aca="false">IF(M162&gt;=0.5,COUNTIF(M$121:M162,"&gt;=0.5"),"")</f>
        <v/>
      </c>
    </row>
    <row r="163" customFormat="false" ht="15" hidden="false" customHeight="false" outlineLevel="0" collapsed="false">
      <c r="A163" s="4" t="n">
        <v>43</v>
      </c>
      <c r="B163" s="85" t="str">
        <f aca="false">AV$13</f>
        <v>Baked potato (with skin)</v>
      </c>
      <c r="C163" s="86" t="n">
        <v>0</v>
      </c>
      <c r="D163" s="78" t="n">
        <f aca="false">INDEX($F$15:$BX$15,1,A163)</f>
        <v>2.595</v>
      </c>
      <c r="E163" s="78" t="n">
        <f aca="false">INDEX($F$16:$BX$16,1,A163)</f>
        <v>0</v>
      </c>
      <c r="F163" s="24" t="n">
        <f aca="false">C163*100</f>
        <v>0</v>
      </c>
      <c r="G163" s="23" t="n">
        <f aca="false">F163/'Food Data'!R48</f>
        <v>0</v>
      </c>
      <c r="H163" s="34" t="n">
        <f aca="false">C163*INDEX($F$14:$BX$14,1,A163)</f>
        <v>0</v>
      </c>
      <c r="I163" s="81" t="str">
        <f aca="false">IF(AND(D163&gt;0,C163&gt;=D163-0.00001),"at cap","")</f>
        <v/>
      </c>
      <c r="J163" s="24" t="n">
        <f aca="false">F163*INDEX($F$33:$BX$33,1,A163)</f>
        <v>0</v>
      </c>
      <c r="K163" s="24" t="n">
        <f aca="false">F163*INDEX($F$34:$BX$34,1,A163)</f>
        <v>0</v>
      </c>
      <c r="L163" s="24" t="n">
        <f aca="false">F163*INDEX($F$35:$BX$35,1,A163)</f>
        <v>0</v>
      </c>
      <c r="M163" s="24" t="n">
        <f aca="false">F163*INDEX($F$36:$BX$36,1,A163)</f>
        <v>0</v>
      </c>
      <c r="N163" s="24" t="str">
        <f aca="false">IF(J163&gt;=0.5,COUNTIF(J$121:J163,"&gt;=0.5"),"")</f>
        <v/>
      </c>
      <c r="O163" s="24" t="str">
        <f aca="false">IF(K163&gt;=0.5,COUNTIF(K$121:K163,"&gt;=0.5"),"")</f>
        <v/>
      </c>
      <c r="P163" s="24" t="str">
        <f aca="false">IF(L163&gt;=0.5,COUNTIF(L$121:L163,"&gt;=0.5"),"")</f>
        <v/>
      </c>
      <c r="Q163" s="24" t="str">
        <f aca="false">IF(M163&gt;=0.5,COUNTIF(M$121:M163,"&gt;=0.5"),"")</f>
        <v/>
      </c>
    </row>
    <row r="164" customFormat="false" ht="15" hidden="false" customHeight="false" outlineLevel="0" collapsed="false">
      <c r="A164" s="4" t="n">
        <v>44</v>
      </c>
      <c r="B164" s="85" t="str">
        <f aca="false">AW$13</f>
        <v>Baked sweet potato</v>
      </c>
      <c r="C164" s="86" t="n">
        <v>0</v>
      </c>
      <c r="D164" s="78" t="n">
        <f aca="false">INDEX($F$15:$BX$15,1,A164)</f>
        <v>2</v>
      </c>
      <c r="E164" s="78" t="n">
        <f aca="false">INDEX($F$16:$BX$16,1,A164)</f>
        <v>0</v>
      </c>
      <c r="F164" s="24" t="n">
        <f aca="false">C164*100</f>
        <v>0</v>
      </c>
      <c r="G164" s="23" t="n">
        <f aca="false">F164/'Food Data'!R49</f>
        <v>0</v>
      </c>
      <c r="H164" s="34" t="n">
        <f aca="false">C164*INDEX($F$14:$BX$14,1,A164)</f>
        <v>0</v>
      </c>
      <c r="I164" s="81" t="str">
        <f aca="false">IF(AND(D164&gt;0,C164&gt;=D164-0.00001),"at cap","")</f>
        <v/>
      </c>
      <c r="J164" s="24" t="n">
        <f aca="false">F164*INDEX($F$33:$BX$33,1,A164)</f>
        <v>0</v>
      </c>
      <c r="K164" s="24" t="n">
        <f aca="false">F164*INDEX($F$34:$BX$34,1,A164)</f>
        <v>0</v>
      </c>
      <c r="L164" s="24" t="n">
        <f aca="false">F164*INDEX($F$35:$BX$35,1,A164)</f>
        <v>0</v>
      </c>
      <c r="M164" s="24" t="n">
        <f aca="false">F164*INDEX($F$36:$BX$36,1,A164)</f>
        <v>0</v>
      </c>
      <c r="N164" s="24" t="str">
        <f aca="false">IF(J164&gt;=0.5,COUNTIF(J$121:J164,"&gt;=0.5"),"")</f>
        <v/>
      </c>
      <c r="O164" s="24" t="str">
        <f aca="false">IF(K164&gt;=0.5,COUNTIF(K$121:K164,"&gt;=0.5"),"")</f>
        <v/>
      </c>
      <c r="P164" s="24" t="str">
        <f aca="false">IF(L164&gt;=0.5,COUNTIF(L$121:L164,"&gt;=0.5"),"")</f>
        <v/>
      </c>
      <c r="Q164" s="24" t="str">
        <f aca="false">IF(M164&gt;=0.5,COUNTIF(M$121:M164,"&gt;=0.5"),"")</f>
        <v/>
      </c>
    </row>
    <row r="165" customFormat="false" ht="15" hidden="false" customHeight="false" outlineLevel="0" collapsed="false">
      <c r="A165" s="4" t="n">
        <v>45</v>
      </c>
      <c r="B165" s="85" t="str">
        <f aca="false">AX$13</f>
        <v>Corn, cooked (from frozen)</v>
      </c>
      <c r="C165" s="86" t="n">
        <v>0</v>
      </c>
      <c r="D165" s="78" t="n">
        <f aca="false">INDEX($F$15:$BX$15,1,A165)</f>
        <v>2.0625</v>
      </c>
      <c r="E165" s="78" t="n">
        <f aca="false">INDEX($F$16:$BX$16,1,A165)</f>
        <v>0</v>
      </c>
      <c r="F165" s="24" t="n">
        <f aca="false">C165*100</f>
        <v>0</v>
      </c>
      <c r="G165" s="23" t="n">
        <f aca="false">F165/'Food Data'!R50</f>
        <v>0</v>
      </c>
      <c r="H165" s="34" t="n">
        <f aca="false">C165*INDEX($F$14:$BX$14,1,A165)</f>
        <v>0</v>
      </c>
      <c r="I165" s="81" t="str">
        <f aca="false">IF(AND(D165&gt;0,C165&gt;=D165-0.00001),"at cap","")</f>
        <v/>
      </c>
      <c r="J165" s="24" t="n">
        <f aca="false">F165*INDEX($F$33:$BX$33,1,A165)</f>
        <v>0</v>
      </c>
      <c r="K165" s="24" t="n">
        <f aca="false">F165*INDEX($F$34:$BX$34,1,A165)</f>
        <v>0</v>
      </c>
      <c r="L165" s="24" t="n">
        <f aca="false">F165*INDEX($F$35:$BX$35,1,A165)</f>
        <v>0</v>
      </c>
      <c r="M165" s="24" t="n">
        <f aca="false">F165*INDEX($F$36:$BX$36,1,A165)</f>
        <v>0</v>
      </c>
      <c r="N165" s="24" t="str">
        <f aca="false">IF(J165&gt;=0.5,COUNTIF(J$121:J165,"&gt;=0.5"),"")</f>
        <v/>
      </c>
      <c r="O165" s="24" t="str">
        <f aca="false">IF(K165&gt;=0.5,COUNTIF(K$121:K165,"&gt;=0.5"),"")</f>
        <v/>
      </c>
      <c r="P165" s="24" t="str">
        <f aca="false">IF(L165&gt;=0.5,COUNTIF(L$121:L165,"&gt;=0.5"),"")</f>
        <v/>
      </c>
      <c r="Q165" s="24" t="str">
        <f aca="false">IF(M165&gt;=0.5,COUNTIF(M$121:M165,"&gt;=0.5"),"")</f>
        <v/>
      </c>
    </row>
    <row r="166" customFormat="false" ht="15" hidden="false" customHeight="false" outlineLevel="0" collapsed="false">
      <c r="A166" s="4" t="n">
        <v>46</v>
      </c>
      <c r="B166" s="85" t="str">
        <f aca="false">AY$13</f>
        <v>Apples (Gala)</v>
      </c>
      <c r="C166" s="86" t="n">
        <v>1.553053254</v>
      </c>
      <c r="D166" s="78" t="n">
        <f aca="false">INDEX($F$15:$BX$15,1,A166)</f>
        <v>1.5625</v>
      </c>
      <c r="E166" s="78" t="n">
        <f aca="false">INDEX($F$16:$BX$16,1,A166)</f>
        <v>0</v>
      </c>
      <c r="F166" s="24" t="n">
        <f aca="false">C166*100</f>
        <v>155.3053254</v>
      </c>
      <c r="G166" s="23" t="n">
        <f aca="false">F166/'Food Data'!R51</f>
        <v>1.2424426032</v>
      </c>
      <c r="H166" s="34" t="n">
        <f aca="false">C166*INDEX($F$14:$BX$14,1,A166)</f>
        <v>0.662787549336991</v>
      </c>
      <c r="I166" s="81" t="str">
        <f aca="false">IF(AND(D166&gt;0,C166&gt;=D166-0.00001),"at cap","")</f>
        <v/>
      </c>
      <c r="J166" s="24" t="n">
        <f aca="false">F166*INDEX($F$33:$BX$33,1,A166)</f>
        <v>0</v>
      </c>
      <c r="K166" s="24" t="n">
        <f aca="false">F166*INDEX($F$34:$BX$34,1,A166)</f>
        <v>77.6526627</v>
      </c>
      <c r="L166" s="24" t="n">
        <f aca="false">F166*INDEX($F$35:$BX$35,1,A166)</f>
        <v>0</v>
      </c>
      <c r="M166" s="24" t="n">
        <f aca="false">F166*INDEX($F$36:$BX$36,1,A166)</f>
        <v>77.6526627</v>
      </c>
      <c r="N166" s="24" t="str">
        <f aca="false">IF(J166&gt;=0.5,COUNTIF(J$121:J166,"&gt;=0.5"),"")</f>
        <v/>
      </c>
      <c r="O166" s="24" t="n">
        <f aca="false">IF(K166&gt;=0.5,COUNTIF(K$121:K166,"&gt;=0.5"),"")</f>
        <v>9</v>
      </c>
      <c r="P166" s="24" t="str">
        <f aca="false">IF(L166&gt;=0.5,COUNTIF(L$121:L166,"&gt;=0.5"),"")</f>
        <v/>
      </c>
      <c r="Q166" s="24" t="n">
        <f aca="false">IF(M166&gt;=0.5,COUNTIF(M$121:M166,"&gt;=0.5"),"")</f>
        <v>4</v>
      </c>
    </row>
    <row r="167" customFormat="false" ht="15" hidden="false" customHeight="false" outlineLevel="0" collapsed="false">
      <c r="A167" s="4" t="n">
        <v>47</v>
      </c>
      <c r="B167" s="85" t="str">
        <f aca="false">AZ$13</f>
        <v>Bananas</v>
      </c>
      <c r="C167" s="86" t="n">
        <v>1.475</v>
      </c>
      <c r="D167" s="78" t="n">
        <f aca="false">INDEX($F$15:$BX$15,1,A167)</f>
        <v>1.475</v>
      </c>
      <c r="E167" s="78" t="n">
        <f aca="false">INDEX($F$16:$BX$16,1,A167)</f>
        <v>0</v>
      </c>
      <c r="F167" s="24" t="n">
        <f aca="false">C167*100</f>
        <v>147.5</v>
      </c>
      <c r="G167" s="23" t="n">
        <f aca="false">F167/'Food Data'!R52</f>
        <v>1.25</v>
      </c>
      <c r="H167" s="34" t="n">
        <f aca="false">C167*INDEX($F$14:$BX$14,1,A167)</f>
        <v>0.33872538212816</v>
      </c>
      <c r="I167" s="81" t="str">
        <f aca="false">IF(AND(D167&gt;0,C167&gt;=D167-0.00001),"at cap","")</f>
        <v>at cap</v>
      </c>
      <c r="J167" s="24" t="n">
        <f aca="false">F167*INDEX($F$33:$BX$33,1,A167)</f>
        <v>73.75</v>
      </c>
      <c r="K167" s="24" t="n">
        <f aca="false">F167*INDEX($F$34:$BX$34,1,A167)</f>
        <v>0</v>
      </c>
      <c r="L167" s="24" t="n">
        <f aca="false">F167*INDEX($F$35:$BX$35,1,A167)</f>
        <v>0</v>
      </c>
      <c r="M167" s="24" t="n">
        <f aca="false">F167*INDEX($F$36:$BX$36,1,A167)</f>
        <v>73.75</v>
      </c>
      <c r="N167" s="24" t="n">
        <f aca="false">IF(J167&gt;=0.5,COUNTIF(J$121:J167,"&gt;=0.5"),"")</f>
        <v>6</v>
      </c>
      <c r="O167" s="24" t="str">
        <f aca="false">IF(K167&gt;=0.5,COUNTIF(K$121:K167,"&gt;=0.5"),"")</f>
        <v/>
      </c>
      <c r="P167" s="24" t="str">
        <f aca="false">IF(L167&gt;=0.5,COUNTIF(L$121:L167,"&gt;=0.5"),"")</f>
        <v/>
      </c>
      <c r="Q167" s="24" t="n">
        <f aca="false">IF(M167&gt;=0.5,COUNTIF(M$121:M167,"&gt;=0.5"),"")</f>
        <v>5</v>
      </c>
    </row>
    <row r="168" customFormat="false" ht="15" hidden="false" customHeight="false" outlineLevel="0" collapsed="false">
      <c r="A168" s="4" t="n">
        <v>48</v>
      </c>
      <c r="B168" s="85" t="str">
        <f aca="false">BA$13</f>
        <v>Blueberries (frozen)</v>
      </c>
      <c r="C168" s="86" t="n">
        <v>0</v>
      </c>
      <c r="D168" s="78" t="n">
        <f aca="false">INDEX($F$15:$BX$15,1,A168)</f>
        <v>1.55</v>
      </c>
      <c r="E168" s="78" t="n">
        <f aca="false">INDEX($F$16:$BX$16,1,A168)</f>
        <v>0</v>
      </c>
      <c r="F168" s="24" t="n">
        <f aca="false">C168*100</f>
        <v>0</v>
      </c>
      <c r="G168" s="23" t="n">
        <f aca="false">F168/'Food Data'!R53</f>
        <v>0</v>
      </c>
      <c r="H168" s="34" t="n">
        <f aca="false">C168*INDEX($F$14:$BX$14,1,A168)</f>
        <v>0</v>
      </c>
      <c r="I168" s="81" t="str">
        <f aca="false">IF(AND(D168&gt;0,C168&gt;=D168-0.00001),"at cap","")</f>
        <v/>
      </c>
      <c r="J168" s="24" t="n">
        <f aca="false">F168*INDEX($F$33:$BX$33,1,A168)</f>
        <v>0</v>
      </c>
      <c r="K168" s="24" t="n">
        <f aca="false">F168*INDEX($F$34:$BX$34,1,A168)</f>
        <v>0</v>
      </c>
      <c r="L168" s="24" t="n">
        <f aca="false">F168*INDEX($F$35:$BX$35,1,A168)</f>
        <v>0</v>
      </c>
      <c r="M168" s="24" t="n">
        <f aca="false">F168*INDEX($F$36:$BX$36,1,A168)</f>
        <v>0</v>
      </c>
      <c r="N168" s="24" t="str">
        <f aca="false">IF(J168&gt;=0.5,COUNTIF(J$121:J168,"&gt;=0.5"),"")</f>
        <v/>
      </c>
      <c r="O168" s="24" t="str">
        <f aca="false">IF(K168&gt;=0.5,COUNTIF(K$121:K168,"&gt;=0.5"),"")</f>
        <v/>
      </c>
      <c r="P168" s="24" t="str">
        <f aca="false">IF(L168&gt;=0.5,COUNTIF(L$121:L168,"&gt;=0.5"),"")</f>
        <v/>
      </c>
      <c r="Q168" s="24" t="str">
        <f aca="false">IF(M168&gt;=0.5,COUNTIF(M$121:M168,"&gt;=0.5"),"")</f>
        <v/>
      </c>
    </row>
    <row r="169" customFormat="false" ht="15" hidden="false" customHeight="false" outlineLevel="0" collapsed="false">
      <c r="A169" s="4" t="n">
        <v>49</v>
      </c>
      <c r="B169" s="85" t="str">
        <f aca="false">BB$13</f>
        <v>Grapes (red seedless)</v>
      </c>
      <c r="C169" s="86" t="n">
        <v>0</v>
      </c>
      <c r="D169" s="78" t="n">
        <f aca="false">INDEX($F$15:$BX$15,1,A169)</f>
        <v>1.8875</v>
      </c>
      <c r="E169" s="78" t="n">
        <f aca="false">INDEX($F$16:$BX$16,1,A169)</f>
        <v>0</v>
      </c>
      <c r="F169" s="24" t="n">
        <f aca="false">C169*100</f>
        <v>0</v>
      </c>
      <c r="G169" s="23" t="n">
        <f aca="false">F169/'Food Data'!R54</f>
        <v>0</v>
      </c>
      <c r="H169" s="34" t="n">
        <f aca="false">C169*INDEX($F$14:$BX$14,1,A169)</f>
        <v>0</v>
      </c>
      <c r="I169" s="81" t="str">
        <f aca="false">IF(AND(D169&gt;0,C169&gt;=D169-0.00001),"at cap","")</f>
        <v/>
      </c>
      <c r="J169" s="24" t="n">
        <f aca="false">F169*INDEX($F$33:$BX$33,1,A169)</f>
        <v>0</v>
      </c>
      <c r="K169" s="24" t="n">
        <f aca="false">F169*INDEX($F$34:$BX$34,1,A169)</f>
        <v>0</v>
      </c>
      <c r="L169" s="24" t="n">
        <f aca="false">F169*INDEX($F$35:$BX$35,1,A169)</f>
        <v>0</v>
      </c>
      <c r="M169" s="24" t="n">
        <f aca="false">F169*INDEX($F$36:$BX$36,1,A169)</f>
        <v>0</v>
      </c>
      <c r="N169" s="24" t="str">
        <f aca="false">IF(J169&gt;=0.5,COUNTIF(J$121:J169,"&gt;=0.5"),"")</f>
        <v/>
      </c>
      <c r="O169" s="24" t="str">
        <f aca="false">IF(K169&gt;=0.5,COUNTIF(K$121:K169,"&gt;=0.5"),"")</f>
        <v/>
      </c>
      <c r="P169" s="24" t="str">
        <f aca="false">IF(L169&gt;=0.5,COUNTIF(L$121:L169,"&gt;=0.5"),"")</f>
        <v/>
      </c>
      <c r="Q169" s="24" t="str">
        <f aca="false">IF(M169&gt;=0.5,COUNTIF(M$121:M169,"&gt;=0.5"),"")</f>
        <v/>
      </c>
    </row>
    <row r="170" customFormat="false" ht="15" hidden="false" customHeight="false" outlineLevel="0" collapsed="false">
      <c r="A170" s="4" t="n">
        <v>50</v>
      </c>
      <c r="B170" s="85" t="str">
        <f aca="false">BC$13</f>
        <v>Orange juice (100%)</v>
      </c>
      <c r="C170" s="86" t="n">
        <v>0.018817917</v>
      </c>
      <c r="D170" s="78" t="n">
        <f aca="false">INDEX($F$15:$BX$15,1,A170)</f>
        <v>2.49</v>
      </c>
      <c r="E170" s="78" t="n">
        <f aca="false">INDEX($F$16:$BX$16,1,A170)</f>
        <v>0</v>
      </c>
      <c r="F170" s="24" t="n">
        <f aca="false">C170*100</f>
        <v>1.8817917</v>
      </c>
      <c r="G170" s="23" t="n">
        <f aca="false">F170/'Food Data'!R55</f>
        <v>0.00755739638554217</v>
      </c>
      <c r="H170" s="34" t="n">
        <f aca="false">C170*INDEX($F$14:$BX$14,1,A170)</f>
        <v>0.00517325664420864</v>
      </c>
      <c r="I170" s="81" t="str">
        <f aca="false">IF(AND(D170&gt;0,C170&gt;=D170-0.00001),"at cap","")</f>
        <v/>
      </c>
      <c r="J170" s="24" t="n">
        <f aca="false">F170*INDEX($F$33:$BX$33,1,A170)</f>
        <v>1.8817917</v>
      </c>
      <c r="K170" s="24" t="n">
        <f aca="false">F170*INDEX($F$34:$BX$34,1,A170)</f>
        <v>0</v>
      </c>
      <c r="L170" s="24" t="n">
        <f aca="false">F170*INDEX($F$35:$BX$35,1,A170)</f>
        <v>0</v>
      </c>
      <c r="M170" s="24" t="n">
        <f aca="false">F170*INDEX($F$36:$BX$36,1,A170)</f>
        <v>0</v>
      </c>
      <c r="N170" s="24" t="n">
        <f aca="false">IF(J170&gt;=0.5,COUNTIF(J$121:J170,"&gt;=0.5"),"")</f>
        <v>7</v>
      </c>
      <c r="O170" s="24" t="str">
        <f aca="false">IF(K170&gt;=0.5,COUNTIF(K$121:K170,"&gt;=0.5"),"")</f>
        <v/>
      </c>
      <c r="P170" s="24" t="str">
        <f aca="false">IF(L170&gt;=0.5,COUNTIF(L$121:L170,"&gt;=0.5"),"")</f>
        <v/>
      </c>
      <c r="Q170" s="24" t="str">
        <f aca="false">IF(M170&gt;=0.5,COUNTIF(M$121:M170,"&gt;=0.5"),"")</f>
        <v/>
      </c>
    </row>
    <row r="171" customFormat="false" ht="15" hidden="false" customHeight="false" outlineLevel="0" collapsed="false">
      <c r="A171" s="4" t="n">
        <v>51</v>
      </c>
      <c r="B171" s="85" t="str">
        <f aca="false">BD$13</f>
        <v>Oranges (navel)</v>
      </c>
      <c r="C171" s="86" t="n">
        <v>0</v>
      </c>
      <c r="D171" s="78" t="n">
        <f aca="false">INDEX($F$15:$BX$15,1,A171)</f>
        <v>1.75</v>
      </c>
      <c r="E171" s="78" t="n">
        <f aca="false">INDEX($F$16:$BX$16,1,A171)</f>
        <v>0</v>
      </c>
      <c r="F171" s="24" t="n">
        <f aca="false">C171*100</f>
        <v>0</v>
      </c>
      <c r="G171" s="23" t="n">
        <f aca="false">F171/'Food Data'!R56</f>
        <v>0</v>
      </c>
      <c r="H171" s="34" t="n">
        <f aca="false">C171*INDEX($F$14:$BX$14,1,A171)</f>
        <v>0</v>
      </c>
      <c r="I171" s="81" t="str">
        <f aca="false">IF(AND(D171&gt;0,C171&gt;=D171-0.00001),"at cap","")</f>
        <v/>
      </c>
      <c r="J171" s="24" t="n">
        <f aca="false">F171*INDEX($F$33:$BX$33,1,A171)</f>
        <v>0</v>
      </c>
      <c r="K171" s="24" t="n">
        <f aca="false">F171*INDEX($F$34:$BX$34,1,A171)</f>
        <v>0</v>
      </c>
      <c r="L171" s="24" t="n">
        <f aca="false">F171*INDEX($F$35:$BX$35,1,A171)</f>
        <v>0</v>
      </c>
      <c r="M171" s="24" t="n">
        <f aca="false">F171*INDEX($F$36:$BX$36,1,A171)</f>
        <v>0</v>
      </c>
      <c r="N171" s="24" t="str">
        <f aca="false">IF(J171&gt;=0.5,COUNTIF(J$121:J171,"&gt;=0.5"),"")</f>
        <v/>
      </c>
      <c r="O171" s="24" t="str">
        <f aca="false">IF(K171&gt;=0.5,COUNTIF(K$121:K171,"&gt;=0.5"),"")</f>
        <v/>
      </c>
      <c r="P171" s="24" t="str">
        <f aca="false">IF(L171&gt;=0.5,COUNTIF(L$121:L171,"&gt;=0.5"),"")</f>
        <v/>
      </c>
      <c r="Q171" s="24" t="str">
        <f aca="false">IF(M171&gt;=0.5,COUNTIF(M$121:M171,"&gt;=0.5"),"")</f>
        <v/>
      </c>
    </row>
    <row r="172" customFormat="false" ht="15" hidden="false" customHeight="false" outlineLevel="0" collapsed="false">
      <c r="A172" s="4" t="n">
        <v>52</v>
      </c>
      <c r="B172" s="85" t="str">
        <f aca="false">BE$13</f>
        <v>Raisins</v>
      </c>
      <c r="C172" s="86" t="n">
        <v>0</v>
      </c>
      <c r="D172" s="78" t="n">
        <f aca="false">INDEX($F$15:$BX$15,1,A172)</f>
        <v>0.41</v>
      </c>
      <c r="E172" s="78" t="n">
        <f aca="false">INDEX($F$16:$BX$16,1,A172)</f>
        <v>0</v>
      </c>
      <c r="F172" s="24" t="n">
        <f aca="false">C172*100</f>
        <v>0</v>
      </c>
      <c r="G172" s="23" t="n">
        <f aca="false">F172/'Food Data'!R57</f>
        <v>0</v>
      </c>
      <c r="H172" s="34" t="n">
        <f aca="false">C172*INDEX($F$14:$BX$14,1,A172)</f>
        <v>0</v>
      </c>
      <c r="I172" s="81" t="str">
        <f aca="false">IF(AND(D172&gt;0,C172&gt;=D172-0.00001),"at cap","")</f>
        <v/>
      </c>
      <c r="J172" s="24" t="n">
        <f aca="false">F172*INDEX($F$33:$BX$33,1,A172)</f>
        <v>0</v>
      </c>
      <c r="K172" s="24" t="n">
        <f aca="false">F172*INDEX($F$34:$BX$34,1,A172)</f>
        <v>0</v>
      </c>
      <c r="L172" s="24" t="n">
        <f aca="false">F172*INDEX($F$35:$BX$35,1,A172)</f>
        <v>0</v>
      </c>
      <c r="M172" s="24" t="n">
        <f aca="false">F172*INDEX($F$36:$BX$36,1,A172)</f>
        <v>0</v>
      </c>
      <c r="N172" s="24" t="str">
        <f aca="false">IF(J172&gt;=0.5,COUNTIF(J$121:J172,"&gt;=0.5"),"")</f>
        <v/>
      </c>
      <c r="O172" s="24" t="str">
        <f aca="false">IF(K172&gt;=0.5,COUNTIF(K$121:K172,"&gt;=0.5"),"")</f>
        <v/>
      </c>
      <c r="P172" s="24" t="str">
        <f aca="false">IF(L172&gt;=0.5,COUNTIF(L$121:L172,"&gt;=0.5"),"")</f>
        <v/>
      </c>
      <c r="Q172" s="24" t="str">
        <f aca="false">IF(M172&gt;=0.5,COUNTIF(M$121:M172,"&gt;=0.5"),"")</f>
        <v/>
      </c>
    </row>
    <row r="173" customFormat="false" ht="15" hidden="false" customHeight="false" outlineLevel="0" collapsed="false">
      <c r="A173" s="4" t="n">
        <v>53</v>
      </c>
      <c r="B173" s="85" t="str">
        <f aca="false">BF$13</f>
        <v>Strawberries</v>
      </c>
      <c r="C173" s="86" t="n">
        <v>0</v>
      </c>
      <c r="D173" s="78" t="n">
        <f aca="false">INDEX($F$15:$BX$15,1,A173)</f>
        <v>1.9</v>
      </c>
      <c r="E173" s="78" t="n">
        <f aca="false">INDEX($F$16:$BX$16,1,A173)</f>
        <v>0</v>
      </c>
      <c r="F173" s="24" t="n">
        <f aca="false">C173*100</f>
        <v>0</v>
      </c>
      <c r="G173" s="23" t="n">
        <f aca="false">F173/'Food Data'!R58</f>
        <v>0</v>
      </c>
      <c r="H173" s="34" t="n">
        <f aca="false">C173*INDEX($F$14:$BX$14,1,A173)</f>
        <v>0</v>
      </c>
      <c r="I173" s="81" t="str">
        <f aca="false">IF(AND(D173&gt;0,C173&gt;=D173-0.00001),"at cap","")</f>
        <v/>
      </c>
      <c r="J173" s="24" t="n">
        <f aca="false">F173*INDEX($F$33:$BX$33,1,A173)</f>
        <v>0</v>
      </c>
      <c r="K173" s="24" t="n">
        <f aca="false">F173*INDEX($F$34:$BX$34,1,A173)</f>
        <v>0</v>
      </c>
      <c r="L173" s="24" t="n">
        <f aca="false">F173*INDEX($F$35:$BX$35,1,A173)</f>
        <v>0</v>
      </c>
      <c r="M173" s="24" t="n">
        <f aca="false">F173*INDEX($F$36:$BX$36,1,A173)</f>
        <v>0</v>
      </c>
      <c r="N173" s="24" t="str">
        <f aca="false">IF(J173&gt;=0.5,COUNTIF(J$121:J173,"&gt;=0.5"),"")</f>
        <v/>
      </c>
      <c r="O173" s="24" t="str">
        <f aca="false">IF(K173&gt;=0.5,COUNTIF(K$121:K173,"&gt;=0.5"),"")</f>
        <v/>
      </c>
      <c r="P173" s="24" t="str">
        <f aca="false">IF(L173&gt;=0.5,COUNTIF(L$121:L173,"&gt;=0.5"),"")</f>
        <v/>
      </c>
      <c r="Q173" s="24" t="str">
        <f aca="false">IF(M173&gt;=0.5,COUNTIF(M$121:M173,"&gt;=0.5"),"")</f>
        <v/>
      </c>
    </row>
    <row r="174" customFormat="false" ht="15" hidden="false" customHeight="false" outlineLevel="0" collapsed="false">
      <c r="A174" s="4" t="n">
        <v>54</v>
      </c>
      <c r="B174" s="85" t="str">
        <f aca="false">BG$13</f>
        <v>Broccoli, cooked (from frozen)</v>
      </c>
      <c r="C174" s="86" t="n">
        <v>0</v>
      </c>
      <c r="D174" s="78" t="n">
        <f aca="false">INDEX($F$15:$BX$15,1,A174)</f>
        <v>1.84</v>
      </c>
      <c r="E174" s="78" t="n">
        <f aca="false">INDEX($F$16:$BX$16,1,A174)</f>
        <v>0</v>
      </c>
      <c r="F174" s="24" t="n">
        <f aca="false">C174*100</f>
        <v>0</v>
      </c>
      <c r="G174" s="23" t="n">
        <f aca="false">F174/'Food Data'!R59</f>
        <v>0</v>
      </c>
      <c r="H174" s="34" t="n">
        <f aca="false">C174*INDEX($F$14:$BX$14,1,A174)</f>
        <v>0</v>
      </c>
      <c r="I174" s="81" t="str">
        <f aca="false">IF(AND(D174&gt;0,C174&gt;=D174-0.00001),"at cap","")</f>
        <v/>
      </c>
      <c r="J174" s="24" t="n">
        <f aca="false">F174*INDEX($F$33:$BX$33,1,A174)</f>
        <v>0</v>
      </c>
      <c r="K174" s="24" t="n">
        <f aca="false">F174*INDEX($F$34:$BX$34,1,A174)</f>
        <v>0</v>
      </c>
      <c r="L174" s="24" t="n">
        <f aca="false">F174*INDEX($F$35:$BX$35,1,A174)</f>
        <v>0</v>
      </c>
      <c r="M174" s="24" t="n">
        <f aca="false">F174*INDEX($F$36:$BX$36,1,A174)</f>
        <v>0</v>
      </c>
      <c r="N174" s="24" t="str">
        <f aca="false">IF(J174&gt;=0.5,COUNTIF(J$121:J174,"&gt;=0.5"),"")</f>
        <v/>
      </c>
      <c r="O174" s="24" t="str">
        <f aca="false">IF(K174&gt;=0.5,COUNTIF(K$121:K174,"&gt;=0.5"),"")</f>
        <v/>
      </c>
      <c r="P174" s="24" t="str">
        <f aca="false">IF(L174&gt;=0.5,COUNTIF(L$121:L174,"&gt;=0.5"),"")</f>
        <v/>
      </c>
      <c r="Q174" s="24" t="str">
        <f aca="false">IF(M174&gt;=0.5,COUNTIF(M$121:M174,"&gt;=0.5"),"")</f>
        <v/>
      </c>
    </row>
    <row r="175" customFormat="false" ht="15" hidden="false" customHeight="false" outlineLevel="0" collapsed="false">
      <c r="A175" s="4" t="n">
        <v>55</v>
      </c>
      <c r="B175" s="85" t="str">
        <f aca="false">BH$13</f>
        <v>Carrots</v>
      </c>
      <c r="C175" s="86" t="n">
        <v>2.56</v>
      </c>
      <c r="D175" s="78" t="n">
        <f aca="false">INDEX($F$15:$BX$15,1,A175)</f>
        <v>2.56</v>
      </c>
      <c r="E175" s="78" t="n">
        <f aca="false">INDEX($F$16:$BX$16,1,A175)</f>
        <v>0</v>
      </c>
      <c r="F175" s="24" t="n">
        <f aca="false">C175*100</f>
        <v>256</v>
      </c>
      <c r="G175" s="23" t="n">
        <f aca="false">F175/'Food Data'!R60</f>
        <v>2</v>
      </c>
      <c r="H175" s="34" t="n">
        <f aca="false">C175*INDEX($F$14:$BX$14,1,A175)</f>
        <v>0.942848173283813</v>
      </c>
      <c r="I175" s="81" t="str">
        <f aca="false">IF(AND(D175&gt;0,C175&gt;=D175-0.00001),"at cap","")</f>
        <v>at cap</v>
      </c>
      <c r="J175" s="24" t="n">
        <f aca="false">F175*INDEX($F$33:$BX$33,1,A175)</f>
        <v>0</v>
      </c>
      <c r="K175" s="24" t="n">
        <f aca="false">F175*INDEX($F$34:$BX$34,1,A175)</f>
        <v>128</v>
      </c>
      <c r="L175" s="24" t="n">
        <f aca="false">F175*INDEX($F$35:$BX$35,1,A175)</f>
        <v>0</v>
      </c>
      <c r="M175" s="24" t="n">
        <f aca="false">F175*INDEX($F$36:$BX$36,1,A175)</f>
        <v>128</v>
      </c>
      <c r="N175" s="24" t="str">
        <f aca="false">IF(J175&gt;=0.5,COUNTIF(J$121:J175,"&gt;=0.5"),"")</f>
        <v/>
      </c>
      <c r="O175" s="24" t="n">
        <f aca="false">IF(K175&gt;=0.5,COUNTIF(K$121:K175,"&gt;=0.5"),"")</f>
        <v>10</v>
      </c>
      <c r="P175" s="24" t="str">
        <f aca="false">IF(L175&gt;=0.5,COUNTIF(L$121:L175,"&gt;=0.5"),"")</f>
        <v/>
      </c>
      <c r="Q175" s="24" t="n">
        <f aca="false">IF(M175&gt;=0.5,COUNTIF(M$121:M175,"&gt;=0.5"),"")</f>
        <v>6</v>
      </c>
    </row>
    <row r="176" customFormat="false" ht="15" hidden="false" customHeight="false" outlineLevel="0" collapsed="false">
      <c r="A176" s="4" t="n">
        <v>56</v>
      </c>
      <c r="B176" s="85" t="str">
        <f aca="false">BI$13</f>
        <v>Green beans (canned, drained)</v>
      </c>
      <c r="C176" s="86" t="n">
        <v>1.0125</v>
      </c>
      <c r="D176" s="78" t="n">
        <f aca="false">INDEX($F$15:$BX$15,1,A176)</f>
        <v>2.7</v>
      </c>
      <c r="E176" s="78" t="n">
        <f aca="false">INDEX($F$16:$BX$16,1,A176)</f>
        <v>0</v>
      </c>
      <c r="F176" s="24" t="n">
        <f aca="false">C176*100</f>
        <v>101.25</v>
      </c>
      <c r="G176" s="23" t="n">
        <f aca="false">F176/'Food Data'!R61</f>
        <v>0.75</v>
      </c>
      <c r="H176" s="34" t="n">
        <f aca="false">C176*INDEX($F$14:$BX$14,1,A176)</f>
        <v>0.370046236713832</v>
      </c>
      <c r="I176" s="81" t="str">
        <f aca="false">IF(AND(D176&gt;0,C176&gt;=D176-0.00001),"at cap","")</f>
        <v/>
      </c>
      <c r="J176" s="24" t="n">
        <f aca="false">F176*INDEX($F$33:$BX$33,1,A176)</f>
        <v>0</v>
      </c>
      <c r="K176" s="24" t="n">
        <f aca="false">F176*INDEX($F$34:$BX$34,1,A176)</f>
        <v>50.625</v>
      </c>
      <c r="L176" s="24" t="n">
        <f aca="false">F176*INDEX($F$35:$BX$35,1,A176)</f>
        <v>50.625</v>
      </c>
      <c r="M176" s="24" t="n">
        <f aca="false">F176*INDEX($F$36:$BX$36,1,A176)</f>
        <v>0</v>
      </c>
      <c r="N176" s="24" t="str">
        <f aca="false">IF(J176&gt;=0.5,COUNTIF(J$121:J176,"&gt;=0.5"),"")</f>
        <v/>
      </c>
      <c r="O176" s="24" t="n">
        <f aca="false">IF(K176&gt;=0.5,COUNTIF(K$121:K176,"&gt;=0.5"),"")</f>
        <v>11</v>
      </c>
      <c r="P176" s="24" t="n">
        <f aca="false">IF(L176&gt;=0.5,COUNTIF(L$121:L176,"&gt;=0.5"),"")</f>
        <v>7</v>
      </c>
      <c r="Q176" s="24" t="str">
        <f aca="false">IF(M176&gt;=0.5,COUNTIF(M$121:M176,"&gt;=0.5"),"")</f>
        <v/>
      </c>
    </row>
    <row r="177" customFormat="false" ht="15" hidden="false" customHeight="false" outlineLevel="0" collapsed="false">
      <c r="A177" s="4" t="n">
        <v>57</v>
      </c>
      <c r="B177" s="85" t="str">
        <f aca="false">BJ$13</f>
        <v>Green bell pepper</v>
      </c>
      <c r="C177" s="86" t="n">
        <v>0</v>
      </c>
      <c r="D177" s="78" t="n">
        <f aca="false">INDEX($F$15:$BX$15,1,A177)</f>
        <v>1.49</v>
      </c>
      <c r="E177" s="78" t="n">
        <f aca="false">INDEX($F$16:$BX$16,1,A177)</f>
        <v>0</v>
      </c>
      <c r="F177" s="24" t="n">
        <f aca="false">C177*100</f>
        <v>0</v>
      </c>
      <c r="G177" s="23" t="n">
        <f aca="false">F177/'Food Data'!R62</f>
        <v>0</v>
      </c>
      <c r="H177" s="34" t="n">
        <f aca="false">C177*INDEX($F$14:$BX$14,1,A177)</f>
        <v>0</v>
      </c>
      <c r="I177" s="81" t="str">
        <f aca="false">IF(AND(D177&gt;0,C177&gt;=D177-0.00001),"at cap","")</f>
        <v/>
      </c>
      <c r="J177" s="24" t="n">
        <f aca="false">F177*INDEX($F$33:$BX$33,1,A177)</f>
        <v>0</v>
      </c>
      <c r="K177" s="24" t="n">
        <f aca="false">F177*INDEX($F$34:$BX$34,1,A177)</f>
        <v>0</v>
      </c>
      <c r="L177" s="24" t="n">
        <f aca="false">F177*INDEX($F$35:$BX$35,1,A177)</f>
        <v>0</v>
      </c>
      <c r="M177" s="24" t="n">
        <f aca="false">F177*INDEX($F$36:$BX$36,1,A177)</f>
        <v>0</v>
      </c>
      <c r="N177" s="24" t="str">
        <f aca="false">IF(J177&gt;=0.5,COUNTIF(J$121:J177,"&gt;=0.5"),"")</f>
        <v/>
      </c>
      <c r="O177" s="24" t="str">
        <f aca="false">IF(K177&gt;=0.5,COUNTIF(K$121:K177,"&gt;=0.5"),"")</f>
        <v/>
      </c>
      <c r="P177" s="24" t="str">
        <f aca="false">IF(L177&gt;=0.5,COUNTIF(L$121:L177,"&gt;=0.5"),"")</f>
        <v/>
      </c>
      <c r="Q177" s="24" t="str">
        <f aca="false">IF(M177&gt;=0.5,COUNTIF(M$121:M177,"&gt;=0.5"),"")</f>
        <v/>
      </c>
    </row>
    <row r="178" customFormat="false" ht="15" hidden="false" customHeight="false" outlineLevel="0" collapsed="false">
      <c r="A178" s="4" t="n">
        <v>58</v>
      </c>
      <c r="B178" s="85" t="str">
        <f aca="false">BK$13</f>
        <v>Mixed vegetables, cooked (from frozen)</v>
      </c>
      <c r="C178" s="86" t="n">
        <v>0</v>
      </c>
      <c r="D178" s="78" t="n">
        <f aca="false">INDEX($F$15:$BX$15,1,A178)</f>
        <v>2.73</v>
      </c>
      <c r="E178" s="78" t="n">
        <f aca="false">INDEX($F$16:$BX$16,1,A178)</f>
        <v>0</v>
      </c>
      <c r="F178" s="24" t="n">
        <f aca="false">C178*100</f>
        <v>0</v>
      </c>
      <c r="G178" s="23" t="n">
        <f aca="false">F178/'Food Data'!R63</f>
        <v>0</v>
      </c>
      <c r="H178" s="34" t="n">
        <f aca="false">C178*INDEX($F$14:$BX$14,1,A178)</f>
        <v>0</v>
      </c>
      <c r="I178" s="81" t="str">
        <f aca="false">IF(AND(D178&gt;0,C178&gt;=D178-0.00001),"at cap","")</f>
        <v/>
      </c>
      <c r="J178" s="24" t="n">
        <f aca="false">F178*INDEX($F$33:$BX$33,1,A178)</f>
        <v>0</v>
      </c>
      <c r="K178" s="24" t="n">
        <f aca="false">F178*INDEX($F$34:$BX$34,1,A178)</f>
        <v>0</v>
      </c>
      <c r="L178" s="24" t="n">
        <f aca="false">F178*INDEX($F$35:$BX$35,1,A178)</f>
        <v>0</v>
      </c>
      <c r="M178" s="24" t="n">
        <f aca="false">F178*INDEX($F$36:$BX$36,1,A178)</f>
        <v>0</v>
      </c>
      <c r="N178" s="24" t="str">
        <f aca="false">IF(J178&gt;=0.5,COUNTIF(J$121:J178,"&gt;=0.5"),"")</f>
        <v/>
      </c>
      <c r="O178" s="24" t="str">
        <f aca="false">IF(K178&gt;=0.5,COUNTIF(K$121:K178,"&gt;=0.5"),"")</f>
        <v/>
      </c>
      <c r="P178" s="24" t="str">
        <f aca="false">IF(L178&gt;=0.5,COUNTIF(L$121:L178,"&gt;=0.5"),"")</f>
        <v/>
      </c>
      <c r="Q178" s="24" t="str">
        <f aca="false">IF(M178&gt;=0.5,COUNTIF(M$121:M178,"&gt;=0.5"),"")</f>
        <v/>
      </c>
    </row>
    <row r="179" customFormat="false" ht="15" hidden="false" customHeight="false" outlineLevel="0" collapsed="false">
      <c r="A179" s="4" t="n">
        <v>59</v>
      </c>
      <c r="B179" s="85" t="str">
        <f aca="false">BL$13</f>
        <v>Onions (yellow)</v>
      </c>
      <c r="C179" s="86" t="n">
        <v>0</v>
      </c>
      <c r="D179" s="78" t="n">
        <f aca="false">INDEX($F$15:$BX$15,1,A179)</f>
        <v>1.6</v>
      </c>
      <c r="E179" s="78" t="n">
        <f aca="false">INDEX($F$16:$BX$16,1,A179)</f>
        <v>0</v>
      </c>
      <c r="F179" s="24" t="n">
        <f aca="false">C179*100</f>
        <v>0</v>
      </c>
      <c r="G179" s="23" t="n">
        <f aca="false">F179/'Food Data'!R64</f>
        <v>0</v>
      </c>
      <c r="H179" s="34" t="n">
        <f aca="false">C179*INDEX($F$14:$BX$14,1,A179)</f>
        <v>0</v>
      </c>
      <c r="I179" s="81" t="str">
        <f aca="false">IF(AND(D179&gt;0,C179&gt;=D179-0.00001),"at cap","")</f>
        <v/>
      </c>
      <c r="J179" s="24" t="n">
        <f aca="false">F179*INDEX($F$33:$BX$33,1,A179)</f>
        <v>0</v>
      </c>
      <c r="K179" s="24" t="n">
        <f aca="false">F179*INDEX($F$34:$BX$34,1,A179)</f>
        <v>0</v>
      </c>
      <c r="L179" s="24" t="n">
        <f aca="false">F179*INDEX($F$35:$BX$35,1,A179)</f>
        <v>0</v>
      </c>
      <c r="M179" s="24" t="n">
        <f aca="false">F179*INDEX($F$36:$BX$36,1,A179)</f>
        <v>0</v>
      </c>
      <c r="N179" s="24" t="str">
        <f aca="false">IF(J179&gt;=0.5,COUNTIF(J$121:J179,"&gt;=0.5"),"")</f>
        <v/>
      </c>
      <c r="O179" s="24" t="str">
        <f aca="false">IF(K179&gt;=0.5,COUNTIF(K$121:K179,"&gt;=0.5"),"")</f>
        <v/>
      </c>
      <c r="P179" s="24" t="str">
        <f aca="false">IF(L179&gt;=0.5,COUNTIF(L$121:L179,"&gt;=0.5"),"")</f>
        <v/>
      </c>
      <c r="Q179" s="24" t="str">
        <f aca="false">IF(M179&gt;=0.5,COUNTIF(M$121:M179,"&gt;=0.5"),"")</f>
        <v/>
      </c>
    </row>
    <row r="180" customFormat="false" ht="15" hidden="false" customHeight="false" outlineLevel="0" collapsed="false">
      <c r="A180" s="4" t="n">
        <v>60</v>
      </c>
      <c r="B180" s="85" t="str">
        <f aca="false">BM$13</f>
        <v>Romaine lettuce</v>
      </c>
      <c r="C180" s="86" t="n">
        <v>0</v>
      </c>
      <c r="D180" s="78" t="n">
        <f aca="false">INDEX($F$15:$BX$15,1,A180)</f>
        <v>1.88</v>
      </c>
      <c r="E180" s="78" t="n">
        <f aca="false">INDEX($F$16:$BX$16,1,A180)</f>
        <v>0</v>
      </c>
      <c r="F180" s="24" t="n">
        <f aca="false">C180*100</f>
        <v>0</v>
      </c>
      <c r="G180" s="23" t="n">
        <f aca="false">F180/'Food Data'!R65</f>
        <v>0</v>
      </c>
      <c r="H180" s="34" t="n">
        <f aca="false">C180*INDEX($F$14:$BX$14,1,A180)</f>
        <v>0</v>
      </c>
      <c r="I180" s="81" t="str">
        <f aca="false">IF(AND(D180&gt;0,C180&gt;=D180-0.00001),"at cap","")</f>
        <v/>
      </c>
      <c r="J180" s="24" t="n">
        <f aca="false">F180*INDEX($F$33:$BX$33,1,A180)</f>
        <v>0</v>
      </c>
      <c r="K180" s="24" t="n">
        <f aca="false">F180*INDEX($F$34:$BX$34,1,A180)</f>
        <v>0</v>
      </c>
      <c r="L180" s="24" t="n">
        <f aca="false">F180*INDEX($F$35:$BX$35,1,A180)</f>
        <v>0</v>
      </c>
      <c r="M180" s="24" t="n">
        <f aca="false">F180*INDEX($F$36:$BX$36,1,A180)</f>
        <v>0</v>
      </c>
      <c r="N180" s="24" t="str">
        <f aca="false">IF(J180&gt;=0.5,COUNTIF(J$121:J180,"&gt;=0.5"),"")</f>
        <v/>
      </c>
      <c r="O180" s="24" t="str">
        <f aca="false">IF(K180&gt;=0.5,COUNTIF(K$121:K180,"&gt;=0.5"),"")</f>
        <v/>
      </c>
      <c r="P180" s="24" t="str">
        <f aca="false">IF(L180&gt;=0.5,COUNTIF(L$121:L180,"&gt;=0.5"),"")</f>
        <v/>
      </c>
      <c r="Q180" s="24" t="str">
        <f aca="false">IF(M180&gt;=0.5,COUNTIF(M$121:M180,"&gt;=0.5"),"")</f>
        <v/>
      </c>
    </row>
    <row r="181" customFormat="false" ht="15" hidden="false" customHeight="false" outlineLevel="0" collapsed="false">
      <c r="A181" s="4" t="n">
        <v>61</v>
      </c>
      <c r="B181" s="85" t="str">
        <f aca="false">BN$13</f>
        <v>Spinach (fresh)</v>
      </c>
      <c r="C181" s="86" t="n">
        <v>0</v>
      </c>
      <c r="D181" s="78" t="n">
        <f aca="false">INDEX($F$15:$BX$15,1,A181)</f>
        <v>1.425</v>
      </c>
      <c r="E181" s="78" t="n">
        <f aca="false">INDEX($F$16:$BX$16,1,A181)</f>
        <v>0</v>
      </c>
      <c r="F181" s="24" t="n">
        <f aca="false">C181*100</f>
        <v>0</v>
      </c>
      <c r="G181" s="23" t="n">
        <f aca="false">F181/'Food Data'!R66</f>
        <v>0</v>
      </c>
      <c r="H181" s="34" t="n">
        <f aca="false">C181*INDEX($F$14:$BX$14,1,A181)</f>
        <v>0</v>
      </c>
      <c r="I181" s="81" t="str">
        <f aca="false">IF(AND(D181&gt;0,C181&gt;=D181-0.00001),"at cap","")</f>
        <v/>
      </c>
      <c r="J181" s="24" t="n">
        <f aca="false">F181*INDEX($F$33:$BX$33,1,A181)</f>
        <v>0</v>
      </c>
      <c r="K181" s="24" t="n">
        <f aca="false">F181*INDEX($F$34:$BX$34,1,A181)</f>
        <v>0</v>
      </c>
      <c r="L181" s="24" t="n">
        <f aca="false">F181*INDEX($F$35:$BX$35,1,A181)</f>
        <v>0</v>
      </c>
      <c r="M181" s="24" t="n">
        <f aca="false">F181*INDEX($F$36:$BX$36,1,A181)</f>
        <v>0</v>
      </c>
      <c r="N181" s="24" t="str">
        <f aca="false">IF(J181&gt;=0.5,COUNTIF(J$121:J181,"&gt;=0.5"),"")</f>
        <v/>
      </c>
      <c r="O181" s="24" t="str">
        <f aca="false">IF(K181&gt;=0.5,COUNTIF(K$121:K181,"&gt;=0.5"),"")</f>
        <v/>
      </c>
      <c r="P181" s="24" t="str">
        <f aca="false">IF(L181&gt;=0.5,COUNTIF(L$121:L181,"&gt;=0.5"),"")</f>
        <v/>
      </c>
      <c r="Q181" s="24" t="str">
        <f aca="false">IF(M181&gt;=0.5,COUNTIF(M$121:M181,"&gt;=0.5"),"")</f>
        <v/>
      </c>
    </row>
    <row r="182" customFormat="false" ht="15" hidden="false" customHeight="false" outlineLevel="0" collapsed="false">
      <c r="A182" s="4" t="n">
        <v>62</v>
      </c>
      <c r="B182" s="85" t="str">
        <f aca="false">BO$13</f>
        <v>Tomatoes (roma)</v>
      </c>
      <c r="C182" s="86" t="n">
        <v>3.6</v>
      </c>
      <c r="D182" s="78" t="n">
        <f aca="false">INDEX($F$15:$BX$15,1,A182)</f>
        <v>3.6</v>
      </c>
      <c r="E182" s="78" t="n">
        <f aca="false">INDEX($F$16:$BX$16,1,A182)</f>
        <v>0</v>
      </c>
      <c r="F182" s="24" t="n">
        <f aca="false">C182*100</f>
        <v>360</v>
      </c>
      <c r="G182" s="23" t="n">
        <f aca="false">F182/'Food Data'!R67</f>
        <v>2</v>
      </c>
      <c r="H182" s="34" t="n">
        <f aca="false">C182*INDEX($F$14:$BX$14,1,A182)</f>
        <v>0.975423907754735</v>
      </c>
      <c r="I182" s="81" t="str">
        <f aca="false">IF(AND(D182&gt;0,C182&gt;=D182-0.00001),"at cap","")</f>
        <v>at cap</v>
      </c>
      <c r="J182" s="24" t="n">
        <f aca="false">F182*INDEX($F$33:$BX$33,1,A182)</f>
        <v>0</v>
      </c>
      <c r="K182" s="24" t="n">
        <f aca="false">F182*INDEX($F$34:$BX$34,1,A182)</f>
        <v>180</v>
      </c>
      <c r="L182" s="24" t="n">
        <f aca="false">F182*INDEX($F$35:$BX$35,1,A182)</f>
        <v>180</v>
      </c>
      <c r="M182" s="24" t="n">
        <f aca="false">F182*INDEX($F$36:$BX$36,1,A182)</f>
        <v>0</v>
      </c>
      <c r="N182" s="24" t="str">
        <f aca="false">IF(J182&gt;=0.5,COUNTIF(J$121:J182,"&gt;=0.5"),"")</f>
        <v/>
      </c>
      <c r="O182" s="24" t="n">
        <f aca="false">IF(K182&gt;=0.5,COUNTIF(K$121:K182,"&gt;=0.5"),"")</f>
        <v>12</v>
      </c>
      <c r="P182" s="24" t="n">
        <f aca="false">IF(L182&gt;=0.5,COUNTIF(L$121:L182,"&gt;=0.5"),"")</f>
        <v>8</v>
      </c>
      <c r="Q182" s="24" t="str">
        <f aca="false">IF(M182&gt;=0.5,COUNTIF(M$121:M182,"&gt;=0.5"),"")</f>
        <v/>
      </c>
    </row>
    <row r="183" customFormat="false" ht="15" hidden="false" customHeight="false" outlineLevel="0" collapsed="false">
      <c r="A183" s="4" t="n">
        <v>63</v>
      </c>
      <c r="B183" s="85" t="str">
        <f aca="false">BP$13</f>
        <v>Butter (salted)</v>
      </c>
      <c r="C183" s="86" t="n">
        <v>0.165655</v>
      </c>
      <c r="D183" s="78" t="n">
        <f aca="false">INDEX($F$15:$BX$15,1,A183)</f>
        <v>0.165655</v>
      </c>
      <c r="E183" s="78" t="n">
        <f aca="false">INDEX($F$16:$BX$16,1,A183)</f>
        <v>0</v>
      </c>
      <c r="F183" s="24" t="n">
        <f aca="false">C183*100</f>
        <v>16.5655</v>
      </c>
      <c r="G183" s="23" t="n">
        <f aca="false">F183/'Food Data'!R68</f>
        <v>1.16658450704225</v>
      </c>
      <c r="H183" s="34" t="n">
        <f aca="false">C183*INDEX($F$14:$BX$14,1,A183)</f>
        <v>0.13112022162725</v>
      </c>
      <c r="I183" s="81" t="str">
        <f aca="false">IF(AND(D183&gt;0,C183&gt;=D183-0.00001),"at cap","")</f>
        <v>at cap</v>
      </c>
      <c r="J183" s="24" t="n">
        <f aca="false">F183*INDEX($F$33:$BX$33,1,A183)</f>
        <v>8.28275</v>
      </c>
      <c r="K183" s="24" t="n">
        <f aca="false">F183*INDEX($F$34:$BX$34,1,A183)</f>
        <v>0</v>
      </c>
      <c r="L183" s="24" t="n">
        <f aca="false">F183*INDEX($F$35:$BX$35,1,A183)</f>
        <v>8.28275</v>
      </c>
      <c r="M183" s="24" t="n">
        <f aca="false">F183*INDEX($F$36:$BX$36,1,A183)</f>
        <v>0</v>
      </c>
      <c r="N183" s="24" t="n">
        <f aca="false">IF(J183&gt;=0.5,COUNTIF(J$121:J183,"&gt;=0.5"),"")</f>
        <v>8</v>
      </c>
      <c r="O183" s="24" t="str">
        <f aca="false">IF(K183&gt;=0.5,COUNTIF(K$121:K183,"&gt;=0.5"),"")</f>
        <v/>
      </c>
      <c r="P183" s="24" t="n">
        <f aca="false">IF(L183&gt;=0.5,COUNTIF(L$121:L183,"&gt;=0.5"),"")</f>
        <v>9</v>
      </c>
      <c r="Q183" s="24" t="str">
        <f aca="false">IF(M183&gt;=0.5,COUNTIF(M$121:M183,"&gt;=0.5"),"")</f>
        <v/>
      </c>
    </row>
    <row r="184" customFormat="false" ht="15" hidden="false" customHeight="false" outlineLevel="0" collapsed="false">
      <c r="A184" s="4" t="n">
        <v>64</v>
      </c>
      <c r="B184" s="85" t="str">
        <f aca="false">BQ$13</f>
        <v>Canola oil</v>
      </c>
      <c r="C184" s="86" t="n">
        <v>0.163345</v>
      </c>
      <c r="D184" s="78" t="n">
        <f aca="false">INDEX($F$15:$BX$15,1,A184)</f>
        <v>0.163345</v>
      </c>
      <c r="E184" s="78" t="n">
        <f aca="false">INDEX($F$16:$BX$16,1,A184)</f>
        <v>0</v>
      </c>
      <c r="F184" s="24" t="n">
        <f aca="false">C184*100</f>
        <v>16.3345</v>
      </c>
      <c r="G184" s="23" t="n">
        <f aca="false">F184/'Food Data'!R69</f>
        <v>1.16675</v>
      </c>
      <c r="H184" s="34" t="n">
        <f aca="false">C184*INDEX($F$14:$BX$14,1,A184)</f>
        <v>0.0613875317784901</v>
      </c>
      <c r="I184" s="81" t="str">
        <f aca="false">IF(AND(D184&gt;0,C184&gt;=D184-0.00001),"at cap","")</f>
        <v>at cap</v>
      </c>
      <c r="J184" s="24" t="n">
        <f aca="false">F184*INDEX($F$33:$BX$33,1,A184)</f>
        <v>0</v>
      </c>
      <c r="K184" s="24" t="n">
        <f aca="false">F184*INDEX($F$34:$BX$34,1,A184)</f>
        <v>8.16725</v>
      </c>
      <c r="L184" s="24" t="n">
        <f aca="false">F184*INDEX($F$35:$BX$35,1,A184)</f>
        <v>8.16725</v>
      </c>
      <c r="M184" s="24" t="n">
        <f aca="false">F184*INDEX($F$36:$BX$36,1,A184)</f>
        <v>0</v>
      </c>
      <c r="N184" s="24" t="str">
        <f aca="false">IF(J184&gt;=0.5,COUNTIF(J$121:J184,"&gt;=0.5"),"")</f>
        <v/>
      </c>
      <c r="O184" s="24" t="n">
        <f aca="false">IF(K184&gt;=0.5,COUNTIF(K$121:K184,"&gt;=0.5"),"")</f>
        <v>13</v>
      </c>
      <c r="P184" s="24" t="n">
        <f aca="false">IF(L184&gt;=0.5,COUNTIF(L$121:L184,"&gt;=0.5"),"")</f>
        <v>10</v>
      </c>
      <c r="Q184" s="24" t="str">
        <f aca="false">IF(M184&gt;=0.5,COUNTIF(M$121:M184,"&gt;=0.5"),"")</f>
        <v/>
      </c>
    </row>
    <row r="185" customFormat="false" ht="15" hidden="false" customHeight="false" outlineLevel="0" collapsed="false">
      <c r="A185" s="4" t="n">
        <v>65</v>
      </c>
      <c r="B185" s="85" t="str">
        <f aca="false">BR$13</f>
        <v>Olive oil (extra virgin)</v>
      </c>
      <c r="C185" s="86" t="n">
        <v>0</v>
      </c>
      <c r="D185" s="78" t="n">
        <f aca="false">INDEX($F$15:$BX$15,1,A185)</f>
        <v>0.1575</v>
      </c>
      <c r="E185" s="78" t="n">
        <f aca="false">INDEX($F$16:$BX$16,1,A185)</f>
        <v>0</v>
      </c>
      <c r="F185" s="24" t="n">
        <f aca="false">C185*100</f>
        <v>0</v>
      </c>
      <c r="G185" s="23" t="n">
        <f aca="false">F185/'Food Data'!R70</f>
        <v>0</v>
      </c>
      <c r="H185" s="34" t="n">
        <f aca="false">C185*INDEX($F$14:$BX$14,1,A185)</f>
        <v>0</v>
      </c>
      <c r="I185" s="81" t="str">
        <f aca="false">IF(AND(D185&gt;0,C185&gt;=D185-0.00001),"at cap","")</f>
        <v/>
      </c>
      <c r="J185" s="24" t="n">
        <f aca="false">F185*INDEX($F$33:$BX$33,1,A185)</f>
        <v>0</v>
      </c>
      <c r="K185" s="24" t="n">
        <f aca="false">F185*INDEX($F$34:$BX$34,1,A185)</f>
        <v>0</v>
      </c>
      <c r="L185" s="24" t="n">
        <f aca="false">F185*INDEX($F$35:$BX$35,1,A185)</f>
        <v>0</v>
      </c>
      <c r="M185" s="24" t="n">
        <f aca="false">F185*INDEX($F$36:$BX$36,1,A185)</f>
        <v>0</v>
      </c>
      <c r="N185" s="24" t="str">
        <f aca="false">IF(J185&gt;=0.5,COUNTIF(J$121:J185,"&gt;=0.5"),"")</f>
        <v/>
      </c>
      <c r="O185" s="24" t="str">
        <f aca="false">IF(K185&gt;=0.5,COUNTIF(K$121:K185,"&gt;=0.5"),"")</f>
        <v/>
      </c>
      <c r="P185" s="24" t="str">
        <f aca="false">IF(L185&gt;=0.5,COUNTIF(L$121:L185,"&gt;=0.5"),"")</f>
        <v/>
      </c>
      <c r="Q185" s="24" t="str">
        <f aca="false">IF(M185&gt;=0.5,COUNTIF(M$121:M185,"&gt;=0.5"),"")</f>
        <v/>
      </c>
    </row>
    <row r="186" customFormat="false" ht="15" hidden="false" customHeight="false" outlineLevel="0" collapsed="false">
      <c r="A186" s="4" t="n">
        <v>66</v>
      </c>
      <c r="B186" s="85" t="str">
        <f aca="false">BS$13</f>
        <v>Almonds</v>
      </c>
      <c r="C186" s="86" t="n">
        <v>0</v>
      </c>
      <c r="D186" s="78" t="n">
        <f aca="false">INDEX($F$15:$BX$15,1,A186)</f>
        <v>0.56</v>
      </c>
      <c r="E186" s="78" t="n">
        <f aca="false">INDEX($F$16:$BX$16,1,A186)</f>
        <v>0</v>
      </c>
      <c r="F186" s="24" t="n">
        <f aca="false">C186*100</f>
        <v>0</v>
      </c>
      <c r="G186" s="23" t="n">
        <f aca="false">F186/'Food Data'!R71</f>
        <v>0</v>
      </c>
      <c r="H186" s="34" t="n">
        <f aca="false">C186*INDEX($F$14:$BX$14,1,A186)</f>
        <v>0</v>
      </c>
      <c r="I186" s="81" t="str">
        <f aca="false">IF(AND(D186&gt;0,C186&gt;=D186-0.00001),"at cap","")</f>
        <v/>
      </c>
      <c r="J186" s="24" t="n">
        <f aca="false">F186*INDEX($F$33:$BX$33,1,A186)</f>
        <v>0</v>
      </c>
      <c r="K186" s="24" t="n">
        <f aca="false">F186*INDEX($F$34:$BX$34,1,A186)</f>
        <v>0</v>
      </c>
      <c r="L186" s="24" t="n">
        <f aca="false">F186*INDEX($F$35:$BX$35,1,A186)</f>
        <v>0</v>
      </c>
      <c r="M186" s="24" t="n">
        <f aca="false">F186*INDEX($F$36:$BX$36,1,A186)</f>
        <v>0</v>
      </c>
      <c r="N186" s="24" t="str">
        <f aca="false">IF(J186&gt;=0.5,COUNTIF(J$121:J186,"&gt;=0.5"),"")</f>
        <v/>
      </c>
      <c r="O186" s="24" t="str">
        <f aca="false">IF(K186&gt;=0.5,COUNTIF(K$121:K186,"&gt;=0.5"),"")</f>
        <v/>
      </c>
      <c r="P186" s="24" t="str">
        <f aca="false">IF(L186&gt;=0.5,COUNTIF(L$121:L186,"&gt;=0.5"),"")</f>
        <v/>
      </c>
      <c r="Q186" s="24" t="str">
        <f aca="false">IF(M186&gt;=0.5,COUNTIF(M$121:M186,"&gt;=0.5"),"")</f>
        <v/>
      </c>
    </row>
    <row r="187" customFormat="false" ht="15" hidden="false" customHeight="false" outlineLevel="0" collapsed="false">
      <c r="A187" s="4" t="n">
        <v>67</v>
      </c>
      <c r="B187" s="85" t="str">
        <f aca="false">BT$13</f>
        <v>Avocado (Hass)</v>
      </c>
      <c r="C187" s="86" t="n">
        <v>0</v>
      </c>
      <c r="D187" s="78" t="n">
        <f aca="false">INDEX($F$15:$BX$15,1,A187)</f>
        <v>1.36</v>
      </c>
      <c r="E187" s="78" t="n">
        <f aca="false">INDEX($F$16:$BX$16,1,A187)</f>
        <v>0</v>
      </c>
      <c r="F187" s="24" t="n">
        <f aca="false">C187*100</f>
        <v>0</v>
      </c>
      <c r="G187" s="23" t="n">
        <f aca="false">F187/'Food Data'!R72</f>
        <v>0</v>
      </c>
      <c r="H187" s="34" t="n">
        <f aca="false">C187*INDEX($F$14:$BX$14,1,A187)</f>
        <v>0</v>
      </c>
      <c r="I187" s="81" t="str">
        <f aca="false">IF(AND(D187&gt;0,C187&gt;=D187-0.00001),"at cap","")</f>
        <v/>
      </c>
      <c r="J187" s="24" t="n">
        <f aca="false">F187*INDEX($F$33:$BX$33,1,A187)</f>
        <v>0</v>
      </c>
      <c r="K187" s="24" t="n">
        <f aca="false">F187*INDEX($F$34:$BX$34,1,A187)</f>
        <v>0</v>
      </c>
      <c r="L187" s="24" t="n">
        <f aca="false">F187*INDEX($F$35:$BX$35,1,A187)</f>
        <v>0</v>
      </c>
      <c r="M187" s="24" t="n">
        <f aca="false">F187*INDEX($F$36:$BX$36,1,A187)</f>
        <v>0</v>
      </c>
      <c r="N187" s="24" t="str">
        <f aca="false">IF(J187&gt;=0.5,COUNTIF(J$121:J187,"&gt;=0.5"),"")</f>
        <v/>
      </c>
      <c r="O187" s="24" t="str">
        <f aca="false">IF(K187&gt;=0.5,COUNTIF(K$121:K187,"&gt;=0.5"),"")</f>
        <v/>
      </c>
      <c r="P187" s="24" t="str">
        <f aca="false">IF(L187&gt;=0.5,COUNTIF(L$121:L187,"&gt;=0.5"),"")</f>
        <v/>
      </c>
      <c r="Q187" s="24" t="str">
        <f aca="false">IF(M187&gt;=0.5,COUNTIF(M$121:M187,"&gt;=0.5"),"")</f>
        <v/>
      </c>
    </row>
    <row r="188" customFormat="false" ht="15" hidden="false" customHeight="false" outlineLevel="0" collapsed="false">
      <c r="A188" s="4" t="n">
        <v>68</v>
      </c>
      <c r="B188" s="85" t="str">
        <f aca="false">BU$13</f>
        <v>Chocolate chip cookies</v>
      </c>
      <c r="C188" s="86" t="n">
        <v>0</v>
      </c>
      <c r="D188" s="78" t="n">
        <f aca="false">INDEX($F$15:$BX$15,1,A188)</f>
        <v>0.26</v>
      </c>
      <c r="E188" s="78" t="n">
        <f aca="false">INDEX($F$16:$BX$16,1,A188)</f>
        <v>0</v>
      </c>
      <c r="F188" s="24" t="n">
        <f aca="false">C188*100</f>
        <v>0</v>
      </c>
      <c r="G188" s="23" t="n">
        <f aca="false">F188/'Food Data'!R73</f>
        <v>0</v>
      </c>
      <c r="H188" s="34" t="n">
        <f aca="false">C188*INDEX($F$14:$BX$14,1,A188)</f>
        <v>0</v>
      </c>
      <c r="I188" s="81" t="str">
        <f aca="false">IF(AND(D188&gt;0,C188&gt;=D188-0.00001),"at cap","")</f>
        <v/>
      </c>
      <c r="J188" s="24" t="n">
        <f aca="false">F188*INDEX($F$33:$BX$33,1,A188)</f>
        <v>0</v>
      </c>
      <c r="K188" s="24" t="n">
        <f aca="false">F188*INDEX($F$34:$BX$34,1,A188)</f>
        <v>0</v>
      </c>
      <c r="L188" s="24" t="n">
        <f aca="false">F188*INDEX($F$35:$BX$35,1,A188)</f>
        <v>0</v>
      </c>
      <c r="M188" s="24" t="n">
        <f aca="false">F188*INDEX($F$36:$BX$36,1,A188)</f>
        <v>0</v>
      </c>
      <c r="N188" s="24" t="str">
        <f aca="false">IF(J188&gt;=0.5,COUNTIF(J$121:J188,"&gt;=0.5"),"")</f>
        <v/>
      </c>
      <c r="O188" s="24" t="str">
        <f aca="false">IF(K188&gt;=0.5,COUNTIF(K$121:K188,"&gt;=0.5"),"")</f>
        <v/>
      </c>
      <c r="P188" s="24" t="str">
        <f aca="false">IF(L188&gt;=0.5,COUNTIF(L$121:L188,"&gt;=0.5"),"")</f>
        <v/>
      </c>
      <c r="Q188" s="24" t="str">
        <f aca="false">IF(M188&gt;=0.5,COUNTIF(M$121:M188,"&gt;=0.5"),"")</f>
        <v/>
      </c>
    </row>
    <row r="189" customFormat="false" ht="15" hidden="false" customHeight="false" outlineLevel="0" collapsed="false">
      <c r="A189" s="4" t="n">
        <v>69</v>
      </c>
      <c r="B189" s="85" t="str">
        <f aca="false">BV$13</f>
        <v>Granola bars (chocolate chip)</v>
      </c>
      <c r="C189" s="86" t="n">
        <v>0</v>
      </c>
      <c r="D189" s="78" t="n">
        <f aca="false">INDEX($F$15:$BX$15,1,A189)</f>
        <v>0.48</v>
      </c>
      <c r="E189" s="78" t="n">
        <f aca="false">INDEX($F$16:$BX$16,1,A189)</f>
        <v>0</v>
      </c>
      <c r="F189" s="24" t="n">
        <f aca="false">C189*100</f>
        <v>0</v>
      </c>
      <c r="G189" s="23" t="n">
        <f aca="false">F189/'Food Data'!R74</f>
        <v>0</v>
      </c>
      <c r="H189" s="34" t="n">
        <f aca="false">C189*INDEX($F$14:$BX$14,1,A189)</f>
        <v>0</v>
      </c>
      <c r="I189" s="81" t="str">
        <f aca="false">IF(AND(D189&gt;0,C189&gt;=D189-0.00001),"at cap","")</f>
        <v/>
      </c>
      <c r="J189" s="24" t="n">
        <f aca="false">F189*INDEX($F$33:$BX$33,1,A189)</f>
        <v>0</v>
      </c>
      <c r="K189" s="24" t="n">
        <f aca="false">F189*INDEX($F$34:$BX$34,1,A189)</f>
        <v>0</v>
      </c>
      <c r="L189" s="24" t="n">
        <f aca="false">F189*INDEX($F$35:$BX$35,1,A189)</f>
        <v>0</v>
      </c>
      <c r="M189" s="24" t="n">
        <f aca="false">F189*INDEX($F$36:$BX$36,1,A189)</f>
        <v>0</v>
      </c>
      <c r="N189" s="24" t="str">
        <f aca="false">IF(J189&gt;=0.5,COUNTIF(J$121:J189,"&gt;=0.5"),"")</f>
        <v/>
      </c>
      <c r="O189" s="24" t="str">
        <f aca="false">IF(K189&gt;=0.5,COUNTIF(K$121:K189,"&gt;=0.5"),"")</f>
        <v/>
      </c>
      <c r="P189" s="24" t="str">
        <f aca="false">IF(L189&gt;=0.5,COUNTIF(L$121:L189,"&gt;=0.5"),"")</f>
        <v/>
      </c>
      <c r="Q189" s="24" t="str">
        <f aca="false">IF(M189&gt;=0.5,COUNTIF(M$121:M189,"&gt;=0.5"),"")</f>
        <v/>
      </c>
    </row>
    <row r="190" customFormat="false" ht="15" hidden="false" customHeight="false" outlineLevel="0" collapsed="false">
      <c r="A190" s="4" t="n">
        <v>70</v>
      </c>
      <c r="B190" s="85" t="str">
        <f aca="false">BW$13</f>
        <v>Potato chips</v>
      </c>
      <c r="C190" s="86" t="n">
        <v>0</v>
      </c>
      <c r="D190" s="78" t="n">
        <f aca="false">INDEX($F$15:$BX$15,1,A190)</f>
        <v>0.28</v>
      </c>
      <c r="E190" s="78" t="n">
        <f aca="false">INDEX($F$16:$BX$16,1,A190)</f>
        <v>0</v>
      </c>
      <c r="F190" s="24" t="n">
        <f aca="false">C190*100</f>
        <v>0</v>
      </c>
      <c r="G190" s="23" t="n">
        <f aca="false">F190/'Food Data'!R75</f>
        <v>0</v>
      </c>
      <c r="H190" s="34" t="n">
        <f aca="false">C190*INDEX($F$14:$BX$14,1,A190)</f>
        <v>0</v>
      </c>
      <c r="I190" s="81" t="str">
        <f aca="false">IF(AND(D190&gt;0,C190&gt;=D190-0.00001),"at cap","")</f>
        <v/>
      </c>
      <c r="J190" s="24" t="n">
        <f aca="false">F190*INDEX($F$33:$BX$33,1,A190)</f>
        <v>0</v>
      </c>
      <c r="K190" s="24" t="n">
        <f aca="false">F190*INDEX($F$34:$BX$34,1,A190)</f>
        <v>0</v>
      </c>
      <c r="L190" s="24" t="n">
        <f aca="false">F190*INDEX($F$35:$BX$35,1,A190)</f>
        <v>0</v>
      </c>
      <c r="M190" s="24" t="n">
        <f aca="false">F190*INDEX($F$36:$BX$36,1,A190)</f>
        <v>0</v>
      </c>
      <c r="N190" s="24" t="str">
        <f aca="false">IF(J190&gt;=0.5,COUNTIF(J$121:J190,"&gt;=0.5"),"")</f>
        <v/>
      </c>
      <c r="O190" s="24" t="str">
        <f aca="false">IF(K190&gt;=0.5,COUNTIF(K$121:K190,"&gt;=0.5"),"")</f>
        <v/>
      </c>
      <c r="P190" s="24" t="str">
        <f aca="false">IF(L190&gt;=0.5,COUNTIF(L$121:L190,"&gt;=0.5"),"")</f>
        <v/>
      </c>
      <c r="Q190" s="24" t="str">
        <f aca="false">IF(M190&gt;=0.5,COUNTIF(M$121:M190,"&gt;=0.5"),"")</f>
        <v/>
      </c>
    </row>
    <row r="191" customFormat="false" ht="15" hidden="false" customHeight="false" outlineLevel="0" collapsed="false">
      <c r="A191" s="4" t="n">
        <v>71</v>
      </c>
      <c r="B191" s="85" t="str">
        <f aca="false">BX$13</f>
        <v>Vanilla ice cream</v>
      </c>
      <c r="C191" s="86" t="n">
        <v>0</v>
      </c>
      <c r="D191" s="78" t="n">
        <f aca="false">INDEX($F$15:$BX$15,1,A191)</f>
        <v>0.66</v>
      </c>
      <c r="E191" s="78" t="n">
        <f aca="false">INDEX($F$16:$BX$16,1,A191)</f>
        <v>0</v>
      </c>
      <c r="F191" s="24" t="n">
        <f aca="false">C191*100</f>
        <v>0</v>
      </c>
      <c r="G191" s="23" t="n">
        <f aca="false">F191/'Food Data'!R76</f>
        <v>0</v>
      </c>
      <c r="H191" s="34" t="n">
        <f aca="false">C191*INDEX($F$14:$BX$14,1,A191)</f>
        <v>0</v>
      </c>
      <c r="I191" s="81" t="str">
        <f aca="false">IF(AND(D191&gt;0,C191&gt;=D191-0.00001),"at cap","")</f>
        <v/>
      </c>
      <c r="J191" s="24" t="n">
        <f aca="false">F191*INDEX($F$33:$BX$33,1,A191)</f>
        <v>0</v>
      </c>
      <c r="K191" s="24" t="n">
        <f aca="false">F191*INDEX($F$34:$BX$34,1,A191)</f>
        <v>0</v>
      </c>
      <c r="L191" s="24" t="n">
        <f aca="false">F191*INDEX($F$35:$BX$35,1,A191)</f>
        <v>0</v>
      </c>
      <c r="M191" s="24" t="n">
        <f aca="false">F191*INDEX($F$36:$BX$36,1,A191)</f>
        <v>0</v>
      </c>
      <c r="N191" s="24" t="str">
        <f aca="false">IF(J191&gt;=0.5,COUNTIF(J$121:J191,"&gt;=0.5"),"")</f>
        <v/>
      </c>
      <c r="O191" s="24" t="str">
        <f aca="false">IF(K191&gt;=0.5,COUNTIF(K$121:K191,"&gt;=0.5"),"")</f>
        <v/>
      </c>
      <c r="P191" s="24" t="str">
        <f aca="false">IF(L191&gt;=0.5,COUNTIF(L$121:L191,"&gt;=0.5"),"")</f>
        <v/>
      </c>
      <c r="Q191" s="24" t="str">
        <f aca="false">IF(M191&gt;=0.5,COUNTIF(M$121:M191,"&gt;=0.5"),"")</f>
        <v/>
      </c>
    </row>
    <row r="193" customFormat="false" ht="15" hidden="false" customHeight="false" outlineLevel="0" collapsed="false">
      <c r="B193" s="69" t="s">
        <v>812</v>
      </c>
      <c r="C193" s="87" t="n">
        <f aca="false" t="array" ref="C193:C193">MMULT(F14:BX14,C121:C191)</f>
        <v>6.14483213188731</v>
      </c>
    </row>
    <row r="194" customFormat="false" ht="15" hidden="false" customHeight="false" outlineLevel="0" collapsed="false">
      <c r="B194" s="69" t="s">
        <v>13</v>
      </c>
      <c r="C194" s="69" t="n">
        <f aca="false">COUNTIF(E40:E116,"VIOLATED")+SUMPRODUCT((C121:C191&gt;D121:D191+0.00001)*1)+SUMPRODUCT((C121:C191&lt;E121:E191-0.00001)*1)</f>
        <v>0</v>
      </c>
    </row>
    <row r="196" customFormat="false" ht="15" hidden="false" customHeight="false" outlineLevel="0" collapsed="false">
      <c r="A196" s="3" t="s">
        <v>813</v>
      </c>
    </row>
    <row r="197" customFormat="false" ht="15" hidden="false" customHeight="false" outlineLevel="0" collapsed="false">
      <c r="B197" s="16" t="s">
        <v>29</v>
      </c>
      <c r="C197" s="16" t="s">
        <v>814</v>
      </c>
      <c r="D197" s="16" t="s">
        <v>81</v>
      </c>
      <c r="E197" s="16" t="s">
        <v>101</v>
      </c>
      <c r="F197" s="16" t="s">
        <v>120</v>
      </c>
      <c r="G197" s="16" t="s">
        <v>136</v>
      </c>
    </row>
    <row r="198" customFormat="false" ht="15" hidden="false" customHeight="false" outlineLevel="0" collapsed="false">
      <c r="B198" s="4" t="s">
        <v>35</v>
      </c>
      <c r="C198" s="88" t="n">
        <f aca="false" t="array" ref="C198:C208">MMULT(F20:BX30,C121:C191)</f>
        <v>2945.578089719</v>
      </c>
      <c r="D198" s="89" t="n">
        <f aca="false" t="array" ref="D198:G208">MMULT(F20:BX30,J121:M191)/100</f>
        <v>615.8985135275</v>
      </c>
      <c r="E198" s="89" t="n">
        <v>1060.4999998985</v>
      </c>
      <c r="F198" s="89" t="n">
        <v>821.2398235945</v>
      </c>
      <c r="G198" s="89" t="n">
        <v>447.9397526985</v>
      </c>
    </row>
    <row r="199" customFormat="false" ht="15" hidden="false" customHeight="false" outlineLevel="0" collapsed="false">
      <c r="B199" s="4" t="s">
        <v>37</v>
      </c>
      <c r="C199" s="88" t="n">
        <v>111.99999997945</v>
      </c>
      <c r="D199" s="89" t="n">
        <v>23.236388980305</v>
      </c>
      <c r="E199" s="89" t="n">
        <v>41.8957234042</v>
      </c>
      <c r="F199" s="89" t="n">
        <v>30.38857625018</v>
      </c>
      <c r="G199" s="89" t="n">
        <v>16.479311344765</v>
      </c>
    </row>
    <row r="200" customFormat="false" ht="15" hidden="false" customHeight="false" outlineLevel="0" collapsed="false">
      <c r="B200" s="4" t="s">
        <v>40</v>
      </c>
      <c r="C200" s="88" t="n">
        <v>411.83914741781</v>
      </c>
      <c r="D200" s="89" t="n">
        <v>67.31109493998</v>
      </c>
      <c r="E200" s="89" t="n">
        <v>162.145116568015</v>
      </c>
      <c r="F200" s="89" t="n">
        <v>126.227336663145</v>
      </c>
      <c r="G200" s="89" t="n">
        <v>56.15559924667</v>
      </c>
    </row>
    <row r="201" customFormat="false" ht="15" hidden="false" customHeight="false" outlineLevel="0" collapsed="false">
      <c r="B201" s="4" t="s">
        <v>46</v>
      </c>
      <c r="C201" s="88" t="n">
        <v>102.56336388446</v>
      </c>
      <c r="D201" s="89" t="n">
        <v>30.865785548885</v>
      </c>
      <c r="E201" s="89" t="n">
        <v>28.656720869365</v>
      </c>
      <c r="F201" s="89" t="n">
        <v>22.256159065775</v>
      </c>
      <c r="G201" s="89" t="n">
        <v>20.784698400435</v>
      </c>
    </row>
    <row r="202" customFormat="false" ht="15" hidden="false" customHeight="false" outlineLevel="0" collapsed="false">
      <c r="B202" s="4" t="s">
        <v>49</v>
      </c>
      <c r="C202" s="88" t="n">
        <v>53.4172112457</v>
      </c>
      <c r="D202" s="89" t="n">
        <v>8.3152703751</v>
      </c>
      <c r="E202" s="89" t="n">
        <v>21.5722204353</v>
      </c>
      <c r="F202" s="89" t="n">
        <v>14.5645565305</v>
      </c>
      <c r="G202" s="89" t="n">
        <v>8.9651639048</v>
      </c>
    </row>
    <row r="203" customFormat="false" ht="15" hidden="false" customHeight="false" outlineLevel="0" collapsed="false">
      <c r="B203" s="4" t="s">
        <v>52</v>
      </c>
      <c r="C203" s="88" t="n">
        <v>88.15515225964</v>
      </c>
      <c r="D203" s="89" t="n">
        <v>23.80080891529</v>
      </c>
      <c r="E203" s="89" t="n">
        <v>22.173092615665</v>
      </c>
      <c r="F203" s="89" t="n">
        <v>6.048214199135</v>
      </c>
      <c r="G203" s="89" t="n">
        <v>36.13303652955</v>
      </c>
    </row>
    <row r="204" customFormat="false" ht="15" hidden="false" customHeight="false" outlineLevel="0" collapsed="false">
      <c r="B204" s="4" t="s">
        <v>54</v>
      </c>
      <c r="C204" s="88" t="n">
        <v>1327.102298212</v>
      </c>
      <c r="D204" s="89" t="n">
        <v>312.406750992</v>
      </c>
      <c r="E204" s="89" t="n">
        <v>601.9096611575</v>
      </c>
      <c r="F204" s="89" t="n">
        <v>114.6460823955</v>
      </c>
      <c r="G204" s="89" t="n">
        <v>298.139803667</v>
      </c>
    </row>
    <row r="205" customFormat="false" ht="15" hidden="false" customHeight="false" outlineLevel="0" collapsed="false">
      <c r="B205" s="4" t="s">
        <v>56</v>
      </c>
      <c r="C205" s="88" t="n">
        <v>20.28119106197</v>
      </c>
      <c r="D205" s="89" t="n">
        <v>3.150388061695</v>
      </c>
      <c r="E205" s="89" t="n">
        <v>8.609915686895</v>
      </c>
      <c r="F205" s="89" t="n">
        <v>7.250743935655</v>
      </c>
      <c r="G205" s="89" t="n">
        <v>1.270143377725</v>
      </c>
    </row>
    <row r="206" customFormat="false" ht="15" hidden="false" customHeight="false" outlineLevel="0" collapsed="false">
      <c r="B206" s="4" t="s">
        <v>58</v>
      </c>
      <c r="C206" s="88" t="n">
        <v>4995.983882091</v>
      </c>
      <c r="D206" s="89" t="n">
        <v>918.9818882315</v>
      </c>
      <c r="E206" s="89" t="n">
        <v>1738.562846627</v>
      </c>
      <c r="F206" s="89" t="n">
        <v>1131.233859138</v>
      </c>
      <c r="G206" s="89" t="n">
        <v>1207.2052880945</v>
      </c>
    </row>
    <row r="207" customFormat="false" ht="15" hidden="false" customHeight="false" outlineLevel="0" collapsed="false">
      <c r="B207" s="4" t="s">
        <v>60</v>
      </c>
      <c r="C207" s="88" t="n">
        <v>1991.286074716</v>
      </c>
      <c r="D207" s="89" t="n">
        <v>406.284883612</v>
      </c>
      <c r="E207" s="89" t="n">
        <v>1031.681671763</v>
      </c>
      <c r="F207" s="89" t="n">
        <v>237.138827436</v>
      </c>
      <c r="G207" s="89" t="n">
        <v>316.180691905</v>
      </c>
    </row>
    <row r="208" customFormat="false" ht="15" hidden="false" customHeight="false" outlineLevel="0" collapsed="false">
      <c r="B208" s="4" t="s">
        <v>62</v>
      </c>
      <c r="C208" s="88" t="n">
        <v>89.9999999906</v>
      </c>
      <c r="D208" s="89" t="n">
        <v>7.4145320112</v>
      </c>
      <c r="E208" s="89" t="n">
        <v>37.9016089897</v>
      </c>
      <c r="F208" s="89" t="n">
        <v>26.7775865055</v>
      </c>
      <c r="G208" s="89" t="n">
        <v>17.9062724842</v>
      </c>
    </row>
  </sheetData>
  <conditionalFormatting sqref="E40:E116">
    <cfRule type="expression" priority="2" aboveAverage="0" equalAverage="0" bottom="0" percent="0" rank="0" text="" dxfId="16">
      <formula>E40="VIOLATED"</formula>
    </cfRule>
    <cfRule type="expression" priority="3" aboveAverage="0" equalAverage="0" bottom="0" percent="0" rank="0" text="" dxfId="0">
      <formula>E40="tight"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11" min="3" style="0" width="13"/>
  </cols>
  <sheetData>
    <row r="1" customFormat="false" ht="17.35" hidden="false" customHeight="false" outlineLevel="0" collapsed="false">
      <c r="A1" s="1" t="s">
        <v>815</v>
      </c>
    </row>
    <row r="2" customFormat="false" ht="15" hidden="false" customHeight="false" outlineLevel="0" collapsed="false">
      <c r="A2" s="2" t="s">
        <v>816</v>
      </c>
    </row>
    <row r="5" customFormat="false" ht="43.5" hidden="false" customHeight="true" outlineLevel="0" collapsed="false">
      <c r="A5" s="16" t="s">
        <v>198</v>
      </c>
      <c r="B5" s="16" t="s">
        <v>696</v>
      </c>
      <c r="C5" s="16" t="s">
        <v>88</v>
      </c>
      <c r="D5" s="16" t="s">
        <v>664</v>
      </c>
      <c r="E5" s="16" t="s">
        <v>666</v>
      </c>
      <c r="F5" s="16" t="s">
        <v>668</v>
      </c>
      <c r="G5" s="16" t="s">
        <v>670</v>
      </c>
      <c r="H5" s="16" t="s">
        <v>672</v>
      </c>
      <c r="I5" s="16" t="s">
        <v>674</v>
      </c>
      <c r="J5" s="16" t="s">
        <v>676</v>
      </c>
      <c r="K5" s="16" t="s">
        <v>817</v>
      </c>
    </row>
    <row r="6" customFormat="false" ht="15" hidden="false" customHeight="false" outlineLevel="0" collapsed="false">
      <c r="A6" s="4" t="n">
        <v>1</v>
      </c>
      <c r="B6" s="85" t="str">
        <f aca="false">'Food Data'!D6</f>
        <v>Chicken breast, roasted</v>
      </c>
      <c r="C6" s="90" t="n">
        <v>0</v>
      </c>
      <c r="D6" s="90" t="n">
        <v>0.85</v>
      </c>
      <c r="E6" s="90" t="n">
        <v>0.359973059</v>
      </c>
      <c r="F6" s="90" t="n">
        <v>0</v>
      </c>
      <c r="G6" s="90" t="n">
        <v>0</v>
      </c>
      <c r="H6" s="90" t="n">
        <v>0</v>
      </c>
      <c r="I6" s="90" t="n">
        <v>0</v>
      </c>
      <c r="J6" s="90" t="n">
        <v>0</v>
      </c>
      <c r="K6" s="90" t="n">
        <v>0</v>
      </c>
    </row>
    <row r="7" customFormat="false" ht="15" hidden="false" customHeight="false" outlineLevel="0" collapsed="false">
      <c r="A7" s="4" t="n">
        <v>2</v>
      </c>
      <c r="B7" s="85" t="str">
        <f aca="false">'Food Data'!D7</f>
        <v>Chicken drumsticks, roasted (meat &amp; skin)</v>
      </c>
      <c r="C7" s="90" t="n">
        <v>0.831584471</v>
      </c>
      <c r="D7" s="90" t="n">
        <v>1.7</v>
      </c>
      <c r="E7" s="90" t="n">
        <v>1.7</v>
      </c>
      <c r="F7" s="90" t="n">
        <v>0</v>
      </c>
      <c r="G7" s="90" t="n">
        <v>0</v>
      </c>
      <c r="H7" s="90" t="n">
        <v>0</v>
      </c>
      <c r="I7" s="90" t="n">
        <v>0.790884632</v>
      </c>
      <c r="J7" s="90" t="n">
        <v>0.831584471</v>
      </c>
      <c r="K7" s="90" t="n">
        <v>0</v>
      </c>
    </row>
    <row r="8" customFormat="false" ht="15" hidden="false" customHeight="false" outlineLevel="0" collapsed="false">
      <c r="A8" s="4" t="n">
        <v>3</v>
      </c>
      <c r="B8" s="85" t="str">
        <f aca="false">'Food Data'!D8</f>
        <v>Chicken thighs, roasted</v>
      </c>
      <c r="C8" s="90" t="n">
        <v>0</v>
      </c>
      <c r="D8" s="90" t="n">
        <v>0</v>
      </c>
      <c r="E8" s="90" t="n">
        <v>0</v>
      </c>
      <c r="F8" s="90" t="n">
        <v>0</v>
      </c>
      <c r="G8" s="90" t="n">
        <v>0</v>
      </c>
      <c r="H8" s="90" t="n">
        <v>0</v>
      </c>
      <c r="I8" s="90" t="n">
        <v>0</v>
      </c>
      <c r="J8" s="90" t="n">
        <v>0</v>
      </c>
      <c r="K8" s="90" t="n">
        <v>0</v>
      </c>
    </row>
    <row r="9" customFormat="false" ht="15" hidden="false" customHeight="false" outlineLevel="0" collapsed="false">
      <c r="A9" s="4" t="n">
        <v>4</v>
      </c>
      <c r="B9" s="85" t="str">
        <f aca="false">'Food Data'!D9</f>
        <v>Deli turkey breast (sliced)</v>
      </c>
      <c r="C9" s="90" t="n">
        <v>0</v>
      </c>
      <c r="D9" s="90" t="n">
        <v>0</v>
      </c>
      <c r="E9" s="90" t="n">
        <v>0</v>
      </c>
      <c r="F9" s="90" t="n">
        <v>0</v>
      </c>
      <c r="G9" s="90" t="n">
        <v>0</v>
      </c>
      <c r="H9" s="90" t="n">
        <v>0</v>
      </c>
      <c r="I9" s="90" t="n">
        <v>0</v>
      </c>
      <c r="J9" s="90" t="n">
        <v>0</v>
      </c>
      <c r="K9" s="90" t="n">
        <v>1.12</v>
      </c>
    </row>
    <row r="10" customFormat="false" ht="15" hidden="false" customHeight="false" outlineLevel="0" collapsed="false">
      <c r="A10" s="4" t="n">
        <v>5</v>
      </c>
      <c r="B10" s="85" t="str">
        <f aca="false">'Food Data'!D10</f>
        <v>Ground turkey 93/7, cooked</v>
      </c>
      <c r="C10" s="90" t="n">
        <v>0</v>
      </c>
      <c r="D10" s="90" t="n">
        <v>0</v>
      </c>
      <c r="E10" s="90" t="n">
        <v>0</v>
      </c>
      <c r="F10" s="90" t="n">
        <v>0</v>
      </c>
      <c r="G10" s="90" t="n">
        <v>0</v>
      </c>
      <c r="H10" s="90" t="n">
        <v>0</v>
      </c>
      <c r="I10" s="90" t="n">
        <v>0</v>
      </c>
      <c r="J10" s="90" t="n">
        <v>0</v>
      </c>
      <c r="K10" s="90" t="n">
        <v>0</v>
      </c>
    </row>
    <row r="11" customFormat="false" ht="15" hidden="false" customHeight="false" outlineLevel="0" collapsed="false">
      <c r="A11" s="4" t="n">
        <v>6</v>
      </c>
      <c r="B11" s="85" t="str">
        <f aca="false">'Food Data'!D11</f>
        <v>Bacon, cooked</v>
      </c>
      <c r="C11" s="90" t="n">
        <v>0</v>
      </c>
      <c r="D11" s="90" t="n">
        <v>0</v>
      </c>
      <c r="E11" s="90" t="n">
        <v>0</v>
      </c>
      <c r="F11" s="90" t="n">
        <v>0</v>
      </c>
      <c r="G11" s="90" t="n">
        <v>0</v>
      </c>
      <c r="H11" s="90" t="n">
        <v>0</v>
      </c>
      <c r="I11" s="90" t="n">
        <v>0</v>
      </c>
      <c r="J11" s="90" t="n">
        <v>0</v>
      </c>
      <c r="K11" s="90" t="n">
        <v>0</v>
      </c>
    </row>
    <row r="12" customFormat="false" ht="15" hidden="false" customHeight="false" outlineLevel="0" collapsed="false">
      <c r="A12" s="4" t="n">
        <v>7</v>
      </c>
      <c r="B12" s="85" t="str">
        <f aca="false">'Food Data'!D12</f>
        <v>Ground beef 80/20, cooked</v>
      </c>
      <c r="C12" s="90" t="n">
        <v>0</v>
      </c>
      <c r="D12" s="90" t="n">
        <v>0</v>
      </c>
      <c r="E12" s="90" t="n">
        <v>0</v>
      </c>
      <c r="F12" s="90" t="n">
        <v>0</v>
      </c>
      <c r="G12" s="90" t="n">
        <v>0</v>
      </c>
      <c r="H12" s="90" t="n">
        <v>0</v>
      </c>
      <c r="I12" s="90" t="n">
        <v>0</v>
      </c>
      <c r="J12" s="90" t="n">
        <v>0</v>
      </c>
      <c r="K12" s="90" t="n">
        <v>0.85</v>
      </c>
    </row>
    <row r="13" customFormat="false" ht="15" hidden="false" customHeight="false" outlineLevel="0" collapsed="false">
      <c r="A13" s="4" t="n">
        <v>8</v>
      </c>
      <c r="B13" s="85" t="str">
        <f aca="false">'Food Data'!D13</f>
        <v>Ground beef 93/7, cooked</v>
      </c>
      <c r="C13" s="90" t="n">
        <v>0</v>
      </c>
      <c r="D13" s="90" t="n">
        <v>0</v>
      </c>
      <c r="E13" s="90" t="n">
        <v>0</v>
      </c>
      <c r="F13" s="90" t="n">
        <v>0</v>
      </c>
      <c r="G13" s="90" t="n">
        <v>0</v>
      </c>
      <c r="H13" s="90" t="n">
        <v>0</v>
      </c>
      <c r="I13" s="90" t="n">
        <v>0</v>
      </c>
      <c r="J13" s="90" t="n">
        <v>0</v>
      </c>
      <c r="K13" s="90" t="n">
        <v>0</v>
      </c>
    </row>
    <row r="14" customFormat="false" ht="15" hidden="false" customHeight="false" outlineLevel="0" collapsed="false">
      <c r="A14" s="4" t="n">
        <v>9</v>
      </c>
      <c r="B14" s="85" t="str">
        <f aca="false">'Food Data'!D14</f>
        <v>Ham (sliced, cooked)</v>
      </c>
      <c r="C14" s="90" t="n">
        <v>0</v>
      </c>
      <c r="D14" s="90" t="n">
        <v>0</v>
      </c>
      <c r="E14" s="90" t="n">
        <v>0</v>
      </c>
      <c r="F14" s="90" t="n">
        <v>0</v>
      </c>
      <c r="G14" s="90" t="n">
        <v>0</v>
      </c>
      <c r="H14" s="90" t="n">
        <v>0</v>
      </c>
      <c r="I14" s="90" t="n">
        <v>0</v>
      </c>
      <c r="J14" s="90" t="n">
        <v>0</v>
      </c>
      <c r="K14" s="90" t="n">
        <v>0</v>
      </c>
    </row>
    <row r="15" customFormat="false" ht="15" hidden="false" customHeight="false" outlineLevel="0" collapsed="false">
      <c r="A15" s="4" t="n">
        <v>10</v>
      </c>
      <c r="B15" s="85" t="str">
        <f aca="false">'Food Data'!D15</f>
        <v>Pork loin chops, pan-cooked</v>
      </c>
      <c r="C15" s="90" t="n">
        <v>0</v>
      </c>
      <c r="D15" s="90" t="n">
        <v>0</v>
      </c>
      <c r="E15" s="90" t="n">
        <v>0</v>
      </c>
      <c r="F15" s="90" t="n">
        <v>0</v>
      </c>
      <c r="G15" s="90" t="n">
        <v>0</v>
      </c>
      <c r="H15" s="90" t="n">
        <v>0</v>
      </c>
      <c r="I15" s="90" t="n">
        <v>0</v>
      </c>
      <c r="J15" s="90" t="n">
        <v>0</v>
      </c>
      <c r="K15" s="90" t="n">
        <v>0</v>
      </c>
    </row>
    <row r="16" customFormat="false" ht="15" hidden="false" customHeight="false" outlineLevel="0" collapsed="false">
      <c r="A16" s="4" t="n">
        <v>11</v>
      </c>
      <c r="B16" s="85" t="str">
        <f aca="false">'Food Data'!D16</f>
        <v>Top sirloin steak, broiled</v>
      </c>
      <c r="C16" s="90" t="n">
        <v>0</v>
      </c>
      <c r="D16" s="90" t="n">
        <v>0</v>
      </c>
      <c r="E16" s="90" t="n">
        <v>0</v>
      </c>
      <c r="F16" s="90" t="n">
        <v>0</v>
      </c>
      <c r="G16" s="90" t="n">
        <v>0</v>
      </c>
      <c r="H16" s="90" t="n">
        <v>0</v>
      </c>
      <c r="I16" s="90" t="n">
        <v>0</v>
      </c>
      <c r="J16" s="90" t="n">
        <v>0</v>
      </c>
      <c r="K16" s="90" t="n">
        <v>0</v>
      </c>
    </row>
    <row r="17" customFormat="false" ht="15" hidden="false" customHeight="false" outlineLevel="0" collapsed="false">
      <c r="A17" s="4" t="n">
        <v>12</v>
      </c>
      <c r="B17" s="85" t="str">
        <f aca="false">'Food Data'!D17</f>
        <v>Canned light tuna (in water)</v>
      </c>
      <c r="C17" s="90" t="n">
        <v>0</v>
      </c>
      <c r="D17" s="90" t="n">
        <v>0</v>
      </c>
      <c r="E17" s="90" t="n">
        <v>0</v>
      </c>
      <c r="F17" s="90" t="n">
        <v>0</v>
      </c>
      <c r="G17" s="90" t="n">
        <v>0</v>
      </c>
      <c r="H17" s="90" t="n">
        <v>0</v>
      </c>
      <c r="I17" s="90" t="n">
        <v>0</v>
      </c>
      <c r="J17" s="90" t="n">
        <v>0</v>
      </c>
      <c r="K17" s="90" t="n">
        <v>0</v>
      </c>
    </row>
    <row r="18" customFormat="false" ht="15" hidden="false" customHeight="false" outlineLevel="0" collapsed="false">
      <c r="A18" s="4" t="n">
        <v>13</v>
      </c>
      <c r="B18" s="85" t="str">
        <f aca="false">'Food Data'!D18</f>
        <v>Salmon, baked</v>
      </c>
      <c r="C18" s="90" t="n">
        <v>0</v>
      </c>
      <c r="D18" s="90" t="n">
        <v>0</v>
      </c>
      <c r="E18" s="90" t="n">
        <v>0</v>
      </c>
      <c r="F18" s="90" t="n">
        <v>0</v>
      </c>
      <c r="G18" s="90" t="n">
        <v>0</v>
      </c>
      <c r="H18" s="90" t="n">
        <v>0</v>
      </c>
      <c r="I18" s="90" t="n">
        <v>0</v>
      </c>
      <c r="J18" s="90" t="n">
        <v>0</v>
      </c>
      <c r="K18" s="90" t="n">
        <v>0</v>
      </c>
    </row>
    <row r="19" customFormat="false" ht="15" hidden="false" customHeight="false" outlineLevel="0" collapsed="false">
      <c r="A19" s="4" t="n">
        <v>14</v>
      </c>
      <c r="B19" s="85" t="str">
        <f aca="false">'Food Data'!D19</f>
        <v>Shrimp, cooked</v>
      </c>
      <c r="C19" s="90" t="n">
        <v>0</v>
      </c>
      <c r="D19" s="90" t="n">
        <v>0</v>
      </c>
      <c r="E19" s="90" t="n">
        <v>0</v>
      </c>
      <c r="F19" s="90" t="n">
        <v>0</v>
      </c>
      <c r="G19" s="90" t="n">
        <v>0</v>
      </c>
      <c r="H19" s="90" t="n">
        <v>0</v>
      </c>
      <c r="I19" s="90" t="n">
        <v>0</v>
      </c>
      <c r="J19" s="90" t="n">
        <v>0</v>
      </c>
      <c r="K19" s="90" t="n">
        <v>0</v>
      </c>
    </row>
    <row r="20" customFormat="false" ht="15" hidden="false" customHeight="false" outlineLevel="0" collapsed="false">
      <c r="A20" s="4" t="n">
        <v>15</v>
      </c>
      <c r="B20" s="85" t="str">
        <f aca="false">'Food Data'!D20</f>
        <v>Tilapia, baked</v>
      </c>
      <c r="C20" s="90" t="n">
        <v>0</v>
      </c>
      <c r="D20" s="90" t="n">
        <v>0</v>
      </c>
      <c r="E20" s="90" t="n">
        <v>0</v>
      </c>
      <c r="F20" s="90" t="n">
        <v>0</v>
      </c>
      <c r="G20" s="90" t="n">
        <v>0</v>
      </c>
      <c r="H20" s="90" t="n">
        <v>0</v>
      </c>
      <c r="I20" s="90" t="n">
        <v>0</v>
      </c>
      <c r="J20" s="90" t="n">
        <v>0</v>
      </c>
      <c r="K20" s="90" t="n">
        <v>0</v>
      </c>
    </row>
    <row r="21" customFormat="false" ht="15" hidden="false" customHeight="false" outlineLevel="0" collapsed="false">
      <c r="A21" s="4" t="n">
        <v>16</v>
      </c>
      <c r="B21" s="85" t="str">
        <f aca="false">'Food Data'!D21</f>
        <v>Eggs (large)</v>
      </c>
      <c r="C21" s="90" t="n">
        <v>0</v>
      </c>
      <c r="D21" s="90" t="n">
        <v>0</v>
      </c>
      <c r="E21" s="90" t="n">
        <v>0</v>
      </c>
      <c r="F21" s="90" t="n">
        <v>0</v>
      </c>
      <c r="G21" s="90" t="n">
        <v>0</v>
      </c>
      <c r="H21" s="90" t="n">
        <v>0</v>
      </c>
      <c r="I21" s="90" t="n">
        <v>0</v>
      </c>
      <c r="J21" s="90" t="n">
        <v>0</v>
      </c>
      <c r="K21" s="90" t="n">
        <v>0</v>
      </c>
    </row>
    <row r="22" customFormat="false" ht="15" hidden="false" customHeight="false" outlineLevel="0" collapsed="false">
      <c r="A22" s="4" t="n">
        <v>17</v>
      </c>
      <c r="B22" s="85" t="str">
        <f aca="false">'Food Data'!D22</f>
        <v>Black beans (canned)</v>
      </c>
      <c r="C22" s="90" t="n">
        <v>0</v>
      </c>
      <c r="D22" s="90" t="n">
        <v>0</v>
      </c>
      <c r="E22" s="90" t="n">
        <v>0</v>
      </c>
      <c r="F22" s="90" t="n">
        <v>0</v>
      </c>
      <c r="G22" s="90" t="n">
        <v>0</v>
      </c>
      <c r="H22" s="90" t="n">
        <v>0</v>
      </c>
      <c r="I22" s="90" t="n">
        <v>0</v>
      </c>
      <c r="J22" s="90" t="n">
        <v>0</v>
      </c>
      <c r="K22" s="90" t="n">
        <v>0</v>
      </c>
    </row>
    <row r="23" customFormat="false" ht="15" hidden="false" customHeight="false" outlineLevel="0" collapsed="false">
      <c r="A23" s="4" t="n">
        <v>18</v>
      </c>
      <c r="B23" s="85" t="str">
        <f aca="false">'Food Data'!D23</f>
        <v>Chickpeas (canned)</v>
      </c>
      <c r="C23" s="90" t="n">
        <v>0</v>
      </c>
      <c r="D23" s="90" t="n">
        <v>0</v>
      </c>
      <c r="E23" s="90" t="n">
        <v>0</v>
      </c>
      <c r="F23" s="90" t="n">
        <v>0</v>
      </c>
      <c r="G23" s="90" t="n">
        <v>0</v>
      </c>
      <c r="H23" s="90" t="n">
        <v>0</v>
      </c>
      <c r="I23" s="90" t="n">
        <v>0</v>
      </c>
      <c r="J23" s="90" t="n">
        <v>0</v>
      </c>
      <c r="K23" s="90" t="n">
        <v>0</v>
      </c>
    </row>
    <row r="24" customFormat="false" ht="15" hidden="false" customHeight="false" outlineLevel="0" collapsed="false">
      <c r="A24" s="4" t="n">
        <v>19</v>
      </c>
      <c r="B24" s="85" t="str">
        <f aca="false">'Food Data'!D24</f>
        <v>Lentils, cooked</v>
      </c>
      <c r="C24" s="90" t="n">
        <v>0.021448674</v>
      </c>
      <c r="D24" s="90" t="n">
        <v>0</v>
      </c>
      <c r="E24" s="90" t="n">
        <v>0</v>
      </c>
      <c r="F24" s="90" t="n">
        <v>0.99</v>
      </c>
      <c r="G24" s="90" t="n">
        <v>1.075272131</v>
      </c>
      <c r="H24" s="90" t="n">
        <v>0.99</v>
      </c>
      <c r="I24" s="90" t="n">
        <v>0.068852017</v>
      </c>
      <c r="J24" s="90" t="n">
        <v>0.021448674</v>
      </c>
      <c r="K24" s="90" t="n">
        <v>0</v>
      </c>
    </row>
    <row r="25" customFormat="false" ht="15" hidden="false" customHeight="false" outlineLevel="0" collapsed="false">
      <c r="A25" s="4" t="n">
        <v>20</v>
      </c>
      <c r="B25" s="85" t="str">
        <f aca="false">'Food Data'!D25</f>
        <v>Peanut butter</v>
      </c>
      <c r="C25" s="90" t="n">
        <v>0.64</v>
      </c>
      <c r="D25" s="90" t="n">
        <v>0</v>
      </c>
      <c r="E25" s="90" t="n">
        <v>0.64</v>
      </c>
      <c r="F25" s="90" t="n">
        <v>0.64</v>
      </c>
      <c r="G25" s="90" t="n">
        <v>0.612437291</v>
      </c>
      <c r="H25" s="90" t="n">
        <v>0.64</v>
      </c>
      <c r="I25" s="90" t="n">
        <v>0.64</v>
      </c>
      <c r="J25" s="90" t="n">
        <v>0.64</v>
      </c>
      <c r="K25" s="90" t="n">
        <v>0</v>
      </c>
    </row>
    <row r="26" customFormat="false" ht="15" hidden="false" customHeight="false" outlineLevel="0" collapsed="false">
      <c r="A26" s="4" t="n">
        <v>21</v>
      </c>
      <c r="B26" s="85" t="str">
        <f aca="false">'Food Data'!D26</f>
        <v>Pinto beans, cooked</v>
      </c>
      <c r="C26" s="90" t="n">
        <v>1.71</v>
      </c>
      <c r="D26" s="90" t="n">
        <v>1.71</v>
      </c>
      <c r="E26" s="90" t="n">
        <v>0</v>
      </c>
      <c r="F26" s="90" t="n">
        <v>1.71</v>
      </c>
      <c r="G26" s="90" t="n">
        <v>1.71</v>
      </c>
      <c r="H26" s="90" t="n">
        <v>1.71</v>
      </c>
      <c r="I26" s="90" t="n">
        <v>1.71</v>
      </c>
      <c r="J26" s="90" t="n">
        <v>1.71</v>
      </c>
      <c r="K26" s="90" t="n">
        <v>0</v>
      </c>
    </row>
    <row r="27" customFormat="false" ht="15" hidden="false" customHeight="false" outlineLevel="0" collapsed="false">
      <c r="A27" s="4" t="n">
        <v>22</v>
      </c>
      <c r="B27" s="85" t="str">
        <f aca="false">'Food Data'!D27</f>
        <v>Tofu (extra firm)</v>
      </c>
      <c r="C27" s="90" t="n">
        <v>0</v>
      </c>
      <c r="D27" s="90" t="n">
        <v>0</v>
      </c>
      <c r="E27" s="90" t="n">
        <v>0</v>
      </c>
      <c r="F27" s="90" t="n">
        <v>0</v>
      </c>
      <c r="G27" s="90" t="n">
        <v>0</v>
      </c>
      <c r="H27" s="90" t="n">
        <v>0</v>
      </c>
      <c r="I27" s="90" t="n">
        <v>0</v>
      </c>
      <c r="J27" s="90" t="n">
        <v>0</v>
      </c>
      <c r="K27" s="90" t="n">
        <v>0</v>
      </c>
    </row>
    <row r="28" customFormat="false" ht="15" hidden="false" customHeight="false" outlineLevel="0" collapsed="false">
      <c r="A28" s="4" t="n">
        <v>23</v>
      </c>
      <c r="B28" s="85" t="str">
        <f aca="false">'Food Data'!D28</f>
        <v>2% milk</v>
      </c>
      <c r="C28" s="90" t="n">
        <v>3.66</v>
      </c>
      <c r="D28" s="90" t="n">
        <v>3.66</v>
      </c>
      <c r="E28" s="90" t="n">
        <v>0</v>
      </c>
      <c r="F28" s="90" t="n">
        <v>3.66</v>
      </c>
      <c r="G28" s="90" t="n">
        <v>0</v>
      </c>
      <c r="H28" s="90" t="n">
        <v>3.66</v>
      </c>
      <c r="I28" s="90" t="n">
        <v>3.66</v>
      </c>
      <c r="J28" s="90" t="n">
        <v>3.66</v>
      </c>
      <c r="K28" s="90" t="n">
        <v>0</v>
      </c>
    </row>
    <row r="29" customFormat="false" ht="15" hidden="false" customHeight="false" outlineLevel="0" collapsed="false">
      <c r="A29" s="4" t="n">
        <v>24</v>
      </c>
      <c r="B29" s="85" t="str">
        <f aca="false">'Food Data'!D29</f>
        <v>Greek yogurt (plain, nonfat)</v>
      </c>
      <c r="C29" s="90" t="n">
        <v>0.223148071</v>
      </c>
      <c r="D29" s="90" t="n">
        <v>2.55</v>
      </c>
      <c r="E29" s="90" t="n">
        <v>2.55</v>
      </c>
      <c r="F29" s="90" t="n">
        <v>0.221709295</v>
      </c>
      <c r="G29" s="90" t="n">
        <v>0</v>
      </c>
      <c r="H29" s="90" t="n">
        <v>0.221709295</v>
      </c>
      <c r="I29" s="90" t="n">
        <v>0.685563026</v>
      </c>
      <c r="J29" s="90" t="n">
        <v>0.223148071</v>
      </c>
      <c r="K29" s="90" t="n">
        <v>0</v>
      </c>
    </row>
    <row r="30" customFormat="false" ht="15" hidden="false" customHeight="false" outlineLevel="0" collapsed="false">
      <c r="A30" s="4" t="n">
        <v>25</v>
      </c>
      <c r="B30" s="85" t="str">
        <f aca="false">'Food Data'!D30</f>
        <v>Soy milk (calcium-fortified)</v>
      </c>
      <c r="C30" s="90" t="n">
        <v>0</v>
      </c>
      <c r="D30" s="90" t="n">
        <v>0</v>
      </c>
      <c r="E30" s="90" t="n">
        <v>0</v>
      </c>
      <c r="F30" s="90" t="n">
        <v>0</v>
      </c>
      <c r="G30" s="90" t="n">
        <v>7.29</v>
      </c>
      <c r="H30" s="90" t="n">
        <v>0</v>
      </c>
      <c r="I30" s="90" t="n">
        <v>0</v>
      </c>
      <c r="J30" s="90" t="n">
        <v>0</v>
      </c>
      <c r="K30" s="90" t="n">
        <v>0</v>
      </c>
    </row>
    <row r="31" customFormat="false" ht="15" hidden="false" customHeight="false" outlineLevel="0" collapsed="false">
      <c r="A31" s="4" t="n">
        <v>26</v>
      </c>
      <c r="B31" s="85" t="str">
        <f aca="false">'Food Data'!D31</f>
        <v>Whole milk</v>
      </c>
      <c r="C31" s="90" t="n">
        <v>0</v>
      </c>
      <c r="D31" s="90" t="n">
        <v>0</v>
      </c>
      <c r="E31" s="90" t="n">
        <v>0.26529039</v>
      </c>
      <c r="F31" s="90" t="n">
        <v>0</v>
      </c>
      <c r="G31" s="90" t="n">
        <v>0</v>
      </c>
      <c r="H31" s="90" t="n">
        <v>0</v>
      </c>
      <c r="I31" s="90" t="n">
        <v>0</v>
      </c>
      <c r="J31" s="90" t="n">
        <v>0</v>
      </c>
      <c r="K31" s="90" t="n">
        <v>0</v>
      </c>
    </row>
    <row r="32" customFormat="false" ht="15" hidden="false" customHeight="false" outlineLevel="0" collapsed="false">
      <c r="A32" s="4" t="n">
        <v>27</v>
      </c>
      <c r="B32" s="85" t="str">
        <f aca="false">'Food Data'!D32</f>
        <v>American cheese (singles)</v>
      </c>
      <c r="C32" s="90" t="n">
        <v>0.3832462</v>
      </c>
      <c r="D32" s="90" t="n">
        <v>0.23659745</v>
      </c>
      <c r="E32" s="90" t="n">
        <v>0.070381175</v>
      </c>
      <c r="F32" s="90" t="n">
        <v>0.383483175</v>
      </c>
      <c r="G32" s="90" t="n">
        <v>0</v>
      </c>
      <c r="H32" s="90" t="n">
        <v>0.383483175</v>
      </c>
      <c r="I32" s="90" t="n">
        <v>0.368064307</v>
      </c>
      <c r="J32" s="90" t="n">
        <v>0.3832462</v>
      </c>
      <c r="K32" s="90" t="n">
        <v>0.57</v>
      </c>
    </row>
    <row r="33" customFormat="false" ht="15" hidden="false" customHeight="false" outlineLevel="0" collapsed="false">
      <c r="A33" s="4" t="n">
        <v>28</v>
      </c>
      <c r="B33" s="85" t="str">
        <f aca="false">'Food Data'!D33</f>
        <v>Cheddar cheese</v>
      </c>
      <c r="C33" s="90" t="n">
        <v>0</v>
      </c>
      <c r="D33" s="90" t="n">
        <v>0</v>
      </c>
      <c r="E33" s="90" t="n">
        <v>0.42</v>
      </c>
      <c r="F33" s="90" t="n">
        <v>0</v>
      </c>
      <c r="G33" s="90" t="n">
        <v>0</v>
      </c>
      <c r="H33" s="90" t="n">
        <v>0</v>
      </c>
      <c r="I33" s="90" t="n">
        <v>0</v>
      </c>
      <c r="J33" s="90" t="n">
        <v>0</v>
      </c>
      <c r="K33" s="90" t="n">
        <v>0.28</v>
      </c>
    </row>
    <row r="34" customFormat="false" ht="15" hidden="false" customHeight="false" outlineLevel="0" collapsed="false">
      <c r="A34" s="4" t="n">
        <v>29</v>
      </c>
      <c r="B34" s="85" t="str">
        <f aca="false">'Food Data'!D34</f>
        <v>Cottage cheese (2%)</v>
      </c>
      <c r="C34" s="90" t="n">
        <v>0</v>
      </c>
      <c r="D34" s="90" t="n">
        <v>0.663886346</v>
      </c>
      <c r="E34" s="90" t="n">
        <v>0</v>
      </c>
      <c r="F34" s="90" t="n">
        <v>0</v>
      </c>
      <c r="G34" s="90" t="n">
        <v>0</v>
      </c>
      <c r="H34" s="90" t="n">
        <v>0</v>
      </c>
      <c r="I34" s="90" t="n">
        <v>0</v>
      </c>
      <c r="J34" s="90" t="n">
        <v>0</v>
      </c>
      <c r="K34" s="90" t="n">
        <v>0</v>
      </c>
    </row>
    <row r="35" customFormat="false" ht="15" hidden="false" customHeight="false" outlineLevel="0" collapsed="false">
      <c r="A35" s="4" t="n">
        <v>30</v>
      </c>
      <c r="B35" s="85" t="str">
        <f aca="false">'Food Data'!D35</f>
        <v>Mozzarella string cheese</v>
      </c>
      <c r="C35" s="90" t="n">
        <v>0</v>
      </c>
      <c r="D35" s="90" t="n">
        <v>0</v>
      </c>
      <c r="E35" s="90" t="n">
        <v>0</v>
      </c>
      <c r="F35" s="90" t="n">
        <v>0</v>
      </c>
      <c r="G35" s="90" t="n">
        <v>0</v>
      </c>
      <c r="H35" s="90" t="n">
        <v>0</v>
      </c>
      <c r="I35" s="90" t="n">
        <v>0</v>
      </c>
      <c r="J35" s="90" t="n">
        <v>0</v>
      </c>
      <c r="K35" s="90" t="n">
        <v>0</v>
      </c>
    </row>
    <row r="36" customFormat="false" ht="15" hidden="false" customHeight="false" outlineLevel="0" collapsed="false">
      <c r="A36" s="4" t="n">
        <v>31</v>
      </c>
      <c r="B36" s="85" t="str">
        <f aca="false">'Food Data'!D36</f>
        <v>Bagels (plain)</v>
      </c>
      <c r="C36" s="90" t="n">
        <v>0</v>
      </c>
      <c r="D36" s="90" t="n">
        <v>0.746808806</v>
      </c>
      <c r="E36" s="90" t="n">
        <v>0</v>
      </c>
      <c r="F36" s="90" t="n">
        <v>0</v>
      </c>
      <c r="G36" s="90" t="n">
        <v>0</v>
      </c>
      <c r="H36" s="90" t="n">
        <v>0</v>
      </c>
      <c r="I36" s="90" t="n">
        <v>0</v>
      </c>
      <c r="J36" s="90" t="n">
        <v>0</v>
      </c>
      <c r="K36" s="90" t="n">
        <v>0.94</v>
      </c>
    </row>
    <row r="37" customFormat="false" ht="15" hidden="false" customHeight="false" outlineLevel="0" collapsed="false">
      <c r="A37" s="4" t="n">
        <v>32</v>
      </c>
      <c r="B37" s="85" t="str">
        <f aca="false">'Food Data'!D37</f>
        <v>Brown rice, cooked</v>
      </c>
      <c r="C37" s="90" t="n">
        <v>1.086315138</v>
      </c>
      <c r="D37" s="90" t="n">
        <v>0.535632025</v>
      </c>
      <c r="E37" s="90" t="n">
        <v>0</v>
      </c>
      <c r="F37" s="90" t="n">
        <v>1.13625</v>
      </c>
      <c r="G37" s="90" t="n">
        <v>1.64125</v>
      </c>
      <c r="H37" s="90" t="n">
        <v>1.13625</v>
      </c>
      <c r="I37" s="90" t="n">
        <v>1.64125</v>
      </c>
      <c r="J37" s="90" t="n">
        <v>1.086315138</v>
      </c>
      <c r="K37" s="90" t="n">
        <v>0</v>
      </c>
    </row>
    <row r="38" customFormat="false" ht="15" hidden="false" customHeight="false" outlineLevel="0" collapsed="false">
      <c r="A38" s="4" t="n">
        <v>33</v>
      </c>
      <c r="B38" s="85" t="str">
        <f aca="false">'Food Data'!D38</f>
        <v>Cheerios</v>
      </c>
      <c r="C38" s="90" t="n">
        <v>0</v>
      </c>
      <c r="D38" s="90" t="n">
        <v>0</v>
      </c>
      <c r="E38" s="90" t="n">
        <v>0</v>
      </c>
      <c r="F38" s="90" t="n">
        <v>0</v>
      </c>
      <c r="G38" s="90" t="n">
        <v>0</v>
      </c>
      <c r="H38" s="90" t="n">
        <v>0</v>
      </c>
      <c r="I38" s="90" t="n">
        <v>0.351843888</v>
      </c>
      <c r="J38" s="90" t="n">
        <v>0</v>
      </c>
      <c r="K38" s="90" t="n">
        <v>0</v>
      </c>
    </row>
    <row r="39" customFormat="false" ht="15" hidden="false" customHeight="false" outlineLevel="0" collapsed="false">
      <c r="A39" s="4" t="n">
        <v>34</v>
      </c>
      <c r="B39" s="85" t="str">
        <f aca="false">'Food Data'!D39</f>
        <v>Corn tortillas</v>
      </c>
      <c r="C39" s="90" t="n">
        <v>0</v>
      </c>
      <c r="D39" s="90" t="n">
        <v>0</v>
      </c>
      <c r="E39" s="90" t="n">
        <v>0</v>
      </c>
      <c r="F39" s="90" t="n">
        <v>0</v>
      </c>
      <c r="G39" s="90" t="n">
        <v>0</v>
      </c>
      <c r="H39" s="90" t="n">
        <v>0</v>
      </c>
      <c r="I39" s="90" t="n">
        <v>0</v>
      </c>
      <c r="J39" s="90" t="n">
        <v>0</v>
      </c>
      <c r="K39" s="90" t="n">
        <v>0</v>
      </c>
    </row>
    <row r="40" customFormat="false" ht="15" hidden="false" customHeight="false" outlineLevel="0" collapsed="false">
      <c r="A40" s="4" t="n">
        <v>35</v>
      </c>
      <c r="B40" s="85" t="str">
        <f aca="false">'Food Data'!D40</f>
        <v>Flour tortillas</v>
      </c>
      <c r="C40" s="90" t="n">
        <v>0</v>
      </c>
      <c r="D40" s="90" t="n">
        <v>0</v>
      </c>
      <c r="E40" s="90" t="n">
        <v>0.744201074</v>
      </c>
      <c r="F40" s="90" t="n">
        <v>0</v>
      </c>
      <c r="G40" s="90" t="n">
        <v>0</v>
      </c>
      <c r="H40" s="90" t="n">
        <v>0</v>
      </c>
      <c r="I40" s="90" t="n">
        <v>0</v>
      </c>
      <c r="J40" s="90" t="n">
        <v>0</v>
      </c>
      <c r="K40" s="90" t="n">
        <v>0</v>
      </c>
    </row>
    <row r="41" customFormat="false" ht="15" hidden="false" customHeight="false" outlineLevel="0" collapsed="false">
      <c r="A41" s="4" t="n">
        <v>36</v>
      </c>
      <c r="B41" s="85" t="str">
        <f aca="false">'Food Data'!D41</f>
        <v>Oatmeal (made with water)</v>
      </c>
      <c r="C41" s="90" t="n">
        <v>1.90125</v>
      </c>
      <c r="D41" s="90" t="n">
        <v>1.90125</v>
      </c>
      <c r="E41" s="90" t="n">
        <v>1.90125</v>
      </c>
      <c r="F41" s="90" t="n">
        <v>1.90125</v>
      </c>
      <c r="G41" s="90" t="n">
        <v>1.90125</v>
      </c>
      <c r="H41" s="90" t="n">
        <v>1.90125</v>
      </c>
      <c r="I41" s="90" t="n">
        <v>0</v>
      </c>
      <c r="J41" s="90" t="n">
        <v>1.90125</v>
      </c>
      <c r="K41" s="90" t="n">
        <v>0</v>
      </c>
    </row>
    <row r="42" customFormat="false" ht="15" hidden="false" customHeight="false" outlineLevel="0" collapsed="false">
      <c r="A42" s="4" t="n">
        <v>37</v>
      </c>
      <c r="B42" s="85" t="str">
        <f aca="false">'Food Data'!D42</f>
        <v>Quinoa, cooked</v>
      </c>
      <c r="C42" s="90" t="n">
        <v>0</v>
      </c>
      <c r="D42" s="90" t="n">
        <v>0</v>
      </c>
      <c r="E42" s="90" t="n">
        <v>0.236325553</v>
      </c>
      <c r="F42" s="90" t="n">
        <v>0</v>
      </c>
      <c r="G42" s="90" t="n">
        <v>0</v>
      </c>
      <c r="H42" s="90" t="n">
        <v>0</v>
      </c>
      <c r="I42" s="90" t="n">
        <v>0.68158086</v>
      </c>
      <c r="J42" s="90" t="n">
        <v>0</v>
      </c>
      <c r="K42" s="90" t="n">
        <v>0</v>
      </c>
    </row>
    <row r="43" customFormat="false" ht="15" hidden="false" customHeight="false" outlineLevel="0" collapsed="false">
      <c r="A43" s="4" t="n">
        <v>38</v>
      </c>
      <c r="B43" s="85" t="str">
        <f aca="false">'Food Data'!D43</f>
        <v>Spaghetti, cooked</v>
      </c>
      <c r="C43" s="90" t="n">
        <v>0</v>
      </c>
      <c r="D43" s="90" t="n">
        <v>1.697655747</v>
      </c>
      <c r="E43" s="90" t="n">
        <v>0.635386439</v>
      </c>
      <c r="F43" s="90" t="n">
        <v>3.72</v>
      </c>
      <c r="G43" s="90" t="n">
        <v>3.72</v>
      </c>
      <c r="H43" s="90" t="n">
        <v>3.72</v>
      </c>
      <c r="I43" s="90" t="n">
        <v>0</v>
      </c>
      <c r="J43" s="90" t="n">
        <v>0</v>
      </c>
      <c r="K43" s="90" t="n">
        <v>3.83</v>
      </c>
    </row>
    <row r="44" customFormat="false" ht="15" hidden="false" customHeight="false" outlineLevel="0" collapsed="false">
      <c r="A44" s="4" t="n">
        <v>39</v>
      </c>
      <c r="B44" s="85" t="str">
        <f aca="false">'Food Data'!D44</f>
        <v>White bread</v>
      </c>
      <c r="C44" s="90" t="n">
        <v>0</v>
      </c>
      <c r="D44" s="90" t="n">
        <v>0</v>
      </c>
      <c r="E44" s="90" t="n">
        <v>0</v>
      </c>
      <c r="F44" s="90" t="n">
        <v>0</v>
      </c>
      <c r="G44" s="90" t="n">
        <v>0</v>
      </c>
      <c r="H44" s="90" t="n">
        <v>0</v>
      </c>
      <c r="I44" s="90" t="n">
        <v>0</v>
      </c>
      <c r="J44" s="90" t="n">
        <v>0</v>
      </c>
      <c r="K44" s="90" t="n">
        <v>1.12</v>
      </c>
    </row>
    <row r="45" customFormat="false" ht="15" hidden="false" customHeight="false" outlineLevel="0" collapsed="false">
      <c r="A45" s="4" t="n">
        <v>40</v>
      </c>
      <c r="B45" s="85" t="str">
        <f aca="false">'Food Data'!D45</f>
        <v>White rice, cooked</v>
      </c>
      <c r="C45" s="90" t="n">
        <v>4.700942039</v>
      </c>
      <c r="D45" s="90" t="n">
        <v>0</v>
      </c>
      <c r="E45" s="90" t="n">
        <v>0</v>
      </c>
      <c r="F45" s="90" t="n">
        <v>0</v>
      </c>
      <c r="G45" s="90" t="n">
        <v>0</v>
      </c>
      <c r="H45" s="90" t="n">
        <v>0</v>
      </c>
      <c r="I45" s="90" t="n">
        <v>2.858559296</v>
      </c>
      <c r="J45" s="90" t="n">
        <v>4.700942039</v>
      </c>
      <c r="K45" s="90" t="n">
        <v>0</v>
      </c>
    </row>
    <row r="46" customFormat="false" ht="15" hidden="false" customHeight="false" outlineLevel="0" collapsed="false">
      <c r="A46" s="4" t="n">
        <v>41</v>
      </c>
      <c r="B46" s="85" t="str">
        <f aca="false">'Food Data'!D46</f>
        <v>Whole-wheat bread</v>
      </c>
      <c r="C46" s="90" t="n">
        <v>0.52</v>
      </c>
      <c r="D46" s="90" t="n">
        <v>0.52</v>
      </c>
      <c r="E46" s="90" t="n">
        <v>0.52</v>
      </c>
      <c r="F46" s="90" t="n">
        <v>0.52</v>
      </c>
      <c r="G46" s="90" t="n">
        <v>0.52</v>
      </c>
      <c r="H46" s="90" t="n">
        <v>0.52</v>
      </c>
      <c r="I46" s="90" t="n">
        <v>0</v>
      </c>
      <c r="J46" s="90" t="n">
        <v>0.52</v>
      </c>
      <c r="K46" s="90" t="n">
        <v>0</v>
      </c>
    </row>
    <row r="47" customFormat="false" ht="15" hidden="false" customHeight="false" outlineLevel="0" collapsed="false">
      <c r="A47" s="4" t="n">
        <v>42</v>
      </c>
      <c r="B47" s="85" t="str">
        <f aca="false">'Food Data'!D47</f>
        <v>Whole-wheat spaghetti, cooked</v>
      </c>
      <c r="C47" s="90" t="n">
        <v>0.950625</v>
      </c>
      <c r="D47" s="90" t="n">
        <v>0.950625</v>
      </c>
      <c r="E47" s="90" t="n">
        <v>0</v>
      </c>
      <c r="F47" s="90" t="n">
        <v>0.950625</v>
      </c>
      <c r="G47" s="90" t="n">
        <v>0.658125</v>
      </c>
      <c r="H47" s="90" t="n">
        <v>0.950625</v>
      </c>
      <c r="I47" s="90" t="n">
        <v>0</v>
      </c>
      <c r="J47" s="90" t="n">
        <v>0.950625</v>
      </c>
      <c r="K47" s="90" t="n">
        <v>0</v>
      </c>
    </row>
    <row r="48" customFormat="false" ht="15" hidden="false" customHeight="false" outlineLevel="0" collapsed="false">
      <c r="A48" s="4" t="n">
        <v>43</v>
      </c>
      <c r="B48" s="85" t="str">
        <f aca="false">'Food Data'!D48</f>
        <v>Baked potato (with skin)</v>
      </c>
      <c r="C48" s="90" t="n">
        <v>0</v>
      </c>
      <c r="D48" s="90" t="n">
        <v>0</v>
      </c>
      <c r="E48" s="90" t="n">
        <v>0</v>
      </c>
      <c r="F48" s="90" t="n">
        <v>0</v>
      </c>
      <c r="G48" s="90" t="n">
        <v>0</v>
      </c>
      <c r="H48" s="90" t="n">
        <v>0</v>
      </c>
      <c r="I48" s="90" t="n">
        <v>0</v>
      </c>
      <c r="J48" s="90" t="n">
        <v>0</v>
      </c>
      <c r="K48" s="90" t="n">
        <v>0</v>
      </c>
    </row>
    <row r="49" customFormat="false" ht="15" hidden="false" customHeight="false" outlineLevel="0" collapsed="false">
      <c r="A49" s="4" t="n">
        <v>44</v>
      </c>
      <c r="B49" s="85" t="str">
        <f aca="false">'Food Data'!D49</f>
        <v>Baked sweet potato</v>
      </c>
      <c r="C49" s="90" t="n">
        <v>0</v>
      </c>
      <c r="D49" s="90" t="n">
        <v>0</v>
      </c>
      <c r="E49" s="90" t="n">
        <v>0</v>
      </c>
      <c r="F49" s="90" t="n">
        <v>0</v>
      </c>
      <c r="G49" s="90" t="n">
        <v>0</v>
      </c>
      <c r="H49" s="90" t="n">
        <v>0</v>
      </c>
      <c r="I49" s="90" t="n">
        <v>0</v>
      </c>
      <c r="J49" s="90" t="n">
        <v>0</v>
      </c>
      <c r="K49" s="90" t="n">
        <v>0</v>
      </c>
    </row>
    <row r="50" customFormat="false" ht="15" hidden="false" customHeight="false" outlineLevel="0" collapsed="false">
      <c r="A50" s="4" t="n">
        <v>45</v>
      </c>
      <c r="B50" s="85" t="str">
        <f aca="false">'Food Data'!D50</f>
        <v>Corn, cooked (from frozen)</v>
      </c>
      <c r="C50" s="90" t="n">
        <v>0</v>
      </c>
      <c r="D50" s="90" t="n">
        <v>2.0625</v>
      </c>
      <c r="E50" s="90" t="n">
        <v>0</v>
      </c>
      <c r="F50" s="90" t="n">
        <v>1.000578745</v>
      </c>
      <c r="G50" s="90" t="n">
        <v>2.0625</v>
      </c>
      <c r="H50" s="90" t="n">
        <v>1.000578745</v>
      </c>
      <c r="I50" s="90" t="n">
        <v>2.0625</v>
      </c>
      <c r="J50" s="90" t="n">
        <v>0</v>
      </c>
      <c r="K50" s="90" t="n">
        <v>0</v>
      </c>
    </row>
    <row r="51" customFormat="false" ht="15" hidden="false" customHeight="false" outlineLevel="0" collapsed="false">
      <c r="A51" s="4" t="n">
        <v>46</v>
      </c>
      <c r="B51" s="85" t="str">
        <f aca="false">'Food Data'!D51</f>
        <v>Apples (Gala)</v>
      </c>
      <c r="C51" s="90" t="n">
        <v>1.553053254</v>
      </c>
      <c r="D51" s="90" t="n">
        <v>1.471514266</v>
      </c>
      <c r="E51" s="90" t="n">
        <v>0.894753574</v>
      </c>
      <c r="F51" s="90" t="n">
        <v>1.5625</v>
      </c>
      <c r="G51" s="90" t="n">
        <v>1.5625</v>
      </c>
      <c r="H51" s="90" t="n">
        <v>1.5625</v>
      </c>
      <c r="I51" s="90" t="n">
        <v>1.095348012</v>
      </c>
      <c r="J51" s="90" t="n">
        <v>1.553053254</v>
      </c>
      <c r="K51" s="90" t="n">
        <v>0</v>
      </c>
    </row>
    <row r="52" customFormat="false" ht="15" hidden="false" customHeight="false" outlineLevel="0" collapsed="false">
      <c r="A52" s="4" t="n">
        <v>47</v>
      </c>
      <c r="B52" s="85" t="str">
        <f aca="false">'Food Data'!D52</f>
        <v>Bananas</v>
      </c>
      <c r="C52" s="90" t="n">
        <v>1.475</v>
      </c>
      <c r="D52" s="90" t="n">
        <v>1.475</v>
      </c>
      <c r="E52" s="90" t="n">
        <v>1.475</v>
      </c>
      <c r="F52" s="90" t="n">
        <v>1.475</v>
      </c>
      <c r="G52" s="90" t="n">
        <v>1.475</v>
      </c>
      <c r="H52" s="90" t="n">
        <v>1.475</v>
      </c>
      <c r="I52" s="90" t="n">
        <v>1.475</v>
      </c>
      <c r="J52" s="90" t="n">
        <v>1.475</v>
      </c>
      <c r="K52" s="90" t="n">
        <v>0</v>
      </c>
    </row>
    <row r="53" customFormat="false" ht="15" hidden="false" customHeight="false" outlineLevel="0" collapsed="false">
      <c r="A53" s="4" t="n">
        <v>48</v>
      </c>
      <c r="B53" s="85" t="str">
        <f aca="false">'Food Data'!D53</f>
        <v>Blueberries (frozen)</v>
      </c>
      <c r="C53" s="90" t="n">
        <v>0</v>
      </c>
      <c r="D53" s="90" t="n">
        <v>0</v>
      </c>
      <c r="E53" s="90" t="n">
        <v>0</v>
      </c>
      <c r="F53" s="90" t="n">
        <v>0</v>
      </c>
      <c r="G53" s="90" t="n">
        <v>0</v>
      </c>
      <c r="H53" s="90" t="n">
        <v>0</v>
      </c>
      <c r="I53" s="90" t="n">
        <v>0</v>
      </c>
      <c r="J53" s="90" t="n">
        <v>0</v>
      </c>
      <c r="K53" s="90" t="n">
        <v>0</v>
      </c>
    </row>
    <row r="54" customFormat="false" ht="15" hidden="false" customHeight="false" outlineLevel="0" collapsed="false">
      <c r="A54" s="4" t="n">
        <v>49</v>
      </c>
      <c r="B54" s="85" t="str">
        <f aca="false">'Food Data'!D54</f>
        <v>Grapes (red seedless)</v>
      </c>
      <c r="C54" s="90" t="n">
        <v>0</v>
      </c>
      <c r="D54" s="90" t="n">
        <v>0</v>
      </c>
      <c r="E54" s="90" t="n">
        <v>0</v>
      </c>
      <c r="F54" s="90" t="n">
        <v>0</v>
      </c>
      <c r="G54" s="90" t="n">
        <v>0</v>
      </c>
      <c r="H54" s="90" t="n">
        <v>0</v>
      </c>
      <c r="I54" s="90" t="n">
        <v>0</v>
      </c>
      <c r="J54" s="90" t="n">
        <v>0</v>
      </c>
      <c r="K54" s="90" t="n">
        <v>0</v>
      </c>
    </row>
    <row r="55" customFormat="false" ht="15" hidden="false" customHeight="false" outlineLevel="0" collapsed="false">
      <c r="A55" s="4" t="n">
        <v>50</v>
      </c>
      <c r="B55" s="85" t="str">
        <f aca="false">'Food Data'!D55</f>
        <v>Orange juice (100%)</v>
      </c>
      <c r="C55" s="90" t="n">
        <v>0.018817917</v>
      </c>
      <c r="D55" s="90" t="n">
        <v>0.181243583</v>
      </c>
      <c r="E55" s="90" t="n">
        <v>1.33015088</v>
      </c>
      <c r="F55" s="90" t="n">
        <v>0</v>
      </c>
      <c r="G55" s="90" t="n">
        <v>0</v>
      </c>
      <c r="H55" s="90" t="n">
        <v>0</v>
      </c>
      <c r="I55" s="90" t="n">
        <v>0.93056676</v>
      </c>
      <c r="J55" s="90" t="n">
        <v>0.018817917</v>
      </c>
      <c r="K55" s="90" t="n">
        <v>2.49</v>
      </c>
    </row>
    <row r="56" customFormat="false" ht="15" hidden="false" customHeight="false" outlineLevel="0" collapsed="false">
      <c r="A56" s="4" t="n">
        <v>51</v>
      </c>
      <c r="B56" s="85" t="str">
        <f aca="false">'Food Data'!D56</f>
        <v>Oranges (navel)</v>
      </c>
      <c r="C56" s="90" t="n">
        <v>0</v>
      </c>
      <c r="D56" s="90" t="n">
        <v>0</v>
      </c>
      <c r="E56" s="90" t="n">
        <v>0</v>
      </c>
      <c r="F56" s="90" t="n">
        <v>0</v>
      </c>
      <c r="G56" s="90" t="n">
        <v>0</v>
      </c>
      <c r="H56" s="90" t="n">
        <v>0</v>
      </c>
      <c r="I56" s="90" t="n">
        <v>0</v>
      </c>
      <c r="J56" s="90" t="n">
        <v>0</v>
      </c>
      <c r="K56" s="90" t="n">
        <v>0</v>
      </c>
    </row>
    <row r="57" customFormat="false" ht="15" hidden="false" customHeight="false" outlineLevel="0" collapsed="false">
      <c r="A57" s="4" t="n">
        <v>52</v>
      </c>
      <c r="B57" s="85" t="str">
        <f aca="false">'Food Data'!D57</f>
        <v>Raisins</v>
      </c>
      <c r="C57" s="90" t="n">
        <v>0</v>
      </c>
      <c r="D57" s="90" t="n">
        <v>0</v>
      </c>
      <c r="E57" s="90" t="n">
        <v>0</v>
      </c>
      <c r="F57" s="90" t="n">
        <v>0</v>
      </c>
      <c r="G57" s="90" t="n">
        <v>0</v>
      </c>
      <c r="H57" s="90" t="n">
        <v>0</v>
      </c>
      <c r="I57" s="90" t="n">
        <v>0</v>
      </c>
      <c r="J57" s="90" t="n">
        <v>0</v>
      </c>
      <c r="K57" s="90" t="n">
        <v>0</v>
      </c>
    </row>
    <row r="58" customFormat="false" ht="15" hidden="false" customHeight="false" outlineLevel="0" collapsed="false">
      <c r="A58" s="4" t="n">
        <v>53</v>
      </c>
      <c r="B58" s="85" t="str">
        <f aca="false">'Food Data'!D58</f>
        <v>Strawberries</v>
      </c>
      <c r="C58" s="90" t="n">
        <v>0</v>
      </c>
      <c r="D58" s="90" t="n">
        <v>0</v>
      </c>
      <c r="E58" s="90" t="n">
        <v>0</v>
      </c>
      <c r="F58" s="90" t="n">
        <v>0</v>
      </c>
      <c r="G58" s="90" t="n">
        <v>0</v>
      </c>
      <c r="H58" s="90" t="n">
        <v>0</v>
      </c>
      <c r="I58" s="90" t="n">
        <v>0</v>
      </c>
      <c r="J58" s="90" t="n">
        <v>0</v>
      </c>
      <c r="K58" s="90" t="n">
        <v>0</v>
      </c>
    </row>
    <row r="59" customFormat="false" ht="15" hidden="false" customHeight="false" outlineLevel="0" collapsed="false">
      <c r="A59" s="4" t="n">
        <v>54</v>
      </c>
      <c r="B59" s="85" t="str">
        <f aca="false">'Food Data'!D59</f>
        <v>Broccoli, cooked (from frozen)</v>
      </c>
      <c r="C59" s="90" t="n">
        <v>0</v>
      </c>
      <c r="D59" s="90" t="n">
        <v>0</v>
      </c>
      <c r="E59" s="90" t="n">
        <v>0</v>
      </c>
      <c r="F59" s="90" t="n">
        <v>0</v>
      </c>
      <c r="G59" s="90" t="n">
        <v>0</v>
      </c>
      <c r="H59" s="90" t="n">
        <v>0</v>
      </c>
      <c r="I59" s="90" t="n">
        <v>0</v>
      </c>
      <c r="J59" s="90" t="n">
        <v>0</v>
      </c>
      <c r="K59" s="90" t="n">
        <v>0</v>
      </c>
    </row>
    <row r="60" customFormat="false" ht="15" hidden="false" customHeight="false" outlineLevel="0" collapsed="false">
      <c r="A60" s="4" t="n">
        <v>55</v>
      </c>
      <c r="B60" s="85" t="str">
        <f aca="false">'Food Data'!D60</f>
        <v>Carrots</v>
      </c>
      <c r="C60" s="90" t="n">
        <v>2.56</v>
      </c>
      <c r="D60" s="90" t="n">
        <v>0</v>
      </c>
      <c r="E60" s="90" t="n">
        <v>0</v>
      </c>
      <c r="F60" s="90" t="n">
        <v>2.56</v>
      </c>
      <c r="G60" s="90" t="n">
        <v>1.6673765</v>
      </c>
      <c r="H60" s="90" t="n">
        <v>2.56</v>
      </c>
      <c r="I60" s="90" t="n">
        <v>2.56</v>
      </c>
      <c r="J60" s="90" t="n">
        <v>2.56</v>
      </c>
      <c r="K60" s="90" t="n">
        <v>0</v>
      </c>
    </row>
    <row r="61" customFormat="false" ht="15" hidden="false" customHeight="false" outlineLevel="0" collapsed="false">
      <c r="A61" s="4" t="n">
        <v>56</v>
      </c>
      <c r="B61" s="85" t="str">
        <f aca="false">'Food Data'!D61</f>
        <v>Green beans (canned, drained)</v>
      </c>
      <c r="C61" s="90" t="n">
        <v>1.0125</v>
      </c>
      <c r="D61" s="90" t="n">
        <v>2.025</v>
      </c>
      <c r="E61" s="90" t="n">
        <v>0.932985314</v>
      </c>
      <c r="F61" s="90" t="n">
        <v>0.193844663</v>
      </c>
      <c r="G61" s="90" t="n">
        <v>0</v>
      </c>
      <c r="H61" s="90" t="n">
        <v>0.193844663</v>
      </c>
      <c r="I61" s="90" t="n">
        <v>0</v>
      </c>
      <c r="J61" s="90" t="n">
        <v>1.0125</v>
      </c>
      <c r="K61" s="90" t="n">
        <v>0</v>
      </c>
    </row>
    <row r="62" customFormat="false" ht="15" hidden="false" customHeight="false" outlineLevel="0" collapsed="false">
      <c r="A62" s="4" t="n">
        <v>57</v>
      </c>
      <c r="B62" s="85" t="str">
        <f aca="false">'Food Data'!D62</f>
        <v>Green bell pepper</v>
      </c>
      <c r="C62" s="90" t="n">
        <v>0</v>
      </c>
      <c r="D62" s="90" t="n">
        <v>0</v>
      </c>
      <c r="E62" s="90" t="n">
        <v>0</v>
      </c>
      <c r="F62" s="90" t="n">
        <v>0</v>
      </c>
      <c r="G62" s="90" t="n">
        <v>0</v>
      </c>
      <c r="H62" s="90" t="n">
        <v>0</v>
      </c>
      <c r="I62" s="90" t="n">
        <v>0</v>
      </c>
      <c r="J62" s="90" t="n">
        <v>0</v>
      </c>
      <c r="K62" s="90" t="n">
        <v>0</v>
      </c>
    </row>
    <row r="63" customFormat="false" ht="15" hidden="false" customHeight="false" outlineLevel="0" collapsed="false">
      <c r="A63" s="4" t="n">
        <v>58</v>
      </c>
      <c r="B63" s="85" t="str">
        <f aca="false">'Food Data'!D63</f>
        <v>Mixed vegetables, cooked (from frozen)</v>
      </c>
      <c r="C63" s="90" t="n">
        <v>0</v>
      </c>
      <c r="D63" s="90" t="n">
        <v>0</v>
      </c>
      <c r="E63" s="90" t="n">
        <v>0.416562748</v>
      </c>
      <c r="F63" s="90" t="n">
        <v>0</v>
      </c>
      <c r="G63" s="90" t="n">
        <v>0.359199038</v>
      </c>
      <c r="H63" s="90" t="n">
        <v>0</v>
      </c>
      <c r="I63" s="90" t="n">
        <v>2.73</v>
      </c>
      <c r="J63" s="90" t="n">
        <v>0</v>
      </c>
      <c r="K63" s="90" t="n">
        <v>0</v>
      </c>
    </row>
    <row r="64" customFormat="false" ht="15" hidden="false" customHeight="false" outlineLevel="0" collapsed="false">
      <c r="A64" s="4" t="n">
        <v>59</v>
      </c>
      <c r="B64" s="85" t="str">
        <f aca="false">'Food Data'!D64</f>
        <v>Onions (yellow)</v>
      </c>
      <c r="C64" s="90" t="n">
        <v>0</v>
      </c>
      <c r="D64" s="90" t="n">
        <v>0</v>
      </c>
      <c r="E64" s="90" t="n">
        <v>0</v>
      </c>
      <c r="F64" s="90" t="n">
        <v>0</v>
      </c>
      <c r="G64" s="90" t="n">
        <v>0</v>
      </c>
      <c r="H64" s="90" t="n">
        <v>0</v>
      </c>
      <c r="I64" s="90" t="n">
        <v>0</v>
      </c>
      <c r="J64" s="90" t="n">
        <v>0</v>
      </c>
      <c r="K64" s="90" t="n">
        <v>0</v>
      </c>
    </row>
    <row r="65" customFormat="false" ht="15" hidden="false" customHeight="false" outlineLevel="0" collapsed="false">
      <c r="A65" s="4" t="n">
        <v>60</v>
      </c>
      <c r="B65" s="85" t="str">
        <f aca="false">'Food Data'!D65</f>
        <v>Romaine lettuce</v>
      </c>
      <c r="C65" s="90" t="n">
        <v>0</v>
      </c>
      <c r="D65" s="90" t="n">
        <v>0</v>
      </c>
      <c r="E65" s="90" t="n">
        <v>0</v>
      </c>
      <c r="F65" s="90" t="n">
        <v>0</v>
      </c>
      <c r="G65" s="90" t="n">
        <v>0</v>
      </c>
      <c r="H65" s="90" t="n">
        <v>0</v>
      </c>
      <c r="I65" s="90" t="n">
        <v>0</v>
      </c>
      <c r="J65" s="90" t="n">
        <v>0</v>
      </c>
      <c r="K65" s="90" t="n">
        <v>0</v>
      </c>
    </row>
    <row r="66" customFormat="false" ht="15" hidden="false" customHeight="false" outlineLevel="0" collapsed="false">
      <c r="A66" s="4" t="n">
        <v>61</v>
      </c>
      <c r="B66" s="85" t="str">
        <f aca="false">'Food Data'!D66</f>
        <v>Spinach (fresh)</v>
      </c>
      <c r="C66" s="90" t="n">
        <v>0</v>
      </c>
      <c r="D66" s="90" t="n">
        <v>0</v>
      </c>
      <c r="E66" s="90" t="n">
        <v>1.098011482</v>
      </c>
      <c r="F66" s="90" t="n">
        <v>0</v>
      </c>
      <c r="G66" s="90" t="n">
        <v>0</v>
      </c>
      <c r="H66" s="90" t="n">
        <v>0</v>
      </c>
      <c r="I66" s="90" t="n">
        <v>0</v>
      </c>
      <c r="J66" s="90" t="n">
        <v>0</v>
      </c>
      <c r="K66" s="90" t="n">
        <v>0</v>
      </c>
    </row>
    <row r="67" customFormat="false" ht="15" hidden="false" customHeight="false" outlineLevel="0" collapsed="false">
      <c r="A67" s="4" t="n">
        <v>62</v>
      </c>
      <c r="B67" s="85" t="str">
        <f aca="false">'Food Data'!D67</f>
        <v>Tomatoes (roma)</v>
      </c>
      <c r="C67" s="90" t="n">
        <v>3.6</v>
      </c>
      <c r="D67" s="90" t="n">
        <v>3.6</v>
      </c>
      <c r="E67" s="90" t="n">
        <v>3.6</v>
      </c>
      <c r="F67" s="90" t="n">
        <v>3.6</v>
      </c>
      <c r="G67" s="90" t="n">
        <v>3.6</v>
      </c>
      <c r="H67" s="90" t="n">
        <v>3.6</v>
      </c>
      <c r="I67" s="90" t="n">
        <v>0</v>
      </c>
      <c r="J67" s="90" t="n">
        <v>3.6</v>
      </c>
      <c r="K67" s="90" t="n">
        <v>0</v>
      </c>
    </row>
    <row r="68" customFormat="false" ht="15" hidden="false" customHeight="false" outlineLevel="0" collapsed="false">
      <c r="A68" s="4" t="n">
        <v>63</v>
      </c>
      <c r="B68" s="85" t="str">
        <f aca="false">'Food Data'!D68</f>
        <v>Butter (salted)</v>
      </c>
      <c r="C68" s="90" t="n">
        <v>0.165655</v>
      </c>
      <c r="D68" s="90" t="n">
        <v>0.165655</v>
      </c>
      <c r="E68" s="90" t="n">
        <v>0</v>
      </c>
      <c r="F68" s="90" t="n">
        <v>0.165655</v>
      </c>
      <c r="G68" s="90" t="n">
        <v>0</v>
      </c>
      <c r="H68" s="90" t="n">
        <v>0.165655</v>
      </c>
      <c r="I68" s="90" t="n">
        <v>0.165655</v>
      </c>
      <c r="J68" s="90" t="n">
        <v>0.165655</v>
      </c>
      <c r="K68" s="90" t="n">
        <v>0.142</v>
      </c>
    </row>
    <row r="69" customFormat="false" ht="15" hidden="false" customHeight="false" outlineLevel="0" collapsed="false">
      <c r="A69" s="4" t="n">
        <v>64</v>
      </c>
      <c r="B69" s="85" t="str">
        <f aca="false">'Food Data'!D69</f>
        <v>Canola oil</v>
      </c>
      <c r="C69" s="90" t="n">
        <v>0.163345</v>
      </c>
      <c r="D69" s="90" t="n">
        <v>0.163345</v>
      </c>
      <c r="E69" s="90" t="n">
        <v>0.163345</v>
      </c>
      <c r="F69" s="90" t="n">
        <v>0.163345</v>
      </c>
      <c r="G69" s="90" t="n">
        <v>0.163345</v>
      </c>
      <c r="H69" s="90" t="n">
        <v>0.163345</v>
      </c>
      <c r="I69" s="90" t="n">
        <v>0.163345</v>
      </c>
      <c r="J69" s="90" t="n">
        <v>0.163345</v>
      </c>
      <c r="K69" s="90" t="n">
        <v>0</v>
      </c>
    </row>
    <row r="70" customFormat="false" ht="15" hidden="false" customHeight="false" outlineLevel="0" collapsed="false">
      <c r="A70" s="4" t="n">
        <v>65</v>
      </c>
      <c r="B70" s="85" t="str">
        <f aca="false">'Food Data'!D70</f>
        <v>Olive oil (extra virgin)</v>
      </c>
      <c r="C70" s="90" t="n">
        <v>0</v>
      </c>
      <c r="D70" s="90" t="n">
        <v>0</v>
      </c>
      <c r="E70" s="90" t="n">
        <v>0.1575</v>
      </c>
      <c r="F70" s="90" t="n">
        <v>0</v>
      </c>
      <c r="G70" s="90" t="n">
        <v>0.1575</v>
      </c>
      <c r="H70" s="90" t="n">
        <v>0</v>
      </c>
      <c r="I70" s="90" t="n">
        <v>0</v>
      </c>
      <c r="J70" s="90" t="n">
        <v>0</v>
      </c>
      <c r="K70" s="90" t="n">
        <v>0</v>
      </c>
    </row>
    <row r="71" customFormat="false" ht="15" hidden="false" customHeight="false" outlineLevel="0" collapsed="false">
      <c r="A71" s="4" t="n">
        <v>66</v>
      </c>
      <c r="B71" s="85" t="str">
        <f aca="false">'Food Data'!D71</f>
        <v>Almonds</v>
      </c>
      <c r="C71" s="90" t="n">
        <v>0</v>
      </c>
      <c r="D71" s="90" t="n">
        <v>0</v>
      </c>
      <c r="E71" s="90" t="n">
        <v>0.161420639</v>
      </c>
      <c r="F71" s="90" t="n">
        <v>0</v>
      </c>
      <c r="G71" s="90" t="n">
        <v>0</v>
      </c>
      <c r="H71" s="90" t="n">
        <v>0</v>
      </c>
      <c r="I71" s="90" t="n">
        <v>0</v>
      </c>
      <c r="J71" s="90" t="n">
        <v>0</v>
      </c>
      <c r="K71" s="90" t="n">
        <v>0</v>
      </c>
    </row>
    <row r="72" customFormat="false" ht="15" hidden="false" customHeight="false" outlineLevel="0" collapsed="false">
      <c r="A72" s="4" t="n">
        <v>67</v>
      </c>
      <c r="B72" s="85" t="str">
        <f aca="false">'Food Data'!D72</f>
        <v>Avocado (Hass)</v>
      </c>
      <c r="C72" s="90" t="n">
        <v>0</v>
      </c>
      <c r="D72" s="90" t="n">
        <v>0</v>
      </c>
      <c r="E72" s="90" t="n">
        <v>1.36</v>
      </c>
      <c r="F72" s="90" t="n">
        <v>0</v>
      </c>
      <c r="G72" s="90" t="n">
        <v>0</v>
      </c>
      <c r="H72" s="90" t="n">
        <v>0</v>
      </c>
      <c r="I72" s="90" t="n">
        <v>0</v>
      </c>
      <c r="J72" s="90" t="n">
        <v>0</v>
      </c>
      <c r="K72" s="90" t="n">
        <v>0</v>
      </c>
    </row>
    <row r="73" customFormat="false" ht="15" hidden="false" customHeight="false" outlineLevel="0" collapsed="false">
      <c r="A73" s="4" t="n">
        <v>68</v>
      </c>
      <c r="B73" s="85" t="str">
        <f aca="false">'Food Data'!D73</f>
        <v>Chocolate chip cookies</v>
      </c>
      <c r="C73" s="90" t="n">
        <v>0</v>
      </c>
      <c r="D73" s="90" t="n">
        <v>0</v>
      </c>
      <c r="E73" s="90" t="n">
        <v>0</v>
      </c>
      <c r="F73" s="90" t="n">
        <v>0</v>
      </c>
      <c r="G73" s="90" t="n">
        <v>0</v>
      </c>
      <c r="H73" s="90" t="n">
        <v>0</v>
      </c>
      <c r="I73" s="90" t="n">
        <v>0</v>
      </c>
      <c r="J73" s="90" t="n">
        <v>0</v>
      </c>
      <c r="K73" s="90" t="n">
        <v>0.52</v>
      </c>
    </row>
    <row r="74" customFormat="false" ht="15" hidden="false" customHeight="false" outlineLevel="0" collapsed="false">
      <c r="A74" s="4" t="n">
        <v>69</v>
      </c>
      <c r="B74" s="85" t="str">
        <f aca="false">'Food Data'!D74</f>
        <v>Granola bars (chocolate chip)</v>
      </c>
      <c r="C74" s="90" t="n">
        <v>0</v>
      </c>
      <c r="D74" s="90" t="n">
        <v>0</v>
      </c>
      <c r="E74" s="90" t="n">
        <v>0</v>
      </c>
      <c r="F74" s="90" t="n">
        <v>0</v>
      </c>
      <c r="G74" s="90" t="n">
        <v>0</v>
      </c>
      <c r="H74" s="90" t="n">
        <v>0</v>
      </c>
      <c r="I74" s="90" t="n">
        <v>0</v>
      </c>
      <c r="J74" s="90" t="n">
        <v>0</v>
      </c>
      <c r="K74" s="90" t="n">
        <v>0</v>
      </c>
    </row>
    <row r="75" customFormat="false" ht="15" hidden="false" customHeight="false" outlineLevel="0" collapsed="false">
      <c r="A75" s="4" t="n">
        <v>70</v>
      </c>
      <c r="B75" s="85" t="str">
        <f aca="false">'Food Data'!D75</f>
        <v>Potato chips</v>
      </c>
      <c r="C75" s="90" t="n">
        <v>0</v>
      </c>
      <c r="D75" s="90" t="n">
        <v>0</v>
      </c>
      <c r="E75" s="90" t="n">
        <v>0.28</v>
      </c>
      <c r="F75" s="90" t="n">
        <v>0</v>
      </c>
      <c r="G75" s="90" t="n">
        <v>0</v>
      </c>
      <c r="H75" s="90" t="n">
        <v>0</v>
      </c>
      <c r="I75" s="90" t="n">
        <v>0</v>
      </c>
      <c r="J75" s="90" t="n">
        <v>0</v>
      </c>
      <c r="K75" s="90" t="n">
        <v>0.56</v>
      </c>
    </row>
    <row r="76" customFormat="false" ht="15" hidden="false" customHeight="false" outlineLevel="0" collapsed="false">
      <c r="A76" s="4" t="n">
        <v>71</v>
      </c>
      <c r="B76" s="85" t="str">
        <f aca="false">'Food Data'!D76</f>
        <v>Vanilla ice cream</v>
      </c>
      <c r="C76" s="90" t="n">
        <v>0</v>
      </c>
      <c r="D76" s="90" t="n">
        <v>0</v>
      </c>
      <c r="E76" s="90" t="n">
        <v>0</v>
      </c>
      <c r="F76" s="90" t="n">
        <v>0</v>
      </c>
      <c r="G76" s="90" t="n">
        <v>0</v>
      </c>
      <c r="H76" s="90" t="n">
        <v>0</v>
      </c>
      <c r="I76" s="90" t="n">
        <v>0</v>
      </c>
      <c r="J76" s="90" t="n">
        <v>0</v>
      </c>
      <c r="K76" s="90" t="n">
        <v>1.32</v>
      </c>
    </row>
    <row r="78" customFormat="false" ht="15" hidden="false" customHeight="false" outlineLevel="0" collapsed="false">
      <c r="B78" s="69" t="s">
        <v>818</v>
      </c>
      <c r="C78" s="87" t="n">
        <f aca="false">SUMPRODUCT('Food Data'!$M$6:$M$76,C6:C76)</f>
        <v>6.14483213188731</v>
      </c>
      <c r="D78" s="87" t="n">
        <f aca="false">SUMPRODUCT('Food Data'!$M$6:$M$76,D6:D76)</f>
        <v>9.33855554556747</v>
      </c>
      <c r="E78" s="87" t="n">
        <f aca="false">SUMPRODUCT('Food Data'!$M$6:$M$76,E6:E76)</f>
        <v>10.1167779370375</v>
      </c>
      <c r="F78" s="87" t="n">
        <f aca="false">SUMPRODUCT('Food Data'!$M$6:$M$76,F6:F76)</f>
        <v>6.2081805024269</v>
      </c>
      <c r="G78" s="87" t="n">
        <f aca="false">SUMPRODUCT('Food Data'!$M$6:$M$76,G6:G76)</f>
        <v>7.80964357102658</v>
      </c>
      <c r="H78" s="87" t="n">
        <f aca="false">SUMPRODUCT('Food Data'!$M$6:$M$76,H6:H76)</f>
        <v>6.2081805024269</v>
      </c>
      <c r="I78" s="87" t="n">
        <f aca="false">SUMPRODUCT('Food Data'!$M$6:$M$76,I6:I76)</f>
        <v>6.72697306530283</v>
      </c>
      <c r="J78" s="87" t="n">
        <f aca="false">SUMPRODUCT('Food Data'!$M$6:$M$76,J6:J76)</f>
        <v>6.14483213188731</v>
      </c>
      <c r="K78" s="87" t="n">
        <f aca="false">SUMPRODUCT('Food Data'!$M$6:$M$76,K6:K76)</f>
        <v>8.9561949102148</v>
      </c>
    </row>
    <row r="79" customFormat="false" ht="15" hidden="false" customHeight="false" outlineLevel="0" collapsed="false">
      <c r="B79" s="69" t="s">
        <v>10</v>
      </c>
      <c r="C79" s="91" t="n">
        <f aca="false">C78*7</f>
        <v>43.0138249232112</v>
      </c>
      <c r="D79" s="91" t="n">
        <f aca="false">D78*7</f>
        <v>65.3698888189723</v>
      </c>
      <c r="E79" s="91" t="n">
        <f aca="false">E78*7</f>
        <v>70.8174455592627</v>
      </c>
      <c r="F79" s="91" t="n">
        <f aca="false">F78*7</f>
        <v>43.4572635169883</v>
      </c>
      <c r="G79" s="91" t="n">
        <f aca="false">G78*7</f>
        <v>54.6675049971861</v>
      </c>
      <c r="H79" s="91" t="n">
        <f aca="false">H78*7</f>
        <v>43.4572635169883</v>
      </c>
      <c r="I79" s="91" t="n">
        <f aca="false">I78*7</f>
        <v>47.0888114571198</v>
      </c>
      <c r="J79" s="91" t="n">
        <f aca="false">J78*7</f>
        <v>43.0138249232112</v>
      </c>
      <c r="K79" s="91" t="n">
        <f aca="false">K78*7</f>
        <v>62.6933643715036</v>
      </c>
    </row>
    <row r="81" customFormat="false" ht="15" hidden="false" customHeight="false" outlineLevel="0" collapsed="false">
      <c r="A81" s="3" t="s">
        <v>819</v>
      </c>
    </row>
    <row r="82" customFormat="false" ht="15" hidden="false" customHeight="false" outlineLevel="0" collapsed="false">
      <c r="B82" s="4" t="s">
        <v>35</v>
      </c>
      <c r="C82" s="92" t="n">
        <f aca="false" t="array" ref="C82:K92">MMULT('Matrix Model'!F20:BX30,C6:K76)</f>
        <v>2945.578089719</v>
      </c>
      <c r="D82" s="92" t="n">
        <v>2878.50000001</v>
      </c>
      <c r="E82" s="92" t="n">
        <v>2878.499999838</v>
      </c>
      <c r="F82" s="92" t="n">
        <v>2944.484391386</v>
      </c>
      <c r="G82" s="92" t="n">
        <v>3022.417046184</v>
      </c>
      <c r="H82" s="92" t="n">
        <v>2944.484391386</v>
      </c>
      <c r="I82" s="92" t="n">
        <v>2878.500000012</v>
      </c>
      <c r="J82" s="92" t="n">
        <v>2945.578089719</v>
      </c>
      <c r="K82" s="92" t="n">
        <v>2866.984</v>
      </c>
    </row>
    <row r="83" customFormat="false" ht="15" hidden="false" customHeight="false" outlineLevel="0" collapsed="false">
      <c r="B83" s="4" t="s">
        <v>37</v>
      </c>
      <c r="C83" s="92" t="n">
        <v>111.99999997945</v>
      </c>
      <c r="D83" s="92" t="n">
        <v>179.90625000226</v>
      </c>
      <c r="E83" s="92" t="n">
        <v>143.92499999554</v>
      </c>
      <c r="F83" s="92" t="n">
        <v>112.00000000111</v>
      </c>
      <c r="G83" s="92" t="n">
        <v>111.99999999841</v>
      </c>
      <c r="H83" s="92" t="n">
        <v>112.00000000111</v>
      </c>
      <c r="I83" s="92" t="n">
        <v>111.99999999747</v>
      </c>
      <c r="J83" s="92" t="n">
        <v>111.99999997945</v>
      </c>
      <c r="K83" s="92" t="n">
        <v>112.694</v>
      </c>
    </row>
    <row r="84" customFormat="false" ht="15" hidden="false" customHeight="false" outlineLevel="0" collapsed="false">
      <c r="B84" s="4" t="s">
        <v>40</v>
      </c>
      <c r="C84" s="92" t="n">
        <v>411.83914741781</v>
      </c>
      <c r="D84" s="92" t="n">
        <v>373.36404963944</v>
      </c>
      <c r="E84" s="92" t="n">
        <v>251.86874998097</v>
      </c>
      <c r="F84" s="92" t="n">
        <v>430.67091481116</v>
      </c>
      <c r="G84" s="92" t="n">
        <v>467.36085498666</v>
      </c>
      <c r="H84" s="92" t="n">
        <v>430.67091481116</v>
      </c>
      <c r="I84" s="92" t="n">
        <v>404.71914174395</v>
      </c>
      <c r="J84" s="92" t="n">
        <v>411.83914741781</v>
      </c>
      <c r="K84" s="92" t="n">
        <v>353.01912</v>
      </c>
    </row>
    <row r="85" customFormat="false" ht="15" hidden="false" customHeight="false" outlineLevel="0" collapsed="false">
      <c r="B85" s="4" t="s">
        <v>46</v>
      </c>
      <c r="C85" s="92" t="n">
        <v>102.56336388446</v>
      </c>
      <c r="D85" s="92" t="n">
        <v>81.39767768298</v>
      </c>
      <c r="E85" s="92" t="n">
        <v>153.8689929164</v>
      </c>
      <c r="F85" s="92" t="n">
        <v>96.98247453343</v>
      </c>
      <c r="G85" s="92" t="n">
        <v>89.97088914124</v>
      </c>
      <c r="H85" s="92" t="n">
        <v>96.98247453343</v>
      </c>
      <c r="I85" s="92" t="n">
        <v>99.88310017293</v>
      </c>
      <c r="J85" s="92" t="n">
        <v>102.56336388446</v>
      </c>
      <c r="K85" s="92" t="n">
        <v>110.99382</v>
      </c>
    </row>
    <row r="86" customFormat="false" ht="15" hidden="false" customHeight="false" outlineLevel="0" collapsed="false">
      <c r="B86" s="4" t="s">
        <v>49</v>
      </c>
      <c r="C86" s="92" t="n">
        <v>53.4172112457</v>
      </c>
      <c r="D86" s="92" t="n">
        <v>51.0957554875</v>
      </c>
      <c r="E86" s="92" t="n">
        <v>41.9999999935</v>
      </c>
      <c r="F86" s="92" t="n">
        <v>66.8272563477</v>
      </c>
      <c r="G86" s="92" t="n">
        <v>69.7497787571</v>
      </c>
      <c r="H86" s="92" t="n">
        <v>66.8272563477</v>
      </c>
      <c r="I86" s="92" t="n">
        <v>58.9921188647</v>
      </c>
      <c r="J86" s="92" t="n">
        <v>53.4172112457</v>
      </c>
      <c r="K86" s="92" t="n">
        <v>15.869</v>
      </c>
    </row>
    <row r="87" customFormat="false" ht="15" hidden="false" customHeight="false" outlineLevel="0" collapsed="false">
      <c r="B87" s="4" t="s">
        <v>52</v>
      </c>
      <c r="C87" s="92" t="n">
        <v>88.15515225964</v>
      </c>
      <c r="D87" s="92" t="n">
        <v>93.63493070837</v>
      </c>
      <c r="E87" s="92" t="n">
        <v>73.53555228622</v>
      </c>
      <c r="F87" s="92" t="n">
        <v>94.12955622559</v>
      </c>
      <c r="G87" s="92" t="n">
        <v>100.38825387695</v>
      </c>
      <c r="H87" s="92" t="n">
        <v>94.12955622559</v>
      </c>
      <c r="I87" s="92" t="n">
        <v>95.80216575362</v>
      </c>
      <c r="J87" s="92" t="n">
        <v>88.15515225964</v>
      </c>
      <c r="K87" s="92" t="n">
        <v>87.51922</v>
      </c>
    </row>
    <row r="88" customFormat="false" ht="15" hidden="false" customHeight="false" outlineLevel="0" collapsed="false">
      <c r="B88" s="4" t="s">
        <v>54</v>
      </c>
      <c r="C88" s="92" t="n">
        <v>1327.102298212</v>
      </c>
      <c r="D88" s="92" t="n">
        <v>1582.287694483</v>
      </c>
      <c r="E88" s="92" t="n">
        <v>1253.372482731</v>
      </c>
      <c r="F88" s="92" t="n">
        <v>1287.369618754</v>
      </c>
      <c r="G88" s="92" t="n">
        <v>1289.218623198</v>
      </c>
      <c r="H88" s="92" t="n">
        <v>1287.369618754</v>
      </c>
      <c r="I88" s="92" t="n">
        <v>1392.52921205</v>
      </c>
      <c r="J88" s="92" t="n">
        <v>1327.102298212</v>
      </c>
      <c r="K88" s="92" t="n">
        <v>1442.478</v>
      </c>
    </row>
    <row r="89" customFormat="false" ht="15" hidden="false" customHeight="false" outlineLevel="0" collapsed="false">
      <c r="B89" s="4" t="s">
        <v>56</v>
      </c>
      <c r="C89" s="92" t="n">
        <v>20.28119106197</v>
      </c>
      <c r="D89" s="92" t="n">
        <v>21.27645382377</v>
      </c>
      <c r="E89" s="92" t="n">
        <v>18.11328073127</v>
      </c>
      <c r="F89" s="92" t="n">
        <v>21.33307450383</v>
      </c>
      <c r="G89" s="92" t="n">
        <v>24.48552824373</v>
      </c>
      <c r="H89" s="92" t="n">
        <v>21.33307450383</v>
      </c>
      <c r="I89" s="92" t="n">
        <v>27.79852102516</v>
      </c>
      <c r="J89" s="92" t="n">
        <v>20.28119106197</v>
      </c>
      <c r="K89" s="92" t="n">
        <v>19.50724</v>
      </c>
    </row>
    <row r="90" customFormat="false" ht="15" hidden="false" customHeight="false" outlineLevel="0" collapsed="false">
      <c r="B90" s="4" t="s">
        <v>58</v>
      </c>
      <c r="C90" s="92" t="n">
        <v>4995.983882091</v>
      </c>
      <c r="D90" s="92" t="n">
        <v>5176.225510146</v>
      </c>
      <c r="E90" s="92" t="n">
        <v>5366.993409915</v>
      </c>
      <c r="F90" s="92" t="n">
        <v>5303.452944928</v>
      </c>
      <c r="G90" s="92" t="n">
        <v>5630.053042139</v>
      </c>
      <c r="H90" s="92" t="n">
        <v>5303.452944928</v>
      </c>
      <c r="I90" s="92" t="n">
        <v>5141.046029619</v>
      </c>
      <c r="J90" s="92" t="n">
        <v>4995.983882091</v>
      </c>
      <c r="K90" s="92" t="n">
        <v>2746.848</v>
      </c>
    </row>
    <row r="91" customFormat="false" ht="15" hidden="false" customHeight="false" outlineLevel="0" collapsed="false">
      <c r="B91" s="4" t="s">
        <v>60</v>
      </c>
      <c r="C91" s="92" t="n">
        <v>1991.286074716</v>
      </c>
      <c r="D91" s="92" t="n">
        <v>2299.999999929</v>
      </c>
      <c r="E91" s="92" t="n">
        <v>2300.00000023</v>
      </c>
      <c r="F91" s="92" t="n">
        <v>1703.18293628</v>
      </c>
      <c r="G91" s="92" t="n">
        <v>1015.547275058</v>
      </c>
      <c r="H91" s="92" t="n">
        <v>1703.18293628</v>
      </c>
      <c r="I91" s="92" t="n">
        <v>1757.763423887</v>
      </c>
      <c r="J91" s="92" t="n">
        <v>1991.286074716</v>
      </c>
      <c r="K91" s="92" t="n">
        <v>3853.336</v>
      </c>
    </row>
    <row r="92" customFormat="false" ht="15" hidden="false" customHeight="false" outlineLevel="0" collapsed="false">
      <c r="B92" s="4" t="s">
        <v>62</v>
      </c>
      <c r="C92" s="92" t="n">
        <v>89.9999999906</v>
      </c>
      <c r="D92" s="92" t="n">
        <v>90.0000000124</v>
      </c>
      <c r="E92" s="92" t="n">
        <v>163.7769183254</v>
      </c>
      <c r="F92" s="92" t="n">
        <v>92.0737906639</v>
      </c>
      <c r="G92" s="92" t="n">
        <v>90.5266164681</v>
      </c>
      <c r="H92" s="92" t="n">
        <v>92.0737906639</v>
      </c>
      <c r="I92" s="92" t="n">
        <v>89.9999999975</v>
      </c>
      <c r="J92" s="92" t="n">
        <v>89.9999999906</v>
      </c>
      <c r="K92" s="92" t="n">
        <v>96.552</v>
      </c>
    </row>
    <row r="94" customFormat="false" ht="15" hidden="false" customHeight="false" outlineLevel="0" collapsed="false">
      <c r="A94" s="3" t="s">
        <v>820</v>
      </c>
    </row>
    <row r="95" customFormat="false" ht="15" hidden="false" customHeight="false" outlineLevel="0" collapsed="false">
      <c r="B95" s="4" t="s">
        <v>821</v>
      </c>
      <c r="C95" s="81" t="str">
        <f aca="false">IF(OR(C82&lt;3030*0.95-0.5,C82&gt;3030*1.05+0.5),"MISSED","ok")</f>
        <v>ok</v>
      </c>
      <c r="D95" s="81" t="str">
        <f aca="false">IF(OR(D82&lt;3030*0.95-0.5,D82&gt;3030*1.05+0.5),"MISSED","ok")</f>
        <v>ok</v>
      </c>
      <c r="E95" s="81" t="str">
        <f aca="false">IF(OR(E82&lt;3030*0.95-0.5,E82&gt;3030*1.05+0.5),"MISSED","ok")</f>
        <v>ok</v>
      </c>
      <c r="F95" s="81" t="str">
        <f aca="false">IF(OR(F82&lt;3030*0.95-0.5,F82&gt;3030*1.05+0.5),"MISSED","ok")</f>
        <v>ok</v>
      </c>
      <c r="G95" s="81" t="str">
        <f aca="false">IF(OR(G82&lt;3030*0.95-0.5,G82&gt;3030*1.05+0.5),"MISSED","ok")</f>
        <v>ok</v>
      </c>
      <c r="H95" s="81" t="str">
        <f aca="false">IF(OR(H82&lt;3030*0.95-0.5,H82&gt;3030*1.05+0.5),"MISSED","ok")</f>
        <v>ok</v>
      </c>
      <c r="I95" s="81" t="str">
        <f aca="false">IF(OR(I82&lt;3030*0.95-0.5,I82&gt;3030*1.05+0.5),"MISSED","ok")</f>
        <v>ok</v>
      </c>
      <c r="J95" s="81" t="str">
        <f aca="false">IF(OR(J82&lt;3030*0.95-0.5,J82&gt;3030*1.05+0.5),"MISSED","ok")</f>
        <v>ok</v>
      </c>
      <c r="K95" s="81" t="str">
        <f aca="false">IF(OR(K82&lt;3030*0.95-0.5,K82&gt;3030*1.05+0.5),"MISSED","ok")</f>
        <v>MISSED</v>
      </c>
    </row>
    <row r="96" customFormat="false" ht="15" hidden="false" customHeight="false" outlineLevel="0" collapsed="false">
      <c r="B96" s="4" t="s">
        <v>822</v>
      </c>
      <c r="C96" s="81" t="str">
        <f aca="false">IF(C83&lt;112-0.01,"MISSED","ok")</f>
        <v>ok</v>
      </c>
      <c r="D96" s="81" t="str">
        <f aca="false">IF(D83&lt;112-0.01,"MISSED","ok")</f>
        <v>ok</v>
      </c>
      <c r="E96" s="81" t="str">
        <f aca="false">IF(E83&lt;112-0.01,"MISSED","ok")</f>
        <v>ok</v>
      </c>
      <c r="F96" s="81" t="str">
        <f aca="false">IF(F83&lt;112-0.01,"MISSED","ok")</f>
        <v>ok</v>
      </c>
      <c r="G96" s="81" t="str">
        <f aca="false">IF(G83&lt;112-0.01,"MISSED","ok")</f>
        <v>ok</v>
      </c>
      <c r="H96" s="81" t="str">
        <f aca="false">IF(H83&lt;112-0.01,"MISSED","ok")</f>
        <v>ok</v>
      </c>
      <c r="I96" s="81" t="str">
        <f aca="false">IF(I83&lt;112-0.01,"MISSED","ok")</f>
        <v>ok</v>
      </c>
      <c r="J96" s="81" t="str">
        <f aca="false">IF(J83&lt;112-0.01,"MISSED","ok")</f>
        <v>ok</v>
      </c>
      <c r="K96" s="81" t="str">
        <f aca="false">IF(K83&lt;112-0.01,"MISSED","ok")</f>
        <v>ok</v>
      </c>
    </row>
    <row r="97" customFormat="false" ht="15" hidden="false" customHeight="false" outlineLevel="0" collapsed="false">
      <c r="B97" s="4" t="s">
        <v>823</v>
      </c>
      <c r="C97" s="81" t="str">
        <f aca="false">IF(C86&lt;42-0.01,"MISSED","ok")</f>
        <v>ok</v>
      </c>
      <c r="D97" s="81" t="str">
        <f aca="false">IF(D86&lt;42-0.01,"MISSED","ok")</f>
        <v>ok</v>
      </c>
      <c r="E97" s="81" t="str">
        <f aca="false">IF(E86&lt;42-0.01,"MISSED","ok")</f>
        <v>ok</v>
      </c>
      <c r="F97" s="81" t="str">
        <f aca="false">IF(F86&lt;42-0.01,"MISSED","ok")</f>
        <v>ok</v>
      </c>
      <c r="G97" s="81" t="str">
        <f aca="false">IF(G86&lt;42-0.01,"MISSED","ok")</f>
        <v>ok</v>
      </c>
      <c r="H97" s="81" t="str">
        <f aca="false">IF(H86&lt;42-0.01,"MISSED","ok")</f>
        <v>ok</v>
      </c>
      <c r="I97" s="81" t="str">
        <f aca="false">IF(I86&lt;42-0.01,"MISSED","ok")</f>
        <v>ok</v>
      </c>
      <c r="J97" s="81" t="str">
        <f aca="false">IF(J86&lt;42-0.01,"MISSED","ok")</f>
        <v>ok</v>
      </c>
      <c r="K97" s="81" t="str">
        <f aca="false">IF(K86&lt;42-0.01,"MISSED","ok")</f>
        <v>MISSED</v>
      </c>
    </row>
    <row r="98" customFormat="false" ht="15" hidden="false" customHeight="false" outlineLevel="0" collapsed="false">
      <c r="B98" s="4" t="s">
        <v>824</v>
      </c>
      <c r="C98" s="81" t="str">
        <f aca="false">IF(C88&lt;1000-0.01,"MISSED","ok")</f>
        <v>ok</v>
      </c>
      <c r="D98" s="81" t="str">
        <f aca="false">IF(D88&lt;1000-0.01,"MISSED","ok")</f>
        <v>ok</v>
      </c>
      <c r="E98" s="81" t="str">
        <f aca="false">IF(E88&lt;1000-0.01,"MISSED","ok")</f>
        <v>ok</v>
      </c>
      <c r="F98" s="81" t="str">
        <f aca="false">IF(F88&lt;1000-0.01,"MISSED","ok")</f>
        <v>ok</v>
      </c>
      <c r="G98" s="81" t="str">
        <f aca="false">IF(G88&lt;1000-0.01,"MISSED","ok")</f>
        <v>ok</v>
      </c>
      <c r="H98" s="81" t="str">
        <f aca="false">IF(H88&lt;1000-0.01,"MISSED","ok")</f>
        <v>ok</v>
      </c>
      <c r="I98" s="81" t="str">
        <f aca="false">IF(I88&lt;1000-0.01,"MISSED","ok")</f>
        <v>ok</v>
      </c>
      <c r="J98" s="81" t="str">
        <f aca="false">IF(J88&lt;1000-0.01,"MISSED","ok")</f>
        <v>ok</v>
      </c>
      <c r="K98" s="81" t="str">
        <f aca="false">IF(K88&lt;1000-0.01,"MISSED","ok")</f>
        <v>ok</v>
      </c>
    </row>
    <row r="99" customFormat="false" ht="15" hidden="false" customHeight="false" outlineLevel="0" collapsed="false">
      <c r="B99" s="4" t="s">
        <v>825</v>
      </c>
      <c r="C99" s="81" t="str">
        <f aca="false">IF(C90&lt;3400-0.01,"MISSED","ok")</f>
        <v>ok</v>
      </c>
      <c r="D99" s="81" t="str">
        <f aca="false">IF(D90&lt;3400-0.01,"MISSED","ok")</f>
        <v>ok</v>
      </c>
      <c r="E99" s="81" t="str">
        <f aca="false">IF(E90&lt;3400-0.01,"MISSED","ok")</f>
        <v>ok</v>
      </c>
      <c r="F99" s="81" t="str">
        <f aca="false">IF(F90&lt;3400-0.01,"MISSED","ok")</f>
        <v>ok</v>
      </c>
      <c r="G99" s="81" t="str">
        <f aca="false">IF(G90&lt;3400-0.01,"MISSED","ok")</f>
        <v>ok</v>
      </c>
      <c r="H99" s="81" t="str">
        <f aca="false">IF(H90&lt;3400-0.01,"MISSED","ok")</f>
        <v>ok</v>
      </c>
      <c r="I99" s="81" t="str">
        <f aca="false">IF(I90&lt;3400-0.01,"MISSED","ok")</f>
        <v>ok</v>
      </c>
      <c r="J99" s="81" t="str">
        <f aca="false">IF(J90&lt;3400-0.01,"MISSED","ok")</f>
        <v>ok</v>
      </c>
      <c r="K99" s="81" t="str">
        <f aca="false">IF(K90&lt;3400-0.01,"MISSED","ok")</f>
        <v>MISSED</v>
      </c>
    </row>
    <row r="100" customFormat="false" ht="15" hidden="false" customHeight="false" outlineLevel="0" collapsed="false">
      <c r="B100" s="4" t="s">
        <v>826</v>
      </c>
      <c r="C100" s="81" t="str">
        <f aca="false">IF(C92&lt;90-0.01,"MISSED","ok")</f>
        <v>ok</v>
      </c>
      <c r="D100" s="81" t="str">
        <f aca="false">IF(D92&lt;90-0.01,"MISSED","ok")</f>
        <v>ok</v>
      </c>
      <c r="E100" s="81" t="str">
        <f aca="false">IF(E92&lt;90-0.01,"MISSED","ok")</f>
        <v>ok</v>
      </c>
      <c r="F100" s="81" t="str">
        <f aca="false">IF(F92&lt;90-0.01,"MISSED","ok")</f>
        <v>ok</v>
      </c>
      <c r="G100" s="81" t="str">
        <f aca="false">IF(G92&lt;90-0.01,"MISSED","ok")</f>
        <v>ok</v>
      </c>
      <c r="H100" s="81" t="str">
        <f aca="false">IF(H92&lt;90-0.01,"MISSED","ok")</f>
        <v>ok</v>
      </c>
      <c r="I100" s="81" t="str">
        <f aca="false">IF(I92&lt;90-0.01,"MISSED","ok")</f>
        <v>ok</v>
      </c>
      <c r="J100" s="81" t="str">
        <f aca="false">IF(J92&lt;90-0.01,"MISSED","ok")</f>
        <v>ok</v>
      </c>
      <c r="K100" s="81" t="str">
        <f aca="false">IF(K92&lt;90-0.01,"MISSED","ok")</f>
        <v>ok</v>
      </c>
    </row>
    <row r="101" customFormat="false" ht="15" hidden="false" customHeight="false" outlineLevel="0" collapsed="false">
      <c r="B101" s="4" t="s">
        <v>827</v>
      </c>
      <c r="C101" s="81" t="str">
        <f aca="false">IF(C91&gt;2300+0.01,"MISSED","ok")</f>
        <v>ok</v>
      </c>
      <c r="D101" s="81" t="str">
        <f aca="false">IF(D91&gt;2300+0.01,"MISSED","ok")</f>
        <v>ok</v>
      </c>
      <c r="E101" s="81" t="str">
        <f aca="false">IF(E91&gt;2300+0.01,"MISSED","ok")</f>
        <v>ok</v>
      </c>
      <c r="F101" s="81" t="str">
        <f aca="false">IF(F91&gt;2300+0.01,"MISSED","ok")</f>
        <v>ok</v>
      </c>
      <c r="G101" s="81" t="str">
        <f aca="false">IF(G91&gt;2300+0.01,"MISSED","ok")</f>
        <v>ok</v>
      </c>
      <c r="H101" s="81" t="str">
        <f aca="false">IF(H91&gt;2300+0.01,"MISSED","ok")</f>
        <v>ok</v>
      </c>
      <c r="I101" s="81" t="str">
        <f aca="false">IF(I91&gt;2300+0.01,"MISSED","ok")</f>
        <v>ok</v>
      </c>
      <c r="J101" s="81" t="str">
        <f aca="false">IF(J91&gt;2300+0.01,"MISSED","ok")</f>
        <v>ok</v>
      </c>
      <c r="K101" s="81" t="str">
        <f aca="false">IF(K91&gt;2300+0.01,"MISSED","ok")</f>
        <v>MISSED</v>
      </c>
    </row>
    <row r="102" customFormat="false" ht="15" hidden="false" customHeight="false" outlineLevel="0" collapsed="false">
      <c r="B102" s="4" t="s">
        <v>828</v>
      </c>
      <c r="C102" s="81" t="str">
        <f aca="false">IF(C85*9&gt;C82*0.35+0.01,"MISSED","ok")</f>
        <v>ok</v>
      </c>
      <c r="D102" s="81" t="str">
        <f aca="false">IF(D85*9&gt;D82*0.35+0.01,"MISSED","ok")</f>
        <v>ok</v>
      </c>
      <c r="E102" s="81" t="str">
        <f aca="false">IF(E85*9&gt;E82*0.35+0.01,"MISSED","ok")</f>
        <v>MISSED</v>
      </c>
      <c r="F102" s="81" t="str">
        <f aca="false">IF(F85*9&gt;F82*0.35+0.01,"MISSED","ok")</f>
        <v>ok</v>
      </c>
      <c r="G102" s="81" t="str">
        <f aca="false">IF(G85*9&gt;G82*0.35+0.01,"MISSED","ok")</f>
        <v>ok</v>
      </c>
      <c r="H102" s="81" t="str">
        <f aca="false">IF(H85*9&gt;H82*0.35+0.01,"MISSED","ok")</f>
        <v>ok</v>
      </c>
      <c r="I102" s="81" t="str">
        <f aca="false">IF(I85*9&gt;I82*0.35+0.01,"MISSED","ok")</f>
        <v>ok</v>
      </c>
      <c r="J102" s="81" t="str">
        <f aca="false">IF(J85*9&gt;J82*0.35+0.01,"MISSED","ok")</f>
        <v>ok</v>
      </c>
      <c r="K102" s="81" t="str">
        <f aca="false">IF(K85*9&gt;K82*0.35+0.01,"MISSED","ok")</f>
        <v>ok</v>
      </c>
    </row>
    <row r="104" customFormat="false" ht="15" hidden="false" customHeight="false" outlineLevel="0" collapsed="false">
      <c r="A104" s="3" t="s">
        <v>829</v>
      </c>
    </row>
    <row r="105" customFormat="false" ht="15" hidden="false" customHeight="false" outlineLevel="0" collapsed="false">
      <c r="A105" s="7" t="s">
        <v>830</v>
      </c>
    </row>
    <row r="106" customFormat="false" ht="15" hidden="false" customHeight="false" outlineLevel="0" collapsed="false">
      <c r="A106" s="7" t="s">
        <v>831</v>
      </c>
    </row>
    <row r="107" customFormat="false" ht="15" hidden="false" customHeight="false" outlineLevel="0" collapsed="false">
      <c r="A107" s="7" t="s">
        <v>832</v>
      </c>
    </row>
    <row r="108" customFormat="false" ht="15" hidden="false" customHeight="false" outlineLevel="0" collapsed="false">
      <c r="A108" s="7" t="s">
        <v>833</v>
      </c>
    </row>
    <row r="109" customFormat="false" ht="15" hidden="false" customHeight="false" outlineLevel="0" collapsed="false">
      <c r="A109" s="7" t="s">
        <v>834</v>
      </c>
    </row>
    <row r="110" customFormat="false" ht="15" hidden="false" customHeight="false" outlineLevel="0" collapsed="false">
      <c r="A110" s="7" t="s">
        <v>835</v>
      </c>
    </row>
  </sheetData>
  <conditionalFormatting sqref="C95:K102">
    <cfRule type="expression" priority="2" aboveAverage="0" equalAverage="0" bottom="0" percent="0" rank="0" text="" dxfId="16">
      <formula>C95="MISSED"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X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7" topLeftCell="F8" activePane="bottomRight" state="frozen"/>
      <selection pane="topLeft" activeCell="A1" activeCellId="0" sqref="A1"/>
      <selection pane="topRight" activeCell="F1" activeCellId="0" sqref="F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5" min="2" style="0" width="14"/>
  </cols>
  <sheetData>
    <row r="1" customFormat="false" ht="17.35" hidden="false" customHeight="false" outlineLevel="0" collapsed="false">
      <c r="A1" s="1" t="s">
        <v>836</v>
      </c>
    </row>
    <row r="2" customFormat="false" ht="15" hidden="false" customHeight="false" outlineLevel="0" collapsed="false">
      <c r="A2" s="2" t="s">
        <v>837</v>
      </c>
    </row>
    <row r="3" customFormat="false" ht="15" hidden="false" customHeight="false" outlineLevel="0" collapsed="false">
      <c r="A3" s="2" t="s">
        <v>838</v>
      </c>
    </row>
    <row r="4" customFormat="false" ht="15" hidden="false" customHeight="false" outlineLevel="0" collapsed="false">
      <c r="A4" s="2" t="s">
        <v>839</v>
      </c>
    </row>
    <row r="6" customFormat="false" ht="15" hidden="false" customHeight="false" outlineLevel="0" collapsed="false">
      <c r="A6" s="15" t="s">
        <v>840</v>
      </c>
    </row>
    <row r="7" customFormat="false" ht="57.75" hidden="false" customHeight="true" outlineLevel="0" collapsed="false">
      <c r="A7" s="16" t="s">
        <v>841</v>
      </c>
      <c r="B7" s="16" t="s">
        <v>842</v>
      </c>
      <c r="C7" s="16" t="s">
        <v>843</v>
      </c>
      <c r="F7" s="80" t="str">
        <f aca="false">'Matrix Model'!F13</f>
        <v>Chicken breast, roasted</v>
      </c>
      <c r="G7" s="80" t="str">
        <f aca="false">'Matrix Model'!G13</f>
        <v>Chicken drumsticks, roasted (meat &amp; skin)</v>
      </c>
      <c r="H7" s="80" t="str">
        <f aca="false">'Matrix Model'!H13</f>
        <v>Chicken thighs, roasted</v>
      </c>
      <c r="I7" s="80" t="str">
        <f aca="false">'Matrix Model'!I13</f>
        <v>Deli turkey breast (sliced)</v>
      </c>
      <c r="J7" s="80" t="str">
        <f aca="false">'Matrix Model'!J13</f>
        <v>Ground turkey 93/7, cooked</v>
      </c>
      <c r="K7" s="80" t="str">
        <f aca="false">'Matrix Model'!K13</f>
        <v>Bacon, cooked</v>
      </c>
      <c r="L7" s="80" t="str">
        <f aca="false">'Matrix Model'!L13</f>
        <v>Ground beef 80/20, cooked</v>
      </c>
      <c r="M7" s="80" t="str">
        <f aca="false">'Matrix Model'!M13</f>
        <v>Ground beef 93/7, cooked</v>
      </c>
      <c r="N7" s="80" t="str">
        <f aca="false">'Matrix Model'!N13</f>
        <v>Ham (sliced, cooked)</v>
      </c>
      <c r="O7" s="80" t="str">
        <f aca="false">'Matrix Model'!O13</f>
        <v>Pork loin chops, pan-cooked</v>
      </c>
      <c r="P7" s="80" t="str">
        <f aca="false">'Matrix Model'!P13</f>
        <v>Top sirloin steak, broiled</v>
      </c>
      <c r="Q7" s="80" t="str">
        <f aca="false">'Matrix Model'!Q13</f>
        <v>Canned light tuna (in water)</v>
      </c>
      <c r="R7" s="80" t="str">
        <f aca="false">'Matrix Model'!R13</f>
        <v>Salmon, baked</v>
      </c>
      <c r="S7" s="80" t="str">
        <f aca="false">'Matrix Model'!S13</f>
        <v>Shrimp, cooked</v>
      </c>
      <c r="T7" s="80" t="str">
        <f aca="false">'Matrix Model'!T13</f>
        <v>Tilapia, baked</v>
      </c>
      <c r="U7" s="80" t="str">
        <f aca="false">'Matrix Model'!U13</f>
        <v>Eggs (large)</v>
      </c>
      <c r="V7" s="80" t="str">
        <f aca="false">'Matrix Model'!V13</f>
        <v>Black beans (canned)</v>
      </c>
      <c r="W7" s="80" t="str">
        <f aca="false">'Matrix Model'!W13</f>
        <v>Chickpeas (canned)</v>
      </c>
      <c r="X7" s="80" t="str">
        <f aca="false">'Matrix Model'!X13</f>
        <v>Lentils, cooked</v>
      </c>
      <c r="Y7" s="80" t="str">
        <f aca="false">'Matrix Model'!Y13</f>
        <v>Peanut butter</v>
      </c>
      <c r="Z7" s="80" t="str">
        <f aca="false">'Matrix Model'!Z13</f>
        <v>Pinto beans, cooked</v>
      </c>
      <c r="AA7" s="80" t="str">
        <f aca="false">'Matrix Model'!AA13</f>
        <v>Tofu (extra firm)</v>
      </c>
      <c r="AB7" s="80" t="str">
        <f aca="false">'Matrix Model'!AB13</f>
        <v>2% milk</v>
      </c>
      <c r="AC7" s="80" t="str">
        <f aca="false">'Matrix Model'!AC13</f>
        <v>Greek yogurt (plain, nonfat)</v>
      </c>
      <c r="AD7" s="80" t="str">
        <f aca="false">'Matrix Model'!AD13</f>
        <v>Soy milk (calcium-fortified)</v>
      </c>
      <c r="AE7" s="80" t="str">
        <f aca="false">'Matrix Model'!AE13</f>
        <v>Whole milk</v>
      </c>
      <c r="AF7" s="80" t="str">
        <f aca="false">'Matrix Model'!AF13</f>
        <v>American cheese (singles)</v>
      </c>
      <c r="AG7" s="80" t="str">
        <f aca="false">'Matrix Model'!AG13</f>
        <v>Cheddar cheese</v>
      </c>
      <c r="AH7" s="80" t="str">
        <f aca="false">'Matrix Model'!AH13</f>
        <v>Cottage cheese (2%)</v>
      </c>
      <c r="AI7" s="80" t="str">
        <f aca="false">'Matrix Model'!AI13</f>
        <v>Mozzarella string cheese</v>
      </c>
      <c r="AJ7" s="80" t="str">
        <f aca="false">'Matrix Model'!AJ13</f>
        <v>Bagels (plain)</v>
      </c>
      <c r="AK7" s="80" t="str">
        <f aca="false">'Matrix Model'!AK13</f>
        <v>Brown rice, cooked</v>
      </c>
      <c r="AL7" s="80" t="str">
        <f aca="false">'Matrix Model'!AL13</f>
        <v>Cheerios</v>
      </c>
      <c r="AM7" s="80" t="str">
        <f aca="false">'Matrix Model'!AM13</f>
        <v>Corn tortillas</v>
      </c>
      <c r="AN7" s="80" t="str">
        <f aca="false">'Matrix Model'!AN13</f>
        <v>Flour tortillas</v>
      </c>
      <c r="AO7" s="80" t="str">
        <f aca="false">'Matrix Model'!AO13</f>
        <v>Oatmeal (made with water)</v>
      </c>
      <c r="AP7" s="80" t="str">
        <f aca="false">'Matrix Model'!AP13</f>
        <v>Quinoa, cooked</v>
      </c>
      <c r="AQ7" s="80" t="str">
        <f aca="false">'Matrix Model'!AQ13</f>
        <v>Spaghetti, cooked</v>
      </c>
      <c r="AR7" s="80" t="str">
        <f aca="false">'Matrix Model'!AR13</f>
        <v>White bread</v>
      </c>
      <c r="AS7" s="80" t="str">
        <f aca="false">'Matrix Model'!AS13</f>
        <v>White rice, cooked</v>
      </c>
      <c r="AT7" s="80" t="str">
        <f aca="false">'Matrix Model'!AT13</f>
        <v>Whole-wheat bread</v>
      </c>
      <c r="AU7" s="80" t="str">
        <f aca="false">'Matrix Model'!AU13</f>
        <v>Whole-wheat spaghetti, cooked</v>
      </c>
      <c r="AV7" s="80" t="str">
        <f aca="false">'Matrix Model'!AV13</f>
        <v>Baked potato (with skin)</v>
      </c>
      <c r="AW7" s="80" t="str">
        <f aca="false">'Matrix Model'!AW13</f>
        <v>Baked sweet potato</v>
      </c>
      <c r="AX7" s="80" t="str">
        <f aca="false">'Matrix Model'!AX13</f>
        <v>Corn, cooked (from frozen)</v>
      </c>
      <c r="AY7" s="80" t="str">
        <f aca="false">'Matrix Model'!AY13</f>
        <v>Apples (Gala)</v>
      </c>
      <c r="AZ7" s="80" t="str">
        <f aca="false">'Matrix Model'!AZ13</f>
        <v>Bananas</v>
      </c>
      <c r="BA7" s="80" t="str">
        <f aca="false">'Matrix Model'!BA13</f>
        <v>Blueberries (frozen)</v>
      </c>
      <c r="BB7" s="80" t="str">
        <f aca="false">'Matrix Model'!BB13</f>
        <v>Grapes (red seedless)</v>
      </c>
      <c r="BC7" s="80" t="str">
        <f aca="false">'Matrix Model'!BC13</f>
        <v>Orange juice (100%)</v>
      </c>
      <c r="BD7" s="80" t="str">
        <f aca="false">'Matrix Model'!BD13</f>
        <v>Oranges (navel)</v>
      </c>
      <c r="BE7" s="80" t="str">
        <f aca="false">'Matrix Model'!BE13</f>
        <v>Raisins</v>
      </c>
      <c r="BF7" s="80" t="str">
        <f aca="false">'Matrix Model'!BF13</f>
        <v>Strawberries</v>
      </c>
      <c r="BG7" s="80" t="str">
        <f aca="false">'Matrix Model'!BG13</f>
        <v>Broccoli, cooked (from frozen)</v>
      </c>
      <c r="BH7" s="80" t="str">
        <f aca="false">'Matrix Model'!BH13</f>
        <v>Carrots</v>
      </c>
      <c r="BI7" s="80" t="str">
        <f aca="false">'Matrix Model'!BI13</f>
        <v>Green beans (canned, drained)</v>
      </c>
      <c r="BJ7" s="80" t="str">
        <f aca="false">'Matrix Model'!BJ13</f>
        <v>Green bell pepper</v>
      </c>
      <c r="BK7" s="80" t="str">
        <f aca="false">'Matrix Model'!BK13</f>
        <v>Mixed vegetables, cooked (from frozen)</v>
      </c>
      <c r="BL7" s="80" t="str">
        <f aca="false">'Matrix Model'!BL13</f>
        <v>Onions (yellow)</v>
      </c>
      <c r="BM7" s="80" t="str">
        <f aca="false">'Matrix Model'!BM13</f>
        <v>Romaine lettuce</v>
      </c>
      <c r="BN7" s="80" t="str">
        <f aca="false">'Matrix Model'!BN13</f>
        <v>Spinach (fresh)</v>
      </c>
      <c r="BO7" s="80" t="str">
        <f aca="false">'Matrix Model'!BO13</f>
        <v>Tomatoes (roma)</v>
      </c>
      <c r="BP7" s="80" t="str">
        <f aca="false">'Matrix Model'!BP13</f>
        <v>Butter (salted)</v>
      </c>
      <c r="BQ7" s="80" t="str">
        <f aca="false">'Matrix Model'!BQ13</f>
        <v>Canola oil</v>
      </c>
      <c r="BR7" s="80" t="str">
        <f aca="false">'Matrix Model'!BR13</f>
        <v>Olive oil (extra virgin)</v>
      </c>
      <c r="BS7" s="80" t="str">
        <f aca="false">'Matrix Model'!BS13</f>
        <v>Almonds</v>
      </c>
      <c r="BT7" s="80" t="str">
        <f aca="false">'Matrix Model'!BT13</f>
        <v>Avocado (Hass)</v>
      </c>
      <c r="BU7" s="80" t="str">
        <f aca="false">'Matrix Model'!BU13</f>
        <v>Chocolate chip cookies</v>
      </c>
      <c r="BV7" s="80" t="str">
        <f aca="false">'Matrix Model'!BV13</f>
        <v>Granola bars (chocolate chip)</v>
      </c>
      <c r="BW7" s="80" t="str">
        <f aca="false">'Matrix Model'!BW13</f>
        <v>Potato chips</v>
      </c>
      <c r="BX7" s="80" t="str">
        <f aca="false">'Matrix Model'!BX13</f>
        <v>Vanilla ice cream</v>
      </c>
    </row>
    <row r="8" customFormat="false" ht="15" hidden="false" customHeight="false" outlineLevel="0" collapsed="false">
      <c r="A8" s="4" t="s">
        <v>844</v>
      </c>
      <c r="B8" s="81" t="s">
        <v>845</v>
      </c>
      <c r="C8" s="84" t="n">
        <v>112</v>
      </c>
      <c r="F8" s="23" t="n">
        <f aca="false">'Food Data'!$AR$6</f>
        <v>31.02</v>
      </c>
      <c r="G8" s="23" t="n">
        <f aca="false">'Food Data'!$AR$7</f>
        <v>23.35</v>
      </c>
      <c r="H8" s="23" t="n">
        <f aca="false">'Food Data'!$AR$8</f>
        <v>24.76</v>
      </c>
      <c r="I8" s="23" t="n">
        <f aca="false">'Food Data'!$AR$9</f>
        <v>16.33</v>
      </c>
      <c r="J8" s="23" t="n">
        <f aca="false">'Food Data'!$AR$10</f>
        <v>27.1</v>
      </c>
      <c r="K8" s="23" t="n">
        <f aca="false">'Food Data'!$AR$11</f>
        <v>33.92</v>
      </c>
      <c r="L8" s="23" t="n">
        <f aca="false">'Food Data'!$AR$12</f>
        <v>27</v>
      </c>
      <c r="M8" s="23" t="n">
        <f aca="false">'Food Data'!$AR$13</f>
        <v>28.88</v>
      </c>
      <c r="N8" s="23" t="n">
        <f aca="false">'Food Data'!$AR$14</f>
        <v>16.6</v>
      </c>
      <c r="O8" s="23" t="n">
        <f aca="false">'Food Data'!$AR$15</f>
        <v>26.68</v>
      </c>
      <c r="P8" s="23" t="n">
        <f aca="false">'Food Data'!$AR$16</f>
        <v>26.8</v>
      </c>
      <c r="Q8" s="23" t="n">
        <f aca="false">'Food Data'!$AR$17</f>
        <v>19.44</v>
      </c>
      <c r="R8" s="23" t="n">
        <f aca="false">'Food Data'!$AR$18</f>
        <v>22.1</v>
      </c>
      <c r="S8" s="23" t="n">
        <f aca="false">'Food Data'!$AR$19</f>
        <v>22.78</v>
      </c>
      <c r="T8" s="23" t="n">
        <f aca="false">'Food Data'!$AR$20</f>
        <v>26.15</v>
      </c>
      <c r="U8" s="23" t="n">
        <f aca="false">'Food Data'!$AR$21</f>
        <v>12.56</v>
      </c>
      <c r="V8" s="23" t="n">
        <f aca="false">'Food Data'!$AR$22</f>
        <v>6.03</v>
      </c>
      <c r="W8" s="23" t="n">
        <f aca="false">'Food Data'!$AR$23</f>
        <v>4.92</v>
      </c>
      <c r="X8" s="23" t="n">
        <f aca="false">'Food Data'!$AR$24</f>
        <v>9.02</v>
      </c>
      <c r="Y8" s="23" t="n">
        <f aca="false">'Food Data'!$AR$25</f>
        <v>22.21</v>
      </c>
      <c r="Z8" s="23" t="n">
        <f aca="false">'Food Data'!$AR$26</f>
        <v>9.01</v>
      </c>
      <c r="AA8" s="23" t="n">
        <f aca="false">'Food Data'!$AR$27</f>
        <v>10.1</v>
      </c>
      <c r="AB8" s="23" t="n">
        <f aca="false">'Food Data'!$AR$28</f>
        <v>3.3</v>
      </c>
      <c r="AC8" s="23" t="n">
        <f aca="false">'Food Data'!$AR$29</f>
        <v>10.19</v>
      </c>
      <c r="AD8" s="23" t="n">
        <f aca="false">'Food Data'!$AR$30</f>
        <v>2.6</v>
      </c>
      <c r="AE8" s="23" t="n">
        <f aca="false">'Food Data'!$AR$31</f>
        <v>3.15</v>
      </c>
      <c r="AF8" s="23" t="n">
        <f aca="false">'Food Data'!$AR$32</f>
        <v>18.13</v>
      </c>
      <c r="AG8" s="23" t="n">
        <f aca="false">'Food Data'!$AR$33</f>
        <v>22.87</v>
      </c>
      <c r="AH8" s="23" t="n">
        <f aca="false">'Food Data'!$AR$34</f>
        <v>10.45</v>
      </c>
      <c r="AI8" s="23" t="n">
        <f aca="false">'Food Data'!$AR$35</f>
        <v>23.75</v>
      </c>
      <c r="AJ8" s="23" t="n">
        <f aca="false">'Food Data'!$AR$36</f>
        <v>10.56</v>
      </c>
      <c r="AK8" s="23" t="n">
        <f aca="false">'Food Data'!$AR$37</f>
        <v>2.74</v>
      </c>
      <c r="AL8" s="23" t="n">
        <f aca="false">'Food Data'!$AR$38</f>
        <v>12.09</v>
      </c>
      <c r="AM8" s="23" t="n">
        <f aca="false">'Food Data'!$AR$39</f>
        <v>5.7</v>
      </c>
      <c r="AN8" s="23" t="n">
        <f aca="false">'Food Data'!$AR$40</f>
        <v>8.01</v>
      </c>
      <c r="AO8" s="23" t="n">
        <f aca="false">'Food Data'!$AR$41</f>
        <v>2.54</v>
      </c>
      <c r="AP8" s="23" t="n">
        <f aca="false">'Food Data'!$AR$42</f>
        <v>4.4</v>
      </c>
      <c r="AQ8" s="23" t="n">
        <f aca="false">'Food Data'!$AR$43</f>
        <v>5.8</v>
      </c>
      <c r="AR8" s="23" t="n">
        <f aca="false">'Food Data'!$AR$44</f>
        <v>8.85</v>
      </c>
      <c r="AS8" s="23" t="n">
        <f aca="false">'Food Data'!$AR$45</f>
        <v>2.69</v>
      </c>
      <c r="AT8" s="23" t="n">
        <f aca="false">'Food Data'!$AR$46</f>
        <v>12.45</v>
      </c>
      <c r="AU8" s="23" t="n">
        <f aca="false">'Food Data'!$AR$47</f>
        <v>5.99</v>
      </c>
      <c r="AV8" s="23" t="n">
        <f aca="false">'Food Data'!$AR$48</f>
        <v>2.5</v>
      </c>
      <c r="AW8" s="23" t="n">
        <f aca="false">'Food Data'!$AR$49</f>
        <v>2.01</v>
      </c>
      <c r="AX8" s="23" t="n">
        <f aca="false">'Food Data'!$AR$50</f>
        <v>2.55</v>
      </c>
      <c r="AY8" s="23" t="n">
        <f aca="false">'Food Data'!$AR$51</f>
        <v>0.26</v>
      </c>
      <c r="AZ8" s="23" t="n">
        <f aca="false">'Food Data'!$AR$52</f>
        <v>1.09</v>
      </c>
      <c r="BA8" s="23" t="n">
        <f aca="false">'Food Data'!$AR$53</f>
        <v>0.42</v>
      </c>
      <c r="BB8" s="23" t="n">
        <f aca="false">'Food Data'!$AR$54</f>
        <v>0.72</v>
      </c>
      <c r="BC8" s="23" t="n">
        <f aca="false">'Food Data'!$AR$55</f>
        <v>0.68</v>
      </c>
      <c r="BD8" s="23" t="n">
        <f aca="false">'Food Data'!$AR$56</f>
        <v>0.91</v>
      </c>
      <c r="BE8" s="23" t="n">
        <f aca="false">'Food Data'!$AR$57</f>
        <v>3.07</v>
      </c>
      <c r="BF8" s="23" t="n">
        <f aca="false">'Food Data'!$AR$58</f>
        <v>0.67</v>
      </c>
      <c r="BG8" s="23" t="n">
        <f aca="false">'Food Data'!$AR$59</f>
        <v>3.1</v>
      </c>
      <c r="BH8" s="23" t="n">
        <f aca="false">'Food Data'!$AR$60</f>
        <v>0.93</v>
      </c>
      <c r="BI8" s="23" t="n">
        <f aca="false">'Food Data'!$AR$61</f>
        <v>1.12</v>
      </c>
      <c r="BJ8" s="23" t="n">
        <f aca="false">'Food Data'!$AR$62</f>
        <v>0.86</v>
      </c>
      <c r="BK8" s="23" t="n">
        <f aca="false">'Food Data'!$AR$63</f>
        <v>2.86</v>
      </c>
      <c r="BL8" s="23" t="n">
        <f aca="false">'Food Data'!$AR$64</f>
        <v>1.1</v>
      </c>
      <c r="BM8" s="23" t="n">
        <f aca="false">'Food Data'!$AR$65</f>
        <v>1.23</v>
      </c>
      <c r="BN8" s="23" t="n">
        <f aca="false">'Food Data'!$AR$66</f>
        <v>2.86</v>
      </c>
      <c r="BO8" s="23" t="n">
        <f aca="false">'Food Data'!$AR$67</f>
        <v>0.88</v>
      </c>
      <c r="BP8" s="23" t="n">
        <f aca="false">'Food Data'!$AR$68</f>
        <v>0.85</v>
      </c>
      <c r="BQ8" s="23" t="n">
        <f aca="false">'Food Data'!$AR$69</f>
        <v>0</v>
      </c>
      <c r="BR8" s="23" t="n">
        <f aca="false">'Food Data'!$AR$70</f>
        <v>0</v>
      </c>
      <c r="BS8" s="23" t="n">
        <f aca="false">'Food Data'!$AR$71</f>
        <v>21.15</v>
      </c>
      <c r="BT8" s="23" t="n">
        <f aca="false">'Food Data'!$AR$72</f>
        <v>1.96</v>
      </c>
      <c r="BU8" s="23" t="n">
        <f aca="false">'Food Data'!$AR$73</f>
        <v>5.1</v>
      </c>
      <c r="BV8" s="23" t="n">
        <f aca="false">'Food Data'!$AR$74</f>
        <v>5.65</v>
      </c>
      <c r="BW8" s="23" t="n">
        <f aca="false">'Food Data'!$AR$75</f>
        <v>6.39</v>
      </c>
      <c r="BX8" s="23" t="n">
        <f aca="false">'Food Data'!$AR$76</f>
        <v>3.5</v>
      </c>
    </row>
    <row r="9" customFormat="false" ht="15" hidden="false" customHeight="false" outlineLevel="0" collapsed="false">
      <c r="A9" s="4" t="s">
        <v>846</v>
      </c>
      <c r="B9" s="81" t="s">
        <v>845</v>
      </c>
      <c r="C9" s="84" t="n">
        <v>90</v>
      </c>
      <c r="F9" s="23" t="n">
        <f aca="false">'Food Data'!$BA$6</f>
        <v>0</v>
      </c>
      <c r="G9" s="23" t="n">
        <f aca="false">'Food Data'!$BA$7</f>
        <v>0</v>
      </c>
      <c r="H9" s="23" t="n">
        <f aca="false">'Food Data'!$BA$8</f>
        <v>0</v>
      </c>
      <c r="I9" s="23" t="n">
        <f aca="false">'Food Data'!$BA$9</f>
        <v>0</v>
      </c>
      <c r="J9" s="23" t="n">
        <f aca="false">'Food Data'!$BA$10</f>
        <v>0</v>
      </c>
      <c r="K9" s="23" t="n">
        <f aca="false">'Food Data'!$BA$11</f>
        <v>0</v>
      </c>
      <c r="L9" s="23" t="n">
        <f aca="false">'Food Data'!$BA$12</f>
        <v>0</v>
      </c>
      <c r="M9" s="23" t="n">
        <f aca="false">'Food Data'!$BA$13</f>
        <v>0</v>
      </c>
      <c r="N9" s="23" t="n">
        <f aca="false">'Food Data'!$BA$14</f>
        <v>4</v>
      </c>
      <c r="O9" s="23" t="n">
        <f aca="false">'Food Data'!$BA$15</f>
        <v>0</v>
      </c>
      <c r="P9" s="23" t="n">
        <f aca="false">'Food Data'!$BA$16</f>
        <v>0</v>
      </c>
      <c r="Q9" s="23" t="n">
        <f aca="false">'Food Data'!$BA$17</f>
        <v>0</v>
      </c>
      <c r="R9" s="23" t="n">
        <f aca="false">'Food Data'!$BA$18</f>
        <v>3.7</v>
      </c>
      <c r="S9" s="23" t="n">
        <f aca="false">'Food Data'!$BA$19</f>
        <v>0</v>
      </c>
      <c r="T9" s="23" t="n">
        <f aca="false">'Food Data'!$BA$20</f>
        <v>0</v>
      </c>
      <c r="U9" s="23" t="n">
        <f aca="false">'Food Data'!$BA$21</f>
        <v>0</v>
      </c>
      <c r="V9" s="23" t="n">
        <f aca="false">'Food Data'!$BA$22</f>
        <v>2.7</v>
      </c>
      <c r="W9" s="23" t="n">
        <f aca="false">'Food Data'!$BA$23</f>
        <v>0.1</v>
      </c>
      <c r="X9" s="23" t="n">
        <f aca="false">'Food Data'!$BA$24</f>
        <v>1.5</v>
      </c>
      <c r="Y9" s="23" t="n">
        <f aca="false">'Food Data'!$BA$25</f>
        <v>0</v>
      </c>
      <c r="Z9" s="23" t="n">
        <f aca="false">'Food Data'!$BA$26</f>
        <v>0.8</v>
      </c>
      <c r="AA9" s="23" t="n">
        <f aca="false">'Food Data'!$BA$27</f>
        <v>0</v>
      </c>
      <c r="AB9" s="23" t="n">
        <f aca="false">'Food Data'!$BA$28</f>
        <v>0.2</v>
      </c>
      <c r="AC9" s="23" t="n">
        <f aca="false">'Food Data'!$BA$29</f>
        <v>0</v>
      </c>
      <c r="AD9" s="23" t="n">
        <f aca="false">'Food Data'!$BA$30</f>
        <v>0</v>
      </c>
      <c r="AE9" s="23" t="n">
        <f aca="false">'Food Data'!$BA$31</f>
        <v>0</v>
      </c>
      <c r="AF9" s="23" t="n">
        <f aca="false">'Food Data'!$BA$32</f>
        <v>0</v>
      </c>
      <c r="AG9" s="23" t="n">
        <f aca="false">'Food Data'!$BA$33</f>
        <v>0</v>
      </c>
      <c r="AH9" s="23" t="n">
        <f aca="false">'Food Data'!$BA$34</f>
        <v>0</v>
      </c>
      <c r="AI9" s="23" t="n">
        <f aca="false">'Food Data'!$BA$35</f>
        <v>0</v>
      </c>
      <c r="AJ9" s="23" t="n">
        <f aca="false">'Food Data'!$BA$36</f>
        <v>0</v>
      </c>
      <c r="AK9" s="23" t="n">
        <f aca="false">'Food Data'!$BA$37</f>
        <v>0</v>
      </c>
      <c r="AL9" s="23" t="n">
        <f aca="false">'Food Data'!$BA$38</f>
        <v>21.6</v>
      </c>
      <c r="AM9" s="23" t="n">
        <f aca="false">'Food Data'!$BA$39</f>
        <v>0</v>
      </c>
      <c r="AN9" s="23" t="n">
        <f aca="false">'Food Data'!$BA$40</f>
        <v>0</v>
      </c>
      <c r="AO9" s="23" t="n">
        <f aca="false">'Food Data'!$BA$41</f>
        <v>0</v>
      </c>
      <c r="AP9" s="23" t="n">
        <f aca="false">'Food Data'!$BA$42</f>
        <v>0</v>
      </c>
      <c r="AQ9" s="23" t="n">
        <f aca="false">'Food Data'!$BA$43</f>
        <v>0</v>
      </c>
      <c r="AR9" s="23" t="n">
        <f aca="false">'Food Data'!$BA$44</f>
        <v>0</v>
      </c>
      <c r="AS9" s="23" t="n">
        <f aca="false">'Food Data'!$BA$45</f>
        <v>0</v>
      </c>
      <c r="AT9" s="23" t="n">
        <f aca="false">'Food Data'!$BA$46</f>
        <v>0</v>
      </c>
      <c r="AU9" s="23" t="n">
        <f aca="false">'Food Data'!$BA$47</f>
        <v>0</v>
      </c>
      <c r="AV9" s="23" t="n">
        <f aca="false">'Food Data'!$BA$48</f>
        <v>9.6</v>
      </c>
      <c r="AW9" s="23" t="n">
        <f aca="false">'Food Data'!$BA$49</f>
        <v>19.6</v>
      </c>
      <c r="AX9" s="23" t="n">
        <f aca="false">'Food Data'!$BA$50</f>
        <v>3.5</v>
      </c>
      <c r="AY9" s="23" t="n">
        <f aca="false">'Food Data'!$BA$51</f>
        <v>4.6</v>
      </c>
      <c r="AZ9" s="23" t="n">
        <f aca="false">'Food Data'!$BA$52</f>
        <v>8.7</v>
      </c>
      <c r="BA9" s="23" t="n">
        <f aca="false">'Food Data'!$BA$53</f>
        <v>2.5</v>
      </c>
      <c r="BB9" s="23" t="n">
        <f aca="false">'Food Data'!$BA$54</f>
        <v>3.2</v>
      </c>
      <c r="BC9" s="23" t="n">
        <f aca="false">'Food Data'!$BA$55</f>
        <v>33.6</v>
      </c>
      <c r="BD9" s="23" t="n">
        <f aca="false">'Food Data'!$BA$56</f>
        <v>59.1</v>
      </c>
      <c r="BE9" s="23" t="n">
        <f aca="false">'Food Data'!$BA$57</f>
        <v>2.3</v>
      </c>
      <c r="BF9" s="23" t="n">
        <f aca="false">'Food Data'!$BA$58</f>
        <v>58.8</v>
      </c>
      <c r="BG9" s="23" t="n">
        <f aca="false">'Food Data'!$BA$59</f>
        <v>40.1</v>
      </c>
      <c r="BH9" s="23" t="n">
        <f aca="false">'Food Data'!$BA$60</f>
        <v>5.9</v>
      </c>
      <c r="BI9" s="23" t="n">
        <f aca="false">'Food Data'!$BA$61</f>
        <v>2.8</v>
      </c>
      <c r="BJ9" s="23" t="n">
        <f aca="false">'Food Data'!$BA$62</f>
        <v>80.4</v>
      </c>
      <c r="BK9" s="23" t="n">
        <f aca="false">'Food Data'!$BA$63</f>
        <v>3.2</v>
      </c>
      <c r="BL9" s="23" t="n">
        <f aca="false">'Food Data'!$BA$64</f>
        <v>7.4</v>
      </c>
      <c r="BM9" s="23" t="n">
        <f aca="false">'Food Data'!$BA$65</f>
        <v>4</v>
      </c>
      <c r="BN9" s="23" t="n">
        <f aca="false">'Food Data'!$BA$66</f>
        <v>28.1</v>
      </c>
      <c r="BO9" s="23" t="n">
        <f aca="false">'Food Data'!$BA$67</f>
        <v>13.7</v>
      </c>
      <c r="BP9" s="23" t="n">
        <f aca="false">'Food Data'!$BA$68</f>
        <v>0</v>
      </c>
      <c r="BQ9" s="23" t="n">
        <f aca="false">'Food Data'!$BA$69</f>
        <v>0</v>
      </c>
      <c r="BR9" s="23" t="n">
        <f aca="false">'Food Data'!$BA$70</f>
        <v>0</v>
      </c>
      <c r="BS9" s="23" t="n">
        <f aca="false">'Food Data'!$BA$71</f>
        <v>0</v>
      </c>
      <c r="BT9" s="23" t="n">
        <f aca="false">'Food Data'!$BA$72</f>
        <v>8.8</v>
      </c>
      <c r="BU9" s="23" t="n">
        <f aca="false">'Food Data'!$BA$73</f>
        <v>0</v>
      </c>
      <c r="BV9" s="23" t="n">
        <f aca="false">'Food Data'!$BA$74</f>
        <v>0</v>
      </c>
      <c r="BW9" s="23" t="n">
        <f aca="false">'Food Data'!$BA$75</f>
        <v>21.6</v>
      </c>
      <c r="BX9" s="23" t="n">
        <f aca="false">'Food Data'!$BA$76</f>
        <v>0.6</v>
      </c>
    </row>
    <row r="10" customFormat="false" ht="15" hidden="false" customHeight="false" outlineLevel="0" collapsed="false">
      <c r="A10" s="4" t="s">
        <v>847</v>
      </c>
      <c r="B10" s="81" t="s">
        <v>848</v>
      </c>
      <c r="C10" s="84" t="n">
        <v>1060.5</v>
      </c>
      <c r="F10" s="23" t="n">
        <f aca="false">'Food Data'!$AQ$6*'Food Data'!$AG$6</f>
        <v>82.5</v>
      </c>
      <c r="G10" s="23" t="n">
        <f aca="false">'Food Data'!$AQ$7*'Food Data'!$AG$7</f>
        <v>95.5</v>
      </c>
      <c r="H10" s="23" t="n">
        <f aca="false">'Food Data'!$AQ$8*'Food Data'!$AG$8</f>
        <v>89.5</v>
      </c>
      <c r="I10" s="23" t="n">
        <f aca="false">'Food Data'!$AQ$9*'Food Data'!$AG$9</f>
        <v>100</v>
      </c>
      <c r="J10" s="23" t="n">
        <f aca="false">'Food Data'!$AQ$10*'Food Data'!$AG$10</f>
        <v>106.5</v>
      </c>
      <c r="K10" s="23" t="n">
        <f aca="false">'Food Data'!$AQ$11*'Food Data'!$AG$11</f>
        <v>0</v>
      </c>
      <c r="L10" s="23" t="n">
        <f aca="false">'Food Data'!$AQ$12*'Food Data'!$AG$12</f>
        <v>136</v>
      </c>
      <c r="M10" s="23" t="n">
        <f aca="false">'Food Data'!$AQ$13*'Food Data'!$AG$13</f>
        <v>104.5</v>
      </c>
      <c r="N10" s="23" t="n">
        <f aca="false">'Food Data'!$AQ$14*'Food Data'!$AG$14</f>
        <v>163</v>
      </c>
      <c r="O10" s="23" t="n">
        <f aca="false">'Food Data'!$AQ$15*'Food Data'!$AG$15</f>
        <v>114.5</v>
      </c>
      <c r="P10" s="23" t="n">
        <f aca="false">'Food Data'!$AQ$16*'Food Data'!$AG$16</f>
        <v>0</v>
      </c>
      <c r="Q10" s="23" t="n">
        <f aca="false">'Food Data'!$AQ$17*'Food Data'!$AG$17</f>
        <v>86</v>
      </c>
      <c r="R10" s="23" t="n">
        <f aca="false">'Food Data'!$AQ$18*'Food Data'!$AG$18</f>
        <v>0</v>
      </c>
      <c r="S10" s="23" t="n">
        <f aca="false">'Food Data'!$AQ$19*'Food Data'!$AG$19</f>
        <v>0</v>
      </c>
      <c r="T10" s="23" t="n">
        <f aca="false">'Food Data'!$AQ$20*'Food Data'!$AG$20</f>
        <v>64</v>
      </c>
      <c r="U10" s="23" t="n">
        <f aca="false">'Food Data'!$AQ$21*'Food Data'!$AG$21</f>
        <v>0</v>
      </c>
      <c r="V10" s="23" t="n">
        <f aca="false">'Food Data'!$AQ$22*'Food Data'!$AG$22</f>
        <v>45.5</v>
      </c>
      <c r="W10" s="23" t="n">
        <f aca="false">'Food Data'!$AQ$23*'Food Data'!$AG$23</f>
        <v>44</v>
      </c>
      <c r="X10" s="23" t="n">
        <f aca="false">'Food Data'!$AQ$24*'Food Data'!$AG$24</f>
        <v>58</v>
      </c>
      <c r="Y10" s="23" t="n">
        <f aca="false">'Food Data'!$AQ$25*'Food Data'!$AG$25</f>
        <v>0</v>
      </c>
      <c r="Z10" s="23" t="n">
        <f aca="false">'Food Data'!$AQ$26*'Food Data'!$AG$26</f>
        <v>71.5</v>
      </c>
      <c r="AA10" s="23" t="n">
        <f aca="false">'Food Data'!$AQ$27*'Food Data'!$AG$27</f>
        <v>49</v>
      </c>
      <c r="AB10" s="23" t="n">
        <f aca="false">'Food Data'!$AQ$28*'Food Data'!$AG$28</f>
        <v>0</v>
      </c>
      <c r="AC10" s="23" t="n">
        <f aca="false">'Food Data'!$AQ$29*'Food Data'!$AG$29</f>
        <v>0</v>
      </c>
      <c r="AD10" s="23" t="n">
        <f aca="false">'Food Data'!$AQ$30*'Food Data'!$AG$30</f>
        <v>0</v>
      </c>
      <c r="AE10" s="23" t="n">
        <f aca="false">'Food Data'!$AQ$31*'Food Data'!$AG$31</f>
        <v>0</v>
      </c>
      <c r="AF10" s="23" t="n">
        <f aca="false">'Food Data'!$AQ$32*'Food Data'!$AG$32</f>
        <v>366</v>
      </c>
      <c r="AG10" s="23" t="n">
        <f aca="false">'Food Data'!$AQ$33*'Food Data'!$AG$33</f>
        <v>202</v>
      </c>
      <c r="AH10" s="23" t="n">
        <f aca="false">'Food Data'!$AQ$34*'Food Data'!$AG$34</f>
        <v>40.5</v>
      </c>
      <c r="AI10" s="23" t="n">
        <f aca="false">'Food Data'!$AQ$35*'Food Data'!$AG$35</f>
        <v>0</v>
      </c>
      <c r="AJ10" s="23" t="n">
        <f aca="false">'Food Data'!$AQ$36*'Food Data'!$AG$36</f>
        <v>0</v>
      </c>
      <c r="AK10" s="23" t="n">
        <f aca="false">'Food Data'!$AQ$37*'Food Data'!$AG$37</f>
        <v>61.5</v>
      </c>
      <c r="AL10" s="23" t="n">
        <f aca="false">'Food Data'!$AQ$38*'Food Data'!$AG$38</f>
        <v>0</v>
      </c>
      <c r="AM10" s="23" t="n">
        <f aca="false">'Food Data'!$AQ$39*'Food Data'!$AG$39</f>
        <v>109</v>
      </c>
      <c r="AN10" s="23" t="n">
        <f aca="false">'Food Data'!$AQ$40*'Food Data'!$AG$40</f>
        <v>148.5</v>
      </c>
      <c r="AO10" s="23" t="n">
        <f aca="false">'Food Data'!$AQ$41*'Food Data'!$AG$41</f>
        <v>0</v>
      </c>
      <c r="AP10" s="23" t="n">
        <f aca="false">'Food Data'!$AQ$42*'Food Data'!$AG$42</f>
        <v>60</v>
      </c>
      <c r="AQ10" s="23" t="n">
        <f aca="false">'Food Data'!$AQ$43*'Food Data'!$AG$43</f>
        <v>79</v>
      </c>
      <c r="AR10" s="23" t="n">
        <f aca="false">'Food Data'!$AQ$44*'Food Data'!$AG$44</f>
        <v>133</v>
      </c>
      <c r="AS10" s="23" t="n">
        <f aca="false">'Food Data'!$AQ$45*'Food Data'!$AG$45</f>
        <v>65</v>
      </c>
      <c r="AT10" s="23" t="n">
        <f aca="false">'Food Data'!$AQ$46*'Food Data'!$AG$46</f>
        <v>126</v>
      </c>
      <c r="AU10" s="23" t="n">
        <f aca="false">'Food Data'!$AQ$47*'Food Data'!$AG$47</f>
        <v>74.5</v>
      </c>
      <c r="AV10" s="23" t="n">
        <f aca="false">'Food Data'!$AQ$48*'Food Data'!$AG$48</f>
        <v>46.5</v>
      </c>
      <c r="AW10" s="23" t="n">
        <f aca="false">'Food Data'!$AQ$49*'Food Data'!$AG$49</f>
        <v>45</v>
      </c>
      <c r="AX10" s="23" t="n">
        <f aca="false">'Food Data'!$AQ$50*'Food Data'!$AG$50</f>
        <v>40.5</v>
      </c>
      <c r="AY10" s="23" t="n">
        <f aca="false">'Food Data'!$AQ$51*'Food Data'!$AG$51</f>
        <v>26</v>
      </c>
      <c r="AZ10" s="23" t="n">
        <f aca="false">'Food Data'!$AQ$52*'Food Data'!$AG$52</f>
        <v>0</v>
      </c>
      <c r="BA10" s="23" t="n">
        <f aca="false">'Food Data'!$AQ$53*'Food Data'!$AG$53</f>
        <v>0</v>
      </c>
      <c r="BB10" s="23" t="n">
        <f aca="false">'Food Data'!$AQ$54*'Food Data'!$AG$54</f>
        <v>0</v>
      </c>
      <c r="BC10" s="23" t="n">
        <f aca="false">'Food Data'!$AQ$55*'Food Data'!$AG$55</f>
        <v>0</v>
      </c>
      <c r="BD10" s="23" t="n">
        <f aca="false">'Food Data'!$AQ$56*'Food Data'!$AG$56</f>
        <v>24.5</v>
      </c>
      <c r="BE10" s="23" t="n">
        <f aca="false">'Food Data'!$AQ$57*'Food Data'!$AG$57</f>
        <v>0</v>
      </c>
      <c r="BF10" s="23" t="n">
        <f aca="false">'Food Data'!$AQ$58*'Food Data'!$AG$58</f>
        <v>0</v>
      </c>
      <c r="BG10" s="23" t="n">
        <f aca="false">'Food Data'!$AQ$59*'Food Data'!$AG$59</f>
        <v>14</v>
      </c>
      <c r="BH10" s="23" t="n">
        <f aca="false">'Food Data'!$AQ$60*'Food Data'!$AG$60</f>
        <v>20.5</v>
      </c>
      <c r="BI10" s="23" t="n">
        <f aca="false">'Food Data'!$AQ$61*'Food Data'!$AG$61</f>
        <v>11</v>
      </c>
      <c r="BJ10" s="23" t="n">
        <f aca="false">'Food Data'!$AQ$62*'Food Data'!$AG$62</f>
        <v>10</v>
      </c>
      <c r="BK10" s="23" t="n">
        <f aca="false">'Food Data'!$AQ$63*'Food Data'!$AG$63</f>
        <v>32.5</v>
      </c>
      <c r="BL10" s="23" t="n">
        <f aca="false">'Food Data'!$AQ$64*'Food Data'!$AG$64</f>
        <v>20</v>
      </c>
      <c r="BM10" s="23" t="n">
        <f aca="false">'Food Data'!$AQ$65*'Food Data'!$AG$65</f>
        <v>8.5</v>
      </c>
      <c r="BN10" s="23" t="n">
        <f aca="false">'Food Data'!$AQ$66*'Food Data'!$AG$66</f>
        <v>11.5</v>
      </c>
      <c r="BO10" s="23" t="n">
        <f aca="false">'Food Data'!$AQ$67*'Food Data'!$AG$67</f>
        <v>9</v>
      </c>
      <c r="BP10" s="23" t="n">
        <f aca="false">'Food Data'!$AQ$68*'Food Data'!$AG$68</f>
        <v>0</v>
      </c>
      <c r="BQ10" s="23" t="n">
        <f aca="false">'Food Data'!$AQ$69*'Food Data'!$AG$69</f>
        <v>442</v>
      </c>
      <c r="BR10" s="23" t="n">
        <f aca="false">'Food Data'!$AQ$70*'Food Data'!$AG$70</f>
        <v>442</v>
      </c>
      <c r="BS10" s="23" t="n">
        <f aca="false">'Food Data'!$AQ$71*'Food Data'!$AG$71</f>
        <v>0</v>
      </c>
      <c r="BT10" s="23" t="n">
        <f aca="false">'Food Data'!$AQ$72*'Food Data'!$AG$72</f>
        <v>83.5</v>
      </c>
      <c r="BU10" s="23" t="n">
        <f aca="false">'Food Data'!$AQ$73*'Food Data'!$AG$73</f>
        <v>0</v>
      </c>
      <c r="BV10" s="23" t="n">
        <f aca="false">'Food Data'!$AQ$74*'Food Data'!$AG$74</f>
        <v>0</v>
      </c>
      <c r="BW10" s="23" t="n">
        <f aca="false">'Food Data'!$AQ$75*'Food Data'!$AG$75</f>
        <v>0</v>
      </c>
      <c r="BX10" s="23" t="n">
        <f aca="false">'Food Data'!$AQ$76*'Food Data'!$AG$76</f>
        <v>0</v>
      </c>
    </row>
    <row r="11" customFormat="false" ht="15" hidden="false" customHeight="false" outlineLevel="0" collapsed="false">
      <c r="A11" s="4" t="s">
        <v>849</v>
      </c>
      <c r="B11" s="81" t="s">
        <v>848</v>
      </c>
      <c r="C11" s="84" t="n">
        <v>5</v>
      </c>
      <c r="F11" s="23" t="n">
        <f aca="false">IF('Food Data'!$AL$6="protein",100/'Food Data'!$AM$6,0)</f>
        <v>1.17647058823529</v>
      </c>
      <c r="G11" s="23" t="n">
        <f aca="false">IF('Food Data'!$AL$7="protein",100/'Food Data'!$AM$7,0)</f>
        <v>1.17647058823529</v>
      </c>
      <c r="H11" s="23" t="n">
        <f aca="false">IF('Food Data'!$AL$8="protein",100/'Food Data'!$AM$8,0)</f>
        <v>1.17647058823529</v>
      </c>
      <c r="I11" s="23" t="n">
        <f aca="false">IF('Food Data'!$AL$9="protein",100/'Food Data'!$AM$9,0)</f>
        <v>1.17647058823529</v>
      </c>
      <c r="J11" s="23" t="n">
        <f aca="false">IF('Food Data'!$AL$10="protein",100/'Food Data'!$AM$10,0)</f>
        <v>1.17647058823529</v>
      </c>
      <c r="K11" s="23" t="n">
        <f aca="false">IF('Food Data'!$AL$11="protein",100/'Food Data'!$AM$11,0)</f>
        <v>1.17647058823529</v>
      </c>
      <c r="L11" s="23" t="n">
        <f aca="false">IF('Food Data'!$AL$12="protein",100/'Food Data'!$AM$12,0)</f>
        <v>1.17647058823529</v>
      </c>
      <c r="M11" s="23" t="n">
        <f aca="false">IF('Food Data'!$AL$13="protein",100/'Food Data'!$AM$13,0)</f>
        <v>1.17647058823529</v>
      </c>
      <c r="N11" s="23" t="n">
        <f aca="false">IF('Food Data'!$AL$14="protein",100/'Food Data'!$AM$14,0)</f>
        <v>1.17647058823529</v>
      </c>
      <c r="O11" s="23" t="n">
        <f aca="false">IF('Food Data'!$AL$15="protein",100/'Food Data'!$AM$15,0)</f>
        <v>1.17647058823529</v>
      </c>
      <c r="P11" s="23" t="n">
        <f aca="false">IF('Food Data'!$AL$16="protein",100/'Food Data'!$AM$16,0)</f>
        <v>1.17647058823529</v>
      </c>
      <c r="Q11" s="23" t="n">
        <f aca="false">IF('Food Data'!$AL$17="protein",100/'Food Data'!$AM$17,0)</f>
        <v>1.17647058823529</v>
      </c>
      <c r="R11" s="23" t="n">
        <f aca="false">IF('Food Data'!$AL$18="protein",100/'Food Data'!$AM$18,0)</f>
        <v>1.17647058823529</v>
      </c>
      <c r="S11" s="23" t="n">
        <f aca="false">IF('Food Data'!$AL$19="protein",100/'Food Data'!$AM$19,0)</f>
        <v>1.17647058823529</v>
      </c>
      <c r="T11" s="23" t="n">
        <f aca="false">IF('Food Data'!$AL$20="protein",100/'Food Data'!$AM$20,0)</f>
        <v>1.17647058823529</v>
      </c>
      <c r="U11" s="23" t="n">
        <f aca="false">IF('Food Data'!$AL$21="protein",100/'Food Data'!$AM$21,0)</f>
        <v>2</v>
      </c>
      <c r="V11" s="23" t="n">
        <f aca="false">IF('Food Data'!$AL$22="protein",100/'Food Data'!$AM$22,0)</f>
        <v>0.833333333333333</v>
      </c>
      <c r="W11" s="23" t="n">
        <f aca="false">IF('Food Data'!$AL$23="protein",100/'Food Data'!$AM$23,0)</f>
        <v>0.833333333333333</v>
      </c>
      <c r="X11" s="23" t="n">
        <f aca="false">IF('Food Data'!$AL$24="protein",100/'Food Data'!$AM$24,0)</f>
        <v>1.01010101010101</v>
      </c>
      <c r="Y11" s="23" t="n">
        <f aca="false">IF('Food Data'!$AL$25="protein",100/'Food Data'!$AM$25,0)</f>
        <v>3.125</v>
      </c>
      <c r="Z11" s="23" t="n">
        <f aca="false">IF('Food Data'!$AL$26="protein",100/'Food Data'!$AM$26,0)</f>
        <v>1.16959064327485</v>
      </c>
      <c r="AA11" s="23" t="n">
        <f aca="false">IF('Food Data'!$AL$27="protein",100/'Food Data'!$AM$27,0)</f>
        <v>1.17647058823529</v>
      </c>
      <c r="AB11" s="23" t="n">
        <f aca="false">IF('Food Data'!$AL$28="protein",100/'Food Data'!$AM$28,0)</f>
        <v>0</v>
      </c>
      <c r="AC11" s="23" t="n">
        <f aca="false">IF('Food Data'!$AL$29="protein",100/'Food Data'!$AM$29,0)</f>
        <v>0</v>
      </c>
      <c r="AD11" s="23" t="n">
        <f aca="false">IF('Food Data'!$AL$30="protein",100/'Food Data'!$AM$30,0)</f>
        <v>0</v>
      </c>
      <c r="AE11" s="23" t="n">
        <f aca="false">IF('Food Data'!$AL$31="protein",100/'Food Data'!$AM$31,0)</f>
        <v>0</v>
      </c>
      <c r="AF11" s="23" t="n">
        <f aca="false">IF('Food Data'!$AL$32="protein",100/'Food Data'!$AM$32,0)</f>
        <v>0</v>
      </c>
      <c r="AG11" s="23" t="n">
        <f aca="false">IF('Food Data'!$AL$33="protein",100/'Food Data'!$AM$33,0)</f>
        <v>0</v>
      </c>
      <c r="AH11" s="23" t="n">
        <f aca="false">IF('Food Data'!$AL$34="protein",100/'Food Data'!$AM$34,0)</f>
        <v>0</v>
      </c>
      <c r="AI11" s="23" t="n">
        <f aca="false">IF('Food Data'!$AL$35="protein",100/'Food Data'!$AM$35,0)</f>
        <v>0</v>
      </c>
      <c r="AJ11" s="23" t="n">
        <f aca="false">IF('Food Data'!$AL$36="protein",100/'Food Data'!$AM$36,0)</f>
        <v>0</v>
      </c>
      <c r="AK11" s="23" t="n">
        <f aca="false">IF('Food Data'!$AL$37="protein",100/'Food Data'!$AM$37,0)</f>
        <v>0</v>
      </c>
      <c r="AL11" s="23" t="n">
        <f aca="false">IF('Food Data'!$AL$38="protein",100/'Food Data'!$AM$38,0)</f>
        <v>0</v>
      </c>
      <c r="AM11" s="23" t="n">
        <f aca="false">IF('Food Data'!$AL$39="protein",100/'Food Data'!$AM$39,0)</f>
        <v>0</v>
      </c>
      <c r="AN11" s="23" t="n">
        <f aca="false">IF('Food Data'!$AL$40="protein",100/'Food Data'!$AM$40,0)</f>
        <v>0</v>
      </c>
      <c r="AO11" s="23" t="n">
        <f aca="false">IF('Food Data'!$AL$41="protein",100/'Food Data'!$AM$41,0)</f>
        <v>0</v>
      </c>
      <c r="AP11" s="23" t="n">
        <f aca="false">IF('Food Data'!$AL$42="protein",100/'Food Data'!$AM$42,0)</f>
        <v>0</v>
      </c>
      <c r="AQ11" s="23" t="n">
        <f aca="false">IF('Food Data'!$AL$43="protein",100/'Food Data'!$AM$43,0)</f>
        <v>0</v>
      </c>
      <c r="AR11" s="23" t="n">
        <f aca="false">IF('Food Data'!$AL$44="protein",100/'Food Data'!$AM$44,0)</f>
        <v>0</v>
      </c>
      <c r="AS11" s="23" t="n">
        <f aca="false">IF('Food Data'!$AL$45="protein",100/'Food Data'!$AM$45,0)</f>
        <v>0</v>
      </c>
      <c r="AT11" s="23" t="n">
        <f aca="false">IF('Food Data'!$AL$46="protein",100/'Food Data'!$AM$46,0)</f>
        <v>0</v>
      </c>
      <c r="AU11" s="23" t="n">
        <f aca="false">IF('Food Data'!$AL$47="protein",100/'Food Data'!$AM$47,0)</f>
        <v>0</v>
      </c>
      <c r="AV11" s="23" t="n">
        <f aca="false">IF('Food Data'!$AL$48="protein",100/'Food Data'!$AM$48,0)</f>
        <v>0</v>
      </c>
      <c r="AW11" s="23" t="n">
        <f aca="false">IF('Food Data'!$AL$49="protein",100/'Food Data'!$AM$49,0)</f>
        <v>0</v>
      </c>
      <c r="AX11" s="23" t="n">
        <f aca="false">IF('Food Data'!$AL$50="protein",100/'Food Data'!$AM$50,0)</f>
        <v>0</v>
      </c>
      <c r="AY11" s="23" t="n">
        <f aca="false">IF('Food Data'!$AL$51="protein",100/'Food Data'!$AM$51,0)</f>
        <v>0</v>
      </c>
      <c r="AZ11" s="23" t="n">
        <f aca="false">IF('Food Data'!$AL$52="protein",100/'Food Data'!$AM$52,0)</f>
        <v>0</v>
      </c>
      <c r="BA11" s="23" t="n">
        <f aca="false">IF('Food Data'!$AL$53="protein",100/'Food Data'!$AM$53,0)</f>
        <v>0</v>
      </c>
      <c r="BB11" s="23" t="n">
        <f aca="false">IF('Food Data'!$AL$54="protein",100/'Food Data'!$AM$54,0)</f>
        <v>0</v>
      </c>
      <c r="BC11" s="23" t="n">
        <f aca="false">IF('Food Data'!$AL$55="protein",100/'Food Data'!$AM$55,0)</f>
        <v>0</v>
      </c>
      <c r="BD11" s="23" t="n">
        <f aca="false">IF('Food Data'!$AL$56="protein",100/'Food Data'!$AM$56,0)</f>
        <v>0</v>
      </c>
      <c r="BE11" s="23" t="n">
        <f aca="false">IF('Food Data'!$AL$57="protein",100/'Food Data'!$AM$57,0)</f>
        <v>0</v>
      </c>
      <c r="BF11" s="23" t="n">
        <f aca="false">IF('Food Data'!$AL$58="protein",100/'Food Data'!$AM$58,0)</f>
        <v>0</v>
      </c>
      <c r="BG11" s="23" t="n">
        <f aca="false">IF('Food Data'!$AL$59="protein",100/'Food Data'!$AM$59,0)</f>
        <v>0</v>
      </c>
      <c r="BH11" s="23" t="n">
        <f aca="false">IF('Food Data'!$AL$60="protein",100/'Food Data'!$AM$60,0)</f>
        <v>0</v>
      </c>
      <c r="BI11" s="23" t="n">
        <f aca="false">IF('Food Data'!$AL$61="protein",100/'Food Data'!$AM$61,0)</f>
        <v>0</v>
      </c>
      <c r="BJ11" s="23" t="n">
        <f aca="false">IF('Food Data'!$AL$62="protein",100/'Food Data'!$AM$62,0)</f>
        <v>0</v>
      </c>
      <c r="BK11" s="23" t="n">
        <f aca="false">IF('Food Data'!$AL$63="protein",100/'Food Data'!$AM$63,0)</f>
        <v>0</v>
      </c>
      <c r="BL11" s="23" t="n">
        <f aca="false">IF('Food Data'!$AL$64="protein",100/'Food Data'!$AM$64,0)</f>
        <v>0</v>
      </c>
      <c r="BM11" s="23" t="n">
        <f aca="false">IF('Food Data'!$AL$65="protein",100/'Food Data'!$AM$65,0)</f>
        <v>0</v>
      </c>
      <c r="BN11" s="23" t="n">
        <f aca="false">IF('Food Data'!$AL$66="protein",100/'Food Data'!$AM$66,0)</f>
        <v>0</v>
      </c>
      <c r="BO11" s="23" t="n">
        <f aca="false">IF('Food Data'!$AL$67="protein",100/'Food Data'!$AM$67,0)</f>
        <v>0</v>
      </c>
      <c r="BP11" s="23" t="n">
        <f aca="false">IF('Food Data'!$AL$68="protein",100/'Food Data'!$AM$68,0)</f>
        <v>0</v>
      </c>
      <c r="BQ11" s="23" t="n">
        <f aca="false">IF('Food Data'!$AL$69="protein",100/'Food Data'!$AM$69,0)</f>
        <v>0</v>
      </c>
      <c r="BR11" s="23" t="n">
        <f aca="false">IF('Food Data'!$AL$70="protein",100/'Food Data'!$AM$70,0)</f>
        <v>0</v>
      </c>
      <c r="BS11" s="23" t="n">
        <f aca="false">IF('Food Data'!$AL$71="protein",100/'Food Data'!$AM$71,0)</f>
        <v>3.57142857142857</v>
      </c>
      <c r="BT11" s="23" t="n">
        <f aca="false">IF('Food Data'!$AL$72="protein",100/'Food Data'!$AM$72,0)</f>
        <v>0</v>
      </c>
      <c r="BU11" s="23" t="n">
        <f aca="false">IF('Food Data'!$AL$73="protein",100/'Food Data'!$AM$73,0)</f>
        <v>0</v>
      </c>
      <c r="BV11" s="23" t="n">
        <f aca="false">IF('Food Data'!$AL$74="protein",100/'Food Data'!$AM$74,0)</f>
        <v>0</v>
      </c>
      <c r="BW11" s="23" t="n">
        <f aca="false">IF('Food Data'!$AL$75="protein",100/'Food Data'!$AM$75,0)</f>
        <v>0</v>
      </c>
      <c r="BX11" s="23" t="n">
        <f aca="false">IF('Food Data'!$AL$76="protein",100/'Food Data'!$AM$76,0)</f>
        <v>0</v>
      </c>
    </row>
    <row r="12" customFormat="false" ht="15" hidden="false" customHeight="false" outlineLevel="0" collapsed="false">
      <c r="A12" s="4" t="s">
        <v>850</v>
      </c>
      <c r="B12" s="81" t="s">
        <v>845</v>
      </c>
      <c r="C12" s="84" t="n">
        <v>3</v>
      </c>
      <c r="F12" s="23" t="n">
        <f aca="false">IF('Food Data'!$AL$6="dairy",100/'Food Data'!$AM$6,0)</f>
        <v>0</v>
      </c>
      <c r="G12" s="23" t="n">
        <f aca="false">IF('Food Data'!$AL$7="dairy",100/'Food Data'!$AM$7,0)</f>
        <v>0</v>
      </c>
      <c r="H12" s="23" t="n">
        <f aca="false">IF('Food Data'!$AL$8="dairy",100/'Food Data'!$AM$8,0)</f>
        <v>0</v>
      </c>
      <c r="I12" s="23" t="n">
        <f aca="false">IF('Food Data'!$AL$9="dairy",100/'Food Data'!$AM$9,0)</f>
        <v>0</v>
      </c>
      <c r="J12" s="23" t="n">
        <f aca="false">IF('Food Data'!$AL$10="dairy",100/'Food Data'!$AM$10,0)</f>
        <v>0</v>
      </c>
      <c r="K12" s="23" t="n">
        <f aca="false">IF('Food Data'!$AL$11="dairy",100/'Food Data'!$AM$11,0)</f>
        <v>0</v>
      </c>
      <c r="L12" s="23" t="n">
        <f aca="false">IF('Food Data'!$AL$12="dairy",100/'Food Data'!$AM$12,0)</f>
        <v>0</v>
      </c>
      <c r="M12" s="23" t="n">
        <f aca="false">IF('Food Data'!$AL$13="dairy",100/'Food Data'!$AM$13,0)</f>
        <v>0</v>
      </c>
      <c r="N12" s="23" t="n">
        <f aca="false">IF('Food Data'!$AL$14="dairy",100/'Food Data'!$AM$14,0)</f>
        <v>0</v>
      </c>
      <c r="O12" s="23" t="n">
        <f aca="false">IF('Food Data'!$AL$15="dairy",100/'Food Data'!$AM$15,0)</f>
        <v>0</v>
      </c>
      <c r="P12" s="23" t="n">
        <f aca="false">IF('Food Data'!$AL$16="dairy",100/'Food Data'!$AM$16,0)</f>
        <v>0</v>
      </c>
      <c r="Q12" s="23" t="n">
        <f aca="false">IF('Food Data'!$AL$17="dairy",100/'Food Data'!$AM$17,0)</f>
        <v>0</v>
      </c>
      <c r="R12" s="23" t="n">
        <f aca="false">IF('Food Data'!$AL$18="dairy",100/'Food Data'!$AM$18,0)</f>
        <v>0</v>
      </c>
      <c r="S12" s="23" t="n">
        <f aca="false">IF('Food Data'!$AL$19="dairy",100/'Food Data'!$AM$19,0)</f>
        <v>0</v>
      </c>
      <c r="T12" s="23" t="n">
        <f aca="false">IF('Food Data'!$AL$20="dairy",100/'Food Data'!$AM$20,0)</f>
        <v>0</v>
      </c>
      <c r="U12" s="23" t="n">
        <f aca="false">IF('Food Data'!$AL$21="dairy",100/'Food Data'!$AM$21,0)</f>
        <v>0</v>
      </c>
      <c r="V12" s="23" t="n">
        <f aca="false">IF('Food Data'!$AL$22="dairy",100/'Food Data'!$AM$22,0)</f>
        <v>0</v>
      </c>
      <c r="W12" s="23" t="n">
        <f aca="false">IF('Food Data'!$AL$23="dairy",100/'Food Data'!$AM$23,0)</f>
        <v>0</v>
      </c>
      <c r="X12" s="23" t="n">
        <f aca="false">IF('Food Data'!$AL$24="dairy",100/'Food Data'!$AM$24,0)</f>
        <v>0</v>
      </c>
      <c r="Y12" s="23" t="n">
        <f aca="false">IF('Food Data'!$AL$25="dairy",100/'Food Data'!$AM$25,0)</f>
        <v>0</v>
      </c>
      <c r="Z12" s="23" t="n">
        <f aca="false">IF('Food Data'!$AL$26="dairy",100/'Food Data'!$AM$26,0)</f>
        <v>0</v>
      </c>
      <c r="AA12" s="23" t="n">
        <f aca="false">IF('Food Data'!$AL$27="dairy",100/'Food Data'!$AM$27,0)</f>
        <v>0</v>
      </c>
      <c r="AB12" s="23" t="n">
        <f aca="false">IF('Food Data'!$AL$28="dairy",100/'Food Data'!$AM$28,0)</f>
        <v>0.409836065573771</v>
      </c>
      <c r="AC12" s="23" t="n">
        <f aca="false">IF('Food Data'!$AL$29="dairy",100/'Food Data'!$AM$29,0)</f>
        <v>0.588235294117647</v>
      </c>
      <c r="AD12" s="23" t="n">
        <f aca="false">IF('Food Data'!$AL$30="dairy",100/'Food Data'!$AM$30,0)</f>
        <v>0.411522633744856</v>
      </c>
      <c r="AE12" s="23" t="n">
        <f aca="false">IF('Food Data'!$AL$31="dairy",100/'Food Data'!$AM$31,0)</f>
        <v>0.409836065573771</v>
      </c>
      <c r="AF12" s="23" t="n">
        <f aca="false">IF('Food Data'!$AL$32="dairy",100/'Food Data'!$AM$32,0)</f>
        <v>3.57142857142857</v>
      </c>
      <c r="AG12" s="23" t="n">
        <f aca="false">IF('Food Data'!$AL$33="dairy",100/'Food Data'!$AM$33,0)</f>
        <v>3.57142857142857</v>
      </c>
      <c r="AH12" s="23" t="n">
        <f aca="false">IF('Food Data'!$AL$34="dairy",100/'Food Data'!$AM$34,0)</f>
        <v>0.221238938053097</v>
      </c>
      <c r="AI12" s="23" t="n">
        <f aca="false">IF('Food Data'!$AL$35="dairy",100/'Food Data'!$AM$35,0)</f>
        <v>3.57142857142857</v>
      </c>
      <c r="AJ12" s="23" t="n">
        <f aca="false">IF('Food Data'!$AL$36="dairy",100/'Food Data'!$AM$36,0)</f>
        <v>0</v>
      </c>
      <c r="AK12" s="23" t="n">
        <f aca="false">IF('Food Data'!$AL$37="dairy",100/'Food Data'!$AM$37,0)</f>
        <v>0</v>
      </c>
      <c r="AL12" s="23" t="n">
        <f aca="false">IF('Food Data'!$AL$38="dairy",100/'Food Data'!$AM$38,0)</f>
        <v>0</v>
      </c>
      <c r="AM12" s="23" t="n">
        <f aca="false">IF('Food Data'!$AL$39="dairy",100/'Food Data'!$AM$39,0)</f>
        <v>0</v>
      </c>
      <c r="AN12" s="23" t="n">
        <f aca="false">IF('Food Data'!$AL$40="dairy",100/'Food Data'!$AM$40,0)</f>
        <v>0</v>
      </c>
      <c r="AO12" s="23" t="n">
        <f aca="false">IF('Food Data'!$AL$41="dairy",100/'Food Data'!$AM$41,0)</f>
        <v>0</v>
      </c>
      <c r="AP12" s="23" t="n">
        <f aca="false">IF('Food Data'!$AL$42="dairy",100/'Food Data'!$AM$42,0)</f>
        <v>0</v>
      </c>
      <c r="AQ12" s="23" t="n">
        <f aca="false">IF('Food Data'!$AL$43="dairy",100/'Food Data'!$AM$43,0)</f>
        <v>0</v>
      </c>
      <c r="AR12" s="23" t="n">
        <f aca="false">IF('Food Data'!$AL$44="dairy",100/'Food Data'!$AM$44,0)</f>
        <v>0</v>
      </c>
      <c r="AS12" s="23" t="n">
        <f aca="false">IF('Food Data'!$AL$45="dairy",100/'Food Data'!$AM$45,0)</f>
        <v>0</v>
      </c>
      <c r="AT12" s="23" t="n">
        <f aca="false">IF('Food Data'!$AL$46="dairy",100/'Food Data'!$AM$46,0)</f>
        <v>0</v>
      </c>
      <c r="AU12" s="23" t="n">
        <f aca="false">IF('Food Data'!$AL$47="dairy",100/'Food Data'!$AM$47,0)</f>
        <v>0</v>
      </c>
      <c r="AV12" s="23" t="n">
        <f aca="false">IF('Food Data'!$AL$48="dairy",100/'Food Data'!$AM$48,0)</f>
        <v>0</v>
      </c>
      <c r="AW12" s="23" t="n">
        <f aca="false">IF('Food Data'!$AL$49="dairy",100/'Food Data'!$AM$49,0)</f>
        <v>0</v>
      </c>
      <c r="AX12" s="23" t="n">
        <f aca="false">IF('Food Data'!$AL$50="dairy",100/'Food Data'!$AM$50,0)</f>
        <v>0</v>
      </c>
      <c r="AY12" s="23" t="n">
        <f aca="false">IF('Food Data'!$AL$51="dairy",100/'Food Data'!$AM$51,0)</f>
        <v>0</v>
      </c>
      <c r="AZ12" s="23" t="n">
        <f aca="false">IF('Food Data'!$AL$52="dairy",100/'Food Data'!$AM$52,0)</f>
        <v>0</v>
      </c>
      <c r="BA12" s="23" t="n">
        <f aca="false">IF('Food Data'!$AL$53="dairy",100/'Food Data'!$AM$53,0)</f>
        <v>0</v>
      </c>
      <c r="BB12" s="23" t="n">
        <f aca="false">IF('Food Data'!$AL$54="dairy",100/'Food Data'!$AM$54,0)</f>
        <v>0</v>
      </c>
      <c r="BC12" s="23" t="n">
        <f aca="false">IF('Food Data'!$AL$55="dairy",100/'Food Data'!$AM$55,0)</f>
        <v>0</v>
      </c>
      <c r="BD12" s="23" t="n">
        <f aca="false">IF('Food Data'!$AL$56="dairy",100/'Food Data'!$AM$56,0)</f>
        <v>0</v>
      </c>
      <c r="BE12" s="23" t="n">
        <f aca="false">IF('Food Data'!$AL$57="dairy",100/'Food Data'!$AM$57,0)</f>
        <v>0</v>
      </c>
      <c r="BF12" s="23" t="n">
        <f aca="false">IF('Food Data'!$AL$58="dairy",100/'Food Data'!$AM$58,0)</f>
        <v>0</v>
      </c>
      <c r="BG12" s="23" t="n">
        <f aca="false">IF('Food Data'!$AL$59="dairy",100/'Food Data'!$AM$59,0)</f>
        <v>0</v>
      </c>
      <c r="BH12" s="23" t="n">
        <f aca="false">IF('Food Data'!$AL$60="dairy",100/'Food Data'!$AM$60,0)</f>
        <v>0</v>
      </c>
      <c r="BI12" s="23" t="n">
        <f aca="false">IF('Food Data'!$AL$61="dairy",100/'Food Data'!$AM$61,0)</f>
        <v>0</v>
      </c>
      <c r="BJ12" s="23" t="n">
        <f aca="false">IF('Food Data'!$AL$62="dairy",100/'Food Data'!$AM$62,0)</f>
        <v>0</v>
      </c>
      <c r="BK12" s="23" t="n">
        <f aca="false">IF('Food Data'!$AL$63="dairy",100/'Food Data'!$AM$63,0)</f>
        <v>0</v>
      </c>
      <c r="BL12" s="23" t="n">
        <f aca="false">IF('Food Data'!$AL$64="dairy",100/'Food Data'!$AM$64,0)</f>
        <v>0</v>
      </c>
      <c r="BM12" s="23" t="n">
        <f aca="false">IF('Food Data'!$AL$65="dairy",100/'Food Data'!$AM$65,0)</f>
        <v>0</v>
      </c>
      <c r="BN12" s="23" t="n">
        <f aca="false">IF('Food Data'!$AL$66="dairy",100/'Food Data'!$AM$66,0)</f>
        <v>0</v>
      </c>
      <c r="BO12" s="23" t="n">
        <f aca="false">IF('Food Data'!$AL$67="dairy",100/'Food Data'!$AM$67,0)</f>
        <v>0</v>
      </c>
      <c r="BP12" s="23" t="n">
        <f aca="false">IF('Food Data'!$AL$68="dairy",100/'Food Data'!$AM$68,0)</f>
        <v>0</v>
      </c>
      <c r="BQ12" s="23" t="n">
        <f aca="false">IF('Food Data'!$AL$69="dairy",100/'Food Data'!$AM$69,0)</f>
        <v>0</v>
      </c>
      <c r="BR12" s="23" t="n">
        <f aca="false">IF('Food Data'!$AL$70="dairy",100/'Food Data'!$AM$70,0)</f>
        <v>0</v>
      </c>
      <c r="BS12" s="23" t="n">
        <f aca="false">IF('Food Data'!$AL$71="dairy",100/'Food Data'!$AM$71,0)</f>
        <v>0</v>
      </c>
      <c r="BT12" s="23" t="n">
        <f aca="false">IF('Food Data'!$AL$72="dairy",100/'Food Data'!$AM$72,0)</f>
        <v>0</v>
      </c>
      <c r="BU12" s="23" t="n">
        <f aca="false">IF('Food Data'!$AL$73="dairy",100/'Food Data'!$AM$73,0)</f>
        <v>0</v>
      </c>
      <c r="BV12" s="23" t="n">
        <f aca="false">IF('Food Data'!$AL$74="dairy",100/'Food Data'!$AM$74,0)</f>
        <v>0</v>
      </c>
      <c r="BW12" s="23" t="n">
        <f aca="false">IF('Food Data'!$AL$75="dairy",100/'Food Data'!$AM$75,0)</f>
        <v>0</v>
      </c>
      <c r="BX12" s="23" t="n">
        <f aca="false">IF('Food Data'!$AL$76="dairy",100/'Food Data'!$AM$76,0)</f>
        <v>0</v>
      </c>
    </row>
    <row r="13" customFormat="false" ht="15" hidden="false" customHeight="false" outlineLevel="0" collapsed="false">
      <c r="A13" s="4" t="s">
        <v>851</v>
      </c>
      <c r="B13" s="81" t="s">
        <v>845</v>
      </c>
      <c r="C13" s="84" t="n">
        <v>4.75</v>
      </c>
      <c r="F13" s="23" t="n">
        <f aca="false">IF('Food Data'!$AL$6="veg",100/'Food Data'!$AM$6,0)</f>
        <v>0</v>
      </c>
      <c r="G13" s="23" t="n">
        <f aca="false">IF('Food Data'!$AL$7="veg",100/'Food Data'!$AM$7,0)</f>
        <v>0</v>
      </c>
      <c r="H13" s="23" t="n">
        <f aca="false">IF('Food Data'!$AL$8="veg",100/'Food Data'!$AM$8,0)</f>
        <v>0</v>
      </c>
      <c r="I13" s="23" t="n">
        <f aca="false">IF('Food Data'!$AL$9="veg",100/'Food Data'!$AM$9,0)</f>
        <v>0</v>
      </c>
      <c r="J13" s="23" t="n">
        <f aca="false">IF('Food Data'!$AL$10="veg",100/'Food Data'!$AM$10,0)</f>
        <v>0</v>
      </c>
      <c r="K13" s="23" t="n">
        <f aca="false">IF('Food Data'!$AL$11="veg",100/'Food Data'!$AM$11,0)</f>
        <v>0</v>
      </c>
      <c r="L13" s="23" t="n">
        <f aca="false">IF('Food Data'!$AL$12="veg",100/'Food Data'!$AM$12,0)</f>
        <v>0</v>
      </c>
      <c r="M13" s="23" t="n">
        <f aca="false">IF('Food Data'!$AL$13="veg",100/'Food Data'!$AM$13,0)</f>
        <v>0</v>
      </c>
      <c r="N13" s="23" t="n">
        <f aca="false">IF('Food Data'!$AL$14="veg",100/'Food Data'!$AM$14,0)</f>
        <v>0</v>
      </c>
      <c r="O13" s="23" t="n">
        <f aca="false">IF('Food Data'!$AL$15="veg",100/'Food Data'!$AM$15,0)</f>
        <v>0</v>
      </c>
      <c r="P13" s="23" t="n">
        <f aca="false">IF('Food Data'!$AL$16="veg",100/'Food Data'!$AM$16,0)</f>
        <v>0</v>
      </c>
      <c r="Q13" s="23" t="n">
        <f aca="false">IF('Food Data'!$AL$17="veg",100/'Food Data'!$AM$17,0)</f>
        <v>0</v>
      </c>
      <c r="R13" s="23" t="n">
        <f aca="false">IF('Food Data'!$AL$18="veg",100/'Food Data'!$AM$18,0)</f>
        <v>0</v>
      </c>
      <c r="S13" s="23" t="n">
        <f aca="false">IF('Food Data'!$AL$19="veg",100/'Food Data'!$AM$19,0)</f>
        <v>0</v>
      </c>
      <c r="T13" s="23" t="n">
        <f aca="false">IF('Food Data'!$AL$20="veg",100/'Food Data'!$AM$20,0)</f>
        <v>0</v>
      </c>
      <c r="U13" s="23" t="n">
        <f aca="false">IF('Food Data'!$AL$21="veg",100/'Food Data'!$AM$21,0)</f>
        <v>0</v>
      </c>
      <c r="V13" s="23" t="n">
        <f aca="false">IF('Food Data'!$AL$22="veg",100/'Food Data'!$AM$22,0)</f>
        <v>0</v>
      </c>
      <c r="W13" s="23" t="n">
        <f aca="false">IF('Food Data'!$AL$23="veg",100/'Food Data'!$AM$23,0)</f>
        <v>0</v>
      </c>
      <c r="X13" s="23" t="n">
        <f aca="false">IF('Food Data'!$AL$24="veg",100/'Food Data'!$AM$24,0)</f>
        <v>0</v>
      </c>
      <c r="Y13" s="23" t="n">
        <f aca="false">IF('Food Data'!$AL$25="veg",100/'Food Data'!$AM$25,0)</f>
        <v>0</v>
      </c>
      <c r="Z13" s="23" t="n">
        <f aca="false">IF('Food Data'!$AL$26="veg",100/'Food Data'!$AM$26,0)</f>
        <v>0</v>
      </c>
      <c r="AA13" s="23" t="n">
        <f aca="false">IF('Food Data'!$AL$27="veg",100/'Food Data'!$AM$27,0)</f>
        <v>0</v>
      </c>
      <c r="AB13" s="23" t="n">
        <f aca="false">IF('Food Data'!$AL$28="veg",100/'Food Data'!$AM$28,0)</f>
        <v>0</v>
      </c>
      <c r="AC13" s="23" t="n">
        <f aca="false">IF('Food Data'!$AL$29="veg",100/'Food Data'!$AM$29,0)</f>
        <v>0</v>
      </c>
      <c r="AD13" s="23" t="n">
        <f aca="false">IF('Food Data'!$AL$30="veg",100/'Food Data'!$AM$30,0)</f>
        <v>0</v>
      </c>
      <c r="AE13" s="23" t="n">
        <f aca="false">IF('Food Data'!$AL$31="veg",100/'Food Data'!$AM$31,0)</f>
        <v>0</v>
      </c>
      <c r="AF13" s="23" t="n">
        <f aca="false">IF('Food Data'!$AL$32="veg",100/'Food Data'!$AM$32,0)</f>
        <v>0</v>
      </c>
      <c r="AG13" s="23" t="n">
        <f aca="false">IF('Food Data'!$AL$33="veg",100/'Food Data'!$AM$33,0)</f>
        <v>0</v>
      </c>
      <c r="AH13" s="23" t="n">
        <f aca="false">IF('Food Data'!$AL$34="veg",100/'Food Data'!$AM$34,0)</f>
        <v>0</v>
      </c>
      <c r="AI13" s="23" t="n">
        <f aca="false">IF('Food Data'!$AL$35="veg",100/'Food Data'!$AM$35,0)</f>
        <v>0</v>
      </c>
      <c r="AJ13" s="23" t="n">
        <f aca="false">IF('Food Data'!$AL$36="veg",100/'Food Data'!$AM$36,0)</f>
        <v>0</v>
      </c>
      <c r="AK13" s="23" t="n">
        <f aca="false">IF('Food Data'!$AL$37="veg",100/'Food Data'!$AM$37,0)</f>
        <v>0</v>
      </c>
      <c r="AL13" s="23" t="n">
        <f aca="false">IF('Food Data'!$AL$38="veg",100/'Food Data'!$AM$38,0)</f>
        <v>0</v>
      </c>
      <c r="AM13" s="23" t="n">
        <f aca="false">IF('Food Data'!$AL$39="veg",100/'Food Data'!$AM$39,0)</f>
        <v>0</v>
      </c>
      <c r="AN13" s="23" t="n">
        <f aca="false">IF('Food Data'!$AL$40="veg",100/'Food Data'!$AM$40,0)</f>
        <v>0</v>
      </c>
      <c r="AO13" s="23" t="n">
        <f aca="false">IF('Food Data'!$AL$41="veg",100/'Food Data'!$AM$41,0)</f>
        <v>0</v>
      </c>
      <c r="AP13" s="23" t="n">
        <f aca="false">IF('Food Data'!$AL$42="veg",100/'Food Data'!$AM$42,0)</f>
        <v>0</v>
      </c>
      <c r="AQ13" s="23" t="n">
        <f aca="false">IF('Food Data'!$AL$43="veg",100/'Food Data'!$AM$43,0)</f>
        <v>0</v>
      </c>
      <c r="AR13" s="23" t="n">
        <f aca="false">IF('Food Data'!$AL$44="veg",100/'Food Data'!$AM$44,0)</f>
        <v>0</v>
      </c>
      <c r="AS13" s="23" t="n">
        <f aca="false">IF('Food Data'!$AL$45="veg",100/'Food Data'!$AM$45,0)</f>
        <v>0</v>
      </c>
      <c r="AT13" s="23" t="n">
        <f aca="false">IF('Food Data'!$AL$46="veg",100/'Food Data'!$AM$46,0)</f>
        <v>0</v>
      </c>
      <c r="AU13" s="23" t="n">
        <f aca="false">IF('Food Data'!$AL$47="veg",100/'Food Data'!$AM$47,0)</f>
        <v>0</v>
      </c>
      <c r="AV13" s="23" t="n">
        <f aca="false">IF('Food Data'!$AL$48="veg",100/'Food Data'!$AM$48,0)</f>
        <v>0.578034682080925</v>
      </c>
      <c r="AW13" s="23" t="n">
        <f aca="false">IF('Food Data'!$AL$49="veg",100/'Food Data'!$AM$49,0)</f>
        <v>0.5</v>
      </c>
      <c r="AX13" s="23" t="n">
        <f aca="false">IF('Food Data'!$AL$50="veg",100/'Food Data'!$AM$50,0)</f>
        <v>0.606060606060606</v>
      </c>
      <c r="AY13" s="23" t="n">
        <f aca="false">IF('Food Data'!$AL$51="veg",100/'Food Data'!$AM$51,0)</f>
        <v>0</v>
      </c>
      <c r="AZ13" s="23" t="n">
        <f aca="false">IF('Food Data'!$AL$52="veg",100/'Food Data'!$AM$52,0)</f>
        <v>0</v>
      </c>
      <c r="BA13" s="23" t="n">
        <f aca="false">IF('Food Data'!$AL$53="veg",100/'Food Data'!$AM$53,0)</f>
        <v>0</v>
      </c>
      <c r="BB13" s="23" t="n">
        <f aca="false">IF('Food Data'!$AL$54="veg",100/'Food Data'!$AM$54,0)</f>
        <v>0</v>
      </c>
      <c r="BC13" s="23" t="n">
        <f aca="false">IF('Food Data'!$AL$55="veg",100/'Food Data'!$AM$55,0)</f>
        <v>0</v>
      </c>
      <c r="BD13" s="23" t="n">
        <f aca="false">IF('Food Data'!$AL$56="veg",100/'Food Data'!$AM$56,0)</f>
        <v>0</v>
      </c>
      <c r="BE13" s="23" t="n">
        <f aca="false">IF('Food Data'!$AL$57="veg",100/'Food Data'!$AM$57,0)</f>
        <v>0</v>
      </c>
      <c r="BF13" s="23" t="n">
        <f aca="false">IF('Food Data'!$AL$58="veg",100/'Food Data'!$AM$58,0)</f>
        <v>0</v>
      </c>
      <c r="BG13" s="23" t="n">
        <f aca="false">IF('Food Data'!$AL$59="veg",100/'Food Data'!$AM$59,0)</f>
        <v>0.543478260869565</v>
      </c>
      <c r="BH13" s="23" t="n">
        <f aca="false">IF('Food Data'!$AL$60="veg",100/'Food Data'!$AM$60,0)</f>
        <v>0.78125</v>
      </c>
      <c r="BI13" s="23" t="n">
        <f aca="false">IF('Food Data'!$AL$61="veg",100/'Food Data'!$AM$61,0)</f>
        <v>0.740740740740741</v>
      </c>
      <c r="BJ13" s="23" t="n">
        <f aca="false">IF('Food Data'!$AL$62="veg",100/'Food Data'!$AM$62,0)</f>
        <v>0.671140939597316</v>
      </c>
      <c r="BK13" s="23" t="n">
        <f aca="false">IF('Food Data'!$AL$63="veg",100/'Food Data'!$AM$63,0)</f>
        <v>0.54945054945055</v>
      </c>
      <c r="BL13" s="23" t="n">
        <f aca="false">IF('Food Data'!$AL$64="veg",100/'Food Data'!$AM$64,0)</f>
        <v>0.625</v>
      </c>
      <c r="BM13" s="23" t="n">
        <f aca="false">IF('Food Data'!$AL$65="veg",100/'Food Data'!$AM$65,0)</f>
        <v>1.06382978723404</v>
      </c>
      <c r="BN13" s="23" t="n">
        <f aca="false">IF('Food Data'!$AL$66="veg",100/'Food Data'!$AM$66,0)</f>
        <v>1.66666666666667</v>
      </c>
      <c r="BO13" s="23" t="n">
        <f aca="false">IF('Food Data'!$AL$67="veg",100/'Food Data'!$AM$67,0)</f>
        <v>0.555555555555556</v>
      </c>
      <c r="BP13" s="23" t="n">
        <f aca="false">IF('Food Data'!$AL$68="veg",100/'Food Data'!$AM$68,0)</f>
        <v>0</v>
      </c>
      <c r="BQ13" s="23" t="n">
        <f aca="false">IF('Food Data'!$AL$69="veg",100/'Food Data'!$AM$69,0)</f>
        <v>0</v>
      </c>
      <c r="BR13" s="23" t="n">
        <f aca="false">IF('Food Data'!$AL$70="veg",100/'Food Data'!$AM$70,0)</f>
        <v>0</v>
      </c>
      <c r="BS13" s="23" t="n">
        <f aca="false">IF('Food Data'!$AL$71="veg",100/'Food Data'!$AM$71,0)</f>
        <v>0</v>
      </c>
      <c r="BT13" s="23" t="n">
        <f aca="false">IF('Food Data'!$AL$72="veg",100/'Food Data'!$AM$72,0)</f>
        <v>0</v>
      </c>
      <c r="BU13" s="23" t="n">
        <f aca="false">IF('Food Data'!$AL$73="veg",100/'Food Data'!$AM$73,0)</f>
        <v>0</v>
      </c>
      <c r="BV13" s="23" t="n">
        <f aca="false">IF('Food Data'!$AL$74="veg",100/'Food Data'!$AM$74,0)</f>
        <v>0</v>
      </c>
      <c r="BW13" s="23" t="n">
        <f aca="false">IF('Food Data'!$AL$75="veg",100/'Food Data'!$AM$75,0)</f>
        <v>0</v>
      </c>
      <c r="BX13" s="23" t="n">
        <f aca="false">IF('Food Data'!$AL$76="veg",100/'Food Data'!$AM$76,0)</f>
        <v>0</v>
      </c>
    </row>
    <row r="14" customFormat="false" ht="15" hidden="false" customHeight="false" outlineLevel="0" collapsed="false">
      <c r="A14" s="4" t="s">
        <v>852</v>
      </c>
      <c r="B14" s="81" t="s">
        <v>845</v>
      </c>
      <c r="C14" s="84" t="n">
        <v>2.5</v>
      </c>
      <c r="F14" s="23" t="n">
        <f aca="false">IF('Food Data'!$AL$6="fruit",100/'Food Data'!$AM$6,0)</f>
        <v>0</v>
      </c>
      <c r="G14" s="23" t="n">
        <f aca="false">IF('Food Data'!$AL$7="fruit",100/'Food Data'!$AM$7,0)</f>
        <v>0</v>
      </c>
      <c r="H14" s="23" t="n">
        <f aca="false">IF('Food Data'!$AL$8="fruit",100/'Food Data'!$AM$8,0)</f>
        <v>0</v>
      </c>
      <c r="I14" s="23" t="n">
        <f aca="false">IF('Food Data'!$AL$9="fruit",100/'Food Data'!$AM$9,0)</f>
        <v>0</v>
      </c>
      <c r="J14" s="23" t="n">
        <f aca="false">IF('Food Data'!$AL$10="fruit",100/'Food Data'!$AM$10,0)</f>
        <v>0</v>
      </c>
      <c r="K14" s="23" t="n">
        <f aca="false">IF('Food Data'!$AL$11="fruit",100/'Food Data'!$AM$11,0)</f>
        <v>0</v>
      </c>
      <c r="L14" s="23" t="n">
        <f aca="false">IF('Food Data'!$AL$12="fruit",100/'Food Data'!$AM$12,0)</f>
        <v>0</v>
      </c>
      <c r="M14" s="23" t="n">
        <f aca="false">IF('Food Data'!$AL$13="fruit",100/'Food Data'!$AM$13,0)</f>
        <v>0</v>
      </c>
      <c r="N14" s="23" t="n">
        <f aca="false">IF('Food Data'!$AL$14="fruit",100/'Food Data'!$AM$14,0)</f>
        <v>0</v>
      </c>
      <c r="O14" s="23" t="n">
        <f aca="false">IF('Food Data'!$AL$15="fruit",100/'Food Data'!$AM$15,0)</f>
        <v>0</v>
      </c>
      <c r="P14" s="23" t="n">
        <f aca="false">IF('Food Data'!$AL$16="fruit",100/'Food Data'!$AM$16,0)</f>
        <v>0</v>
      </c>
      <c r="Q14" s="23" t="n">
        <f aca="false">IF('Food Data'!$AL$17="fruit",100/'Food Data'!$AM$17,0)</f>
        <v>0</v>
      </c>
      <c r="R14" s="23" t="n">
        <f aca="false">IF('Food Data'!$AL$18="fruit",100/'Food Data'!$AM$18,0)</f>
        <v>0</v>
      </c>
      <c r="S14" s="23" t="n">
        <f aca="false">IF('Food Data'!$AL$19="fruit",100/'Food Data'!$AM$19,0)</f>
        <v>0</v>
      </c>
      <c r="T14" s="23" t="n">
        <f aca="false">IF('Food Data'!$AL$20="fruit",100/'Food Data'!$AM$20,0)</f>
        <v>0</v>
      </c>
      <c r="U14" s="23" t="n">
        <f aca="false">IF('Food Data'!$AL$21="fruit",100/'Food Data'!$AM$21,0)</f>
        <v>0</v>
      </c>
      <c r="V14" s="23" t="n">
        <f aca="false">IF('Food Data'!$AL$22="fruit",100/'Food Data'!$AM$22,0)</f>
        <v>0</v>
      </c>
      <c r="W14" s="23" t="n">
        <f aca="false">IF('Food Data'!$AL$23="fruit",100/'Food Data'!$AM$23,0)</f>
        <v>0</v>
      </c>
      <c r="X14" s="23" t="n">
        <f aca="false">IF('Food Data'!$AL$24="fruit",100/'Food Data'!$AM$24,0)</f>
        <v>0</v>
      </c>
      <c r="Y14" s="23" t="n">
        <f aca="false">IF('Food Data'!$AL$25="fruit",100/'Food Data'!$AM$25,0)</f>
        <v>0</v>
      </c>
      <c r="Z14" s="23" t="n">
        <f aca="false">IF('Food Data'!$AL$26="fruit",100/'Food Data'!$AM$26,0)</f>
        <v>0</v>
      </c>
      <c r="AA14" s="23" t="n">
        <f aca="false">IF('Food Data'!$AL$27="fruit",100/'Food Data'!$AM$27,0)</f>
        <v>0</v>
      </c>
      <c r="AB14" s="23" t="n">
        <f aca="false">IF('Food Data'!$AL$28="fruit",100/'Food Data'!$AM$28,0)</f>
        <v>0</v>
      </c>
      <c r="AC14" s="23" t="n">
        <f aca="false">IF('Food Data'!$AL$29="fruit",100/'Food Data'!$AM$29,0)</f>
        <v>0</v>
      </c>
      <c r="AD14" s="23" t="n">
        <f aca="false">IF('Food Data'!$AL$30="fruit",100/'Food Data'!$AM$30,0)</f>
        <v>0</v>
      </c>
      <c r="AE14" s="23" t="n">
        <f aca="false">IF('Food Data'!$AL$31="fruit",100/'Food Data'!$AM$31,0)</f>
        <v>0</v>
      </c>
      <c r="AF14" s="23" t="n">
        <f aca="false">IF('Food Data'!$AL$32="fruit",100/'Food Data'!$AM$32,0)</f>
        <v>0</v>
      </c>
      <c r="AG14" s="23" t="n">
        <f aca="false">IF('Food Data'!$AL$33="fruit",100/'Food Data'!$AM$33,0)</f>
        <v>0</v>
      </c>
      <c r="AH14" s="23" t="n">
        <f aca="false">IF('Food Data'!$AL$34="fruit",100/'Food Data'!$AM$34,0)</f>
        <v>0</v>
      </c>
      <c r="AI14" s="23" t="n">
        <f aca="false">IF('Food Data'!$AL$35="fruit",100/'Food Data'!$AM$35,0)</f>
        <v>0</v>
      </c>
      <c r="AJ14" s="23" t="n">
        <f aca="false">IF('Food Data'!$AL$36="fruit",100/'Food Data'!$AM$36,0)</f>
        <v>0</v>
      </c>
      <c r="AK14" s="23" t="n">
        <f aca="false">IF('Food Data'!$AL$37="fruit",100/'Food Data'!$AM$37,0)</f>
        <v>0</v>
      </c>
      <c r="AL14" s="23" t="n">
        <f aca="false">IF('Food Data'!$AL$38="fruit",100/'Food Data'!$AM$38,0)</f>
        <v>0</v>
      </c>
      <c r="AM14" s="23" t="n">
        <f aca="false">IF('Food Data'!$AL$39="fruit",100/'Food Data'!$AM$39,0)</f>
        <v>0</v>
      </c>
      <c r="AN14" s="23" t="n">
        <f aca="false">IF('Food Data'!$AL$40="fruit",100/'Food Data'!$AM$40,0)</f>
        <v>0</v>
      </c>
      <c r="AO14" s="23" t="n">
        <f aca="false">IF('Food Data'!$AL$41="fruit",100/'Food Data'!$AM$41,0)</f>
        <v>0</v>
      </c>
      <c r="AP14" s="23" t="n">
        <f aca="false">IF('Food Data'!$AL$42="fruit",100/'Food Data'!$AM$42,0)</f>
        <v>0</v>
      </c>
      <c r="AQ14" s="23" t="n">
        <f aca="false">IF('Food Data'!$AL$43="fruit",100/'Food Data'!$AM$43,0)</f>
        <v>0</v>
      </c>
      <c r="AR14" s="23" t="n">
        <f aca="false">IF('Food Data'!$AL$44="fruit",100/'Food Data'!$AM$44,0)</f>
        <v>0</v>
      </c>
      <c r="AS14" s="23" t="n">
        <f aca="false">IF('Food Data'!$AL$45="fruit",100/'Food Data'!$AM$45,0)</f>
        <v>0</v>
      </c>
      <c r="AT14" s="23" t="n">
        <f aca="false">IF('Food Data'!$AL$46="fruit",100/'Food Data'!$AM$46,0)</f>
        <v>0</v>
      </c>
      <c r="AU14" s="23" t="n">
        <f aca="false">IF('Food Data'!$AL$47="fruit",100/'Food Data'!$AM$47,0)</f>
        <v>0</v>
      </c>
      <c r="AV14" s="23" t="n">
        <f aca="false">IF('Food Data'!$AL$48="fruit",100/'Food Data'!$AM$48,0)</f>
        <v>0</v>
      </c>
      <c r="AW14" s="23" t="n">
        <f aca="false">IF('Food Data'!$AL$49="fruit",100/'Food Data'!$AM$49,0)</f>
        <v>0</v>
      </c>
      <c r="AX14" s="23" t="n">
        <f aca="false">IF('Food Data'!$AL$50="fruit",100/'Food Data'!$AM$50,0)</f>
        <v>0</v>
      </c>
      <c r="AY14" s="23" t="n">
        <f aca="false">IF('Food Data'!$AL$51="fruit",100/'Food Data'!$AM$51,0)</f>
        <v>0.8</v>
      </c>
      <c r="AZ14" s="23" t="n">
        <f aca="false">IF('Food Data'!$AL$52="fruit",100/'Food Data'!$AM$52,0)</f>
        <v>0.847457627118644</v>
      </c>
      <c r="BA14" s="23" t="n">
        <f aca="false">IF('Food Data'!$AL$53="fruit",100/'Food Data'!$AM$53,0)</f>
        <v>0.645161290322581</v>
      </c>
      <c r="BB14" s="23" t="n">
        <f aca="false">IF('Food Data'!$AL$54="fruit",100/'Food Data'!$AM$54,0)</f>
        <v>0.662251655629139</v>
      </c>
      <c r="BC14" s="23" t="n">
        <f aca="false">IF('Food Data'!$AL$55="fruit",100/'Food Data'!$AM$55,0)</f>
        <v>0.401606425702811</v>
      </c>
      <c r="BD14" s="23" t="n">
        <f aca="false">IF('Food Data'!$AL$56="fruit",100/'Food Data'!$AM$56,0)</f>
        <v>0.714285714285714</v>
      </c>
      <c r="BE14" s="23" t="n">
        <f aca="false">IF('Food Data'!$AL$57="fruit",100/'Food Data'!$AM$57,0)</f>
        <v>1.21951219512195</v>
      </c>
      <c r="BF14" s="23" t="n">
        <f aca="false">IF('Food Data'!$AL$58="fruit",100/'Food Data'!$AM$58,0)</f>
        <v>0.657894736842105</v>
      </c>
      <c r="BG14" s="23" t="n">
        <f aca="false">IF('Food Data'!$AL$59="fruit",100/'Food Data'!$AM$59,0)</f>
        <v>0</v>
      </c>
      <c r="BH14" s="23" t="n">
        <f aca="false">IF('Food Data'!$AL$60="fruit",100/'Food Data'!$AM$60,0)</f>
        <v>0</v>
      </c>
      <c r="BI14" s="23" t="n">
        <f aca="false">IF('Food Data'!$AL$61="fruit",100/'Food Data'!$AM$61,0)</f>
        <v>0</v>
      </c>
      <c r="BJ14" s="23" t="n">
        <f aca="false">IF('Food Data'!$AL$62="fruit",100/'Food Data'!$AM$62,0)</f>
        <v>0</v>
      </c>
      <c r="BK14" s="23" t="n">
        <f aca="false">IF('Food Data'!$AL$63="fruit",100/'Food Data'!$AM$63,0)</f>
        <v>0</v>
      </c>
      <c r="BL14" s="23" t="n">
        <f aca="false">IF('Food Data'!$AL$64="fruit",100/'Food Data'!$AM$64,0)</f>
        <v>0</v>
      </c>
      <c r="BM14" s="23" t="n">
        <f aca="false">IF('Food Data'!$AL$65="fruit",100/'Food Data'!$AM$65,0)</f>
        <v>0</v>
      </c>
      <c r="BN14" s="23" t="n">
        <f aca="false">IF('Food Data'!$AL$66="fruit",100/'Food Data'!$AM$66,0)</f>
        <v>0</v>
      </c>
      <c r="BO14" s="23" t="n">
        <f aca="false">IF('Food Data'!$AL$67="fruit",100/'Food Data'!$AM$67,0)</f>
        <v>0</v>
      </c>
      <c r="BP14" s="23" t="n">
        <f aca="false">IF('Food Data'!$AL$68="fruit",100/'Food Data'!$AM$68,0)</f>
        <v>0</v>
      </c>
      <c r="BQ14" s="23" t="n">
        <f aca="false">IF('Food Data'!$AL$69="fruit",100/'Food Data'!$AM$69,0)</f>
        <v>0</v>
      </c>
      <c r="BR14" s="23" t="n">
        <f aca="false">IF('Food Data'!$AL$70="fruit",100/'Food Data'!$AM$70,0)</f>
        <v>0</v>
      </c>
      <c r="BS14" s="23" t="n">
        <f aca="false">IF('Food Data'!$AL$71="fruit",100/'Food Data'!$AM$71,0)</f>
        <v>0</v>
      </c>
      <c r="BT14" s="23" t="n">
        <f aca="false">IF('Food Data'!$AL$72="fruit",100/'Food Data'!$AM$72,0)</f>
        <v>0</v>
      </c>
      <c r="BU14" s="23" t="n">
        <f aca="false">IF('Food Data'!$AL$73="fruit",100/'Food Data'!$AM$73,0)</f>
        <v>0</v>
      </c>
      <c r="BV14" s="23" t="n">
        <f aca="false">IF('Food Data'!$AL$74="fruit",100/'Food Data'!$AM$74,0)</f>
        <v>0</v>
      </c>
      <c r="BW14" s="23" t="n">
        <f aca="false">IF('Food Data'!$AL$75="fruit",100/'Food Data'!$AM$75,0)</f>
        <v>0</v>
      </c>
      <c r="BX14" s="23" t="n">
        <f aca="false">IF('Food Data'!$AL$76="fruit",100/'Food Data'!$AM$76,0)</f>
        <v>0</v>
      </c>
    </row>
    <row r="15" customFormat="false" ht="15" hidden="false" customHeight="false" outlineLevel="0" collapsed="false">
      <c r="A15" s="4" t="s">
        <v>853</v>
      </c>
      <c r="B15" s="81" t="s">
        <v>845</v>
      </c>
      <c r="C15" s="84" t="n">
        <v>7</v>
      </c>
      <c r="F15" s="23" t="n">
        <f aca="false">IF('Food Data'!$AL$6="fat",100/'Food Data'!$AM$6,0)</f>
        <v>0</v>
      </c>
      <c r="G15" s="23" t="n">
        <f aca="false">IF('Food Data'!$AL$7="fat",100/'Food Data'!$AM$7,0)</f>
        <v>0</v>
      </c>
      <c r="H15" s="23" t="n">
        <f aca="false">IF('Food Data'!$AL$8="fat",100/'Food Data'!$AM$8,0)</f>
        <v>0</v>
      </c>
      <c r="I15" s="23" t="n">
        <f aca="false">IF('Food Data'!$AL$9="fat",100/'Food Data'!$AM$9,0)</f>
        <v>0</v>
      </c>
      <c r="J15" s="23" t="n">
        <f aca="false">IF('Food Data'!$AL$10="fat",100/'Food Data'!$AM$10,0)</f>
        <v>0</v>
      </c>
      <c r="K15" s="23" t="n">
        <f aca="false">IF('Food Data'!$AL$11="fat",100/'Food Data'!$AM$11,0)</f>
        <v>0</v>
      </c>
      <c r="L15" s="23" t="n">
        <f aca="false">IF('Food Data'!$AL$12="fat",100/'Food Data'!$AM$12,0)</f>
        <v>0</v>
      </c>
      <c r="M15" s="23" t="n">
        <f aca="false">IF('Food Data'!$AL$13="fat",100/'Food Data'!$AM$13,0)</f>
        <v>0</v>
      </c>
      <c r="N15" s="23" t="n">
        <f aca="false">IF('Food Data'!$AL$14="fat",100/'Food Data'!$AM$14,0)</f>
        <v>0</v>
      </c>
      <c r="O15" s="23" t="n">
        <f aca="false">IF('Food Data'!$AL$15="fat",100/'Food Data'!$AM$15,0)</f>
        <v>0</v>
      </c>
      <c r="P15" s="23" t="n">
        <f aca="false">IF('Food Data'!$AL$16="fat",100/'Food Data'!$AM$16,0)</f>
        <v>0</v>
      </c>
      <c r="Q15" s="23" t="n">
        <f aca="false">IF('Food Data'!$AL$17="fat",100/'Food Data'!$AM$17,0)</f>
        <v>0</v>
      </c>
      <c r="R15" s="23" t="n">
        <f aca="false">IF('Food Data'!$AL$18="fat",100/'Food Data'!$AM$18,0)</f>
        <v>0</v>
      </c>
      <c r="S15" s="23" t="n">
        <f aca="false">IF('Food Data'!$AL$19="fat",100/'Food Data'!$AM$19,0)</f>
        <v>0</v>
      </c>
      <c r="T15" s="23" t="n">
        <f aca="false">IF('Food Data'!$AL$20="fat",100/'Food Data'!$AM$20,0)</f>
        <v>0</v>
      </c>
      <c r="U15" s="23" t="n">
        <f aca="false">IF('Food Data'!$AL$21="fat",100/'Food Data'!$AM$21,0)</f>
        <v>0</v>
      </c>
      <c r="V15" s="23" t="n">
        <f aca="false">IF('Food Data'!$AL$22="fat",100/'Food Data'!$AM$22,0)</f>
        <v>0</v>
      </c>
      <c r="W15" s="23" t="n">
        <f aca="false">IF('Food Data'!$AL$23="fat",100/'Food Data'!$AM$23,0)</f>
        <v>0</v>
      </c>
      <c r="X15" s="23" t="n">
        <f aca="false">IF('Food Data'!$AL$24="fat",100/'Food Data'!$AM$24,0)</f>
        <v>0</v>
      </c>
      <c r="Y15" s="23" t="n">
        <f aca="false">IF('Food Data'!$AL$25="fat",100/'Food Data'!$AM$25,0)</f>
        <v>0</v>
      </c>
      <c r="Z15" s="23" t="n">
        <f aca="false">IF('Food Data'!$AL$26="fat",100/'Food Data'!$AM$26,0)</f>
        <v>0</v>
      </c>
      <c r="AA15" s="23" t="n">
        <f aca="false">IF('Food Data'!$AL$27="fat",100/'Food Data'!$AM$27,0)</f>
        <v>0</v>
      </c>
      <c r="AB15" s="23" t="n">
        <f aca="false">IF('Food Data'!$AL$28="fat",100/'Food Data'!$AM$28,0)</f>
        <v>0</v>
      </c>
      <c r="AC15" s="23" t="n">
        <f aca="false">IF('Food Data'!$AL$29="fat",100/'Food Data'!$AM$29,0)</f>
        <v>0</v>
      </c>
      <c r="AD15" s="23" t="n">
        <f aca="false">IF('Food Data'!$AL$30="fat",100/'Food Data'!$AM$30,0)</f>
        <v>0</v>
      </c>
      <c r="AE15" s="23" t="n">
        <f aca="false">IF('Food Data'!$AL$31="fat",100/'Food Data'!$AM$31,0)</f>
        <v>0</v>
      </c>
      <c r="AF15" s="23" t="n">
        <f aca="false">IF('Food Data'!$AL$32="fat",100/'Food Data'!$AM$32,0)</f>
        <v>0</v>
      </c>
      <c r="AG15" s="23" t="n">
        <f aca="false">IF('Food Data'!$AL$33="fat",100/'Food Data'!$AM$33,0)</f>
        <v>0</v>
      </c>
      <c r="AH15" s="23" t="n">
        <f aca="false">IF('Food Data'!$AL$34="fat",100/'Food Data'!$AM$34,0)</f>
        <v>0</v>
      </c>
      <c r="AI15" s="23" t="n">
        <f aca="false">IF('Food Data'!$AL$35="fat",100/'Food Data'!$AM$35,0)</f>
        <v>0</v>
      </c>
      <c r="AJ15" s="23" t="n">
        <f aca="false">IF('Food Data'!$AL$36="fat",100/'Food Data'!$AM$36,0)</f>
        <v>0</v>
      </c>
      <c r="AK15" s="23" t="n">
        <f aca="false">IF('Food Data'!$AL$37="fat",100/'Food Data'!$AM$37,0)</f>
        <v>0</v>
      </c>
      <c r="AL15" s="23" t="n">
        <f aca="false">IF('Food Data'!$AL$38="fat",100/'Food Data'!$AM$38,0)</f>
        <v>0</v>
      </c>
      <c r="AM15" s="23" t="n">
        <f aca="false">IF('Food Data'!$AL$39="fat",100/'Food Data'!$AM$39,0)</f>
        <v>0</v>
      </c>
      <c r="AN15" s="23" t="n">
        <f aca="false">IF('Food Data'!$AL$40="fat",100/'Food Data'!$AM$40,0)</f>
        <v>0</v>
      </c>
      <c r="AO15" s="23" t="n">
        <f aca="false">IF('Food Data'!$AL$41="fat",100/'Food Data'!$AM$41,0)</f>
        <v>0</v>
      </c>
      <c r="AP15" s="23" t="n">
        <f aca="false">IF('Food Data'!$AL$42="fat",100/'Food Data'!$AM$42,0)</f>
        <v>0</v>
      </c>
      <c r="AQ15" s="23" t="n">
        <f aca="false">IF('Food Data'!$AL$43="fat",100/'Food Data'!$AM$43,0)</f>
        <v>0</v>
      </c>
      <c r="AR15" s="23" t="n">
        <f aca="false">IF('Food Data'!$AL$44="fat",100/'Food Data'!$AM$44,0)</f>
        <v>0</v>
      </c>
      <c r="AS15" s="23" t="n">
        <f aca="false">IF('Food Data'!$AL$45="fat",100/'Food Data'!$AM$45,0)</f>
        <v>0</v>
      </c>
      <c r="AT15" s="23" t="n">
        <f aca="false">IF('Food Data'!$AL$46="fat",100/'Food Data'!$AM$46,0)</f>
        <v>0</v>
      </c>
      <c r="AU15" s="23" t="n">
        <f aca="false">IF('Food Data'!$AL$47="fat",100/'Food Data'!$AM$47,0)</f>
        <v>0</v>
      </c>
      <c r="AV15" s="23" t="n">
        <f aca="false">IF('Food Data'!$AL$48="fat",100/'Food Data'!$AM$48,0)</f>
        <v>0</v>
      </c>
      <c r="AW15" s="23" t="n">
        <f aca="false">IF('Food Data'!$AL$49="fat",100/'Food Data'!$AM$49,0)</f>
        <v>0</v>
      </c>
      <c r="AX15" s="23" t="n">
        <f aca="false">IF('Food Data'!$AL$50="fat",100/'Food Data'!$AM$50,0)</f>
        <v>0</v>
      </c>
      <c r="AY15" s="23" t="n">
        <f aca="false">IF('Food Data'!$AL$51="fat",100/'Food Data'!$AM$51,0)</f>
        <v>0</v>
      </c>
      <c r="AZ15" s="23" t="n">
        <f aca="false">IF('Food Data'!$AL$52="fat",100/'Food Data'!$AM$52,0)</f>
        <v>0</v>
      </c>
      <c r="BA15" s="23" t="n">
        <f aca="false">IF('Food Data'!$AL$53="fat",100/'Food Data'!$AM$53,0)</f>
        <v>0</v>
      </c>
      <c r="BB15" s="23" t="n">
        <f aca="false">IF('Food Data'!$AL$54="fat",100/'Food Data'!$AM$54,0)</f>
        <v>0</v>
      </c>
      <c r="BC15" s="23" t="n">
        <f aca="false">IF('Food Data'!$AL$55="fat",100/'Food Data'!$AM$55,0)</f>
        <v>0</v>
      </c>
      <c r="BD15" s="23" t="n">
        <f aca="false">IF('Food Data'!$AL$56="fat",100/'Food Data'!$AM$56,0)</f>
        <v>0</v>
      </c>
      <c r="BE15" s="23" t="n">
        <f aca="false">IF('Food Data'!$AL$57="fat",100/'Food Data'!$AM$57,0)</f>
        <v>0</v>
      </c>
      <c r="BF15" s="23" t="n">
        <f aca="false">IF('Food Data'!$AL$58="fat",100/'Food Data'!$AM$58,0)</f>
        <v>0</v>
      </c>
      <c r="BG15" s="23" t="n">
        <f aca="false">IF('Food Data'!$AL$59="fat",100/'Food Data'!$AM$59,0)</f>
        <v>0</v>
      </c>
      <c r="BH15" s="23" t="n">
        <f aca="false">IF('Food Data'!$AL$60="fat",100/'Food Data'!$AM$60,0)</f>
        <v>0</v>
      </c>
      <c r="BI15" s="23" t="n">
        <f aca="false">IF('Food Data'!$AL$61="fat",100/'Food Data'!$AM$61,0)</f>
        <v>0</v>
      </c>
      <c r="BJ15" s="23" t="n">
        <f aca="false">IF('Food Data'!$AL$62="fat",100/'Food Data'!$AM$62,0)</f>
        <v>0</v>
      </c>
      <c r="BK15" s="23" t="n">
        <f aca="false">IF('Food Data'!$AL$63="fat",100/'Food Data'!$AM$63,0)</f>
        <v>0</v>
      </c>
      <c r="BL15" s="23" t="n">
        <f aca="false">IF('Food Data'!$AL$64="fat",100/'Food Data'!$AM$64,0)</f>
        <v>0</v>
      </c>
      <c r="BM15" s="23" t="n">
        <f aca="false">IF('Food Data'!$AL$65="fat",100/'Food Data'!$AM$65,0)</f>
        <v>0</v>
      </c>
      <c r="BN15" s="23" t="n">
        <f aca="false">IF('Food Data'!$AL$66="fat",100/'Food Data'!$AM$66,0)</f>
        <v>0</v>
      </c>
      <c r="BO15" s="23" t="n">
        <f aca="false">IF('Food Data'!$AL$67="fat",100/'Food Data'!$AM$67,0)</f>
        <v>0</v>
      </c>
      <c r="BP15" s="23" t="n">
        <f aca="false">IF('Food Data'!$AL$68="fat",100/'Food Data'!$AM$68,0)</f>
        <v>21.128248468202</v>
      </c>
      <c r="BQ15" s="23" t="n">
        <f aca="false">IF('Food Data'!$AL$69="fat",100/'Food Data'!$AM$69,0)</f>
        <v>21.4270409256482</v>
      </c>
      <c r="BR15" s="23" t="n">
        <f aca="false">IF('Food Data'!$AL$70="fat",100/'Food Data'!$AM$70,0)</f>
        <v>22.2222222222222</v>
      </c>
      <c r="BS15" s="23" t="n">
        <f aca="false">IF('Food Data'!$AL$71="fat",100/'Food Data'!$AM$71,0)</f>
        <v>0</v>
      </c>
      <c r="BT15" s="23" t="n">
        <f aca="false">IF('Food Data'!$AL$72="fat",100/'Food Data'!$AM$72,0)</f>
        <v>0</v>
      </c>
      <c r="BU15" s="23" t="n">
        <f aca="false">IF('Food Data'!$AL$73="fat",100/'Food Data'!$AM$73,0)</f>
        <v>0</v>
      </c>
      <c r="BV15" s="23" t="n">
        <f aca="false">IF('Food Data'!$AL$74="fat",100/'Food Data'!$AM$74,0)</f>
        <v>0</v>
      </c>
      <c r="BW15" s="23" t="n">
        <f aca="false">IF('Food Data'!$AL$75="fat",100/'Food Data'!$AM$75,0)</f>
        <v>0</v>
      </c>
      <c r="BX15" s="23" t="n">
        <f aca="false">IF('Food Data'!$AL$76="fat",100/'Food Data'!$AM$76,0)</f>
        <v>0</v>
      </c>
    </row>
    <row r="16" customFormat="false" ht="15" hidden="false" customHeight="false" outlineLevel="0" collapsed="false">
      <c r="A16" s="4" t="s">
        <v>854</v>
      </c>
      <c r="B16" s="81" t="s">
        <v>848</v>
      </c>
      <c r="C16" s="84" t="n">
        <v>0</v>
      </c>
      <c r="F16" s="23" t="n">
        <f aca="false">IF('Food Data'!$AN$6&lt;&gt;"",100/'Food Data'!$AN$6,IF('Food Data'!$AL$6="wgrain",-100/'Food Data'!$AM$6,0))</f>
        <v>0</v>
      </c>
      <c r="G16" s="23" t="n">
        <f aca="false">IF('Food Data'!$AN$7&lt;&gt;"",100/'Food Data'!$AN$7,IF('Food Data'!$AL$7="wgrain",-100/'Food Data'!$AM$7,0))</f>
        <v>0</v>
      </c>
      <c r="H16" s="23" t="n">
        <f aca="false">IF('Food Data'!$AN$8&lt;&gt;"",100/'Food Data'!$AN$8,IF('Food Data'!$AL$8="wgrain",-100/'Food Data'!$AM$8,0))</f>
        <v>0</v>
      </c>
      <c r="I16" s="23" t="n">
        <f aca="false">IF('Food Data'!$AN$9&lt;&gt;"",100/'Food Data'!$AN$9,IF('Food Data'!$AL$9="wgrain",-100/'Food Data'!$AM$9,0))</f>
        <v>0</v>
      </c>
      <c r="J16" s="23" t="n">
        <f aca="false">IF('Food Data'!$AN$10&lt;&gt;"",100/'Food Data'!$AN$10,IF('Food Data'!$AL$10="wgrain",-100/'Food Data'!$AM$10,0))</f>
        <v>0</v>
      </c>
      <c r="K16" s="23" t="n">
        <f aca="false">IF('Food Data'!$AN$11&lt;&gt;"",100/'Food Data'!$AN$11,IF('Food Data'!$AL$11="wgrain",-100/'Food Data'!$AM$11,0))</f>
        <v>0</v>
      </c>
      <c r="L16" s="23" t="n">
        <f aca="false">IF('Food Data'!$AN$12&lt;&gt;"",100/'Food Data'!$AN$12,IF('Food Data'!$AL$12="wgrain",-100/'Food Data'!$AM$12,0))</f>
        <v>0</v>
      </c>
      <c r="M16" s="23" t="n">
        <f aca="false">IF('Food Data'!$AN$13&lt;&gt;"",100/'Food Data'!$AN$13,IF('Food Data'!$AL$13="wgrain",-100/'Food Data'!$AM$13,0))</f>
        <v>0</v>
      </c>
      <c r="N16" s="23" t="n">
        <f aca="false">IF('Food Data'!$AN$14&lt;&gt;"",100/'Food Data'!$AN$14,IF('Food Data'!$AL$14="wgrain",-100/'Food Data'!$AM$14,0))</f>
        <v>0</v>
      </c>
      <c r="O16" s="23" t="n">
        <f aca="false">IF('Food Data'!$AN$15&lt;&gt;"",100/'Food Data'!$AN$15,IF('Food Data'!$AL$15="wgrain",-100/'Food Data'!$AM$15,0))</f>
        <v>0</v>
      </c>
      <c r="P16" s="23" t="n">
        <f aca="false">IF('Food Data'!$AN$16&lt;&gt;"",100/'Food Data'!$AN$16,IF('Food Data'!$AL$16="wgrain",-100/'Food Data'!$AM$16,0))</f>
        <v>0</v>
      </c>
      <c r="Q16" s="23" t="n">
        <f aca="false">IF('Food Data'!$AN$17&lt;&gt;"",100/'Food Data'!$AN$17,IF('Food Data'!$AL$17="wgrain",-100/'Food Data'!$AM$17,0))</f>
        <v>0</v>
      </c>
      <c r="R16" s="23" t="n">
        <f aca="false">IF('Food Data'!$AN$18&lt;&gt;"",100/'Food Data'!$AN$18,IF('Food Data'!$AL$18="wgrain",-100/'Food Data'!$AM$18,0))</f>
        <v>0</v>
      </c>
      <c r="S16" s="23" t="n">
        <f aca="false">IF('Food Data'!$AN$19&lt;&gt;"",100/'Food Data'!$AN$19,IF('Food Data'!$AL$19="wgrain",-100/'Food Data'!$AM$19,0))</f>
        <v>0</v>
      </c>
      <c r="T16" s="23" t="n">
        <f aca="false">IF('Food Data'!$AN$20&lt;&gt;"",100/'Food Data'!$AN$20,IF('Food Data'!$AL$20="wgrain",-100/'Food Data'!$AM$20,0))</f>
        <v>0</v>
      </c>
      <c r="U16" s="23" t="n">
        <f aca="false">IF('Food Data'!$AN$21&lt;&gt;"",100/'Food Data'!$AN$21,IF('Food Data'!$AL$21="wgrain",-100/'Food Data'!$AM$21,0))</f>
        <v>0</v>
      </c>
      <c r="V16" s="23" t="n">
        <f aca="false">IF('Food Data'!$AN$22&lt;&gt;"",100/'Food Data'!$AN$22,IF('Food Data'!$AL$22="wgrain",-100/'Food Data'!$AM$22,0))</f>
        <v>0</v>
      </c>
      <c r="W16" s="23" t="n">
        <f aca="false">IF('Food Data'!$AN$23&lt;&gt;"",100/'Food Data'!$AN$23,IF('Food Data'!$AL$23="wgrain",-100/'Food Data'!$AM$23,0))</f>
        <v>0</v>
      </c>
      <c r="X16" s="23" t="n">
        <f aca="false">IF('Food Data'!$AN$24&lt;&gt;"",100/'Food Data'!$AN$24,IF('Food Data'!$AL$24="wgrain",-100/'Food Data'!$AM$24,0))</f>
        <v>0</v>
      </c>
      <c r="Y16" s="23" t="n">
        <f aca="false">IF('Food Data'!$AN$25&lt;&gt;"",100/'Food Data'!$AN$25,IF('Food Data'!$AL$25="wgrain",-100/'Food Data'!$AM$25,0))</f>
        <v>0</v>
      </c>
      <c r="Z16" s="23" t="n">
        <f aca="false">IF('Food Data'!$AN$26&lt;&gt;"",100/'Food Data'!$AN$26,IF('Food Data'!$AL$26="wgrain",-100/'Food Data'!$AM$26,0))</f>
        <v>0</v>
      </c>
      <c r="AA16" s="23" t="n">
        <f aca="false">IF('Food Data'!$AN$27&lt;&gt;"",100/'Food Data'!$AN$27,IF('Food Data'!$AL$27="wgrain",-100/'Food Data'!$AM$27,0))</f>
        <v>0</v>
      </c>
      <c r="AB16" s="23" t="n">
        <f aca="false">IF('Food Data'!$AN$28&lt;&gt;"",100/'Food Data'!$AN$28,IF('Food Data'!$AL$28="wgrain",-100/'Food Data'!$AM$28,0))</f>
        <v>0</v>
      </c>
      <c r="AC16" s="23" t="n">
        <f aca="false">IF('Food Data'!$AN$29&lt;&gt;"",100/'Food Data'!$AN$29,IF('Food Data'!$AL$29="wgrain",-100/'Food Data'!$AM$29,0))</f>
        <v>0</v>
      </c>
      <c r="AD16" s="23" t="n">
        <f aca="false">IF('Food Data'!$AN$30&lt;&gt;"",100/'Food Data'!$AN$30,IF('Food Data'!$AL$30="wgrain",-100/'Food Data'!$AM$30,0))</f>
        <v>0</v>
      </c>
      <c r="AE16" s="23" t="n">
        <f aca="false">IF('Food Data'!$AN$31&lt;&gt;"",100/'Food Data'!$AN$31,IF('Food Data'!$AL$31="wgrain",-100/'Food Data'!$AM$31,0))</f>
        <v>0</v>
      </c>
      <c r="AF16" s="23" t="n">
        <f aca="false">IF('Food Data'!$AN$32&lt;&gt;"",100/'Food Data'!$AN$32,IF('Food Data'!$AL$32="wgrain",-100/'Food Data'!$AM$32,0))</f>
        <v>0</v>
      </c>
      <c r="AG16" s="23" t="n">
        <f aca="false">IF('Food Data'!$AN$33&lt;&gt;"",100/'Food Data'!$AN$33,IF('Food Data'!$AL$33="wgrain",-100/'Food Data'!$AM$33,0))</f>
        <v>0</v>
      </c>
      <c r="AH16" s="23" t="n">
        <f aca="false">IF('Food Data'!$AN$34&lt;&gt;"",100/'Food Data'!$AN$34,IF('Food Data'!$AL$34="wgrain",-100/'Food Data'!$AM$34,0))</f>
        <v>0</v>
      </c>
      <c r="AI16" s="23" t="n">
        <f aca="false">IF('Food Data'!$AN$35&lt;&gt;"",100/'Food Data'!$AN$35,IF('Food Data'!$AL$35="wgrain",-100/'Food Data'!$AM$35,0))</f>
        <v>0</v>
      </c>
      <c r="AJ16" s="23" t="n">
        <f aca="false">IF('Food Data'!$AN$36&lt;&gt;"",100/'Food Data'!$AN$36,IF('Food Data'!$AL$36="wgrain",-100/'Food Data'!$AM$36,0))</f>
        <v>3.57142857142857</v>
      </c>
      <c r="AK16" s="23" t="n">
        <f aca="false">IF('Food Data'!$AN$37&lt;&gt;"",100/'Food Data'!$AN$37,IF('Food Data'!$AL$37="wgrain",-100/'Food Data'!$AM$37,0))</f>
        <v>-0.99009900990099</v>
      </c>
      <c r="AL16" s="23" t="n">
        <f aca="false">IF('Food Data'!$AN$38&lt;&gt;"",100/'Food Data'!$AN$38,IF('Food Data'!$AL$38="wgrain",-100/'Food Data'!$AM$38,0))</f>
        <v>-3.57142857142857</v>
      </c>
      <c r="AM16" s="23" t="n">
        <f aca="false">IF('Food Data'!$AN$39&lt;&gt;"",100/'Food Data'!$AN$39,IF('Food Data'!$AL$39="wgrain",-100/'Food Data'!$AM$39,0))</f>
        <v>3.84615384615385</v>
      </c>
      <c r="AN16" s="23" t="n">
        <f aca="false">IF('Food Data'!$AN$40&lt;&gt;"",100/'Food Data'!$AN$40,IF('Food Data'!$AL$40="wgrain",-100/'Food Data'!$AM$40,0))</f>
        <v>3.33333333333333</v>
      </c>
      <c r="AO16" s="23" t="n">
        <f aca="false">IF('Food Data'!$AN$41&lt;&gt;"",100/'Food Data'!$AN$41,IF('Food Data'!$AL$41="wgrain",-100/'Food Data'!$AM$41,0))</f>
        <v>-0.854700854700855</v>
      </c>
      <c r="AP16" s="23" t="n">
        <f aca="false">IF('Food Data'!$AN$42&lt;&gt;"",100/'Food Data'!$AN$42,IF('Food Data'!$AL$42="wgrain",-100/'Food Data'!$AM$42,0))</f>
        <v>-1.08108108108108</v>
      </c>
      <c r="AQ16" s="23" t="n">
        <f aca="false">IF('Food Data'!$AN$43&lt;&gt;"",100/'Food Data'!$AN$43,IF('Food Data'!$AL$43="wgrain",-100/'Food Data'!$AM$43,0))</f>
        <v>1.61290322580645</v>
      </c>
      <c r="AR16" s="23" t="n">
        <f aca="false">IF('Food Data'!$AN$44&lt;&gt;"",100/'Food Data'!$AN$44,IF('Food Data'!$AL$44="wgrain",-100/'Food Data'!$AM$44,0))</f>
        <v>3.57142857142857</v>
      </c>
      <c r="AS16" s="23" t="n">
        <f aca="false">IF('Food Data'!$AN$45&lt;&gt;"",100/'Food Data'!$AN$45,IF('Food Data'!$AL$45="wgrain",-100/'Food Data'!$AM$45,0))</f>
        <v>1.26582278481013</v>
      </c>
      <c r="AT16" s="23" t="n">
        <f aca="false">IF('Food Data'!$AN$46&lt;&gt;"",100/'Food Data'!$AN$46,IF('Food Data'!$AL$46="wgrain",-100/'Food Data'!$AM$46,0))</f>
        <v>-3.125</v>
      </c>
      <c r="AU16" s="23" t="n">
        <f aca="false">IF('Food Data'!$AN$47&lt;&gt;"",100/'Food Data'!$AN$47,IF('Food Data'!$AL$47="wgrain",-100/'Food Data'!$AM$47,0))</f>
        <v>-1.70940170940171</v>
      </c>
      <c r="AV16" s="23" t="n">
        <f aca="false">IF('Food Data'!$AN$48&lt;&gt;"",100/'Food Data'!$AN$48,IF('Food Data'!$AL$48="wgrain",-100/'Food Data'!$AM$48,0))</f>
        <v>0</v>
      </c>
      <c r="AW16" s="23" t="n">
        <f aca="false">IF('Food Data'!$AN$49&lt;&gt;"",100/'Food Data'!$AN$49,IF('Food Data'!$AL$49="wgrain",-100/'Food Data'!$AM$49,0))</f>
        <v>0</v>
      </c>
      <c r="AX16" s="23" t="n">
        <f aca="false">IF('Food Data'!$AN$50&lt;&gt;"",100/'Food Data'!$AN$50,IF('Food Data'!$AL$50="wgrain",-100/'Food Data'!$AM$50,0))</f>
        <v>0</v>
      </c>
      <c r="AY16" s="23" t="n">
        <f aca="false">IF('Food Data'!$AN$51&lt;&gt;"",100/'Food Data'!$AN$51,IF('Food Data'!$AL$51="wgrain",-100/'Food Data'!$AM$51,0))</f>
        <v>0</v>
      </c>
      <c r="AZ16" s="23" t="n">
        <f aca="false">IF('Food Data'!$AN$52&lt;&gt;"",100/'Food Data'!$AN$52,IF('Food Data'!$AL$52="wgrain",-100/'Food Data'!$AM$52,0))</f>
        <v>0</v>
      </c>
      <c r="BA16" s="23" t="n">
        <f aca="false">IF('Food Data'!$AN$53&lt;&gt;"",100/'Food Data'!$AN$53,IF('Food Data'!$AL$53="wgrain",-100/'Food Data'!$AM$53,0))</f>
        <v>0</v>
      </c>
      <c r="BB16" s="23" t="n">
        <f aca="false">IF('Food Data'!$AN$54&lt;&gt;"",100/'Food Data'!$AN$54,IF('Food Data'!$AL$54="wgrain",-100/'Food Data'!$AM$54,0))</f>
        <v>0</v>
      </c>
      <c r="BC16" s="23" t="n">
        <f aca="false">IF('Food Data'!$AN$55&lt;&gt;"",100/'Food Data'!$AN$55,IF('Food Data'!$AL$55="wgrain",-100/'Food Data'!$AM$55,0))</f>
        <v>0</v>
      </c>
      <c r="BD16" s="23" t="n">
        <f aca="false">IF('Food Data'!$AN$56&lt;&gt;"",100/'Food Data'!$AN$56,IF('Food Data'!$AL$56="wgrain",-100/'Food Data'!$AM$56,0))</f>
        <v>0</v>
      </c>
      <c r="BE16" s="23" t="n">
        <f aca="false">IF('Food Data'!$AN$57&lt;&gt;"",100/'Food Data'!$AN$57,IF('Food Data'!$AL$57="wgrain",-100/'Food Data'!$AM$57,0))</f>
        <v>0</v>
      </c>
      <c r="BF16" s="23" t="n">
        <f aca="false">IF('Food Data'!$AN$58&lt;&gt;"",100/'Food Data'!$AN$58,IF('Food Data'!$AL$58="wgrain",-100/'Food Data'!$AM$58,0))</f>
        <v>0</v>
      </c>
      <c r="BG16" s="23" t="n">
        <f aca="false">IF('Food Data'!$AN$59&lt;&gt;"",100/'Food Data'!$AN$59,IF('Food Data'!$AL$59="wgrain",-100/'Food Data'!$AM$59,0))</f>
        <v>0</v>
      </c>
      <c r="BH16" s="23" t="n">
        <f aca="false">IF('Food Data'!$AN$60&lt;&gt;"",100/'Food Data'!$AN$60,IF('Food Data'!$AL$60="wgrain",-100/'Food Data'!$AM$60,0))</f>
        <v>0</v>
      </c>
      <c r="BI16" s="23" t="n">
        <f aca="false">IF('Food Data'!$AN$61&lt;&gt;"",100/'Food Data'!$AN$61,IF('Food Data'!$AL$61="wgrain",-100/'Food Data'!$AM$61,0))</f>
        <v>0</v>
      </c>
      <c r="BJ16" s="23" t="n">
        <f aca="false">IF('Food Data'!$AN$62&lt;&gt;"",100/'Food Data'!$AN$62,IF('Food Data'!$AL$62="wgrain",-100/'Food Data'!$AM$62,0))</f>
        <v>0</v>
      </c>
      <c r="BK16" s="23" t="n">
        <f aca="false">IF('Food Data'!$AN$63&lt;&gt;"",100/'Food Data'!$AN$63,IF('Food Data'!$AL$63="wgrain",-100/'Food Data'!$AM$63,0))</f>
        <v>0</v>
      </c>
      <c r="BL16" s="23" t="n">
        <f aca="false">IF('Food Data'!$AN$64&lt;&gt;"",100/'Food Data'!$AN$64,IF('Food Data'!$AL$64="wgrain",-100/'Food Data'!$AM$64,0))</f>
        <v>0</v>
      </c>
      <c r="BM16" s="23" t="n">
        <f aca="false">IF('Food Data'!$AN$65&lt;&gt;"",100/'Food Data'!$AN$65,IF('Food Data'!$AL$65="wgrain",-100/'Food Data'!$AM$65,0))</f>
        <v>0</v>
      </c>
      <c r="BN16" s="23" t="n">
        <f aca="false">IF('Food Data'!$AN$66&lt;&gt;"",100/'Food Data'!$AN$66,IF('Food Data'!$AL$66="wgrain",-100/'Food Data'!$AM$66,0))</f>
        <v>0</v>
      </c>
      <c r="BO16" s="23" t="n">
        <f aca="false">IF('Food Data'!$AN$67&lt;&gt;"",100/'Food Data'!$AN$67,IF('Food Data'!$AL$67="wgrain",-100/'Food Data'!$AM$67,0))</f>
        <v>0</v>
      </c>
      <c r="BP16" s="23" t="n">
        <f aca="false">IF('Food Data'!$AN$68&lt;&gt;"",100/'Food Data'!$AN$68,IF('Food Data'!$AL$68="wgrain",-100/'Food Data'!$AM$68,0))</f>
        <v>0</v>
      </c>
      <c r="BQ16" s="23" t="n">
        <f aca="false">IF('Food Data'!$AN$69&lt;&gt;"",100/'Food Data'!$AN$69,IF('Food Data'!$AL$69="wgrain",-100/'Food Data'!$AM$69,0))</f>
        <v>0</v>
      </c>
      <c r="BR16" s="23" t="n">
        <f aca="false">IF('Food Data'!$AN$70&lt;&gt;"",100/'Food Data'!$AN$70,IF('Food Data'!$AL$70="wgrain",-100/'Food Data'!$AM$70,0))</f>
        <v>0</v>
      </c>
      <c r="BS16" s="23" t="n">
        <f aca="false">IF('Food Data'!$AN$71&lt;&gt;"",100/'Food Data'!$AN$71,IF('Food Data'!$AL$71="wgrain",-100/'Food Data'!$AM$71,0))</f>
        <v>0</v>
      </c>
      <c r="BT16" s="23" t="n">
        <f aca="false">IF('Food Data'!$AN$72&lt;&gt;"",100/'Food Data'!$AN$72,IF('Food Data'!$AL$72="wgrain",-100/'Food Data'!$AM$72,0))</f>
        <v>0</v>
      </c>
      <c r="BU16" s="23" t="n">
        <f aca="false">IF('Food Data'!$AN$73&lt;&gt;"",100/'Food Data'!$AN$73,IF('Food Data'!$AL$73="wgrain",-100/'Food Data'!$AM$73,0))</f>
        <v>0</v>
      </c>
      <c r="BV16" s="23" t="n">
        <f aca="false">IF('Food Data'!$AN$74&lt;&gt;"",100/'Food Data'!$AN$74,IF('Food Data'!$AL$74="wgrain",-100/'Food Data'!$AM$74,0))</f>
        <v>0</v>
      </c>
      <c r="BW16" s="23" t="n">
        <f aca="false">IF('Food Data'!$AN$75&lt;&gt;"",100/'Food Data'!$AN$75,IF('Food Data'!$AL$75="wgrain",-100/'Food Data'!$AM$75,0))</f>
        <v>0</v>
      </c>
      <c r="BX16" s="23" t="n">
        <f aca="false">IF('Food Data'!$AN$76&lt;&gt;"",100/'Food Data'!$AN$76,IF('Food Data'!$AL$76="wgrain",-100/'Food Data'!$AM$76,0))</f>
        <v>0</v>
      </c>
    </row>
    <row r="17" customFormat="false" ht="15" hidden="false" customHeight="false" outlineLevel="0" collapsed="false">
      <c r="A17" s="4" t="s">
        <v>855</v>
      </c>
      <c r="B17" s="81" t="s">
        <v>848</v>
      </c>
      <c r="C17" s="84" t="n">
        <v>0</v>
      </c>
      <c r="F17" s="23" t="n">
        <f aca="false">9*'Food Data'!$AP$6-0.1*'Food Data'!$AQ$6</f>
        <v>-7.41</v>
      </c>
      <c r="G17" s="23" t="n">
        <f aca="false">9*'Food Data'!$AP$7-0.1*'Food Data'!$AQ$7</f>
        <v>5.56</v>
      </c>
      <c r="H17" s="23" t="n">
        <f aca="false">9*'Food Data'!$AP$8-0.1*'Food Data'!$AQ$8</f>
        <v>2.899</v>
      </c>
      <c r="I17" s="23" t="n">
        <f aca="false">9*'Food Data'!$AP$9-0.1*'Food Data'!$AQ$9</f>
        <v>-7.138</v>
      </c>
      <c r="J17" s="23" t="n">
        <f aca="false">9*'Food Data'!$AP$10-0.1*'Food Data'!$AQ$10</f>
        <v>5.394</v>
      </c>
      <c r="K17" s="23" t="n">
        <f aca="false">9*'Food Data'!$AP$11-0.1*'Food Data'!$AQ$11</f>
        <v>60.876</v>
      </c>
      <c r="L17" s="23" t="n">
        <f aca="false">9*'Food Data'!$AP$12-0.1*'Food Data'!$AQ$12</f>
        <v>31.714</v>
      </c>
      <c r="M17" s="23" t="n">
        <f aca="false">9*'Food Data'!$AP$13-0.1*'Food Data'!$AQ$13</f>
        <v>14.173</v>
      </c>
      <c r="N17" s="23" t="n">
        <f aca="false">9*'Food Data'!$AP$14-0.1*'Food Data'!$AQ$14</f>
        <v>10.124</v>
      </c>
      <c r="O17" s="23" t="n">
        <f aca="false">9*'Food Data'!$AP$15-0.1*'Food Data'!$AQ$15</f>
        <v>21.11</v>
      </c>
      <c r="P17" s="23" t="n">
        <f aca="false">9*'Food Data'!$AP$16-0.1*'Food Data'!$AQ$16</f>
        <v>30.118</v>
      </c>
      <c r="Q17" s="23" t="n">
        <f aca="false">9*'Food Data'!$AP$17-0.1*'Food Data'!$AQ$17</f>
        <v>-6.701</v>
      </c>
      <c r="R17" s="23" t="n">
        <f aca="false">9*'Food Data'!$AP$18-0.1*'Food Data'!$AQ$18</f>
        <v>0.972999999999995</v>
      </c>
      <c r="S17" s="23" t="n">
        <f aca="false">9*'Food Data'!$AP$19-0.1*'Food Data'!$AQ$19</f>
        <v>-7.211</v>
      </c>
      <c r="T17" s="23" t="n">
        <f aca="false">9*'Food Data'!$AP$20-0.1*'Food Data'!$AQ$20</f>
        <v>-4.34</v>
      </c>
      <c r="U17" s="23" t="n">
        <f aca="false">9*'Food Data'!$AP$21-0.1*'Food Data'!$AQ$21</f>
        <v>13.834</v>
      </c>
      <c r="V17" s="23" t="n">
        <f aca="false">9*'Food Data'!$AP$22-0.1*'Food Data'!$AQ$22</f>
        <v>-8.425</v>
      </c>
      <c r="W17" s="23" t="n">
        <f aca="false">9*'Food Data'!$AP$23-0.1*'Food Data'!$AQ$23</f>
        <v>-6.964</v>
      </c>
      <c r="X17" s="23" t="n">
        <f aca="false">9*'Food Data'!$AP$24-0.1*'Food Data'!$AQ$24</f>
        <v>-11.123</v>
      </c>
      <c r="Y17" s="23" t="n">
        <f aca="false">9*'Food Data'!$AP$25-0.1*'Food Data'!$AQ$25</f>
        <v>33.125</v>
      </c>
      <c r="Z17" s="23" t="n">
        <f aca="false">9*'Food Data'!$AP$26-0.1*'Food Data'!$AQ$26</f>
        <v>-13.076</v>
      </c>
      <c r="AA17" s="23" t="n">
        <f aca="false">9*'Food Data'!$AP$27-0.1*'Food Data'!$AQ$27</f>
        <v>-3.5</v>
      </c>
      <c r="AB17" s="23" t="n">
        <f aca="false">9*'Food Data'!$AP$28-0.1*'Food Data'!$AQ$28</f>
        <v>6.313</v>
      </c>
      <c r="AC17" s="23" t="n">
        <f aca="false">9*'Food Data'!$AP$29-0.1*'Food Data'!$AQ$29</f>
        <v>-4.847</v>
      </c>
      <c r="AD17" s="23" t="n">
        <f aca="false">9*'Food Data'!$AP$30-0.1*'Food Data'!$AQ$30</f>
        <v>-2.455</v>
      </c>
      <c r="AE17" s="23" t="n">
        <f aca="false">9*'Food Data'!$AP$31-0.1*'Food Data'!$AQ$31</f>
        <v>10.685</v>
      </c>
      <c r="AF17" s="23" t="n">
        <f aca="false">9*'Food Data'!$AP$32-0.1*'Food Data'!$AQ$32</f>
        <v>125.913</v>
      </c>
      <c r="AG17" s="23" t="n">
        <f aca="false">9*'Food Data'!$AP$33-0.1*'Food Data'!$AQ$33</f>
        <v>129.403</v>
      </c>
      <c r="AH17" s="23" t="n">
        <f aca="false">9*'Food Data'!$AP$34-0.1*'Food Data'!$AQ$34</f>
        <v>3.015</v>
      </c>
      <c r="AI17" s="23" t="n">
        <f aca="false">9*'Food Data'!$AP$35-0.1*'Food Data'!$AQ$35</f>
        <v>72.155</v>
      </c>
      <c r="AJ17" s="23" t="n">
        <f aca="false">9*'Food Data'!$AP$36-0.1*'Food Data'!$AQ$36</f>
        <v>-23.16</v>
      </c>
      <c r="AK17" s="23" t="n">
        <f aca="false">9*'Food Data'!$AP$37-0.1*'Food Data'!$AQ$37</f>
        <v>-9.96</v>
      </c>
      <c r="AL17" s="23" t="n">
        <f aca="false">9*'Food Data'!$AP$38-0.1*'Food Data'!$AQ$38</f>
        <v>-24.1</v>
      </c>
      <c r="AM17" s="23" t="n">
        <f aca="false">9*'Food Data'!$AP$39-0.1*'Food Data'!$AQ$39</f>
        <v>-17.723</v>
      </c>
      <c r="AN17" s="23" t="n">
        <f aca="false">9*'Food Data'!$AP$40-0.1*'Food Data'!$AQ$40</f>
        <v>-18.675</v>
      </c>
      <c r="AO17" s="23" t="n">
        <f aca="false">9*'Food Data'!$AP$41-0.1*'Food Data'!$AQ$41</f>
        <v>-4.31</v>
      </c>
      <c r="AP17" s="23" t="n">
        <f aca="false">9*'Food Data'!$AP$42-0.1*'Food Data'!$AQ$42</f>
        <v>-9.921</v>
      </c>
      <c r="AQ17" s="23" t="n">
        <f aca="false">9*'Food Data'!$AP$43-0.1*'Food Data'!$AQ$43</f>
        <v>-14.216</v>
      </c>
      <c r="AR17" s="23" t="n">
        <f aca="false">9*'Food Data'!$AP$44-0.1*'Food Data'!$AQ$44</f>
        <v>-20.318</v>
      </c>
      <c r="AS17" s="23" t="n">
        <f aca="false">9*'Food Data'!$AP$45-0.1*'Food Data'!$AQ$45</f>
        <v>-12.307</v>
      </c>
      <c r="AT17" s="23" t="n">
        <f aca="false">9*'Food Data'!$AP$46-0.1*'Food Data'!$AQ$46</f>
        <v>-18.702</v>
      </c>
      <c r="AU17" s="23" t="n">
        <f aca="false">9*'Food Data'!$AP$47-0.1*'Food Data'!$AQ$47</f>
        <v>-12.713</v>
      </c>
      <c r="AV17" s="23" t="n">
        <f aca="false">9*'Food Data'!$AP$48-0.1*'Food Data'!$AQ$48</f>
        <v>-8.994</v>
      </c>
      <c r="AW17" s="23" t="n">
        <f aca="false">9*'Food Data'!$AP$49-0.1*'Food Data'!$AQ$49</f>
        <v>-8.532</v>
      </c>
      <c r="AX17" s="23" t="n">
        <f aca="false">9*'Food Data'!$AP$50-0.1*'Food Data'!$AQ$50</f>
        <v>-7.173</v>
      </c>
      <c r="AY17" s="23" t="n">
        <f aca="false">9*'Food Data'!$AP$51-0.1*'Food Data'!$AQ$51</f>
        <v>-4.948</v>
      </c>
      <c r="AZ17" s="23" t="n">
        <f aca="false">9*'Food Data'!$AP$52-0.1*'Food Data'!$AQ$52</f>
        <v>-7.892</v>
      </c>
      <c r="BA17" s="23" t="n">
        <f aca="false">9*'Food Data'!$AP$53-0.1*'Food Data'!$AQ$53</f>
        <v>-4.623</v>
      </c>
      <c r="BB17" s="23" t="n">
        <f aca="false">9*'Food Data'!$AP$54-0.1*'Food Data'!$AQ$54</f>
        <v>-6.414</v>
      </c>
      <c r="BC17" s="23" t="n">
        <f aca="false">9*'Food Data'!$AP$55-0.1*'Food Data'!$AQ$55</f>
        <v>-4.774</v>
      </c>
      <c r="BD17" s="23" t="n">
        <f aca="false">9*'Food Data'!$AP$56-0.1*'Food Data'!$AQ$56</f>
        <v>-4.747</v>
      </c>
      <c r="BE17" s="23" t="n">
        <f aca="false">9*'Food Data'!$AP$57-0.1*'Food Data'!$AQ$57</f>
        <v>-29.378</v>
      </c>
      <c r="BF17" s="23" t="n">
        <f aca="false">9*'Food Data'!$AP$58-0.1*'Food Data'!$AQ$58</f>
        <v>-3.065</v>
      </c>
      <c r="BG17" s="23" t="n">
        <f aca="false">9*'Food Data'!$AP$59-0.1*'Food Data'!$AQ$59</f>
        <v>-2.638</v>
      </c>
      <c r="BH17" s="23" t="n">
        <f aca="false">9*'Food Data'!$AP$60-0.1*'Food Data'!$AQ$60</f>
        <v>-3.767</v>
      </c>
      <c r="BI17" s="23" t="n">
        <f aca="false">9*'Food Data'!$AP$61-0.1*'Food Data'!$AQ$61</f>
        <v>-1.273</v>
      </c>
      <c r="BJ17" s="23" t="n">
        <f aca="false">9*'Food Data'!$AP$62-0.1*'Food Data'!$AQ$62</f>
        <v>-1.478</v>
      </c>
      <c r="BK17" s="23" t="n">
        <f aca="false">9*'Food Data'!$AP$63-0.1*'Food Data'!$AQ$63</f>
        <v>-6.221</v>
      </c>
      <c r="BL17" s="23" t="n">
        <f aca="false">9*'Food Data'!$AP$64-0.1*'Food Data'!$AQ$64</f>
        <v>-3.622</v>
      </c>
      <c r="BM17" s="23" t="n">
        <f aca="false">9*'Food Data'!$AP$65-0.1*'Food Data'!$AQ$65</f>
        <v>-1.349</v>
      </c>
      <c r="BN17" s="23" t="n">
        <f aca="false">9*'Food Data'!$AP$66-0.1*'Food Data'!$AQ$66</f>
        <v>-1.733</v>
      </c>
      <c r="BO17" s="23" t="n">
        <f aca="false">9*'Food Data'!$AP$67-0.1*'Food Data'!$AQ$67</f>
        <v>-1.548</v>
      </c>
      <c r="BP17" s="23" t="n">
        <f aca="false">9*'Food Data'!$AP$68-0.1*'Food Data'!$AQ$68</f>
        <v>390.612</v>
      </c>
      <c r="BQ17" s="23" t="n">
        <f aca="false">9*'Food Data'!$AP$69-0.1*'Food Data'!$AQ$69</f>
        <v>-22.115</v>
      </c>
      <c r="BR17" s="23" t="n">
        <f aca="false">9*'Food Data'!$AP$70-0.1*'Food Data'!$AQ$70</f>
        <v>35.872</v>
      </c>
      <c r="BS17" s="23" t="n">
        <f aca="false">9*'Food Data'!$AP$71-0.1*'Food Data'!$AQ$71</f>
        <v>-23.682</v>
      </c>
      <c r="BT17" s="23" t="n">
        <f aca="false">9*'Food Data'!$AP$72-0.1*'Food Data'!$AQ$72</f>
        <v>2.434</v>
      </c>
      <c r="BU17" s="23" t="n">
        <f aca="false">9*'Food Data'!$AP$73-0.1*'Food Data'!$AQ$73</f>
        <v>23.619</v>
      </c>
      <c r="BV17" s="23" t="n">
        <f aca="false">9*'Food Data'!$AP$74-0.1*'Food Data'!$AQ$74</f>
        <v>12.749</v>
      </c>
      <c r="BW17" s="23" t="n">
        <f aca="false">9*'Food Data'!$AP$75-0.1*'Food Data'!$AQ$75</f>
        <v>-22.6</v>
      </c>
      <c r="BX17" s="23" t="n">
        <f aca="false">9*'Food Data'!$AP$76-0.1*'Food Data'!$AQ$76</f>
        <v>40.41</v>
      </c>
    </row>
    <row r="18" customFormat="false" ht="15" hidden="false" customHeight="false" outlineLevel="0" collapsed="false">
      <c r="A18" s="4" t="s">
        <v>856</v>
      </c>
      <c r="B18" s="81" t="s">
        <v>848</v>
      </c>
      <c r="C18" s="84" t="n">
        <v>1.5</v>
      </c>
      <c r="F18" s="23" t="n">
        <f aca="false">IF('Food Data'!$AO$6="milk",100/'Food Data'!$AM$6,0)</f>
        <v>0</v>
      </c>
      <c r="G18" s="23" t="n">
        <f aca="false">IF('Food Data'!$AO$7="milk",100/'Food Data'!$AM$7,0)</f>
        <v>0</v>
      </c>
      <c r="H18" s="23" t="n">
        <f aca="false">IF('Food Data'!$AO$8="milk",100/'Food Data'!$AM$8,0)</f>
        <v>0</v>
      </c>
      <c r="I18" s="23" t="n">
        <f aca="false">IF('Food Data'!$AO$9="milk",100/'Food Data'!$AM$9,0)</f>
        <v>0</v>
      </c>
      <c r="J18" s="23" t="n">
        <f aca="false">IF('Food Data'!$AO$10="milk",100/'Food Data'!$AM$10,0)</f>
        <v>0</v>
      </c>
      <c r="K18" s="23" t="n">
        <f aca="false">IF('Food Data'!$AO$11="milk",100/'Food Data'!$AM$11,0)</f>
        <v>0</v>
      </c>
      <c r="L18" s="23" t="n">
        <f aca="false">IF('Food Data'!$AO$12="milk",100/'Food Data'!$AM$12,0)</f>
        <v>0</v>
      </c>
      <c r="M18" s="23" t="n">
        <f aca="false">IF('Food Data'!$AO$13="milk",100/'Food Data'!$AM$13,0)</f>
        <v>0</v>
      </c>
      <c r="N18" s="23" t="n">
        <f aca="false">IF('Food Data'!$AO$14="milk",100/'Food Data'!$AM$14,0)</f>
        <v>0</v>
      </c>
      <c r="O18" s="23" t="n">
        <f aca="false">IF('Food Data'!$AO$15="milk",100/'Food Data'!$AM$15,0)</f>
        <v>0</v>
      </c>
      <c r="P18" s="23" t="n">
        <f aca="false">IF('Food Data'!$AO$16="milk",100/'Food Data'!$AM$16,0)</f>
        <v>0</v>
      </c>
      <c r="Q18" s="23" t="n">
        <f aca="false">IF('Food Data'!$AO$17="milk",100/'Food Data'!$AM$17,0)</f>
        <v>0</v>
      </c>
      <c r="R18" s="23" t="n">
        <f aca="false">IF('Food Data'!$AO$18="milk",100/'Food Data'!$AM$18,0)</f>
        <v>0</v>
      </c>
      <c r="S18" s="23" t="n">
        <f aca="false">IF('Food Data'!$AO$19="milk",100/'Food Data'!$AM$19,0)</f>
        <v>0</v>
      </c>
      <c r="T18" s="23" t="n">
        <f aca="false">IF('Food Data'!$AO$20="milk",100/'Food Data'!$AM$20,0)</f>
        <v>0</v>
      </c>
      <c r="U18" s="23" t="n">
        <f aca="false">IF('Food Data'!$AO$21="milk",100/'Food Data'!$AM$21,0)</f>
        <v>0</v>
      </c>
      <c r="V18" s="23" t="n">
        <f aca="false">IF('Food Data'!$AO$22="milk",100/'Food Data'!$AM$22,0)</f>
        <v>0</v>
      </c>
      <c r="W18" s="23" t="n">
        <f aca="false">IF('Food Data'!$AO$23="milk",100/'Food Data'!$AM$23,0)</f>
        <v>0</v>
      </c>
      <c r="X18" s="23" t="n">
        <f aca="false">IF('Food Data'!$AO$24="milk",100/'Food Data'!$AM$24,0)</f>
        <v>0</v>
      </c>
      <c r="Y18" s="23" t="n">
        <f aca="false">IF('Food Data'!$AO$25="milk",100/'Food Data'!$AM$25,0)</f>
        <v>0</v>
      </c>
      <c r="Z18" s="23" t="n">
        <f aca="false">IF('Food Data'!$AO$26="milk",100/'Food Data'!$AM$26,0)</f>
        <v>0</v>
      </c>
      <c r="AA18" s="23" t="n">
        <f aca="false">IF('Food Data'!$AO$27="milk",100/'Food Data'!$AM$27,0)</f>
        <v>0</v>
      </c>
      <c r="AB18" s="23" t="n">
        <f aca="false">IF('Food Data'!$AO$28="milk",100/'Food Data'!$AM$28,0)</f>
        <v>0.409836065573771</v>
      </c>
      <c r="AC18" s="23" t="n">
        <f aca="false">IF('Food Data'!$AO$29="milk",100/'Food Data'!$AM$29,0)</f>
        <v>0</v>
      </c>
      <c r="AD18" s="23" t="n">
        <f aca="false">IF('Food Data'!$AO$30="milk",100/'Food Data'!$AM$30,0)</f>
        <v>0</v>
      </c>
      <c r="AE18" s="23" t="n">
        <f aca="false">IF('Food Data'!$AO$31="milk",100/'Food Data'!$AM$31,0)</f>
        <v>0.409836065573771</v>
      </c>
      <c r="AF18" s="23" t="n">
        <f aca="false">IF('Food Data'!$AO$32="milk",100/'Food Data'!$AM$32,0)</f>
        <v>0</v>
      </c>
      <c r="AG18" s="23" t="n">
        <f aca="false">IF('Food Data'!$AO$33="milk",100/'Food Data'!$AM$33,0)</f>
        <v>0</v>
      </c>
      <c r="AH18" s="23" t="n">
        <f aca="false">IF('Food Data'!$AO$34="milk",100/'Food Data'!$AM$34,0)</f>
        <v>0</v>
      </c>
      <c r="AI18" s="23" t="n">
        <f aca="false">IF('Food Data'!$AO$35="milk",100/'Food Data'!$AM$35,0)</f>
        <v>0</v>
      </c>
      <c r="AJ18" s="23" t="n">
        <f aca="false">IF('Food Data'!$AO$36="milk",100/'Food Data'!$AM$36,0)</f>
        <v>0</v>
      </c>
      <c r="AK18" s="23" t="n">
        <f aca="false">IF('Food Data'!$AO$37="milk",100/'Food Data'!$AM$37,0)</f>
        <v>0</v>
      </c>
      <c r="AL18" s="23" t="n">
        <f aca="false">IF('Food Data'!$AO$38="milk",100/'Food Data'!$AM$38,0)</f>
        <v>0</v>
      </c>
      <c r="AM18" s="23" t="n">
        <f aca="false">IF('Food Data'!$AO$39="milk",100/'Food Data'!$AM$39,0)</f>
        <v>0</v>
      </c>
      <c r="AN18" s="23" t="n">
        <f aca="false">IF('Food Data'!$AO$40="milk",100/'Food Data'!$AM$40,0)</f>
        <v>0</v>
      </c>
      <c r="AO18" s="23" t="n">
        <f aca="false">IF('Food Data'!$AO$41="milk",100/'Food Data'!$AM$41,0)</f>
        <v>0</v>
      </c>
      <c r="AP18" s="23" t="n">
        <f aca="false">IF('Food Data'!$AO$42="milk",100/'Food Data'!$AM$42,0)</f>
        <v>0</v>
      </c>
      <c r="AQ18" s="23" t="n">
        <f aca="false">IF('Food Data'!$AO$43="milk",100/'Food Data'!$AM$43,0)</f>
        <v>0</v>
      </c>
      <c r="AR18" s="23" t="n">
        <f aca="false">IF('Food Data'!$AO$44="milk",100/'Food Data'!$AM$44,0)</f>
        <v>0</v>
      </c>
      <c r="AS18" s="23" t="n">
        <f aca="false">IF('Food Data'!$AO$45="milk",100/'Food Data'!$AM$45,0)</f>
        <v>0</v>
      </c>
      <c r="AT18" s="23" t="n">
        <f aca="false">IF('Food Data'!$AO$46="milk",100/'Food Data'!$AM$46,0)</f>
        <v>0</v>
      </c>
      <c r="AU18" s="23" t="n">
        <f aca="false">IF('Food Data'!$AO$47="milk",100/'Food Data'!$AM$47,0)</f>
        <v>0</v>
      </c>
      <c r="AV18" s="23" t="n">
        <f aca="false">IF('Food Data'!$AO$48="milk",100/'Food Data'!$AM$48,0)</f>
        <v>0</v>
      </c>
      <c r="AW18" s="23" t="n">
        <f aca="false">IF('Food Data'!$AO$49="milk",100/'Food Data'!$AM$49,0)</f>
        <v>0</v>
      </c>
      <c r="AX18" s="23" t="n">
        <f aca="false">IF('Food Data'!$AO$50="milk",100/'Food Data'!$AM$50,0)</f>
        <v>0</v>
      </c>
      <c r="AY18" s="23" t="n">
        <f aca="false">IF('Food Data'!$AO$51="milk",100/'Food Data'!$AM$51,0)</f>
        <v>0</v>
      </c>
      <c r="AZ18" s="23" t="n">
        <f aca="false">IF('Food Data'!$AO$52="milk",100/'Food Data'!$AM$52,0)</f>
        <v>0</v>
      </c>
      <c r="BA18" s="23" t="n">
        <f aca="false">IF('Food Data'!$AO$53="milk",100/'Food Data'!$AM$53,0)</f>
        <v>0</v>
      </c>
      <c r="BB18" s="23" t="n">
        <f aca="false">IF('Food Data'!$AO$54="milk",100/'Food Data'!$AM$54,0)</f>
        <v>0</v>
      </c>
      <c r="BC18" s="23" t="n">
        <f aca="false">IF('Food Data'!$AO$55="milk",100/'Food Data'!$AM$55,0)</f>
        <v>0</v>
      </c>
      <c r="BD18" s="23" t="n">
        <f aca="false">IF('Food Data'!$AO$56="milk",100/'Food Data'!$AM$56,0)</f>
        <v>0</v>
      </c>
      <c r="BE18" s="23" t="n">
        <f aca="false">IF('Food Data'!$AO$57="milk",100/'Food Data'!$AM$57,0)</f>
        <v>0</v>
      </c>
      <c r="BF18" s="23" t="n">
        <f aca="false">IF('Food Data'!$AO$58="milk",100/'Food Data'!$AM$58,0)</f>
        <v>0</v>
      </c>
      <c r="BG18" s="23" t="n">
        <f aca="false">IF('Food Data'!$AO$59="milk",100/'Food Data'!$AM$59,0)</f>
        <v>0</v>
      </c>
      <c r="BH18" s="23" t="n">
        <f aca="false">IF('Food Data'!$AO$60="milk",100/'Food Data'!$AM$60,0)</f>
        <v>0</v>
      </c>
      <c r="BI18" s="23" t="n">
        <f aca="false">IF('Food Data'!$AO$61="milk",100/'Food Data'!$AM$61,0)</f>
        <v>0</v>
      </c>
      <c r="BJ18" s="23" t="n">
        <f aca="false">IF('Food Data'!$AO$62="milk",100/'Food Data'!$AM$62,0)</f>
        <v>0</v>
      </c>
      <c r="BK18" s="23" t="n">
        <f aca="false">IF('Food Data'!$AO$63="milk",100/'Food Data'!$AM$63,0)</f>
        <v>0</v>
      </c>
      <c r="BL18" s="23" t="n">
        <f aca="false">IF('Food Data'!$AO$64="milk",100/'Food Data'!$AM$64,0)</f>
        <v>0</v>
      </c>
      <c r="BM18" s="23" t="n">
        <f aca="false">IF('Food Data'!$AO$65="milk",100/'Food Data'!$AM$65,0)</f>
        <v>0</v>
      </c>
      <c r="BN18" s="23" t="n">
        <f aca="false">IF('Food Data'!$AO$66="milk",100/'Food Data'!$AM$66,0)</f>
        <v>0</v>
      </c>
      <c r="BO18" s="23" t="n">
        <f aca="false">IF('Food Data'!$AO$67="milk",100/'Food Data'!$AM$67,0)</f>
        <v>0</v>
      </c>
      <c r="BP18" s="23" t="n">
        <f aca="false">IF('Food Data'!$AO$68="milk",100/'Food Data'!$AM$68,0)</f>
        <v>0</v>
      </c>
      <c r="BQ18" s="23" t="n">
        <f aca="false">IF('Food Data'!$AO$69="milk",100/'Food Data'!$AM$69,0)</f>
        <v>0</v>
      </c>
      <c r="BR18" s="23" t="n">
        <f aca="false">IF('Food Data'!$AO$70="milk",100/'Food Data'!$AM$70,0)</f>
        <v>0</v>
      </c>
      <c r="BS18" s="23" t="n">
        <f aca="false">IF('Food Data'!$AO$71="milk",100/'Food Data'!$AM$71,0)</f>
        <v>0</v>
      </c>
      <c r="BT18" s="23" t="n">
        <f aca="false">IF('Food Data'!$AO$72="milk",100/'Food Data'!$AM$72,0)</f>
        <v>0</v>
      </c>
      <c r="BU18" s="23" t="n">
        <f aca="false">IF('Food Data'!$AO$73="milk",100/'Food Data'!$AM$73,0)</f>
        <v>0</v>
      </c>
      <c r="BV18" s="23" t="n">
        <f aca="false">IF('Food Data'!$AO$74="milk",100/'Food Data'!$AM$74,0)</f>
        <v>0</v>
      </c>
      <c r="BW18" s="23" t="n">
        <f aca="false">IF('Food Data'!$AO$75="milk",100/'Food Data'!$AM$75,0)</f>
        <v>0</v>
      </c>
      <c r="BX18" s="23" t="n">
        <f aca="false">IF('Food Data'!$AO$76="milk",100/'Food Data'!$AM$76,0)</f>
        <v>0</v>
      </c>
    </row>
    <row r="20" customFormat="false" ht="15" hidden="false" customHeight="false" outlineLevel="0" collapsed="false">
      <c r="A20" s="69" t="s">
        <v>857</v>
      </c>
      <c r="F20" s="93" t="n">
        <f aca="false">'Food Data'!M6</f>
        <v>1.27816969889982</v>
      </c>
      <c r="G20" s="93" t="n">
        <f aca="false">'Food Data'!M7</f>
        <v>0.657862951072096</v>
      </c>
      <c r="H20" s="93" t="n">
        <f aca="false">'Food Data'!M8</f>
        <v>1.375566382141</v>
      </c>
      <c r="I20" s="93" t="n">
        <f aca="false">'Food Data'!M9</f>
        <v>1.68735585402252</v>
      </c>
      <c r="J20" s="93" t="n">
        <f aca="false">'Food Data'!M10</f>
        <v>2.2738732364289</v>
      </c>
      <c r="K20" s="93" t="n">
        <f aca="false">'Food Data'!M11</f>
        <v>3.220612973069</v>
      </c>
      <c r="L20" s="93" t="n">
        <f aca="false">'Food Data'!M12</f>
        <v>2.8579491632732</v>
      </c>
      <c r="M20" s="93" t="n">
        <f aca="false">'Food Data'!M13</f>
        <v>3.08084526305517</v>
      </c>
      <c r="N20" s="93" t="n">
        <f aca="false">'Food Data'!M14</f>
        <v>1.40471668249446</v>
      </c>
      <c r="O20" s="93" t="n">
        <f aca="false">'Food Data'!M15</f>
        <v>1.48738685672894</v>
      </c>
      <c r="P20" s="93" t="n">
        <f aca="false">'Food Data'!M16</f>
        <v>5.07260167402417</v>
      </c>
      <c r="Q20" s="93" t="n">
        <f aca="false">'Food Data'!M17</f>
        <v>1.24286855616348</v>
      </c>
      <c r="R20" s="93" t="n">
        <f aca="false">'Food Data'!M18</f>
        <v>3.79325919928634</v>
      </c>
      <c r="S20" s="93" t="n">
        <f aca="false">'Food Data'!M19</f>
        <v>4.2736357699895</v>
      </c>
      <c r="T20" s="93" t="n">
        <f aca="false">'Food Data'!M20</f>
        <v>1.88934045616815</v>
      </c>
      <c r="U20" s="93" t="n">
        <f aca="false">'Food Data'!M21</f>
        <v>0.352330070574034</v>
      </c>
      <c r="V20" s="93" t="n">
        <f aca="false">'Food Data'!M22</f>
        <v>0.263864350778973</v>
      </c>
      <c r="W20" s="93" t="n">
        <f aca="false">'Food Data'!M23</f>
        <v>0.2553371004807</v>
      </c>
      <c r="X20" s="93" t="n">
        <f aca="false">'Food Data'!M24</f>
        <v>0.189041103840496</v>
      </c>
      <c r="Y20" s="93" t="n">
        <f aca="false">'Food Data'!M25</f>
        <v>0.385681338062291</v>
      </c>
      <c r="Z20" s="93" t="n">
        <f aca="false">'Food Data'!M26</f>
        <v>0.11195565572452</v>
      </c>
      <c r="AA20" s="93" t="n">
        <f aca="false">'Food Data'!M27</f>
        <v>0.912560146009623</v>
      </c>
      <c r="AB20" s="93" t="n">
        <f aca="false">'Food Data'!M28</f>
        <v>0.105981045081967</v>
      </c>
      <c r="AC20" s="93" t="n">
        <f aca="false">'Food Data'!M29</f>
        <v>0.446360528665055</v>
      </c>
      <c r="AD20" s="93" t="n">
        <f aca="false">'Food Data'!M30</f>
        <v>0.293852880658436</v>
      </c>
      <c r="AE20" s="93" t="n">
        <f aca="false">'Food Data'!M31</f>
        <v>0.111424180327869</v>
      </c>
      <c r="AF20" s="93" t="n">
        <f aca="false">'Food Data'!M32</f>
        <v>0.674984214078864</v>
      </c>
      <c r="AG20" s="93" t="n">
        <f aca="false">'Food Data'!M33</f>
        <v>1.01791974219958</v>
      </c>
      <c r="AH20" s="93" t="n">
        <f aca="false">'Food Data'!M34</f>
        <v>0.520753950109231</v>
      </c>
      <c r="AI20" s="93" t="n">
        <f aca="false">'Food Data'!M35</f>
        <v>1.19029474310681</v>
      </c>
      <c r="AJ20" s="93" t="n">
        <f aca="false">'Food Data'!M36</f>
        <v>0.465956844557668</v>
      </c>
      <c r="AK20" s="93" t="n">
        <f aca="false">'Food Data'!M37</f>
        <v>0.0850596360546152</v>
      </c>
      <c r="AL20" s="93" t="n">
        <f aca="false">'Food Data'!M38</f>
        <v>1.20239123439855</v>
      </c>
      <c r="AM20" s="93" t="n">
        <f aca="false">'Food Data'!M39</f>
        <v>0.387070593560269</v>
      </c>
      <c r="AN20" s="93" t="n">
        <f aca="false">'Food Data'!M40</f>
        <v>0.538898687046835</v>
      </c>
      <c r="AO20" s="93" t="n">
        <f aca="false">'Food Data'!M41</f>
        <v>0.0877186209718491</v>
      </c>
      <c r="AP20" s="93" t="n">
        <f aca="false">'Food Data'!M42</f>
        <v>0.30530160301965</v>
      </c>
      <c r="AQ20" s="93" t="n">
        <f aca="false">'Food Data'!M43</f>
        <v>0.164636673721087</v>
      </c>
      <c r="AR20" s="93" t="n">
        <f aca="false">'Food Data'!M44</f>
        <v>0.330960001741895</v>
      </c>
      <c r="AS20" s="93" t="n">
        <f aca="false">'Food Data'!M45</f>
        <v>0.0509306733629265</v>
      </c>
      <c r="AT20" s="93" t="n">
        <f aca="false">'Food Data'!M46</f>
        <v>0.439828423367518</v>
      </c>
      <c r="AU20" s="93" t="n">
        <f aca="false">'Food Data'!M47</f>
        <v>0.20452499851931</v>
      </c>
      <c r="AV20" s="93" t="n">
        <f aca="false">'Food Data'!M48</f>
        <v>0.458463231248854</v>
      </c>
      <c r="AW20" s="93" t="n">
        <f aca="false">'Food Data'!M49</f>
        <v>0.622388476931923</v>
      </c>
      <c r="AX20" s="93" t="n">
        <f aca="false">'Food Data'!M50</f>
        <v>0.350668605803942</v>
      </c>
      <c r="AY20" s="93" t="n">
        <f aca="false">'Food Data'!M51</f>
        <v>0.426764212772443</v>
      </c>
      <c r="AZ20" s="93" t="n">
        <f aca="false">'Food Data'!M52</f>
        <v>0.229644326866549</v>
      </c>
      <c r="BA20" s="93" t="n">
        <f aca="false">'Food Data'!M53</f>
        <v>0.65807291150612</v>
      </c>
      <c r="BB20" s="93" t="n">
        <f aca="false">'Food Data'!M54</f>
        <v>0.572579854987262</v>
      </c>
      <c r="BC20" s="93" t="n">
        <f aca="false">'Food Data'!M55</f>
        <v>0.274911226583083</v>
      </c>
      <c r="BD20" s="93" t="n">
        <f aca="false">'Food Data'!M56</f>
        <v>0.645165473596846</v>
      </c>
      <c r="BE20" s="93" t="n">
        <f aca="false">'Food Data'!M57</f>
        <v>0.867962665715475</v>
      </c>
      <c r="BF20" s="93" t="n">
        <f aca="false">'Food Data'!M58</f>
        <v>0.928740290442418</v>
      </c>
      <c r="BG20" s="93" t="n">
        <f aca="false">'Food Data'!M59</f>
        <v>0.471563012092024</v>
      </c>
      <c r="BH20" s="93" t="n">
        <f aca="false">'Food Data'!M60</f>
        <v>0.368300067688989</v>
      </c>
      <c r="BI20" s="93" t="n">
        <f aca="false">'Food Data'!M61</f>
        <v>0.365477764655637</v>
      </c>
      <c r="BJ20" s="93" t="n">
        <f aca="false">'Food Data'!M62</f>
        <v>0.951706431764862</v>
      </c>
      <c r="BK20" s="93" t="n">
        <f aca="false">'Food Data'!M63</f>
        <v>0.357545303484454</v>
      </c>
      <c r="BL20" s="93" t="n">
        <f aca="false">'Food Data'!M64</f>
        <v>0.318010389485373</v>
      </c>
      <c r="BM20" s="93" t="n">
        <f aca="false">'Food Data'!M65</f>
        <v>1.02205869283137</v>
      </c>
      <c r="BN20" s="93" t="n">
        <f aca="false">'Food Data'!M66</f>
        <v>0.914322844147406</v>
      </c>
      <c r="BO20" s="93" t="n">
        <f aca="false">'Food Data'!M67</f>
        <v>0.270951085487426</v>
      </c>
      <c r="BP20" s="93" t="n">
        <f aca="false">'Food Data'!M68</f>
        <v>0.791525891927498</v>
      </c>
      <c r="BQ20" s="93" t="n">
        <f aca="false">'Food Data'!M69</f>
        <v>0.375815187354924</v>
      </c>
      <c r="BR20" s="93" t="n">
        <f aca="false">'Food Data'!M70</f>
        <v>1.56355268568829</v>
      </c>
      <c r="BS20" s="93" t="n">
        <f aca="false">'Food Data'!M71</f>
        <v>2.29664515378801</v>
      </c>
      <c r="BT20" s="93" t="n">
        <f aca="false">'Food Data'!M72</f>
        <v>0.852878464818763</v>
      </c>
      <c r="BU20" s="93" t="n">
        <f aca="false">'Food Data'!M73</f>
        <v>1.01177613615425</v>
      </c>
      <c r="BV20" s="93" t="n">
        <f aca="false">'Food Data'!M74</f>
        <v>1.18219857825066</v>
      </c>
      <c r="BW20" s="93" t="n">
        <f aca="false">'Food Data'!M75</f>
        <v>1.0055060868069</v>
      </c>
      <c r="BX20" s="93" t="n">
        <f aca="false">'Food Data'!M76</f>
        <v>0.486344930789375</v>
      </c>
    </row>
    <row r="21" customFormat="false" ht="15" hidden="false" customHeight="false" outlineLevel="0" collapsed="false">
      <c r="A21" s="69" t="s">
        <v>858</v>
      </c>
      <c r="F21" s="93" t="n">
        <f aca="false">'Diet Comparison'!C6</f>
        <v>0</v>
      </c>
      <c r="G21" s="93" t="n">
        <f aca="false">'Diet Comparison'!C7</f>
        <v>0.831584471</v>
      </c>
      <c r="H21" s="93" t="n">
        <f aca="false">'Diet Comparison'!C8</f>
        <v>0</v>
      </c>
      <c r="I21" s="93" t="n">
        <f aca="false">'Diet Comparison'!C9</f>
        <v>0</v>
      </c>
      <c r="J21" s="93" t="n">
        <f aca="false">'Diet Comparison'!C10</f>
        <v>0</v>
      </c>
      <c r="K21" s="93" t="n">
        <f aca="false">'Diet Comparison'!C11</f>
        <v>0</v>
      </c>
      <c r="L21" s="93" t="n">
        <f aca="false">'Diet Comparison'!C12</f>
        <v>0</v>
      </c>
      <c r="M21" s="93" t="n">
        <f aca="false">'Diet Comparison'!C13</f>
        <v>0</v>
      </c>
      <c r="N21" s="93" t="n">
        <f aca="false">'Diet Comparison'!C14</f>
        <v>0</v>
      </c>
      <c r="O21" s="93" t="n">
        <f aca="false">'Diet Comparison'!C15</f>
        <v>0</v>
      </c>
      <c r="P21" s="93" t="n">
        <f aca="false">'Diet Comparison'!C16</f>
        <v>0</v>
      </c>
      <c r="Q21" s="93" t="n">
        <f aca="false">'Diet Comparison'!C17</f>
        <v>0</v>
      </c>
      <c r="R21" s="93" t="n">
        <f aca="false">'Diet Comparison'!C18</f>
        <v>0</v>
      </c>
      <c r="S21" s="93" t="n">
        <f aca="false">'Diet Comparison'!C19</f>
        <v>0</v>
      </c>
      <c r="T21" s="93" t="n">
        <f aca="false">'Diet Comparison'!C20</f>
        <v>0</v>
      </c>
      <c r="U21" s="93" t="n">
        <f aca="false">'Diet Comparison'!C21</f>
        <v>0</v>
      </c>
      <c r="V21" s="93" t="n">
        <f aca="false">'Diet Comparison'!C22</f>
        <v>0</v>
      </c>
      <c r="W21" s="93" t="n">
        <f aca="false">'Diet Comparison'!C23</f>
        <v>0</v>
      </c>
      <c r="X21" s="93" t="n">
        <f aca="false">'Diet Comparison'!C24</f>
        <v>0.021448674</v>
      </c>
      <c r="Y21" s="93" t="n">
        <f aca="false">'Diet Comparison'!C25</f>
        <v>0.64</v>
      </c>
      <c r="Z21" s="93" t="n">
        <f aca="false">'Diet Comparison'!C26</f>
        <v>1.71</v>
      </c>
      <c r="AA21" s="93" t="n">
        <f aca="false">'Diet Comparison'!C27</f>
        <v>0</v>
      </c>
      <c r="AB21" s="93" t="n">
        <f aca="false">'Diet Comparison'!C28</f>
        <v>3.66</v>
      </c>
      <c r="AC21" s="93" t="n">
        <f aca="false">'Diet Comparison'!C29</f>
        <v>0.223148071</v>
      </c>
      <c r="AD21" s="93" t="n">
        <f aca="false">'Diet Comparison'!C30</f>
        <v>0</v>
      </c>
      <c r="AE21" s="93" t="n">
        <f aca="false">'Diet Comparison'!C31</f>
        <v>0</v>
      </c>
      <c r="AF21" s="93" t="n">
        <f aca="false">'Diet Comparison'!C32</f>
        <v>0.3832462</v>
      </c>
      <c r="AG21" s="93" t="n">
        <f aca="false">'Diet Comparison'!C33</f>
        <v>0</v>
      </c>
      <c r="AH21" s="93" t="n">
        <f aca="false">'Diet Comparison'!C34</f>
        <v>0</v>
      </c>
      <c r="AI21" s="93" t="n">
        <f aca="false">'Diet Comparison'!C35</f>
        <v>0</v>
      </c>
      <c r="AJ21" s="93" t="n">
        <f aca="false">'Diet Comparison'!C36</f>
        <v>0</v>
      </c>
      <c r="AK21" s="93" t="n">
        <f aca="false">'Diet Comparison'!C37</f>
        <v>1.086315138</v>
      </c>
      <c r="AL21" s="93" t="n">
        <f aca="false">'Diet Comparison'!C38</f>
        <v>0</v>
      </c>
      <c r="AM21" s="93" t="n">
        <f aca="false">'Diet Comparison'!C39</f>
        <v>0</v>
      </c>
      <c r="AN21" s="93" t="n">
        <f aca="false">'Diet Comparison'!C40</f>
        <v>0</v>
      </c>
      <c r="AO21" s="93" t="n">
        <f aca="false">'Diet Comparison'!C41</f>
        <v>1.90125</v>
      </c>
      <c r="AP21" s="93" t="n">
        <f aca="false">'Diet Comparison'!C42</f>
        <v>0</v>
      </c>
      <c r="AQ21" s="93" t="n">
        <f aca="false">'Diet Comparison'!C43</f>
        <v>0</v>
      </c>
      <c r="AR21" s="93" t="n">
        <f aca="false">'Diet Comparison'!C44</f>
        <v>0</v>
      </c>
      <c r="AS21" s="93" t="n">
        <f aca="false">'Diet Comparison'!C45</f>
        <v>4.700942039</v>
      </c>
      <c r="AT21" s="93" t="n">
        <f aca="false">'Diet Comparison'!C46</f>
        <v>0.52</v>
      </c>
      <c r="AU21" s="93" t="n">
        <f aca="false">'Diet Comparison'!C47</f>
        <v>0.950625</v>
      </c>
      <c r="AV21" s="93" t="n">
        <f aca="false">'Diet Comparison'!C48</f>
        <v>0</v>
      </c>
      <c r="AW21" s="93" t="n">
        <f aca="false">'Diet Comparison'!C49</f>
        <v>0</v>
      </c>
      <c r="AX21" s="93" t="n">
        <f aca="false">'Diet Comparison'!C50</f>
        <v>0</v>
      </c>
      <c r="AY21" s="93" t="n">
        <f aca="false">'Diet Comparison'!C51</f>
        <v>1.553053254</v>
      </c>
      <c r="AZ21" s="93" t="n">
        <f aca="false">'Diet Comparison'!C52</f>
        <v>1.475</v>
      </c>
      <c r="BA21" s="93" t="n">
        <f aca="false">'Diet Comparison'!C53</f>
        <v>0</v>
      </c>
      <c r="BB21" s="93" t="n">
        <f aca="false">'Diet Comparison'!C54</f>
        <v>0</v>
      </c>
      <c r="BC21" s="93" t="n">
        <f aca="false">'Diet Comparison'!C55</f>
        <v>0.018817917</v>
      </c>
      <c r="BD21" s="93" t="n">
        <f aca="false">'Diet Comparison'!C56</f>
        <v>0</v>
      </c>
      <c r="BE21" s="93" t="n">
        <f aca="false">'Diet Comparison'!C57</f>
        <v>0</v>
      </c>
      <c r="BF21" s="93" t="n">
        <f aca="false">'Diet Comparison'!C58</f>
        <v>0</v>
      </c>
      <c r="BG21" s="93" t="n">
        <f aca="false">'Diet Comparison'!C59</f>
        <v>0</v>
      </c>
      <c r="BH21" s="93" t="n">
        <f aca="false">'Diet Comparison'!C60</f>
        <v>2.56</v>
      </c>
      <c r="BI21" s="93" t="n">
        <f aca="false">'Diet Comparison'!C61</f>
        <v>1.0125</v>
      </c>
      <c r="BJ21" s="93" t="n">
        <f aca="false">'Diet Comparison'!C62</f>
        <v>0</v>
      </c>
      <c r="BK21" s="93" t="n">
        <f aca="false">'Diet Comparison'!C63</f>
        <v>0</v>
      </c>
      <c r="BL21" s="93" t="n">
        <f aca="false">'Diet Comparison'!C64</f>
        <v>0</v>
      </c>
      <c r="BM21" s="93" t="n">
        <f aca="false">'Diet Comparison'!C65</f>
        <v>0</v>
      </c>
      <c r="BN21" s="93" t="n">
        <f aca="false">'Diet Comparison'!C66</f>
        <v>0</v>
      </c>
      <c r="BO21" s="93" t="n">
        <f aca="false">'Diet Comparison'!C67</f>
        <v>3.6</v>
      </c>
      <c r="BP21" s="93" t="n">
        <f aca="false">'Diet Comparison'!C68</f>
        <v>0.165655</v>
      </c>
      <c r="BQ21" s="93" t="n">
        <f aca="false">'Diet Comparison'!C69</f>
        <v>0.163345</v>
      </c>
      <c r="BR21" s="93" t="n">
        <f aca="false">'Diet Comparison'!C70</f>
        <v>0</v>
      </c>
      <c r="BS21" s="93" t="n">
        <f aca="false">'Diet Comparison'!C71</f>
        <v>0</v>
      </c>
      <c r="BT21" s="93" t="n">
        <f aca="false">'Diet Comparison'!C72</f>
        <v>0</v>
      </c>
      <c r="BU21" s="93" t="n">
        <f aca="false">'Diet Comparison'!C73</f>
        <v>0</v>
      </c>
      <c r="BV21" s="93" t="n">
        <f aca="false">'Diet Comparison'!C74</f>
        <v>0</v>
      </c>
      <c r="BW21" s="93" t="n">
        <f aca="false">'Diet Comparison'!C75</f>
        <v>0</v>
      </c>
      <c r="BX21" s="93" t="n">
        <f aca="false">'Diet Comparison'!C76</f>
        <v>0</v>
      </c>
    </row>
    <row r="22" customFormat="false" ht="15" hidden="false" customHeight="false" outlineLevel="0" collapsed="false">
      <c r="A22" s="69" t="s">
        <v>859</v>
      </c>
      <c r="F22" s="93" t="n">
        <f aca="false">'Food Data'!R6*'Food Data'!T6/100</f>
        <v>1.7</v>
      </c>
      <c r="G22" s="93" t="n">
        <f aca="false">'Food Data'!R7*'Food Data'!T7/100</f>
        <v>1.7</v>
      </c>
      <c r="H22" s="93" t="n">
        <f aca="false">'Food Data'!R8*'Food Data'!T8/100</f>
        <v>1.7</v>
      </c>
      <c r="I22" s="93" t="n">
        <f aca="false">'Food Data'!R9*'Food Data'!T9/100</f>
        <v>1.12</v>
      </c>
      <c r="J22" s="93" t="n">
        <f aca="false">'Food Data'!R10*'Food Data'!T10/100</f>
        <v>1.7</v>
      </c>
      <c r="K22" s="93" t="n">
        <f aca="false">'Food Data'!R11*'Food Data'!T11/100</f>
        <v>0.2875</v>
      </c>
      <c r="L22" s="93" t="n">
        <f aca="false">'Food Data'!R12*'Food Data'!T12/100</f>
        <v>1.275</v>
      </c>
      <c r="M22" s="93" t="n">
        <f aca="false">'Food Data'!R13*'Food Data'!T13/100</f>
        <v>1.7</v>
      </c>
      <c r="N22" s="93" t="n">
        <f aca="false">'Food Data'!R14*'Food Data'!T14/100</f>
        <v>1.12</v>
      </c>
      <c r="O22" s="93" t="n">
        <f aca="false">'Food Data'!R15*'Food Data'!T15/100</f>
        <v>1.7</v>
      </c>
      <c r="P22" s="93" t="n">
        <f aca="false">'Food Data'!R16*'Food Data'!T16/100</f>
        <v>1.7</v>
      </c>
      <c r="Q22" s="93" t="n">
        <f aca="false">'Food Data'!R17*'Food Data'!T17/100</f>
        <v>1.7</v>
      </c>
      <c r="R22" s="93" t="n">
        <f aca="false">MIN('Food Data'!R18*'Food Data'!T18/100,2*'Food Data'!AM18/100)</f>
        <v>1.7</v>
      </c>
      <c r="S22" s="93" t="n">
        <f aca="false">'Food Data'!R19*'Food Data'!T19/100</f>
        <v>1.275</v>
      </c>
      <c r="T22" s="93" t="n">
        <f aca="false">'Food Data'!R20*'Food Data'!T20/100</f>
        <v>1.7</v>
      </c>
      <c r="U22" s="93" t="n">
        <f aca="false">MIN('Food Data'!R21*'Food Data'!T21/100,2*'Food Data'!AM21/100)</f>
        <v>1</v>
      </c>
      <c r="V22" s="93" t="n">
        <f aca="false">MIN('Food Data'!R22*'Food Data'!T22/100,2*'Food Data'!AM22/100)</f>
        <v>2.4</v>
      </c>
      <c r="W22" s="93" t="n">
        <f aca="false">MIN('Food Data'!R23*'Food Data'!T23/100,2*'Food Data'!AM23/100)</f>
        <v>2.4</v>
      </c>
      <c r="X22" s="93" t="n">
        <f aca="false">MIN('Food Data'!R24*'Food Data'!T24/100,2*'Food Data'!AM24/100)</f>
        <v>1.98</v>
      </c>
      <c r="Y22" s="93" t="n">
        <f aca="false">'Food Data'!R25*'Food Data'!T25/100</f>
        <v>0.64</v>
      </c>
      <c r="Z22" s="93" t="n">
        <f aca="false">MIN('Food Data'!R26*'Food Data'!T26/100,2*'Food Data'!AM26/100)</f>
        <v>1.71</v>
      </c>
      <c r="AA22" s="93" t="n">
        <f aca="false">MIN('Food Data'!R27*'Food Data'!T27/100,2*'Food Data'!AM27/100)</f>
        <v>1.7</v>
      </c>
      <c r="AB22" s="93" t="n">
        <f aca="false">MIN('Food Data'!R28*'Food Data'!T28/100,1.5*'Food Data'!AM28/100)</f>
        <v>3.66</v>
      </c>
      <c r="AC22" s="93" t="n">
        <f aca="false">MIN('Food Data'!R29*'Food Data'!T29/100,1.5*'Food Data'!AM29/100)</f>
        <v>2.55</v>
      </c>
      <c r="AD22" s="93" t="n">
        <f aca="false">MIN('Food Data'!R30*'Food Data'!T30/100,1.5*'Food Data'!AM30/100)</f>
        <v>3.645</v>
      </c>
      <c r="AE22" s="93" t="n">
        <f aca="false">MIN('Food Data'!R31*'Food Data'!T31/100,1.5*'Food Data'!AM31/100)</f>
        <v>3.66</v>
      </c>
      <c r="AF22" s="93" t="n">
        <f aca="false">MIN('Food Data'!R32*'Food Data'!T32/100,1.5*'Food Data'!AM32/100)</f>
        <v>0.42</v>
      </c>
      <c r="AG22" s="93" t="n">
        <f aca="false">MIN('Food Data'!R33*'Food Data'!T33/100,1.5*'Food Data'!AM33/100)</f>
        <v>0.42</v>
      </c>
      <c r="AH22" s="93" t="n">
        <f aca="false">'Food Data'!R34*'Food Data'!T34/100</f>
        <v>2.26</v>
      </c>
      <c r="AI22" s="93" t="n">
        <f aca="false">MIN('Food Data'!R35*'Food Data'!T35/100,1.5*'Food Data'!AM35/100)</f>
        <v>0.42</v>
      </c>
      <c r="AJ22" s="93" t="n">
        <f aca="false">'Food Data'!R36*'Food Data'!T36/100</f>
        <v>0.94</v>
      </c>
      <c r="AK22" s="93" t="n">
        <f aca="false">MIN('Food Data'!R37*'Food Data'!T37/100,1.625*'Food Data'!AM37/100)</f>
        <v>1.64125</v>
      </c>
      <c r="AL22" s="93" t="n">
        <f aca="false">MIN('Food Data'!R38*'Food Data'!T38/100,1.625*'Food Data'!AM38/100)</f>
        <v>0.455</v>
      </c>
      <c r="AM22" s="93" t="n">
        <f aca="false">'Food Data'!R39*'Food Data'!T39/100</f>
        <v>1.56</v>
      </c>
      <c r="AN22" s="93" t="n">
        <f aca="false">'Food Data'!R40*'Food Data'!T40/100</f>
        <v>1.35</v>
      </c>
      <c r="AO22" s="93" t="n">
        <f aca="false">MIN('Food Data'!R41*'Food Data'!T41/100,1.625*'Food Data'!AM41/100)</f>
        <v>1.90125</v>
      </c>
      <c r="AP22" s="93" t="n">
        <f aca="false">MIN('Food Data'!R42*'Food Data'!T42/100,1.625*'Food Data'!AM42/100)</f>
        <v>1.503125</v>
      </c>
      <c r="AQ22" s="93" t="n">
        <f aca="false">'Food Data'!R43*'Food Data'!T43/100</f>
        <v>3.72</v>
      </c>
      <c r="AR22" s="93" t="n">
        <f aca="false">'Food Data'!R44*'Food Data'!T44/100</f>
        <v>1.12</v>
      </c>
      <c r="AS22" s="93" t="n">
        <f aca="false">'Food Data'!R45*'Food Data'!T45/100</f>
        <v>4.74</v>
      </c>
      <c r="AT22" s="93" t="n">
        <f aca="false">MIN('Food Data'!R46*'Food Data'!T46/100,1.625*'Food Data'!AM46/100)</f>
        <v>0.52</v>
      </c>
      <c r="AU22" s="93" t="n">
        <f aca="false">MIN('Food Data'!R47*'Food Data'!T47/100,1.625*'Food Data'!AM47/100)</f>
        <v>0.950625</v>
      </c>
      <c r="AV22" s="93" t="n">
        <f aca="false">'Food Data'!R48*'Food Data'!T48/100</f>
        <v>2.595</v>
      </c>
      <c r="AW22" s="93" t="n">
        <f aca="false">'Food Data'!R49*'Food Data'!T49/100</f>
        <v>2</v>
      </c>
      <c r="AX22" s="93" t="n">
        <f aca="false">'Food Data'!R50*'Food Data'!T50/100</f>
        <v>2.0625</v>
      </c>
      <c r="AY22" s="93" t="n">
        <f aca="false">MIN('Food Data'!R51*'Food Data'!T51/100,1.25*'Food Data'!AM51/100)</f>
        <v>1.5625</v>
      </c>
      <c r="AZ22" s="93" t="n">
        <f aca="false">MIN('Food Data'!R52*'Food Data'!T52/100,1.25*'Food Data'!AM52/100)</f>
        <v>1.475</v>
      </c>
      <c r="BA22" s="93" t="n">
        <f aca="false">'Food Data'!R53*'Food Data'!T53/100</f>
        <v>1.55</v>
      </c>
      <c r="BB22" s="93" t="n">
        <f aca="false">MIN('Food Data'!R54*'Food Data'!T54/100,1.25*'Food Data'!AM54/100)</f>
        <v>1.8875</v>
      </c>
      <c r="BC22" s="93" t="n">
        <f aca="false">'Food Data'!R55*'Food Data'!T55/100</f>
        <v>2.49</v>
      </c>
      <c r="BD22" s="93" t="n">
        <f aca="false">MIN('Food Data'!R56*'Food Data'!T56/100,1.25*'Food Data'!AM56/100)</f>
        <v>1.75</v>
      </c>
      <c r="BE22" s="93" t="n">
        <f aca="false">'Food Data'!R57*'Food Data'!T57/100</f>
        <v>0.41</v>
      </c>
      <c r="BF22" s="93" t="n">
        <f aca="false">MIN('Food Data'!R58*'Food Data'!T58/100,1.25*'Food Data'!AM58/100)</f>
        <v>1.9</v>
      </c>
      <c r="BG22" s="93" t="n">
        <f aca="false">'Food Data'!R59*'Food Data'!T59/100</f>
        <v>1.84</v>
      </c>
      <c r="BH22" s="93" t="n">
        <f aca="false">'Food Data'!R60*'Food Data'!T60/100</f>
        <v>2.56</v>
      </c>
      <c r="BI22" s="93" t="n">
        <f aca="false">'Food Data'!R61*'Food Data'!T61/100</f>
        <v>2.7</v>
      </c>
      <c r="BJ22" s="93" t="n">
        <f aca="false">'Food Data'!R62*'Food Data'!T62/100</f>
        <v>1.49</v>
      </c>
      <c r="BK22" s="93" t="n">
        <f aca="false">'Food Data'!R63*'Food Data'!T63/100</f>
        <v>2.73</v>
      </c>
      <c r="BL22" s="93" t="n">
        <f aca="false">'Food Data'!R64*'Food Data'!T64/100</f>
        <v>1.6</v>
      </c>
      <c r="BM22" s="93" t="n">
        <f aca="false">'Food Data'!R65*'Food Data'!T65/100</f>
        <v>1.88</v>
      </c>
      <c r="BN22" s="93" t="n">
        <f aca="false">MIN('Food Data'!R66*'Food Data'!T66/100,2.375*'Food Data'!AM66/100)</f>
        <v>1.425</v>
      </c>
      <c r="BO22" s="93" t="n">
        <f aca="false">'Food Data'!R67*'Food Data'!T67/100</f>
        <v>3.6</v>
      </c>
      <c r="BP22" s="93" t="n">
        <f aca="false">MIN('Food Data'!R68*'Food Data'!T68/100,3.5*'Food Data'!AM68/100)</f>
        <v>0.165655</v>
      </c>
      <c r="BQ22" s="93" t="n">
        <f aca="false">MIN('Food Data'!R69*'Food Data'!T69/100,3.5*'Food Data'!AM69/100)</f>
        <v>0.163345</v>
      </c>
      <c r="BR22" s="93" t="n">
        <f aca="false">MIN('Food Data'!R70*'Food Data'!T70/100,3.5*'Food Data'!AM70/100)</f>
        <v>0.1575</v>
      </c>
      <c r="BS22" s="93" t="n">
        <f aca="false">'Food Data'!R71*'Food Data'!T71/100</f>
        <v>0.56</v>
      </c>
      <c r="BT22" s="93" t="n">
        <f aca="false">'Food Data'!R72*'Food Data'!T72/100</f>
        <v>1.36</v>
      </c>
      <c r="BU22" s="93" t="n">
        <f aca="false">'Food Data'!R73*'Food Data'!T73/100</f>
        <v>0.26</v>
      </c>
      <c r="BV22" s="93" t="n">
        <f aca="false">'Food Data'!R74*'Food Data'!T74/100</f>
        <v>0.48</v>
      </c>
      <c r="BW22" s="93" t="n">
        <f aca="false">'Food Data'!R75*'Food Data'!T75/100</f>
        <v>0.28</v>
      </c>
      <c r="BX22" s="93" t="n">
        <f aca="false">'Food Data'!R76*'Food Data'!T76/100</f>
        <v>0.66</v>
      </c>
    </row>
    <row r="24" customFormat="false" ht="15" hidden="false" customHeight="false" outlineLevel="0" collapsed="false">
      <c r="A24" s="3" t="s">
        <v>860</v>
      </c>
    </row>
    <row r="25" customFormat="false" ht="57.75" hidden="false" customHeight="true" outlineLevel="0" collapsed="false">
      <c r="A25" s="16" t="s">
        <v>841</v>
      </c>
      <c r="B25" s="16" t="s">
        <v>861</v>
      </c>
      <c r="C25" s="16" t="s">
        <v>862</v>
      </c>
      <c r="D25" s="16" t="s">
        <v>863</v>
      </c>
      <c r="E25" s="16" t="s">
        <v>864</v>
      </c>
      <c r="F25" s="16" t="s">
        <v>865</v>
      </c>
      <c r="G25" s="16" t="s">
        <v>866</v>
      </c>
      <c r="H25" s="16" t="s">
        <v>867</v>
      </c>
      <c r="I25" s="16" t="s">
        <v>868</v>
      </c>
      <c r="J25" s="16" t="s">
        <v>869</v>
      </c>
      <c r="K25" s="16" t="s">
        <v>870</v>
      </c>
      <c r="L25" s="16" t="s">
        <v>871</v>
      </c>
      <c r="N25" s="94" t="s">
        <v>872</v>
      </c>
      <c r="O25" s="94" t="s">
        <v>873</v>
      </c>
      <c r="P25" s="94" t="s">
        <v>874</v>
      </c>
      <c r="Q25" s="94" t="s">
        <v>875</v>
      </c>
      <c r="R25" s="94" t="s">
        <v>876</v>
      </c>
      <c r="S25" s="94" t="s">
        <v>877</v>
      </c>
      <c r="T25" s="94" t="s">
        <v>878</v>
      </c>
      <c r="U25" s="94" t="s">
        <v>879</v>
      </c>
      <c r="V25" s="94" t="s">
        <v>880</v>
      </c>
      <c r="W25" s="94" t="s">
        <v>881</v>
      </c>
      <c r="Y25" s="16" t="s">
        <v>843</v>
      </c>
      <c r="Z25" s="16" t="s">
        <v>882</v>
      </c>
    </row>
    <row r="26" customFormat="false" ht="15" hidden="false" customHeight="false" outlineLevel="0" collapsed="false">
      <c r="A26" s="4" t="str">
        <f aca="false">A8</f>
        <v>protein &gt;= min</v>
      </c>
      <c r="B26" s="78" t="n">
        <f aca="false">G8</f>
        <v>23.35</v>
      </c>
      <c r="C26" s="78" t="n">
        <f aca="false">X8</f>
        <v>9.02</v>
      </c>
      <c r="D26" s="78" t="n">
        <f aca="false">AC8</f>
        <v>10.19</v>
      </c>
      <c r="E26" s="78" t="n">
        <f aca="false">AE8</f>
        <v>3.15</v>
      </c>
      <c r="F26" s="78" t="n">
        <f aca="false">AF8</f>
        <v>18.13</v>
      </c>
      <c r="G26" s="78" t="n">
        <f aca="false">AK8</f>
        <v>2.74</v>
      </c>
      <c r="H26" s="78" t="n">
        <f aca="false">AS8</f>
        <v>2.69</v>
      </c>
      <c r="I26" s="78" t="n">
        <f aca="false">AY8</f>
        <v>0.26</v>
      </c>
      <c r="J26" s="78" t="n">
        <f aca="false">BC8</f>
        <v>0.68</v>
      </c>
      <c r="K26" s="78" t="n">
        <f aca="false">BI8</f>
        <v>1.12</v>
      </c>
      <c r="L26" s="78" t="n">
        <f aca="false">BP8</f>
        <v>0.85</v>
      </c>
      <c r="N26" s="95" t="n">
        <f aca="false">Y8</f>
        <v>22.21</v>
      </c>
      <c r="O26" s="95" t="n">
        <f aca="false">Z8</f>
        <v>9.01</v>
      </c>
      <c r="P26" s="95" t="n">
        <f aca="false">AB8</f>
        <v>3.3</v>
      </c>
      <c r="Q26" s="95" t="n">
        <f aca="false">AO8</f>
        <v>2.54</v>
      </c>
      <c r="R26" s="95" t="n">
        <f aca="false">AT8</f>
        <v>12.45</v>
      </c>
      <c r="S26" s="95" t="n">
        <f aca="false">AU8</f>
        <v>5.99</v>
      </c>
      <c r="T26" s="95" t="n">
        <f aca="false">AZ8</f>
        <v>1.09</v>
      </c>
      <c r="U26" s="95" t="n">
        <f aca="false">BH8</f>
        <v>0.93</v>
      </c>
      <c r="V26" s="95" t="n">
        <f aca="false">BO8</f>
        <v>0.88</v>
      </c>
      <c r="W26" s="95" t="n">
        <f aca="false">BQ8</f>
        <v>0</v>
      </c>
      <c r="Y26" s="96" t="n">
        <f aca="false">C8</f>
        <v>112</v>
      </c>
      <c r="Z26" s="97" t="n">
        <f aca="false" t="array" ref="Z26:Z36">Y26:Y36-MMULT(N26:W36,TRANSPOSE(N38:W38))</f>
        <v>46.14653125</v>
      </c>
    </row>
    <row r="27" customFormat="false" ht="15" hidden="false" customHeight="false" outlineLevel="0" collapsed="false">
      <c r="A27" s="4" t="str">
        <f aca="false">A9</f>
        <v>vitc &gt;= min</v>
      </c>
      <c r="B27" s="78" t="n">
        <f aca="false">G9</f>
        <v>0</v>
      </c>
      <c r="C27" s="78" t="n">
        <f aca="false">X9</f>
        <v>1.5</v>
      </c>
      <c r="D27" s="78" t="n">
        <f aca="false">AC9</f>
        <v>0</v>
      </c>
      <c r="E27" s="78" t="n">
        <f aca="false">AE9</f>
        <v>0</v>
      </c>
      <c r="F27" s="78" t="n">
        <f aca="false">AF9</f>
        <v>0</v>
      </c>
      <c r="G27" s="78" t="n">
        <f aca="false">AK9</f>
        <v>0</v>
      </c>
      <c r="H27" s="78" t="n">
        <f aca="false">AS9</f>
        <v>0</v>
      </c>
      <c r="I27" s="78" t="n">
        <f aca="false">AY9</f>
        <v>4.6</v>
      </c>
      <c r="J27" s="78" t="n">
        <f aca="false">BC9</f>
        <v>33.6</v>
      </c>
      <c r="K27" s="78" t="n">
        <f aca="false">BI9</f>
        <v>2.8</v>
      </c>
      <c r="L27" s="78" t="n">
        <f aca="false">BP9</f>
        <v>0</v>
      </c>
      <c r="N27" s="95" t="n">
        <f aca="false">Y9</f>
        <v>0</v>
      </c>
      <c r="O27" s="95" t="n">
        <f aca="false">Z9</f>
        <v>0.8</v>
      </c>
      <c r="P27" s="95" t="n">
        <f aca="false">AB9</f>
        <v>0.2</v>
      </c>
      <c r="Q27" s="95" t="n">
        <f aca="false">AO9</f>
        <v>0</v>
      </c>
      <c r="R27" s="95" t="n">
        <f aca="false">AT9</f>
        <v>0</v>
      </c>
      <c r="S27" s="95" t="n">
        <f aca="false">AU9</f>
        <v>0</v>
      </c>
      <c r="T27" s="95" t="n">
        <f aca="false">AZ9</f>
        <v>8.7</v>
      </c>
      <c r="U27" s="95" t="n">
        <f aca="false">BH9</f>
        <v>5.9</v>
      </c>
      <c r="V27" s="95" t="n">
        <f aca="false">BO9</f>
        <v>13.7</v>
      </c>
      <c r="W27" s="95" t="n">
        <f aca="false">BQ9</f>
        <v>0</v>
      </c>
      <c r="Y27" s="96" t="n">
        <f aca="false">C9</f>
        <v>90</v>
      </c>
      <c r="Z27" s="97" t="n">
        <v>10.6435</v>
      </c>
    </row>
    <row r="28" customFormat="false" ht="15" hidden="false" customHeight="false" outlineLevel="0" collapsed="false">
      <c r="A28" s="4" t="str">
        <f aca="false">A10</f>
        <v>Lunch kcal &lt;= 35%</v>
      </c>
      <c r="B28" s="78" t="n">
        <f aca="false">G10</f>
        <v>95.5</v>
      </c>
      <c r="C28" s="78" t="n">
        <f aca="false">X10</f>
        <v>58</v>
      </c>
      <c r="D28" s="78" t="n">
        <f aca="false">AC10</f>
        <v>0</v>
      </c>
      <c r="E28" s="78" t="n">
        <f aca="false">AE10</f>
        <v>0</v>
      </c>
      <c r="F28" s="78" t="n">
        <f aca="false">AF10</f>
        <v>366</v>
      </c>
      <c r="G28" s="78" t="n">
        <f aca="false">AK10</f>
        <v>61.5</v>
      </c>
      <c r="H28" s="78" t="n">
        <f aca="false">AS10</f>
        <v>65</v>
      </c>
      <c r="I28" s="78" t="n">
        <f aca="false">AY10</f>
        <v>26</v>
      </c>
      <c r="J28" s="78" t="n">
        <f aca="false">BC10</f>
        <v>0</v>
      </c>
      <c r="K28" s="78" t="n">
        <f aca="false">BI10</f>
        <v>11</v>
      </c>
      <c r="L28" s="78" t="n">
        <f aca="false">BP10</f>
        <v>0</v>
      </c>
      <c r="N28" s="95" t="n">
        <f aca="false">Y10</f>
        <v>0</v>
      </c>
      <c r="O28" s="95" t="n">
        <f aca="false">Z10</f>
        <v>71.5</v>
      </c>
      <c r="P28" s="95" t="n">
        <f aca="false">AB10</f>
        <v>0</v>
      </c>
      <c r="Q28" s="95" t="n">
        <f aca="false">AO10</f>
        <v>0</v>
      </c>
      <c r="R28" s="95" t="n">
        <f aca="false">AT10</f>
        <v>126</v>
      </c>
      <c r="S28" s="95" t="n">
        <f aca="false">AU10</f>
        <v>74.5</v>
      </c>
      <c r="T28" s="95" t="n">
        <f aca="false">AZ10</f>
        <v>0</v>
      </c>
      <c r="U28" s="95" t="n">
        <f aca="false">BH10</f>
        <v>20.5</v>
      </c>
      <c r="V28" s="95" t="n">
        <f aca="false">BO10</f>
        <v>9</v>
      </c>
      <c r="W28" s="95" t="n">
        <f aca="false">BQ10</f>
        <v>442</v>
      </c>
      <c r="Y28" s="96" t="n">
        <f aca="false">C10</f>
        <v>1060.5</v>
      </c>
      <c r="Z28" s="97" t="n">
        <v>644.8149475</v>
      </c>
    </row>
    <row r="29" customFormat="false" ht="15" hidden="false" customHeight="false" outlineLevel="0" collapsed="false">
      <c r="A29" s="4" t="str">
        <f aca="false">A11</f>
        <v>protein servings &lt;= 5</v>
      </c>
      <c r="B29" s="78" t="n">
        <f aca="false">G11</f>
        <v>1.17647058823529</v>
      </c>
      <c r="C29" s="78" t="n">
        <f aca="false">X11</f>
        <v>1.01010101010101</v>
      </c>
      <c r="D29" s="78" t="n">
        <f aca="false">AC11</f>
        <v>0</v>
      </c>
      <c r="E29" s="78" t="n">
        <f aca="false">AE11</f>
        <v>0</v>
      </c>
      <c r="F29" s="78" t="n">
        <f aca="false">AF11</f>
        <v>0</v>
      </c>
      <c r="G29" s="78" t="n">
        <f aca="false">AK11</f>
        <v>0</v>
      </c>
      <c r="H29" s="78" t="n">
        <f aca="false">AS11</f>
        <v>0</v>
      </c>
      <c r="I29" s="78" t="n">
        <f aca="false">AY11</f>
        <v>0</v>
      </c>
      <c r="J29" s="78" t="n">
        <f aca="false">BC11</f>
        <v>0</v>
      </c>
      <c r="K29" s="78" t="n">
        <f aca="false">BI11</f>
        <v>0</v>
      </c>
      <c r="L29" s="78" t="n">
        <f aca="false">BP11</f>
        <v>0</v>
      </c>
      <c r="N29" s="95" t="n">
        <f aca="false">Y11</f>
        <v>3.125</v>
      </c>
      <c r="O29" s="95" t="n">
        <f aca="false">Z11</f>
        <v>1.16959064327485</v>
      </c>
      <c r="P29" s="95" t="n">
        <f aca="false">AB11</f>
        <v>0</v>
      </c>
      <c r="Q29" s="95" t="n">
        <f aca="false">AO11</f>
        <v>0</v>
      </c>
      <c r="R29" s="95" t="n">
        <f aca="false">AT11</f>
        <v>0</v>
      </c>
      <c r="S29" s="95" t="n">
        <f aca="false">AU11</f>
        <v>0</v>
      </c>
      <c r="T29" s="95" t="n">
        <f aca="false">AZ11</f>
        <v>0</v>
      </c>
      <c r="U29" s="95" t="n">
        <f aca="false">BH11</f>
        <v>0</v>
      </c>
      <c r="V29" s="95" t="n">
        <f aca="false">BO11</f>
        <v>0</v>
      </c>
      <c r="W29" s="95" t="n">
        <f aca="false">BQ11</f>
        <v>0</v>
      </c>
      <c r="Y29" s="96" t="n">
        <f aca="false">C11</f>
        <v>5</v>
      </c>
      <c r="Z29" s="97" t="n">
        <v>1</v>
      </c>
    </row>
    <row r="30" customFormat="false" ht="15" hidden="false" customHeight="false" outlineLevel="0" collapsed="false">
      <c r="A30" s="4" t="str">
        <f aca="false">A12</f>
        <v>dairy servings &gt;= 3</v>
      </c>
      <c r="B30" s="78" t="n">
        <f aca="false">G12</f>
        <v>0</v>
      </c>
      <c r="C30" s="78" t="n">
        <f aca="false">X12</f>
        <v>0</v>
      </c>
      <c r="D30" s="78" t="n">
        <f aca="false">AC12</f>
        <v>0.588235294117647</v>
      </c>
      <c r="E30" s="78" t="n">
        <f aca="false">AE12</f>
        <v>0.409836065573771</v>
      </c>
      <c r="F30" s="78" t="n">
        <f aca="false">AF12</f>
        <v>3.57142857142857</v>
      </c>
      <c r="G30" s="78" t="n">
        <f aca="false">AK12</f>
        <v>0</v>
      </c>
      <c r="H30" s="78" t="n">
        <f aca="false">AS12</f>
        <v>0</v>
      </c>
      <c r="I30" s="78" t="n">
        <f aca="false">AY12</f>
        <v>0</v>
      </c>
      <c r="J30" s="78" t="n">
        <f aca="false">BC12</f>
        <v>0</v>
      </c>
      <c r="K30" s="78" t="n">
        <f aca="false">BI12</f>
        <v>0</v>
      </c>
      <c r="L30" s="78" t="n">
        <f aca="false">BP12</f>
        <v>0</v>
      </c>
      <c r="N30" s="95" t="n">
        <f aca="false">Y12</f>
        <v>0</v>
      </c>
      <c r="O30" s="95" t="n">
        <f aca="false">Z12</f>
        <v>0</v>
      </c>
      <c r="P30" s="95" t="n">
        <f aca="false">AB12</f>
        <v>0.409836065573771</v>
      </c>
      <c r="Q30" s="95" t="n">
        <f aca="false">AO12</f>
        <v>0</v>
      </c>
      <c r="R30" s="95" t="n">
        <f aca="false">AT12</f>
        <v>0</v>
      </c>
      <c r="S30" s="95" t="n">
        <f aca="false">AU12</f>
        <v>0</v>
      </c>
      <c r="T30" s="95" t="n">
        <f aca="false">AZ12</f>
        <v>0</v>
      </c>
      <c r="U30" s="95" t="n">
        <f aca="false">BH12</f>
        <v>0</v>
      </c>
      <c r="V30" s="95" t="n">
        <f aca="false">BO12</f>
        <v>0</v>
      </c>
      <c r="W30" s="95" t="n">
        <f aca="false">BQ12</f>
        <v>0</v>
      </c>
      <c r="Y30" s="96" t="n">
        <f aca="false">C12</f>
        <v>3</v>
      </c>
      <c r="Z30" s="97" t="n">
        <v>1.5</v>
      </c>
    </row>
    <row r="31" customFormat="false" ht="15" hidden="false" customHeight="false" outlineLevel="0" collapsed="false">
      <c r="A31" s="4" t="str">
        <f aca="false">A13</f>
        <v>veg servings &gt;= 4.75</v>
      </c>
      <c r="B31" s="78" t="n">
        <f aca="false">G13</f>
        <v>0</v>
      </c>
      <c r="C31" s="78" t="n">
        <f aca="false">X13</f>
        <v>0</v>
      </c>
      <c r="D31" s="78" t="n">
        <f aca="false">AC13</f>
        <v>0</v>
      </c>
      <c r="E31" s="78" t="n">
        <f aca="false">AE13</f>
        <v>0</v>
      </c>
      <c r="F31" s="78" t="n">
        <f aca="false">AF13</f>
        <v>0</v>
      </c>
      <c r="G31" s="78" t="n">
        <f aca="false">AK13</f>
        <v>0</v>
      </c>
      <c r="H31" s="78" t="n">
        <f aca="false">AS13</f>
        <v>0</v>
      </c>
      <c r="I31" s="78" t="n">
        <f aca="false">AY13</f>
        <v>0</v>
      </c>
      <c r="J31" s="78" t="n">
        <f aca="false">BC13</f>
        <v>0</v>
      </c>
      <c r="K31" s="78" t="n">
        <f aca="false">BI13</f>
        <v>0.740740740740741</v>
      </c>
      <c r="L31" s="78" t="n">
        <f aca="false">BP13</f>
        <v>0</v>
      </c>
      <c r="N31" s="95" t="n">
        <f aca="false">Y13</f>
        <v>0</v>
      </c>
      <c r="O31" s="95" t="n">
        <f aca="false">Z13</f>
        <v>0</v>
      </c>
      <c r="P31" s="95" t="n">
        <f aca="false">AB13</f>
        <v>0</v>
      </c>
      <c r="Q31" s="95" t="n">
        <f aca="false">AO13</f>
        <v>0</v>
      </c>
      <c r="R31" s="95" t="n">
        <f aca="false">AT13</f>
        <v>0</v>
      </c>
      <c r="S31" s="95" t="n">
        <f aca="false">AU13</f>
        <v>0</v>
      </c>
      <c r="T31" s="95" t="n">
        <f aca="false">AZ13</f>
        <v>0</v>
      </c>
      <c r="U31" s="95" t="n">
        <f aca="false">BH13</f>
        <v>0.78125</v>
      </c>
      <c r="V31" s="95" t="n">
        <f aca="false">BO13</f>
        <v>0.555555555555556</v>
      </c>
      <c r="W31" s="95" t="n">
        <f aca="false">BQ13</f>
        <v>0</v>
      </c>
      <c r="Y31" s="96" t="n">
        <f aca="false">C13</f>
        <v>4.75</v>
      </c>
      <c r="Z31" s="97" t="n">
        <v>0.75</v>
      </c>
    </row>
    <row r="32" customFormat="false" ht="15" hidden="false" customHeight="false" outlineLevel="0" collapsed="false">
      <c r="A32" s="4" t="str">
        <f aca="false">A14</f>
        <v>fruit servings &gt;= 2.5</v>
      </c>
      <c r="B32" s="78" t="n">
        <f aca="false">G14</f>
        <v>0</v>
      </c>
      <c r="C32" s="78" t="n">
        <f aca="false">X14</f>
        <v>0</v>
      </c>
      <c r="D32" s="78" t="n">
        <f aca="false">AC14</f>
        <v>0</v>
      </c>
      <c r="E32" s="78" t="n">
        <f aca="false">AE14</f>
        <v>0</v>
      </c>
      <c r="F32" s="78" t="n">
        <f aca="false">AF14</f>
        <v>0</v>
      </c>
      <c r="G32" s="78" t="n">
        <f aca="false">AK14</f>
        <v>0</v>
      </c>
      <c r="H32" s="78" t="n">
        <f aca="false">AS14</f>
        <v>0</v>
      </c>
      <c r="I32" s="78" t="n">
        <f aca="false">AY14</f>
        <v>0.8</v>
      </c>
      <c r="J32" s="78" t="n">
        <f aca="false">BC14</f>
        <v>0.401606425702811</v>
      </c>
      <c r="K32" s="78" t="n">
        <f aca="false">BI14</f>
        <v>0</v>
      </c>
      <c r="L32" s="78" t="n">
        <f aca="false">BP14</f>
        <v>0</v>
      </c>
      <c r="N32" s="95" t="n">
        <f aca="false">Y14</f>
        <v>0</v>
      </c>
      <c r="O32" s="95" t="n">
        <f aca="false">Z14</f>
        <v>0</v>
      </c>
      <c r="P32" s="95" t="n">
        <f aca="false">AB14</f>
        <v>0</v>
      </c>
      <c r="Q32" s="95" t="n">
        <f aca="false">AO14</f>
        <v>0</v>
      </c>
      <c r="R32" s="95" t="n">
        <f aca="false">AT14</f>
        <v>0</v>
      </c>
      <c r="S32" s="95" t="n">
        <f aca="false">AU14</f>
        <v>0</v>
      </c>
      <c r="T32" s="95" t="n">
        <f aca="false">AZ14</f>
        <v>0.847457627118644</v>
      </c>
      <c r="U32" s="95" t="n">
        <f aca="false">BH14</f>
        <v>0</v>
      </c>
      <c r="V32" s="95" t="n">
        <f aca="false">BO14</f>
        <v>0</v>
      </c>
      <c r="W32" s="95" t="n">
        <f aca="false">BQ14</f>
        <v>0</v>
      </c>
      <c r="Y32" s="96" t="n">
        <f aca="false">C14</f>
        <v>2.5</v>
      </c>
      <c r="Z32" s="97" t="n">
        <v>1.25</v>
      </c>
    </row>
    <row r="33" customFormat="false" ht="15" hidden="false" customHeight="false" outlineLevel="0" collapsed="false">
      <c r="A33" s="4" t="str">
        <f aca="false">A15</f>
        <v>fat servings &gt;= 7</v>
      </c>
      <c r="B33" s="78" t="n">
        <f aca="false">G15</f>
        <v>0</v>
      </c>
      <c r="C33" s="78" t="n">
        <f aca="false">X15</f>
        <v>0</v>
      </c>
      <c r="D33" s="78" t="n">
        <f aca="false">AC15</f>
        <v>0</v>
      </c>
      <c r="E33" s="78" t="n">
        <f aca="false">AE15</f>
        <v>0</v>
      </c>
      <c r="F33" s="78" t="n">
        <f aca="false">AF15</f>
        <v>0</v>
      </c>
      <c r="G33" s="78" t="n">
        <f aca="false">AK15</f>
        <v>0</v>
      </c>
      <c r="H33" s="78" t="n">
        <f aca="false">AS15</f>
        <v>0</v>
      </c>
      <c r="I33" s="78" t="n">
        <f aca="false">AY15</f>
        <v>0</v>
      </c>
      <c r="J33" s="78" t="n">
        <f aca="false">BC15</f>
        <v>0</v>
      </c>
      <c r="K33" s="78" t="n">
        <f aca="false">BI15</f>
        <v>0</v>
      </c>
      <c r="L33" s="78" t="n">
        <f aca="false">BP15</f>
        <v>21.128248468202</v>
      </c>
      <c r="N33" s="95" t="n">
        <f aca="false">Y15</f>
        <v>0</v>
      </c>
      <c r="O33" s="95" t="n">
        <f aca="false">Z15</f>
        <v>0</v>
      </c>
      <c r="P33" s="95" t="n">
        <f aca="false">AB15</f>
        <v>0</v>
      </c>
      <c r="Q33" s="95" t="n">
        <f aca="false">AO15</f>
        <v>0</v>
      </c>
      <c r="R33" s="95" t="n">
        <f aca="false">AT15</f>
        <v>0</v>
      </c>
      <c r="S33" s="95" t="n">
        <f aca="false">AU15</f>
        <v>0</v>
      </c>
      <c r="T33" s="95" t="n">
        <f aca="false">AZ15</f>
        <v>0</v>
      </c>
      <c r="U33" s="95" t="n">
        <f aca="false">BH15</f>
        <v>0</v>
      </c>
      <c r="V33" s="95" t="n">
        <f aca="false">BO15</f>
        <v>0</v>
      </c>
      <c r="W33" s="95" t="n">
        <f aca="false">BQ15</f>
        <v>21.4270409256482</v>
      </c>
      <c r="Y33" s="96" t="n">
        <f aca="false">C15</f>
        <v>7</v>
      </c>
      <c r="Z33" s="97" t="n">
        <v>3.5</v>
      </c>
    </row>
    <row r="34" customFormat="false" ht="15" hidden="false" customHeight="false" outlineLevel="0" collapsed="false">
      <c r="A34" s="4" t="str">
        <f aca="false">A16</f>
        <v>refined grains &lt;= whole grains</v>
      </c>
      <c r="B34" s="78" t="n">
        <f aca="false">G16</f>
        <v>0</v>
      </c>
      <c r="C34" s="78" t="n">
        <f aca="false">X16</f>
        <v>0</v>
      </c>
      <c r="D34" s="78" t="n">
        <f aca="false">AC16</f>
        <v>0</v>
      </c>
      <c r="E34" s="78" t="n">
        <f aca="false">AE16</f>
        <v>0</v>
      </c>
      <c r="F34" s="78" t="n">
        <f aca="false">AF16</f>
        <v>0</v>
      </c>
      <c r="G34" s="78" t="n">
        <f aca="false">AK16</f>
        <v>-0.99009900990099</v>
      </c>
      <c r="H34" s="78" t="n">
        <f aca="false">AS16</f>
        <v>1.26582278481013</v>
      </c>
      <c r="I34" s="78" t="n">
        <f aca="false">AY16</f>
        <v>0</v>
      </c>
      <c r="J34" s="78" t="n">
        <f aca="false">BC16</f>
        <v>0</v>
      </c>
      <c r="K34" s="78" t="n">
        <f aca="false">BI16</f>
        <v>0</v>
      </c>
      <c r="L34" s="78" t="n">
        <f aca="false">BP16</f>
        <v>0</v>
      </c>
      <c r="N34" s="95" t="n">
        <f aca="false">Y16</f>
        <v>0</v>
      </c>
      <c r="O34" s="95" t="n">
        <f aca="false">Z16</f>
        <v>0</v>
      </c>
      <c r="P34" s="95" t="n">
        <f aca="false">AB16</f>
        <v>0</v>
      </c>
      <c r="Q34" s="95" t="n">
        <f aca="false">AO16</f>
        <v>-0.854700854700855</v>
      </c>
      <c r="R34" s="95" t="n">
        <f aca="false">AT16</f>
        <v>-3.125</v>
      </c>
      <c r="S34" s="95" t="n">
        <f aca="false">AU16</f>
        <v>-1.70940170940171</v>
      </c>
      <c r="T34" s="95" t="n">
        <f aca="false">AZ16</f>
        <v>0</v>
      </c>
      <c r="U34" s="95" t="n">
        <f aca="false">BH16</f>
        <v>0</v>
      </c>
      <c r="V34" s="95" t="n">
        <f aca="false">BO16</f>
        <v>0</v>
      </c>
      <c r="W34" s="95" t="n">
        <f aca="false">BQ16</f>
        <v>0</v>
      </c>
      <c r="Y34" s="96" t="n">
        <f aca="false">C16</f>
        <v>0</v>
      </c>
      <c r="Z34" s="97" t="n">
        <v>4.875</v>
      </c>
    </row>
    <row r="35" customFormat="false" ht="15" hidden="false" customHeight="false" outlineLevel="0" collapsed="false">
      <c r="A35" s="4" t="str">
        <f aca="false">A17</f>
        <v>saturated fat &lt;= 10% of kcal</v>
      </c>
      <c r="B35" s="78" t="n">
        <f aca="false">G17</f>
        <v>5.56</v>
      </c>
      <c r="C35" s="78" t="n">
        <f aca="false">X17</f>
        <v>-11.123</v>
      </c>
      <c r="D35" s="78" t="n">
        <f aca="false">AC17</f>
        <v>-4.847</v>
      </c>
      <c r="E35" s="78" t="n">
        <f aca="false">AE17</f>
        <v>10.685</v>
      </c>
      <c r="F35" s="78" t="n">
        <f aca="false">AF17</f>
        <v>125.913</v>
      </c>
      <c r="G35" s="78" t="n">
        <f aca="false">AK17</f>
        <v>-9.96</v>
      </c>
      <c r="H35" s="78" t="n">
        <f aca="false">AS17</f>
        <v>-12.307</v>
      </c>
      <c r="I35" s="78" t="n">
        <f aca="false">AY17</f>
        <v>-4.948</v>
      </c>
      <c r="J35" s="78" t="n">
        <f aca="false">BC17</f>
        <v>-4.774</v>
      </c>
      <c r="K35" s="78" t="n">
        <f aca="false">BI17</f>
        <v>-1.273</v>
      </c>
      <c r="L35" s="78" t="n">
        <f aca="false">BP17</f>
        <v>390.612</v>
      </c>
      <c r="N35" s="95" t="n">
        <f aca="false">Y17</f>
        <v>33.125</v>
      </c>
      <c r="O35" s="95" t="n">
        <f aca="false">Z17</f>
        <v>-13.076</v>
      </c>
      <c r="P35" s="95" t="n">
        <f aca="false">AB17</f>
        <v>6.313</v>
      </c>
      <c r="Q35" s="95" t="n">
        <f aca="false">AO17</f>
        <v>-4.31</v>
      </c>
      <c r="R35" s="95" t="n">
        <f aca="false">AT17</f>
        <v>-18.702</v>
      </c>
      <c r="S35" s="95" t="n">
        <f aca="false">AU17</f>
        <v>-12.713</v>
      </c>
      <c r="T35" s="95" t="n">
        <f aca="false">AZ17</f>
        <v>-7.892</v>
      </c>
      <c r="U35" s="95" t="n">
        <f aca="false">BH17</f>
        <v>-3.767</v>
      </c>
      <c r="V35" s="95" t="n">
        <f aca="false">BO17</f>
        <v>-1.548</v>
      </c>
      <c r="W35" s="95" t="n">
        <f aca="false">BQ17</f>
        <v>-22.115</v>
      </c>
      <c r="Y35" s="96" t="n">
        <f aca="false">C17</f>
        <v>0</v>
      </c>
      <c r="Z35" s="97" t="n">
        <v>38.5284978</v>
      </c>
    </row>
    <row r="36" customFormat="false" ht="15" hidden="false" customHeight="false" outlineLevel="0" collapsed="false">
      <c r="A36" s="4" t="str">
        <f aca="false">A18</f>
        <v>milk (all kinds) &lt;= 50% of dairy</v>
      </c>
      <c r="B36" s="78" t="n">
        <f aca="false">G18</f>
        <v>0</v>
      </c>
      <c r="C36" s="78" t="n">
        <f aca="false">X18</f>
        <v>0</v>
      </c>
      <c r="D36" s="78" t="n">
        <f aca="false">AC18</f>
        <v>0</v>
      </c>
      <c r="E36" s="78" t="n">
        <f aca="false">AE18</f>
        <v>0.409836065573771</v>
      </c>
      <c r="F36" s="78" t="n">
        <f aca="false">AF18</f>
        <v>0</v>
      </c>
      <c r="G36" s="78" t="n">
        <f aca="false">AK18</f>
        <v>0</v>
      </c>
      <c r="H36" s="78" t="n">
        <f aca="false">AS18</f>
        <v>0</v>
      </c>
      <c r="I36" s="78" t="n">
        <f aca="false">AY18</f>
        <v>0</v>
      </c>
      <c r="J36" s="78" t="n">
        <f aca="false">BC18</f>
        <v>0</v>
      </c>
      <c r="K36" s="78" t="n">
        <f aca="false">BI18</f>
        <v>0</v>
      </c>
      <c r="L36" s="78" t="n">
        <f aca="false">BP18</f>
        <v>0</v>
      </c>
      <c r="N36" s="95" t="n">
        <f aca="false">Y18</f>
        <v>0</v>
      </c>
      <c r="O36" s="95" t="n">
        <f aca="false">Z18</f>
        <v>0</v>
      </c>
      <c r="P36" s="95" t="n">
        <f aca="false">AB18</f>
        <v>0.409836065573771</v>
      </c>
      <c r="Q36" s="95" t="n">
        <f aca="false">AO18</f>
        <v>0</v>
      </c>
      <c r="R36" s="95" t="n">
        <f aca="false">AT18</f>
        <v>0</v>
      </c>
      <c r="S36" s="95" t="n">
        <f aca="false">AU18</f>
        <v>0</v>
      </c>
      <c r="T36" s="95" t="n">
        <f aca="false">AZ18</f>
        <v>0</v>
      </c>
      <c r="U36" s="95" t="n">
        <f aca="false">BH18</f>
        <v>0</v>
      </c>
      <c r="V36" s="95" t="n">
        <f aca="false">BO18</f>
        <v>0</v>
      </c>
      <c r="W36" s="95" t="n">
        <f aca="false">BQ18</f>
        <v>0</v>
      </c>
      <c r="Y36" s="96" t="n">
        <f aca="false">C18</f>
        <v>1.5</v>
      </c>
      <c r="Z36" s="97" t="n">
        <v>0</v>
      </c>
    </row>
    <row r="38" customFormat="false" ht="15" hidden="false" customHeight="false" outlineLevel="0" collapsed="false">
      <c r="A38" s="15" t="s">
        <v>883</v>
      </c>
      <c r="N38" s="95" t="n">
        <f aca="false">Y22</f>
        <v>0.64</v>
      </c>
      <c r="O38" s="95" t="n">
        <f aca="false">Z22</f>
        <v>1.71</v>
      </c>
      <c r="P38" s="95" t="n">
        <f aca="false">AB22</f>
        <v>3.66</v>
      </c>
      <c r="Q38" s="95" t="n">
        <f aca="false">AO22</f>
        <v>1.90125</v>
      </c>
      <c r="R38" s="95" t="n">
        <f aca="false">AT22</f>
        <v>0.52</v>
      </c>
      <c r="S38" s="95" t="n">
        <f aca="false">AU22</f>
        <v>0.950625</v>
      </c>
      <c r="T38" s="95" t="n">
        <f aca="false">AZ22</f>
        <v>1.475</v>
      </c>
      <c r="U38" s="95" t="n">
        <f aca="false">BH22</f>
        <v>2.56</v>
      </c>
      <c r="V38" s="95" t="n">
        <f aca="false">BO22</f>
        <v>3.6</v>
      </c>
      <c r="W38" s="95" t="n">
        <f aca="false">BQ22</f>
        <v>0.163345</v>
      </c>
    </row>
    <row r="40" customFormat="false" ht="15" hidden="false" customHeight="false" outlineLevel="0" collapsed="false">
      <c r="A40" s="3" t="s">
        <v>884</v>
      </c>
    </row>
    <row r="41" customFormat="false" ht="15" hidden="false" customHeight="false" outlineLevel="0" collapsed="false">
      <c r="A41" s="4" t="str">
        <f aca="false">A26</f>
        <v>protein &gt;= min</v>
      </c>
      <c r="B41" s="98" t="n">
        <f aca="false" t="array" ref="B41:L51">MINVERSE(B26:L36)</f>
        <v>0.0556050554037447</v>
      </c>
      <c r="C41" s="98" t="n">
        <v>0.000226948563763582</v>
      </c>
      <c r="D41" s="98" t="n">
        <v>0.000235293669669003</v>
      </c>
      <c r="E41" s="98" t="n">
        <v>-0.34409230219513</v>
      </c>
      <c r="F41" s="98" t="n">
        <v>-0.838809236647472</v>
      </c>
      <c r="G41" s="98" t="n">
        <v>-0.0624736602611097</v>
      </c>
      <c r="H41" s="98" t="n">
        <v>0.0663808535934516</v>
      </c>
      <c r="I41" s="98" t="n">
        <v>-0.281433640794012</v>
      </c>
      <c r="J41" s="98" t="n">
        <v>0.0165788536143904</v>
      </c>
      <c r="K41" s="98" t="n">
        <v>0.0151017777050203</v>
      </c>
      <c r="L41" s="98" t="n">
        <v>0.0177042935556228</v>
      </c>
    </row>
    <row r="42" customFormat="false" ht="15" hidden="false" customHeight="false" outlineLevel="0" collapsed="false">
      <c r="A42" s="4" t="str">
        <f aca="false">A27</f>
        <v>vitc &gt;= min</v>
      </c>
      <c r="B42" s="98" t="n">
        <v>-0.0647635351173026</v>
      </c>
      <c r="C42" s="98" t="n">
        <v>-0.000264328327207138</v>
      </c>
      <c r="D42" s="98" t="n">
        <v>-0.000274047921143895</v>
      </c>
      <c r="E42" s="98" t="n">
        <v>1.39076632843903</v>
      </c>
      <c r="F42" s="98" t="n">
        <v>0.976966052095291</v>
      </c>
      <c r="G42" s="98" t="n">
        <v>0.0727634395982339</v>
      </c>
      <c r="H42" s="98" t="n">
        <v>-0.0773141706559022</v>
      </c>
      <c r="I42" s="98" t="n">
        <v>0.32778741692479</v>
      </c>
      <c r="J42" s="98" t="n">
        <v>-0.0193094883273487</v>
      </c>
      <c r="K42" s="98" t="n">
        <v>-0.0175891293270237</v>
      </c>
      <c r="L42" s="98" t="n">
        <v>-0.020620294847137</v>
      </c>
    </row>
    <row r="43" customFormat="false" ht="15" hidden="false" customHeight="false" outlineLevel="0" collapsed="false">
      <c r="A43" s="4" t="str">
        <f aca="false">A28</f>
        <v>Lunch kcal &lt;= 35%</v>
      </c>
      <c r="B43" s="98" t="n">
        <v>0.0356355870787285</v>
      </c>
      <c r="C43" s="98" t="n">
        <v>-0.00389690105166706</v>
      </c>
      <c r="D43" s="98" t="n">
        <v>-0.00467931866943835</v>
      </c>
      <c r="E43" s="98" t="n">
        <v>-0.242242958734421</v>
      </c>
      <c r="F43" s="98" t="n">
        <v>0.934152659321652</v>
      </c>
      <c r="G43" s="98" t="n">
        <v>-0.000641344226003195</v>
      </c>
      <c r="H43" s="98" t="n">
        <v>0.0514129409970179</v>
      </c>
      <c r="I43" s="98" t="n">
        <v>0.331824195164981</v>
      </c>
      <c r="J43" s="98" t="n">
        <v>-0.0107040596402167</v>
      </c>
      <c r="K43" s="98" t="n">
        <v>-0.0180259548918717</v>
      </c>
      <c r="L43" s="98" t="n">
        <v>-0.738085901240815</v>
      </c>
    </row>
    <row r="44" customFormat="false" ht="15" hidden="false" customHeight="false" outlineLevel="0" collapsed="false">
      <c r="A44" s="4" t="str">
        <f aca="false">A29</f>
        <v>protein servings &lt;= 5</v>
      </c>
      <c r="B44" s="98" t="n">
        <v>0</v>
      </c>
      <c r="C44" s="98" t="n">
        <v>0</v>
      </c>
      <c r="D44" s="98" t="n">
        <v>3.80031601681815E-018</v>
      </c>
      <c r="E44" s="98" t="n">
        <v>0</v>
      </c>
      <c r="F44" s="98" t="n">
        <v>0</v>
      </c>
      <c r="G44" s="98" t="n">
        <v>0</v>
      </c>
      <c r="H44" s="98" t="n">
        <v>0</v>
      </c>
      <c r="I44" s="98" t="n">
        <v>0</v>
      </c>
      <c r="J44" s="98" t="n">
        <v>0</v>
      </c>
      <c r="K44" s="98" t="n">
        <v>0</v>
      </c>
      <c r="L44" s="98" t="n">
        <v>2.44</v>
      </c>
    </row>
    <row r="45" customFormat="false" ht="15" hidden="false" customHeight="false" outlineLevel="0" collapsed="false">
      <c r="A45" s="4" t="str">
        <f aca="false">A30</f>
        <v>dairy servings &gt;= 3</v>
      </c>
      <c r="B45" s="98" t="n">
        <v>-0.00586939081296705</v>
      </c>
      <c r="C45" s="98" t="n">
        <v>0.000641842526156913</v>
      </c>
      <c r="D45" s="98" t="n">
        <v>0.000770711310260433</v>
      </c>
      <c r="E45" s="98" t="n">
        <v>0.0398988402621399</v>
      </c>
      <c r="F45" s="98" t="n">
        <v>0.126139561994081</v>
      </c>
      <c r="G45" s="98" t="n">
        <v>0.000105633166635716</v>
      </c>
      <c r="H45" s="98" t="n">
        <v>-0.00846801381127367</v>
      </c>
      <c r="I45" s="98" t="n">
        <v>-0.0546533968507028</v>
      </c>
      <c r="J45" s="98" t="n">
        <v>0.00176302158780038</v>
      </c>
      <c r="K45" s="98" t="n">
        <v>0.00296898080572005</v>
      </c>
      <c r="L45" s="98" t="n">
        <v>-0.158432910383866</v>
      </c>
    </row>
    <row r="46" customFormat="false" ht="15" hidden="false" customHeight="false" outlineLevel="0" collapsed="false">
      <c r="A46" s="4" t="str">
        <f aca="false">A31</f>
        <v>veg servings &gt;= 4.75</v>
      </c>
      <c r="B46" s="98" t="n">
        <v>0.00564992184749324</v>
      </c>
      <c r="C46" s="98" t="n">
        <v>0.00156696253567879</v>
      </c>
      <c r="D46" s="98" t="n">
        <v>0.00633349946730854</v>
      </c>
      <c r="E46" s="98" t="n">
        <v>-0.563253550264199</v>
      </c>
      <c r="F46" s="98" t="n">
        <v>-0.207724562029403</v>
      </c>
      <c r="G46" s="98" t="n">
        <v>-0.131429270765103</v>
      </c>
      <c r="H46" s="98" t="n">
        <v>-0.299140874084737</v>
      </c>
      <c r="I46" s="98" t="n">
        <v>0.246242677675705</v>
      </c>
      <c r="J46" s="98" t="n">
        <v>-0.466848627247922</v>
      </c>
      <c r="K46" s="98" t="n">
        <v>-0.0133315896874086</v>
      </c>
      <c r="L46" s="98" t="n">
        <v>0.511872470085875</v>
      </c>
    </row>
    <row r="47" customFormat="false" ht="15" hidden="false" customHeight="false" outlineLevel="0" collapsed="false">
      <c r="A47" s="4" t="str">
        <f aca="false">A32</f>
        <v>fruit servings &gt;= 2.5</v>
      </c>
      <c r="B47" s="98" t="n">
        <v>0.00441924580150461</v>
      </c>
      <c r="C47" s="98" t="n">
        <v>0.0012256439635506</v>
      </c>
      <c r="D47" s="98" t="n">
        <v>0.0049539253259146</v>
      </c>
      <c r="E47" s="98" t="n">
        <v>-0.440564658127443</v>
      </c>
      <c r="F47" s="98" t="n">
        <v>-0.162477627725969</v>
      </c>
      <c r="G47" s="98" t="n">
        <v>-0.102801112776664</v>
      </c>
      <c r="H47" s="98" t="n">
        <v>-0.23398147576925</v>
      </c>
      <c r="I47" s="98" t="n">
        <v>0.192605658776047</v>
      </c>
      <c r="J47" s="98" t="n">
        <v>0.424841172746675</v>
      </c>
      <c r="K47" s="98" t="n">
        <v>-0.0104276790624285</v>
      </c>
      <c r="L47" s="98" t="n">
        <v>0.400375496403803</v>
      </c>
    </row>
    <row r="48" customFormat="false" ht="15" hidden="false" customHeight="false" outlineLevel="0" collapsed="false">
      <c r="A48" s="4" t="str">
        <f aca="false">A33</f>
        <v>fat servings &gt;= 7</v>
      </c>
      <c r="B48" s="98" t="n">
        <v>-0.00155853413179842</v>
      </c>
      <c r="C48" s="98" t="n">
        <v>-0.0160496908849951</v>
      </c>
      <c r="D48" s="98" t="n">
        <v>-6.59496178022951E-006</v>
      </c>
      <c r="E48" s="98" t="n">
        <v>0.0334687843753777</v>
      </c>
      <c r="F48" s="98" t="n">
        <v>0.0235106829026705</v>
      </c>
      <c r="G48" s="98" t="n">
        <v>0.06239483853026</v>
      </c>
      <c r="H48" s="98" t="n">
        <v>1.34038858138486</v>
      </c>
      <c r="I48" s="98" t="n">
        <v>0.00788820246340812</v>
      </c>
      <c r="J48" s="98" t="n">
        <v>-0.000464682734987025</v>
      </c>
      <c r="K48" s="98" t="n">
        <v>-0.000423282304697094</v>
      </c>
      <c r="L48" s="98" t="n">
        <v>-0.000496227286987995</v>
      </c>
    </row>
    <row r="49" customFormat="false" ht="15" hidden="false" customHeight="false" outlineLevel="0" collapsed="false">
      <c r="A49" s="4" t="str">
        <f aca="false">A34</f>
        <v>refined grains &lt;= whole grains</v>
      </c>
      <c r="B49" s="98" t="n">
        <v>0.00310459999054246</v>
      </c>
      <c r="C49" s="98" t="n">
        <v>0.0319709842429104</v>
      </c>
      <c r="D49" s="98" t="n">
        <v>1.31371638662172E-005</v>
      </c>
      <c r="E49" s="98" t="n">
        <v>-0.0666698184757526</v>
      </c>
      <c r="F49" s="98" t="n">
        <v>-0.0468332803421197</v>
      </c>
      <c r="G49" s="98" t="n">
        <v>-0.124290518352278</v>
      </c>
      <c r="H49" s="98" t="n">
        <v>-0.180054054118646</v>
      </c>
      <c r="I49" s="98" t="n">
        <v>-0.015713299307109</v>
      </c>
      <c r="J49" s="98" t="n">
        <v>0.000925648008094153</v>
      </c>
      <c r="K49" s="98" t="n">
        <v>0.000843178350956612</v>
      </c>
      <c r="L49" s="98" t="n">
        <v>0.00098848475568009</v>
      </c>
    </row>
    <row r="50" customFormat="false" ht="15" hidden="false" customHeight="false" outlineLevel="0" collapsed="false">
      <c r="A50" s="4" t="str">
        <f aca="false">A35</f>
        <v>saturated fat &lt;= 10% of kcal</v>
      </c>
      <c r="B50" s="98" t="n">
        <v>0</v>
      </c>
      <c r="C50" s="98" t="n">
        <v>0</v>
      </c>
      <c r="D50" s="98" t="n">
        <v>0</v>
      </c>
      <c r="E50" s="98" t="n">
        <v>0</v>
      </c>
      <c r="F50" s="98" t="n">
        <v>0</v>
      </c>
      <c r="G50" s="98" t="n">
        <v>1.35</v>
      </c>
      <c r="H50" s="98" t="n">
        <v>0</v>
      </c>
      <c r="I50" s="98" t="n">
        <v>0</v>
      </c>
      <c r="J50" s="98" t="n">
        <v>0</v>
      </c>
      <c r="K50" s="98" t="n">
        <v>0</v>
      </c>
      <c r="L50" s="98" t="n">
        <v>0</v>
      </c>
    </row>
    <row r="51" customFormat="false" ht="15" hidden="false" customHeight="false" outlineLevel="0" collapsed="false">
      <c r="A51" s="4" t="str">
        <f aca="false">A36</f>
        <v>milk (all kinds) &lt;= 50% of dairy</v>
      </c>
      <c r="B51" s="98" t="n">
        <v>0</v>
      </c>
      <c r="C51" s="98" t="n">
        <v>0</v>
      </c>
      <c r="D51" s="98" t="n">
        <v>0</v>
      </c>
      <c r="E51" s="98" t="n">
        <v>0</v>
      </c>
      <c r="F51" s="98" t="n">
        <v>0</v>
      </c>
      <c r="G51" s="98" t="n">
        <v>0</v>
      </c>
      <c r="H51" s="98" t="n">
        <v>0</v>
      </c>
      <c r="I51" s="98" t="n">
        <v>0.04733</v>
      </c>
      <c r="J51" s="98" t="n">
        <v>0</v>
      </c>
      <c r="K51" s="98" t="n">
        <v>0</v>
      </c>
      <c r="L51" s="98" t="n">
        <v>0</v>
      </c>
    </row>
    <row r="53" customFormat="false" ht="15" hidden="false" customHeight="false" outlineLevel="0" collapsed="false">
      <c r="A53" s="14" t="s">
        <v>885</v>
      </c>
      <c r="B53" s="99" t="n">
        <f aca="false">MDETERM(B26:L36)</f>
        <v>53469484.0407284</v>
      </c>
      <c r="C53" s="2" t="str">
        <f aca="false">IF(ABS(B53)&gt;0.000000000001,"det ≠ 0 → B is invertible → the corner is unique","det = 0 → singular")</f>
        <v>det ≠ 0 → B is invertible → the corner is unique</v>
      </c>
    </row>
    <row r="55" customFormat="false" ht="15" hidden="false" customHeight="false" outlineLevel="0" collapsed="false">
      <c r="A55" s="16" t="s">
        <v>886</v>
      </c>
      <c r="B55" s="16" t="s">
        <v>887</v>
      </c>
      <c r="C55" s="16" t="s">
        <v>888</v>
      </c>
      <c r="D55" s="16" t="s">
        <v>889</v>
      </c>
    </row>
    <row r="56" customFormat="false" ht="15" hidden="false" customHeight="false" outlineLevel="0" collapsed="false">
      <c r="A56" s="4" t="s">
        <v>263</v>
      </c>
      <c r="B56" s="100" t="n">
        <f aca="false" t="array" ref="B56:B66">MMULT(B41:L51,Z26:Z36)</f>
        <v>0.831584471444725</v>
      </c>
      <c r="C56" s="101" t="n">
        <f aca="false">G21</f>
        <v>0.831584471</v>
      </c>
      <c r="D56" s="102" t="n">
        <f aca="false">B56-C56</f>
        <v>4.44724590487056E-010</v>
      </c>
    </row>
    <row r="57" customFormat="false" ht="15" hidden="false" customHeight="false" outlineLevel="0" collapsed="false">
      <c r="A57" s="4" t="s">
        <v>358</v>
      </c>
      <c r="B57" s="100" t="n">
        <v>0.0214486744349679</v>
      </c>
      <c r="C57" s="101" t="n">
        <f aca="false">X21</f>
        <v>0.021448674</v>
      </c>
      <c r="D57" s="102" t="n">
        <f aca="false">B57-C57</f>
        <v>4.34967926260521E-010</v>
      </c>
    </row>
    <row r="58" customFormat="false" ht="15" hidden="false" customHeight="false" outlineLevel="0" collapsed="false">
      <c r="A58" s="4" t="s">
        <v>390</v>
      </c>
      <c r="B58" s="100" t="n">
        <v>0.223148071489392</v>
      </c>
      <c r="C58" s="101" t="n">
        <f aca="false">AC21</f>
        <v>0.223148071</v>
      </c>
      <c r="D58" s="102" t="n">
        <f aca="false">B58-C58</f>
        <v>4.89392137925648E-010</v>
      </c>
    </row>
    <row r="59" customFormat="false" ht="15" hidden="false" customHeight="false" outlineLevel="0" collapsed="false">
      <c r="A59" s="4" t="s">
        <v>400</v>
      </c>
      <c r="B59" s="100" t="n">
        <v>2.45050057286801E-015</v>
      </c>
      <c r="C59" s="101" t="n">
        <f aca="false">AE21</f>
        <v>0</v>
      </c>
      <c r="D59" s="102" t="n">
        <f aca="false">B59-C59</f>
        <v>2.45050057286801E-015</v>
      </c>
    </row>
    <row r="60" customFormat="false" ht="15" hidden="false" customHeight="false" outlineLevel="0" collapsed="false">
      <c r="A60" s="4" t="s">
        <v>404</v>
      </c>
      <c r="B60" s="100" t="n">
        <v>0.383246199989981</v>
      </c>
      <c r="C60" s="101" t="n">
        <f aca="false">AF21</f>
        <v>0.3832462</v>
      </c>
      <c r="D60" s="102" t="n">
        <f aca="false">B60-C60</f>
        <v>-1.00188191076711E-011</v>
      </c>
    </row>
    <row r="61" customFormat="false" ht="15" hidden="false" customHeight="false" outlineLevel="0" collapsed="false">
      <c r="A61" s="4" t="s">
        <v>432</v>
      </c>
      <c r="B61" s="100" t="n">
        <v>1.0863151384492</v>
      </c>
      <c r="C61" s="101" t="n">
        <f aca="false">AK21</f>
        <v>1.086315138</v>
      </c>
      <c r="D61" s="102" t="n">
        <f aca="false">B61-C61</f>
        <v>4.49203785279906E-010</v>
      </c>
    </row>
    <row r="62" customFormat="false" ht="15" hidden="false" customHeight="false" outlineLevel="0" collapsed="false">
      <c r="A62" s="4" t="s">
        <v>472</v>
      </c>
      <c r="B62" s="100" t="n">
        <v>4.70094203898502</v>
      </c>
      <c r="C62" s="101" t="n">
        <f aca="false">AS21</f>
        <v>4.700942039</v>
      </c>
      <c r="D62" s="102" t="n">
        <f aca="false">B62-C62</f>
        <v>-1.49791290482426E-011</v>
      </c>
    </row>
    <row r="63" customFormat="false" ht="15" hidden="false" customHeight="false" outlineLevel="0" collapsed="false">
      <c r="A63" s="4" t="s">
        <v>505</v>
      </c>
      <c r="B63" s="100" t="n">
        <v>1.55305325441597</v>
      </c>
      <c r="C63" s="101" t="n">
        <f aca="false">AY21</f>
        <v>1.553053254</v>
      </c>
      <c r="D63" s="102" t="n">
        <f aca="false">B63-C63</f>
        <v>4.15966150413283E-010</v>
      </c>
    </row>
    <row r="64" customFormat="false" ht="15" hidden="false" customHeight="false" outlineLevel="0" collapsed="false">
      <c r="A64" s="4" t="s">
        <v>524</v>
      </c>
      <c r="B64" s="100" t="n">
        <v>0.018817917203396</v>
      </c>
      <c r="C64" s="101" t="n">
        <f aca="false">BC21</f>
        <v>0.018817917</v>
      </c>
      <c r="D64" s="102" t="n">
        <f aca="false">B64-C64</f>
        <v>2.03395956327457E-010</v>
      </c>
    </row>
    <row r="65" customFormat="false" ht="15" hidden="false" customHeight="false" outlineLevel="0" collapsed="false">
      <c r="A65" s="4" t="s">
        <v>554</v>
      </c>
      <c r="B65" s="100" t="n">
        <v>1.0125</v>
      </c>
      <c r="C65" s="101" t="n">
        <f aca="false">BI21</f>
        <v>1.0125</v>
      </c>
      <c r="D65" s="102" t="n">
        <f aca="false">B65-C65</f>
        <v>0</v>
      </c>
    </row>
    <row r="66" customFormat="false" ht="15" hidden="false" customHeight="false" outlineLevel="0" collapsed="false">
      <c r="A66" s="4" t="s">
        <v>593</v>
      </c>
      <c r="B66" s="100" t="n">
        <v>0.165655</v>
      </c>
      <c r="C66" s="101" t="n">
        <f aca="false">BP21</f>
        <v>0.165655</v>
      </c>
      <c r="D66" s="102" t="n">
        <f aca="false">B66-C66</f>
        <v>0</v>
      </c>
    </row>
    <row r="67" customFormat="false" ht="15" hidden="false" customHeight="false" outlineLevel="0" collapsed="false">
      <c r="A67" s="15" t="s">
        <v>890</v>
      </c>
      <c r="B67" s="15" t="str">
        <f aca="false">IF(MAX(D56:D66)-MIN(D56:D66)&lt;0.000001,"✓ B⁻¹r reproduces the Simplex answer","✗ mismatch")</f>
        <v>✓ B⁻¹r reproduces the Simplex answer</v>
      </c>
    </row>
    <row r="69" customFormat="false" ht="15" hidden="false" customHeight="false" outlineLevel="0" collapsed="false">
      <c r="A69" s="3" t="s">
        <v>891</v>
      </c>
    </row>
    <row r="70" customFormat="false" ht="15" hidden="false" customHeight="false" outlineLevel="0" collapsed="false">
      <c r="A70" s="16" t="s">
        <v>841</v>
      </c>
      <c r="B70" s="16" t="s">
        <v>842</v>
      </c>
      <c r="C70" s="16" t="s">
        <v>892</v>
      </c>
      <c r="D70" s="16" t="s">
        <v>893</v>
      </c>
      <c r="E70" s="16" t="s">
        <v>894</v>
      </c>
      <c r="G70" s="15" t="s">
        <v>895</v>
      </c>
      <c r="H70" s="103" t="n">
        <f aca="false">G20</f>
        <v>0.657862951072096</v>
      </c>
      <c r="I70" s="103" t="n">
        <f aca="false">X20</f>
        <v>0.189041103840496</v>
      </c>
      <c r="J70" s="103" t="n">
        <f aca="false">AC20</f>
        <v>0.446360528665055</v>
      </c>
      <c r="K70" s="103" t="n">
        <f aca="false">AE20</f>
        <v>0.111424180327869</v>
      </c>
      <c r="L70" s="103" t="n">
        <f aca="false">AF20</f>
        <v>0.674984214078864</v>
      </c>
      <c r="M70" s="103" t="n">
        <f aca="false">AK20</f>
        <v>0.0850596360546152</v>
      </c>
      <c r="N70" s="103" t="n">
        <f aca="false">AS20</f>
        <v>0.0509306733629265</v>
      </c>
      <c r="O70" s="103" t="n">
        <f aca="false">AY20</f>
        <v>0.426764212772443</v>
      </c>
      <c r="P70" s="103" t="n">
        <f aca="false">BC20</f>
        <v>0.274911226583083</v>
      </c>
      <c r="Q70" s="103" t="n">
        <f aca="false">BI20</f>
        <v>0.365477764655637</v>
      </c>
      <c r="R70" s="103" t="n">
        <f aca="false">BP20</f>
        <v>0.791525891927498</v>
      </c>
    </row>
    <row r="71" customFormat="false" ht="15" hidden="false" customHeight="false" outlineLevel="0" collapsed="false">
      <c r="A71" s="4" t="str">
        <f aca="false">A8</f>
        <v>protein &gt;= min</v>
      </c>
      <c r="B71" s="81" t="str">
        <f aca="false">B8</f>
        <v>≥</v>
      </c>
      <c r="C71" s="104" t="n">
        <f aca="false">INDEX($H$71:$R$71,1,1)</f>
        <v>0.0371761272781115</v>
      </c>
      <c r="D71" s="81" t="str">
        <f aca="false">IF(B71="≥",IF(C71&gt;=-0.000000001,"✓","✗"),IF(C71&lt;=0.000000001,"✓","✗"))</f>
        <v>✓</v>
      </c>
      <c r="E71" s="4" t="str">
        <f aca="false">TEXT(C71*1,"$0.000")&amp;" per +1 g of protein"</f>
        <v>$0.037 per +1 g of protein</v>
      </c>
      <c r="G71" s="15" t="s">
        <v>896</v>
      </c>
      <c r="H71" s="98" t="n">
        <f aca="false" t="array" ref="H71:R71">MMULT(H70:R70,B41:L51)</f>
        <v>0.0371761272781115</v>
      </c>
      <c r="I71" s="98" t="n">
        <v>0.000928599825524218</v>
      </c>
      <c r="J71" s="98" t="n">
        <v>-0.000673631548226407</v>
      </c>
      <c r="K71" s="98" t="n">
        <v>-0.119043582087169</v>
      </c>
      <c r="L71" s="98" t="n">
        <v>0.106190761985473</v>
      </c>
      <c r="M71" s="98" t="n">
        <v>0.441880156153711</v>
      </c>
      <c r="N71" s="98" t="n">
        <v>0.531456228833594</v>
      </c>
      <c r="O71" s="98" t="n">
        <v>0.0553079817468736</v>
      </c>
      <c r="P71" s="98" t="n">
        <v>-0.0143478976611837</v>
      </c>
      <c r="Q71" s="98" t="n">
        <v>-0.00104613938353564</v>
      </c>
      <c r="R71" s="98" t="n">
        <v>-0.0927771579211274</v>
      </c>
    </row>
    <row r="72" customFormat="false" ht="15" hidden="false" customHeight="false" outlineLevel="0" collapsed="false">
      <c r="A72" s="4" t="str">
        <f aca="false">A9</f>
        <v>vitc &gt;= min</v>
      </c>
      <c r="B72" s="81" t="str">
        <f aca="false">B9</f>
        <v>≥</v>
      </c>
      <c r="C72" s="104" t="n">
        <f aca="false">INDEX($H$71:$R$71,1,2)</f>
        <v>0.000928599825524218</v>
      </c>
      <c r="D72" s="81" t="str">
        <f aca="false">IF(B72="≥",IF(C72&gt;=-0.000000001,"✓","✗"),IF(C72&lt;=0.000000001,"✓","✗"))</f>
        <v>✓</v>
      </c>
      <c r="E72" s="4" t="str">
        <f aca="false">TEXT(C72*1,"$0.000")&amp;" per +1 mg vitamin C"</f>
        <v>$0.001 per +1 mg vitamin C</v>
      </c>
    </row>
    <row r="73" customFormat="false" ht="15" hidden="false" customHeight="false" outlineLevel="0" collapsed="false">
      <c r="A73" s="4" t="str">
        <f aca="false">A10</f>
        <v>Lunch kcal &lt;= 35%</v>
      </c>
      <c r="B73" s="81" t="str">
        <f aca="false">B10</f>
        <v>≤</v>
      </c>
      <c r="C73" s="104" t="n">
        <f aca="false">INDEX($H$71:$R$71,1,3)</f>
        <v>-0.000673631548226407</v>
      </c>
      <c r="D73" s="81" t="str">
        <f aca="false">IF(B73="≥",IF(C73&gt;=-0.000000001,"✓","✗"),IF(C73&lt;=0.000000001,"✓","✗"))</f>
        <v>✓</v>
      </c>
      <c r="E73" s="4" t="str">
        <f aca="false">TEXT(ABS(C73)*100,"$0.000")&amp;" per 100 kcal moved into/out of lunch"</f>
        <v>$0.067 per 100 kcal moved into/out of lunch</v>
      </c>
    </row>
    <row r="74" customFormat="false" ht="15" hidden="false" customHeight="false" outlineLevel="0" collapsed="false">
      <c r="A74" s="4" t="str">
        <f aca="false">A11</f>
        <v>protein servings &lt;= 5</v>
      </c>
      <c r="B74" s="81" t="str">
        <f aca="false">B11</f>
        <v>≤</v>
      </c>
      <c r="C74" s="104" t="n">
        <f aca="false">INDEX($H$71:$R$71,1,4)</f>
        <v>-0.119043582087169</v>
      </c>
      <c r="D74" s="81" t="str">
        <f aca="false">IF(B74="≥",IF(C74&gt;=-0.000000001,"✓","✗"),IF(C74&lt;=0.000000001,"✓","✗"))</f>
        <v>✓</v>
      </c>
      <c r="E74" s="4" t="str">
        <f aca="false">TEXT(ABS(C74),"$0.000")&amp;" per serving of protein foods the rule moves"</f>
        <v>$0.119 per serving of protein foods the rule moves</v>
      </c>
    </row>
    <row r="75" customFormat="false" ht="15" hidden="false" customHeight="false" outlineLevel="0" collapsed="false">
      <c r="A75" s="4" t="str">
        <f aca="false">A12</f>
        <v>dairy servings &gt;= 3</v>
      </c>
      <c r="B75" s="81" t="str">
        <f aca="false">B12</f>
        <v>≥</v>
      </c>
      <c r="C75" s="104" t="n">
        <f aca="false">INDEX($H$71:$R$71,1,5)</f>
        <v>0.106190761985473</v>
      </c>
      <c r="D75" s="81" t="str">
        <f aca="false">IF(B75="≥",IF(C75&gt;=-0.000000001,"✓","✗"),IF(C75&lt;=0.000000001,"✓","✗"))</f>
        <v>✓</v>
      </c>
      <c r="E75" s="4" t="str">
        <f aca="false">TEXT(ABS(C75),"$0.000")&amp;" per serving of dairy the rule moves"</f>
        <v>$0.106 per serving of dairy the rule moves</v>
      </c>
    </row>
    <row r="76" customFormat="false" ht="15" hidden="false" customHeight="false" outlineLevel="0" collapsed="false">
      <c r="A76" s="4" t="str">
        <f aca="false">A13</f>
        <v>veg servings &gt;= 4.75</v>
      </c>
      <c r="B76" s="81" t="str">
        <f aca="false">B13</f>
        <v>≥</v>
      </c>
      <c r="C76" s="104" t="n">
        <f aca="false">INDEX($H$71:$R$71,1,6)</f>
        <v>0.441880156153711</v>
      </c>
      <c r="D76" s="81" t="str">
        <f aca="false">IF(B76="≥",IF(C76&gt;=-0.000000001,"✓","✗"),IF(C76&lt;=0.000000001,"✓","✗"))</f>
        <v>✓</v>
      </c>
      <c r="E76" s="4" t="str">
        <f aca="false">TEXT(ABS(C76),"$0.000")&amp;" per serving of vegetables the rule moves"</f>
        <v>$0.442 per serving of vegetables the rule moves</v>
      </c>
    </row>
    <row r="77" customFormat="false" ht="15" hidden="false" customHeight="false" outlineLevel="0" collapsed="false">
      <c r="A77" s="4" t="str">
        <f aca="false">A14</f>
        <v>fruit servings &gt;= 2.5</v>
      </c>
      <c r="B77" s="81" t="str">
        <f aca="false">B14</f>
        <v>≥</v>
      </c>
      <c r="C77" s="104" t="n">
        <f aca="false">INDEX($H$71:$R$71,1,7)</f>
        <v>0.531456228833594</v>
      </c>
      <c r="D77" s="81" t="str">
        <f aca="false">IF(B77="≥",IF(C77&gt;=-0.000000001,"✓","✗"),IF(C77&lt;=0.000000001,"✓","✗"))</f>
        <v>✓</v>
      </c>
      <c r="E77" s="4" t="str">
        <f aca="false">TEXT(ABS(C77),"$0.000")&amp;" per serving of fruits the rule moves"</f>
        <v>$0.531 per serving of fruits the rule moves</v>
      </c>
    </row>
    <row r="78" customFormat="false" ht="15" hidden="false" customHeight="false" outlineLevel="0" collapsed="false">
      <c r="A78" s="4" t="str">
        <f aca="false">A15</f>
        <v>fat servings &gt;= 7</v>
      </c>
      <c r="B78" s="81" t="str">
        <f aca="false">B15</f>
        <v>≥</v>
      </c>
      <c r="C78" s="104" t="n">
        <f aca="false">INDEX($H$71:$R$71,1,8)</f>
        <v>0.0553079817468736</v>
      </c>
      <c r="D78" s="81" t="str">
        <f aca="false">IF(B78="≥",IF(C78&gt;=-0.000000001,"✓","✗"),IF(C78&lt;=0.000000001,"✓","✗"))</f>
        <v>✓</v>
      </c>
      <c r="E78" s="4" t="str">
        <f aca="false">TEXT(ABS(C78),"$0.000")&amp;" per serving of healthy fats the rule moves"</f>
        <v>$0.055 per serving of healthy fats the rule moves</v>
      </c>
    </row>
    <row r="79" customFormat="false" ht="15" hidden="false" customHeight="false" outlineLevel="0" collapsed="false">
      <c r="A79" s="4" t="str">
        <f aca="false">A16</f>
        <v>refined grains &lt;= whole grains</v>
      </c>
      <c r="B79" s="81" t="str">
        <f aca="false">B16</f>
        <v>≤</v>
      </c>
      <c r="C79" s="104" t="n">
        <f aca="false">INDEX($H$71:$R$71,1,9)</f>
        <v>-0.0143478976611837</v>
      </c>
      <c r="D79" s="81" t="str">
        <f aca="false">IF(B79="≥",IF(C79&gt;=-0.000000001,"✓","✗"),IF(C79&lt;=0.000000001,"✓","✗"))</f>
        <v>✓</v>
      </c>
      <c r="E79" s="4" t="str">
        <f aca="false">TEXT(ABS(C79),"$0.000")&amp;" per unit the rule is loosened"</f>
        <v>$0.014 per unit the rule is loosened</v>
      </c>
    </row>
    <row r="80" customFormat="false" ht="15" hidden="false" customHeight="false" outlineLevel="0" collapsed="false">
      <c r="A80" s="4" t="str">
        <f aca="false">A17</f>
        <v>saturated fat &lt;= 10% of kcal</v>
      </c>
      <c r="B80" s="81" t="str">
        <f aca="false">B17</f>
        <v>≤</v>
      </c>
      <c r="C80" s="104" t="n">
        <f aca="false">INDEX($H$71:$R$71,1,10)</f>
        <v>-0.00104613938353564</v>
      </c>
      <c r="D80" s="81" t="str">
        <f aca="false">IF(B80="≥",IF(C80&gt;=-0.000000001,"✓","✗"),IF(C80&lt;=0.000000001,"✓","✗"))</f>
        <v>✓</v>
      </c>
      <c r="E80" s="4" t="str">
        <f aca="false">TEXT(ABS(C80),"$0.000")&amp;" per unit the rule is loosened"</f>
        <v>$0.001 per unit the rule is loosened</v>
      </c>
    </row>
    <row r="81" customFormat="false" ht="15" hidden="false" customHeight="false" outlineLevel="0" collapsed="false">
      <c r="A81" s="4" t="str">
        <f aca="false">A18</f>
        <v>milk (all kinds) &lt;= 50% of dairy</v>
      </c>
      <c r="B81" s="81" t="str">
        <f aca="false">B18</f>
        <v>≤</v>
      </c>
      <c r="C81" s="104" t="n">
        <f aca="false">INDEX($H$71:$R$71,1,11)</f>
        <v>-0.0927771579211274</v>
      </c>
      <c r="D81" s="81" t="str">
        <f aca="false">IF(B81="≥",IF(C81&gt;=-0.000000001,"✓","✗"),IF(C81&lt;=0.000000001,"✓","✗"))</f>
        <v>✓</v>
      </c>
      <c r="E81" s="4" t="str">
        <f aca="false">TEXT(ABS(C81),"$0.000")&amp;" per unit the rule is loosened"</f>
        <v>$0.093 per unit the rule is loosened</v>
      </c>
    </row>
    <row r="83" customFormat="false" ht="15" hidden="false" customHeight="false" outlineLevel="0" collapsed="false">
      <c r="A83" s="3" t="s">
        <v>897</v>
      </c>
    </row>
    <row r="84" customFormat="false" ht="15" hidden="false" customHeight="false" outlineLevel="0" collapsed="false">
      <c r="A84" s="69" t="s">
        <v>898</v>
      </c>
      <c r="F84" s="105" t="n">
        <f aca="false" t="array" ref="F84:BX84">F20:BX20-MMULT(H71:R71,F8:BX18)</f>
        <v>0.312840213673207</v>
      </c>
      <c r="G84" s="105" t="n">
        <v>0</v>
      </c>
      <c r="H84" s="105" t="n">
        <v>0.658459525417824</v>
      </c>
      <c r="I84" s="105" t="n">
        <v>1.28021678051765</v>
      </c>
      <c r="J84" s="105" t="n">
        <v>1.48383609595671</v>
      </c>
      <c r="K84" s="105" t="n">
        <v>2.1633347899513</v>
      </c>
      <c r="L84" s="105" t="n">
        <v>2.11903615477616</v>
      </c>
      <c r="M84" s="105" t="n">
        <v>2.23247141057955</v>
      </c>
      <c r="N84" s="105" t="n">
        <v>1.04432290089926</v>
      </c>
      <c r="O84" s="105" t="n">
        <v>0.734793868651014</v>
      </c>
      <c r="P84" s="105" t="n">
        <v>4.24784036196784</v>
      </c>
      <c r="Q84" s="105" t="n">
        <v>0.711138048059121</v>
      </c>
      <c r="R84" s="105" t="n">
        <v>3.10930013374955</v>
      </c>
      <c r="S84" s="105" t="n">
        <v>3.55927115254318</v>
      </c>
      <c r="T84" s="105" t="n">
        <v>1.09580817505121</v>
      </c>
      <c r="U84" s="105" t="n">
        <v>0.137957368367123</v>
      </c>
      <c r="V84" s="105" t="n">
        <v>0.1582245799737</v>
      </c>
      <c r="W84" s="105" t="n">
        <v>0.193895152817499</v>
      </c>
      <c r="X84" s="105" t="n">
        <v>0</v>
      </c>
      <c r="Y84" s="105" t="n">
        <v>-0.0333358876825459</v>
      </c>
      <c r="Z84" s="105" t="n">
        <v>-0.0500265340415336</v>
      </c>
      <c r="AA84" s="105" t="n">
        <v>0.706478991565144</v>
      </c>
      <c r="AB84" s="105" t="n">
        <v>-0.0157789956875409</v>
      </c>
      <c r="AC84" s="105" t="n">
        <v>0</v>
      </c>
      <c r="AD84" s="105" t="n">
        <v>0.150926775497131</v>
      </c>
      <c r="AE84" s="105" t="n">
        <v>0</v>
      </c>
      <c r="AF84" s="105" t="n">
        <v>0</v>
      </c>
      <c r="AG84" s="105" t="n">
        <v>0.0598961373618736</v>
      </c>
      <c r="AH84" s="105" t="n">
        <v>0.13920607658478</v>
      </c>
      <c r="AI84" s="105" t="n">
        <v>0.00359318609398995</v>
      </c>
      <c r="AJ84" s="105" t="n">
        <v>0.100390844025209</v>
      </c>
      <c r="AK84" s="105" t="n">
        <v>0</v>
      </c>
      <c r="AL84" s="105" t="n">
        <v>0.656419648584566</v>
      </c>
      <c r="AM84" s="105" t="n">
        <v>0.285236000311093</v>
      </c>
      <c r="AN84" s="105" t="n">
        <v>0.369441865010534</v>
      </c>
      <c r="AO84" s="105" t="n">
        <v>-0.0234807634517668</v>
      </c>
      <c r="AP84" s="105" t="n">
        <v>0.156254546350693</v>
      </c>
      <c r="AQ84" s="105" t="n">
        <v>0.0105018807628474</v>
      </c>
      <c r="AR84" s="105" t="n">
        <v>0.121531302897128</v>
      </c>
      <c r="AS84" s="105" t="n">
        <v>0</v>
      </c>
      <c r="AT84" s="105" t="n">
        <v>-0.00253886511052537</v>
      </c>
      <c r="AU84" s="105" t="n">
        <v>-0.00580034430494777</v>
      </c>
      <c r="AV84" s="105" t="n">
        <v>0.123101188525371</v>
      </c>
      <c r="AW84" s="105" t="n">
        <v>0.329911584895651</v>
      </c>
      <c r="AX84" s="105" t="n">
        <v>0.00459134651581811</v>
      </c>
      <c r="AY84" s="105" t="n">
        <v>0</v>
      </c>
      <c r="AZ84" s="105" t="n">
        <v>-0.277599236968257</v>
      </c>
      <c r="BA84" s="105" t="n">
        <v>0.292426149771163</v>
      </c>
      <c r="BB84" s="105" t="n">
        <v>0.184173818459881</v>
      </c>
      <c r="BC84" s="105" t="n">
        <v>-1.11022302462516E-015</v>
      </c>
      <c r="BD84" s="105" t="n">
        <v>0.188381305339191</v>
      </c>
      <c r="BE84" s="105" t="n">
        <v>0.0728453403273666</v>
      </c>
      <c r="BF84" s="105" t="n">
        <v>0.496381942403148</v>
      </c>
      <c r="BG84" s="105" t="n">
        <v>0.0855990317285688</v>
      </c>
      <c r="BH84" s="105" t="n">
        <v>-0.00710270196447116</v>
      </c>
      <c r="BI84" s="105" t="n">
        <v>0</v>
      </c>
      <c r="BJ84" s="105" t="n">
        <v>0.553701794616528</v>
      </c>
      <c r="BK84" s="105" t="n">
        <v>0.0208437576498092</v>
      </c>
      <c r="BL84" s="105" t="n">
        <v>0.00375342729186418</v>
      </c>
      <c r="BM84" s="105" t="n">
        <v>0.506847010604782</v>
      </c>
      <c r="BN84" s="105" t="n">
        <v>0.051372341364861</v>
      </c>
      <c r="BO84" s="105" t="n">
        <v>-0.0155314395996196</v>
      </c>
      <c r="BP84" s="105" t="n">
        <v>0</v>
      </c>
      <c r="BQ84" s="105" t="n">
        <v>-0.534661429201157</v>
      </c>
      <c r="BR84" s="105" t="n">
        <v>0.669758680928914</v>
      </c>
      <c r="BS84" s="105" t="n">
        <v>1.91075103928638</v>
      </c>
      <c r="BT84" s="105" t="n">
        <v>0.830636114425482</v>
      </c>
      <c r="BU84" s="105" t="n">
        <v>0.846886653135605</v>
      </c>
      <c r="BV84" s="105" t="n">
        <v>0.985490690130023</v>
      </c>
      <c r="BW84" s="105" t="n">
        <v>0.724250127200539</v>
      </c>
      <c r="BX84" s="105" t="n">
        <v>0.397945817909346</v>
      </c>
    </row>
    <row r="85" customFormat="false" ht="15" hidden="false" customHeight="false" outlineLevel="0" collapsed="false">
      <c r="A85" s="69" t="s">
        <v>899</v>
      </c>
      <c r="F85" s="81" t="s">
        <v>900</v>
      </c>
      <c r="G85" s="81" t="s">
        <v>901</v>
      </c>
      <c r="H85" s="81" t="s">
        <v>900</v>
      </c>
      <c r="I85" s="81" t="s">
        <v>900</v>
      </c>
      <c r="J85" s="81" t="s">
        <v>900</v>
      </c>
      <c r="K85" s="81" t="s">
        <v>900</v>
      </c>
      <c r="L85" s="81" t="s">
        <v>900</v>
      </c>
      <c r="M85" s="81" t="s">
        <v>900</v>
      </c>
      <c r="N85" s="81" t="s">
        <v>900</v>
      </c>
      <c r="O85" s="81" t="s">
        <v>900</v>
      </c>
      <c r="P85" s="81" t="s">
        <v>900</v>
      </c>
      <c r="Q85" s="81" t="s">
        <v>900</v>
      </c>
      <c r="R85" s="81" t="s">
        <v>900</v>
      </c>
      <c r="S85" s="81" t="s">
        <v>900</v>
      </c>
      <c r="T85" s="81" t="s">
        <v>900</v>
      </c>
      <c r="U85" s="81" t="s">
        <v>900</v>
      </c>
      <c r="V85" s="81" t="s">
        <v>900</v>
      </c>
      <c r="W85" s="81" t="s">
        <v>900</v>
      </c>
      <c r="X85" s="81" t="s">
        <v>901</v>
      </c>
      <c r="Y85" s="81" t="s">
        <v>902</v>
      </c>
      <c r="Z85" s="81" t="s">
        <v>902</v>
      </c>
      <c r="AA85" s="81" t="s">
        <v>900</v>
      </c>
      <c r="AB85" s="81" t="s">
        <v>902</v>
      </c>
      <c r="AC85" s="81" t="s">
        <v>901</v>
      </c>
      <c r="AD85" s="81" t="s">
        <v>900</v>
      </c>
      <c r="AE85" s="81" t="s">
        <v>901</v>
      </c>
      <c r="AF85" s="81" t="s">
        <v>901</v>
      </c>
      <c r="AG85" s="81" t="s">
        <v>900</v>
      </c>
      <c r="AH85" s="81" t="s">
        <v>900</v>
      </c>
      <c r="AI85" s="81" t="s">
        <v>900</v>
      </c>
      <c r="AJ85" s="81" t="s">
        <v>900</v>
      </c>
      <c r="AK85" s="81" t="s">
        <v>901</v>
      </c>
      <c r="AL85" s="81" t="s">
        <v>900</v>
      </c>
      <c r="AM85" s="81" t="s">
        <v>900</v>
      </c>
      <c r="AN85" s="81" t="s">
        <v>900</v>
      </c>
      <c r="AO85" s="81" t="s">
        <v>902</v>
      </c>
      <c r="AP85" s="81" t="s">
        <v>900</v>
      </c>
      <c r="AQ85" s="81" t="s">
        <v>900</v>
      </c>
      <c r="AR85" s="81" t="s">
        <v>900</v>
      </c>
      <c r="AS85" s="81" t="s">
        <v>901</v>
      </c>
      <c r="AT85" s="81" t="s">
        <v>902</v>
      </c>
      <c r="AU85" s="81" t="s">
        <v>902</v>
      </c>
      <c r="AV85" s="81" t="s">
        <v>900</v>
      </c>
      <c r="AW85" s="81" t="s">
        <v>900</v>
      </c>
      <c r="AX85" s="81" t="s">
        <v>900</v>
      </c>
      <c r="AY85" s="81" t="s">
        <v>901</v>
      </c>
      <c r="AZ85" s="81" t="s">
        <v>902</v>
      </c>
      <c r="BA85" s="81" t="s">
        <v>900</v>
      </c>
      <c r="BB85" s="81" t="s">
        <v>900</v>
      </c>
      <c r="BC85" s="81" t="s">
        <v>901</v>
      </c>
      <c r="BD85" s="81" t="s">
        <v>900</v>
      </c>
      <c r="BE85" s="81" t="s">
        <v>900</v>
      </c>
      <c r="BF85" s="81" t="s">
        <v>900</v>
      </c>
      <c r="BG85" s="81" t="s">
        <v>900</v>
      </c>
      <c r="BH85" s="81" t="s">
        <v>902</v>
      </c>
      <c r="BI85" s="81" t="s">
        <v>901</v>
      </c>
      <c r="BJ85" s="81" t="s">
        <v>900</v>
      </c>
      <c r="BK85" s="81" t="s">
        <v>900</v>
      </c>
      <c r="BL85" s="81" t="s">
        <v>900</v>
      </c>
      <c r="BM85" s="81" t="s">
        <v>900</v>
      </c>
      <c r="BN85" s="81" t="s">
        <v>900</v>
      </c>
      <c r="BO85" s="81" t="s">
        <v>902</v>
      </c>
      <c r="BP85" s="81" t="s">
        <v>901</v>
      </c>
      <c r="BQ85" s="81" t="s">
        <v>902</v>
      </c>
      <c r="BR85" s="81" t="s">
        <v>900</v>
      </c>
      <c r="BS85" s="81" t="s">
        <v>900</v>
      </c>
      <c r="BT85" s="81" t="s">
        <v>900</v>
      </c>
      <c r="BU85" s="81" t="s">
        <v>900</v>
      </c>
      <c r="BV85" s="81" t="s">
        <v>900</v>
      </c>
      <c r="BW85" s="81" t="s">
        <v>900</v>
      </c>
      <c r="BX85" s="81" t="s">
        <v>900</v>
      </c>
    </row>
    <row r="86" customFormat="false" ht="15" hidden="false" customHeight="false" outlineLevel="0" collapsed="false">
      <c r="A86" s="69" t="s">
        <v>903</v>
      </c>
      <c r="F86" s="81" t="str">
        <f aca="false">IF(F84&gt;=-0.000000001,"OK","FAIL")</f>
        <v>OK</v>
      </c>
      <c r="G86" s="81" t="str">
        <f aca="false">IF(ABS(G84)&lt;0.0000001,"OK","FAIL")</f>
        <v>OK</v>
      </c>
      <c r="H86" s="81" t="str">
        <f aca="false">IF(H84&gt;=-0.000000001,"OK","FAIL")</f>
        <v>OK</v>
      </c>
      <c r="I86" s="81" t="str">
        <f aca="false">IF(I84&gt;=-0.000000001,"OK","FAIL")</f>
        <v>OK</v>
      </c>
      <c r="J86" s="81" t="str">
        <f aca="false">IF(J84&gt;=-0.000000001,"OK","FAIL")</f>
        <v>OK</v>
      </c>
      <c r="K86" s="81" t="str">
        <f aca="false">IF(K84&gt;=-0.000000001,"OK","FAIL")</f>
        <v>OK</v>
      </c>
      <c r="L86" s="81" t="str">
        <f aca="false">IF(L84&gt;=-0.000000001,"OK","FAIL")</f>
        <v>OK</v>
      </c>
      <c r="M86" s="81" t="str">
        <f aca="false">IF(M84&gt;=-0.000000001,"OK","FAIL")</f>
        <v>OK</v>
      </c>
      <c r="N86" s="81" t="str">
        <f aca="false">IF(N84&gt;=-0.000000001,"OK","FAIL")</f>
        <v>OK</v>
      </c>
      <c r="O86" s="81" t="str">
        <f aca="false">IF(O84&gt;=-0.000000001,"OK","FAIL")</f>
        <v>OK</v>
      </c>
      <c r="P86" s="81" t="str">
        <f aca="false">IF(P84&gt;=-0.000000001,"OK","FAIL")</f>
        <v>OK</v>
      </c>
      <c r="Q86" s="81" t="str">
        <f aca="false">IF(Q84&gt;=-0.000000001,"OK","FAIL")</f>
        <v>OK</v>
      </c>
      <c r="R86" s="81" t="str">
        <f aca="false">IF(R84&gt;=-0.000000001,"OK","FAIL")</f>
        <v>OK</v>
      </c>
      <c r="S86" s="81" t="str">
        <f aca="false">IF(S84&gt;=-0.000000001,"OK","FAIL")</f>
        <v>OK</v>
      </c>
      <c r="T86" s="81" t="str">
        <f aca="false">IF(T84&gt;=-0.000000001,"OK","FAIL")</f>
        <v>OK</v>
      </c>
      <c r="U86" s="81" t="str">
        <f aca="false">IF(U84&gt;=-0.000000001,"OK","FAIL")</f>
        <v>OK</v>
      </c>
      <c r="V86" s="81" t="str">
        <f aca="false">IF(V84&gt;=-0.000000001,"OK","FAIL")</f>
        <v>OK</v>
      </c>
      <c r="W86" s="81" t="str">
        <f aca="false">IF(W84&gt;=-0.000000001,"OK","FAIL")</f>
        <v>OK</v>
      </c>
      <c r="X86" s="81" t="str">
        <f aca="false">IF(ABS(X84)&lt;0.0000001,"OK","FAIL")</f>
        <v>OK</v>
      </c>
      <c r="Y86" s="81" t="str">
        <f aca="false">IF(Y84&lt;=0.000000001,"OK","FAIL")</f>
        <v>OK</v>
      </c>
      <c r="Z86" s="81" t="str">
        <f aca="false">IF(Z84&lt;=0.000000001,"OK","FAIL")</f>
        <v>OK</v>
      </c>
      <c r="AA86" s="81" t="str">
        <f aca="false">IF(AA84&gt;=-0.000000001,"OK","FAIL")</f>
        <v>OK</v>
      </c>
      <c r="AB86" s="81" t="str">
        <f aca="false">IF(AB84&lt;=0.000000001,"OK","FAIL")</f>
        <v>OK</v>
      </c>
      <c r="AC86" s="81" t="str">
        <f aca="false">IF(ABS(AC84)&lt;0.0000001,"OK","FAIL")</f>
        <v>OK</v>
      </c>
      <c r="AD86" s="81" t="str">
        <f aca="false">IF(AD84&gt;=-0.000000001,"OK","FAIL")</f>
        <v>OK</v>
      </c>
      <c r="AE86" s="81" t="str">
        <f aca="false">IF(ABS(AE84)&lt;0.0000001,"OK","FAIL")</f>
        <v>OK</v>
      </c>
      <c r="AF86" s="81" t="str">
        <f aca="false">IF(ABS(AF84)&lt;0.0000001,"OK","FAIL")</f>
        <v>OK</v>
      </c>
      <c r="AG86" s="81" t="str">
        <f aca="false">IF(AG84&gt;=-0.000000001,"OK","FAIL")</f>
        <v>OK</v>
      </c>
      <c r="AH86" s="81" t="str">
        <f aca="false">IF(AH84&gt;=-0.000000001,"OK","FAIL")</f>
        <v>OK</v>
      </c>
      <c r="AI86" s="81" t="str">
        <f aca="false">IF(AI84&gt;=-0.000000001,"OK","FAIL")</f>
        <v>OK</v>
      </c>
      <c r="AJ86" s="81" t="str">
        <f aca="false">IF(AJ84&gt;=-0.000000001,"OK","FAIL")</f>
        <v>OK</v>
      </c>
      <c r="AK86" s="81" t="str">
        <f aca="false">IF(ABS(AK84)&lt;0.0000001,"OK","FAIL")</f>
        <v>OK</v>
      </c>
      <c r="AL86" s="81" t="str">
        <f aca="false">IF(AL84&gt;=-0.000000001,"OK","FAIL")</f>
        <v>OK</v>
      </c>
      <c r="AM86" s="81" t="str">
        <f aca="false">IF(AM84&gt;=-0.000000001,"OK","FAIL")</f>
        <v>OK</v>
      </c>
      <c r="AN86" s="81" t="str">
        <f aca="false">IF(AN84&gt;=-0.000000001,"OK","FAIL")</f>
        <v>OK</v>
      </c>
      <c r="AO86" s="81" t="str">
        <f aca="false">IF(AO84&lt;=0.000000001,"OK","FAIL")</f>
        <v>OK</v>
      </c>
      <c r="AP86" s="81" t="str">
        <f aca="false">IF(AP84&gt;=-0.000000001,"OK","FAIL")</f>
        <v>OK</v>
      </c>
      <c r="AQ86" s="81" t="str">
        <f aca="false">IF(AQ84&gt;=-0.000000001,"OK","FAIL")</f>
        <v>OK</v>
      </c>
      <c r="AR86" s="81" t="str">
        <f aca="false">IF(AR84&gt;=-0.000000001,"OK","FAIL")</f>
        <v>OK</v>
      </c>
      <c r="AS86" s="81" t="str">
        <f aca="false">IF(ABS(AS84)&lt;0.0000001,"OK","FAIL")</f>
        <v>OK</v>
      </c>
      <c r="AT86" s="81" t="str">
        <f aca="false">IF(AT84&lt;=0.000000001,"OK","FAIL")</f>
        <v>OK</v>
      </c>
      <c r="AU86" s="81" t="str">
        <f aca="false">IF(AU84&lt;=0.000000001,"OK","FAIL")</f>
        <v>OK</v>
      </c>
      <c r="AV86" s="81" t="str">
        <f aca="false">IF(AV84&gt;=-0.000000001,"OK","FAIL")</f>
        <v>OK</v>
      </c>
      <c r="AW86" s="81" t="str">
        <f aca="false">IF(AW84&gt;=-0.000000001,"OK","FAIL")</f>
        <v>OK</v>
      </c>
      <c r="AX86" s="81" t="str">
        <f aca="false">IF(AX84&gt;=-0.000000001,"OK","FAIL")</f>
        <v>OK</v>
      </c>
      <c r="AY86" s="81" t="str">
        <f aca="false">IF(ABS(AY84)&lt;0.0000001,"OK","FAIL")</f>
        <v>OK</v>
      </c>
      <c r="AZ86" s="81" t="str">
        <f aca="false">IF(AZ84&lt;=0.000000001,"OK","FAIL")</f>
        <v>OK</v>
      </c>
      <c r="BA86" s="81" t="str">
        <f aca="false">IF(BA84&gt;=-0.000000001,"OK","FAIL")</f>
        <v>OK</v>
      </c>
      <c r="BB86" s="81" t="str">
        <f aca="false">IF(BB84&gt;=-0.000000001,"OK","FAIL")</f>
        <v>OK</v>
      </c>
      <c r="BC86" s="81" t="str">
        <f aca="false">IF(ABS(BC84)&lt;0.0000001,"OK","FAIL")</f>
        <v>OK</v>
      </c>
      <c r="BD86" s="81" t="str">
        <f aca="false">IF(BD84&gt;=-0.000000001,"OK","FAIL")</f>
        <v>OK</v>
      </c>
      <c r="BE86" s="81" t="str">
        <f aca="false">IF(BE84&gt;=-0.000000001,"OK","FAIL")</f>
        <v>OK</v>
      </c>
      <c r="BF86" s="81" t="str">
        <f aca="false">IF(BF84&gt;=-0.000000001,"OK","FAIL")</f>
        <v>OK</v>
      </c>
      <c r="BG86" s="81" t="str">
        <f aca="false">IF(BG84&gt;=-0.000000001,"OK","FAIL")</f>
        <v>OK</v>
      </c>
      <c r="BH86" s="81" t="str">
        <f aca="false">IF(BH84&lt;=0.000000001,"OK","FAIL")</f>
        <v>OK</v>
      </c>
      <c r="BI86" s="81" t="str">
        <f aca="false">IF(ABS(BI84)&lt;0.0000001,"OK","FAIL")</f>
        <v>OK</v>
      </c>
      <c r="BJ86" s="81" t="str">
        <f aca="false">IF(BJ84&gt;=-0.000000001,"OK","FAIL")</f>
        <v>OK</v>
      </c>
      <c r="BK86" s="81" t="str">
        <f aca="false">IF(BK84&gt;=-0.000000001,"OK","FAIL")</f>
        <v>OK</v>
      </c>
      <c r="BL86" s="81" t="str">
        <f aca="false">IF(BL84&gt;=-0.000000001,"OK","FAIL")</f>
        <v>OK</v>
      </c>
      <c r="BM86" s="81" t="str">
        <f aca="false">IF(BM84&gt;=-0.000000001,"OK","FAIL")</f>
        <v>OK</v>
      </c>
      <c r="BN86" s="81" t="str">
        <f aca="false">IF(BN84&gt;=-0.000000001,"OK","FAIL")</f>
        <v>OK</v>
      </c>
      <c r="BO86" s="81" t="str">
        <f aca="false">IF(BO84&lt;=0.000000001,"OK","FAIL")</f>
        <v>OK</v>
      </c>
      <c r="BP86" s="81" t="str">
        <f aca="false">IF(ABS(BP84)&lt;0.0000001,"OK","FAIL")</f>
        <v>OK</v>
      </c>
      <c r="BQ86" s="81" t="str">
        <f aca="false">IF(BQ84&lt;=0.000000001,"OK","FAIL")</f>
        <v>OK</v>
      </c>
      <c r="BR86" s="81" t="str">
        <f aca="false">IF(BR84&gt;=-0.000000001,"OK","FAIL")</f>
        <v>OK</v>
      </c>
      <c r="BS86" s="81" t="str">
        <f aca="false">IF(BS84&gt;=-0.000000001,"OK","FAIL")</f>
        <v>OK</v>
      </c>
      <c r="BT86" s="81" t="str">
        <f aca="false">IF(BT84&gt;=-0.000000001,"OK","FAIL")</f>
        <v>OK</v>
      </c>
      <c r="BU86" s="81" t="str">
        <f aca="false">IF(BU84&gt;=-0.000000001,"OK","FAIL")</f>
        <v>OK</v>
      </c>
      <c r="BV86" s="81" t="str">
        <f aca="false">IF(BV84&gt;=-0.000000001,"OK","FAIL")</f>
        <v>OK</v>
      </c>
      <c r="BW86" s="81" t="str">
        <f aca="false">IF(BW84&gt;=-0.000000001,"OK","FAIL")</f>
        <v>OK</v>
      </c>
      <c r="BX86" s="81" t="str">
        <f aca="false">IF(BX84&gt;=-0.000000001,"OK","FAIL")</f>
        <v>OK</v>
      </c>
    </row>
    <row r="88" customFormat="false" ht="15" hidden="false" customHeight="false" outlineLevel="0" collapsed="false">
      <c r="A88" s="2" t="s">
        <v>904</v>
      </c>
    </row>
    <row r="89" customFormat="false" ht="15" hidden="false" customHeight="false" outlineLevel="0" collapsed="false">
      <c r="A89" s="106" t="s">
        <v>905</v>
      </c>
      <c r="B89" s="106" t="str">
        <f aca="false">IF(AND(COUNTIF(F86:BX86,"FAIL")=0,COUNTIF(D71:D81,"✗")=0),"✓ PROVEN OPTIMAL: no food can be added, removed or swapped to lower the cost","✗ Not optimal for the current data — re-solve")</f>
        <v>✓ PROVEN OPTIMAL: no food can be added, removed or swapped to lower the cost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107" t="s">
        <v>906</v>
      </c>
    </row>
    <row r="2" customFormat="false" ht="23.85" hidden="false" customHeight="false" outlineLevel="0" collapsed="false">
      <c r="A2" s="108" t="s">
        <v>907</v>
      </c>
    </row>
    <row r="3" customFormat="false" ht="15" hidden="false" customHeight="false" outlineLevel="0" collapsed="false">
      <c r="A3" s="108" t="s">
        <v>908</v>
      </c>
    </row>
    <row r="4" customFormat="false" ht="15" hidden="false" customHeight="false" outlineLevel="0" collapsed="false">
      <c r="A4" s="108"/>
    </row>
    <row r="5" customFormat="false" ht="15" hidden="false" customHeight="false" outlineLevel="0" collapsed="false">
      <c r="A5" s="107" t="s">
        <v>909</v>
      </c>
    </row>
    <row r="6" customFormat="false" ht="15" hidden="false" customHeight="false" outlineLevel="0" collapsed="false">
      <c r="A6" s="108" t="s">
        <v>910</v>
      </c>
    </row>
    <row r="7" customFormat="false" ht="15" hidden="false" customHeight="false" outlineLevel="0" collapsed="false">
      <c r="A7" s="108"/>
    </row>
    <row r="8" customFormat="false" ht="15" hidden="false" customHeight="false" outlineLevel="0" collapsed="false">
      <c r="A8" s="107" t="s">
        <v>911</v>
      </c>
    </row>
    <row r="9" customFormat="false" ht="15" hidden="false" customHeight="false" outlineLevel="0" collapsed="false">
      <c r="A9" s="108" t="s">
        <v>912</v>
      </c>
    </row>
    <row r="10" customFormat="false" ht="15" hidden="false" customHeight="false" outlineLevel="0" collapsed="false">
      <c r="A10" s="108" t="s">
        <v>913</v>
      </c>
    </row>
    <row r="11" customFormat="false" ht="15" hidden="false" customHeight="false" outlineLevel="0" collapsed="false">
      <c r="A11" s="108" t="s">
        <v>914</v>
      </c>
    </row>
    <row r="12" customFormat="false" ht="15" hidden="false" customHeight="false" outlineLevel="0" collapsed="false">
      <c r="A12" s="108" t="s">
        <v>915</v>
      </c>
    </row>
    <row r="13" customFormat="false" ht="23.85" hidden="false" customHeight="false" outlineLevel="0" collapsed="false">
      <c r="A13" s="108" t="s">
        <v>916</v>
      </c>
    </row>
    <row r="14" customFormat="false" ht="15" hidden="false" customHeight="false" outlineLevel="0" collapsed="false">
      <c r="A14" s="108" t="s">
        <v>917</v>
      </c>
    </row>
    <row r="15" customFormat="false" ht="23.85" hidden="false" customHeight="false" outlineLevel="0" collapsed="false">
      <c r="A15" s="108" t="s">
        <v>918</v>
      </c>
    </row>
    <row r="16" customFormat="false" ht="15" hidden="false" customHeight="false" outlineLevel="0" collapsed="false">
      <c r="A16" s="108" t="s">
        <v>919</v>
      </c>
    </row>
    <row r="17" customFormat="false" ht="15" hidden="false" customHeight="false" outlineLevel="0" collapsed="false">
      <c r="A17" s="108"/>
    </row>
    <row r="18" customFormat="false" ht="15" hidden="false" customHeight="false" outlineLevel="0" collapsed="false">
      <c r="A18" s="107" t="s">
        <v>920</v>
      </c>
    </row>
    <row r="19" customFormat="false" ht="15" hidden="false" customHeight="false" outlineLevel="0" collapsed="false">
      <c r="A19" s="108" t="s">
        <v>921</v>
      </c>
    </row>
    <row r="20" customFormat="false" ht="15" hidden="false" customHeight="false" outlineLevel="0" collapsed="false">
      <c r="A20" s="108" t="s">
        <v>922</v>
      </c>
    </row>
    <row r="21" customFormat="false" ht="23.85" hidden="false" customHeight="false" outlineLevel="0" collapsed="false">
      <c r="A21" s="108" t="s">
        <v>923</v>
      </c>
    </row>
    <row r="22" customFormat="false" ht="23.85" hidden="false" customHeight="false" outlineLevel="0" collapsed="false">
      <c r="A22" s="108" t="s">
        <v>924</v>
      </c>
    </row>
    <row r="23" customFormat="false" ht="15" hidden="false" customHeight="false" outlineLevel="0" collapsed="false">
      <c r="A23" s="108" t="s">
        <v>925</v>
      </c>
    </row>
    <row r="24" customFormat="false" ht="15" hidden="false" customHeight="false" outlineLevel="0" collapsed="false">
      <c r="A24" s="108" t="s">
        <v>926</v>
      </c>
    </row>
    <row r="25" customFormat="false" ht="15" hidden="false" customHeight="false" outlineLevel="0" collapsed="false">
      <c r="A25" s="108" t="s">
        <v>927</v>
      </c>
    </row>
    <row r="26" customFormat="false" ht="15" hidden="false" customHeight="false" outlineLevel="0" collapsed="false">
      <c r="A26" s="108" t="s">
        <v>928</v>
      </c>
    </row>
    <row r="27" customFormat="false" ht="15" hidden="false" customHeight="false" outlineLevel="0" collapsed="false">
      <c r="A27" s="108" t="s">
        <v>929</v>
      </c>
    </row>
    <row r="28" customFormat="false" ht="15" hidden="false" customHeight="false" outlineLevel="0" collapsed="false">
      <c r="A28" s="108"/>
    </row>
    <row r="29" customFormat="false" ht="15" hidden="false" customHeight="false" outlineLevel="0" collapsed="false">
      <c r="A29" s="107" t="s">
        <v>930</v>
      </c>
    </row>
    <row r="30" customFormat="false" ht="23.85" hidden="false" customHeight="false" outlineLevel="0" collapsed="false">
      <c r="A30" s="108" t="s">
        <v>931</v>
      </c>
    </row>
    <row r="31" customFormat="false" ht="15" hidden="false" customHeight="false" outlineLevel="0" collapsed="false">
      <c r="A31" s="108" t="s">
        <v>932</v>
      </c>
    </row>
    <row r="32" customFormat="false" ht="23.85" hidden="false" customHeight="false" outlineLevel="0" collapsed="false">
      <c r="A32" s="108" t="s">
        <v>933</v>
      </c>
    </row>
    <row r="33" customFormat="false" ht="15" hidden="false" customHeight="false" outlineLevel="0" collapsed="false">
      <c r="A33" s="108" t="s">
        <v>934</v>
      </c>
    </row>
    <row r="34" customFormat="false" ht="15" hidden="false" customHeight="false" outlineLevel="0" collapsed="false">
      <c r="A34" s="108" t="s">
        <v>935</v>
      </c>
    </row>
    <row r="35" customFormat="false" ht="23.85" hidden="false" customHeight="false" outlineLevel="0" collapsed="false">
      <c r="A35" s="108" t="s">
        <v>936</v>
      </c>
    </row>
    <row r="36" customFormat="false" ht="23.85" hidden="false" customHeight="false" outlineLevel="0" collapsed="false">
      <c r="A36" s="108" t="s">
        <v>937</v>
      </c>
    </row>
    <row r="37" customFormat="false" ht="15" hidden="false" customHeight="false" outlineLevel="0" collapsed="false">
      <c r="A37" s="108" t="s">
        <v>938</v>
      </c>
    </row>
    <row r="38" customFormat="false" ht="23.85" hidden="false" customHeight="false" outlineLevel="0" collapsed="false">
      <c r="A38" s="108" t="s">
        <v>939</v>
      </c>
    </row>
    <row r="39" customFormat="false" ht="23.85" hidden="false" customHeight="false" outlineLevel="0" collapsed="false">
      <c r="A39" s="108" t="s">
        <v>940</v>
      </c>
    </row>
    <row r="40" customFormat="false" ht="23.85" hidden="false" customHeight="false" outlineLevel="0" collapsed="false">
      <c r="A40" s="108" t="s">
        <v>941</v>
      </c>
    </row>
    <row r="41" customFormat="false" ht="15" hidden="false" customHeight="false" outlineLevel="0" collapsed="false">
      <c r="A41" s="108" t="s">
        <v>942</v>
      </c>
    </row>
    <row r="42" customFormat="false" ht="15" hidden="false" customHeight="false" outlineLevel="0" collapsed="false">
      <c r="A42" s="108" t="s">
        <v>943</v>
      </c>
    </row>
    <row r="43" customFormat="false" ht="15" hidden="false" customHeight="false" outlineLevel="0" collapsed="false">
      <c r="A43" s="108" t="s">
        <v>944</v>
      </c>
    </row>
    <row r="44" customFormat="false" ht="15" hidden="false" customHeight="false" outlineLevel="0" collapsed="false">
      <c r="A44" s="108"/>
    </row>
    <row r="45" customFormat="false" ht="15" hidden="false" customHeight="false" outlineLevel="0" collapsed="false">
      <c r="A45" s="107" t="s">
        <v>945</v>
      </c>
    </row>
    <row r="46" customFormat="false" ht="15" hidden="false" customHeight="false" outlineLevel="0" collapsed="false">
      <c r="A46" s="108" t="s">
        <v>946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2026-10-28T17:00:17Z</dcterms:created>
  <dc:creator>openpyxl</dc:creator>
  <dc:description/>
  <dc:language>en-US</dc:language>
  <cp:lastModifiedBy/>
  <dcterms:modified xsi:type="dcterms:W3CDTF">2026-10-28T17:00:19Z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