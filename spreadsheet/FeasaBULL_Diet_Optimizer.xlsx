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ner" sheetId="1" state="visible" r:id="rId3"/>
    <sheet name="DRI Tables" sheetId="2" state="visible" r:id="rId4"/>
    <sheet name="Food Data" sheetId="3" state="visible" r:id="rId5"/>
    <sheet name="Diets" sheetId="4" state="visible" r:id="rId6"/>
    <sheet name="Matrix Model" sheetId="5" state="visible" r:id="rId7"/>
    <sheet name="Diet Comparison" sheetId="6" state="visible" r:id="rId8"/>
    <sheet name="Optimality Proof" sheetId="7" state="visible" r:id="rId9"/>
    <sheet name="Notes &amp; Sources" sheetId="8" state="visible" r:id="rId10"/>
  </sheets>
  <definedNames>
    <definedName function="false" hidden="true" localSheetId="2" name="_xlnm._FilterDatabase" vbProcedure="false">'Food Data'!$A$5:$BD$151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P5" authorId="0">
      <text>
        <r>
          <rPr>
            <sz val="10"/>
            <rFont val="Arial"/>
            <family val="2"/>
          </rPr>
          <t xml:space="preserve">Team assumption: realistic most-per-day. Becomes the upper bound u in the model.</t>
        </r>
      </text>
    </comment>
    <comment ref="AD5" authorId="0">
      <text>
        <r>
          <rPr>
            <sz val="10"/>
            <rFont val="Arial"/>
            <family val="2"/>
          </rPr>
          <t xml:space="preserve">= (food attribute row) · (selected diet's forbidden-attribute row). A dot product: &gt; 0 means the diet excludes the food.</t>
        </r>
      </text>
    </comment>
    <comment ref="AJ5" authorId="0">
      <text>
        <r>
          <rPr>
            <sz val="10"/>
            <rFont val="Arial"/>
            <family val="2"/>
          </rPr>
          <t xml:space="preserve">USDA MyPlate cup-equivalent: 1 cup raw/cooked veg or fruit, 2 cups leafy greens, 1/2 cup dried fruit, 1 cup 100% juice.</t>
        </r>
      </text>
    </comment>
  </commentList>
</comments>
</file>

<file path=xl/sharedStrings.xml><?xml version="1.0" encoding="utf-8"?>
<sst xmlns="http://schemas.openxmlformats.org/spreadsheetml/2006/main" count="2154" uniqueCount="1191">
  <si>
    <t xml:space="preserve">FeasaBULL Diet Planner — person in, cheapest balanced day out</t>
  </si>
  <si>
    <t xml:space="preserve">Step 1: enter the person (same inputs as FeasaBULL Calories). Step 2: targets are calculated with the site's equations. Step 3: pick a diet and re-solve (box at right). Blue = inputs.</t>
  </si>
  <si>
    <t xml:space="preserve">1. PERSON  (same inputs as the FeasaBULL Calories site)</t>
  </si>
  <si>
    <t xml:space="preserve">4. RESULT</t>
  </si>
  <si>
    <t xml:space="preserve">HOW TO RE-SOLVE FOR A NEW PERSON OR DIET</t>
  </si>
  <si>
    <t xml:space="preserve">Sex</t>
  </si>
  <si>
    <t xml:space="preserve">Male</t>
  </si>
  <si>
    <t xml:space="preserve">Cost per day</t>
  </si>
  <si>
    <t xml:space="preserve">1. Change the blue inputs on this sheet (and Food Data if needed).</t>
  </si>
  <si>
    <t xml:space="preserve">Age (years)</t>
  </si>
  <si>
    <t xml:space="preserve">Cost per week</t>
  </si>
  <si>
    <t xml:space="preserve">2. Data → Solver (Excel: File → Options → Add-ins → enable Solver Add-in).</t>
  </si>
  <si>
    <t xml:space="preserve">Height (ft, in)</t>
  </si>
  <si>
    <t xml:space="preserve">Rules violated</t>
  </si>
  <si>
    <t xml:space="preserve">3. Set Objective: 'Matrix Model'!$C$270   To: Min</t>
  </si>
  <si>
    <t xml:space="preserve">Weight (lb)</t>
  </si>
  <si>
    <t xml:space="preserve">Status</t>
  </si>
  <si>
    <t xml:space="preserve">4. By Changing Variable Cells: 'Matrix Model'!$C$123:$C$268</t>
  </si>
  <si>
    <t xml:space="preserve">Activity level</t>
  </si>
  <si>
    <t xml:space="preserve">Active</t>
  </si>
  <si>
    <t xml:space="preserve">5. Subject to the Constraints (Add each):</t>
  </si>
  <si>
    <t xml:space="preserve">Goal</t>
  </si>
  <si>
    <t xml:space="preserve">Maintain</t>
  </si>
  <si>
    <t xml:space="preserve">Daily totals vs targets</t>
  </si>
  <si>
    <t xml:space="preserve">     'Matrix Model'!$D$41:$D$59 &gt;= 'Matrix Model'!$C$41:$C$59</t>
  </si>
  <si>
    <t xml:space="preserve">Activity coefficients</t>
  </si>
  <si>
    <t xml:space="preserve">IOM 2005 (corrected)</t>
  </si>
  <si>
    <t xml:space="preserve">or "Same as current site" to reproduce the live site exactly</t>
  </si>
  <si>
    <t xml:space="preserve">Nutrient</t>
  </si>
  <si>
    <t xml:space="preserve">Plan</t>
  </si>
  <si>
    <t xml:space="preserve">Min</t>
  </si>
  <si>
    <t xml:space="preserve">Max</t>
  </si>
  <si>
    <t xml:space="preserve">     'Matrix Model'!$D$60:$D$118 &lt;= 'Matrix Model'!$C$60:$C$118</t>
  </si>
  <si>
    <t xml:space="preserve">Example: the site's own placeholder person (male, 21, 5'8", 155 lb, active, maintain).</t>
  </si>
  <si>
    <t xml:space="preserve">Calories (kcal)</t>
  </si>
  <si>
    <t xml:space="preserve">     'Matrix Model'!$C$123:$C$268 &lt;= 'Matrix Model'!$D$123:$D$268</t>
  </si>
  <si>
    <t xml:space="preserve">Protein (g)</t>
  </si>
  <si>
    <t xml:space="preserve">     'Matrix Model'!$C$123:$C$268 &gt;= 'Matrix Model'!$E$123:$E$268</t>
  </si>
  <si>
    <t xml:space="preserve">2. DAILY TARGETS  (calculated with the site's equations — type in Override to change one)</t>
  </si>
  <si>
    <t xml:space="preserve">Carbohydrate (g)</t>
  </si>
  <si>
    <t xml:space="preserve">6. Tick "Make Unconstrained Variables Non-Negative", choose "Simplex LP", click Solve.</t>
  </si>
  <si>
    <t xml:space="preserve">Target</t>
  </si>
  <si>
    <t xml:space="preserve">Calculated</t>
  </si>
  <si>
    <t xml:space="preserve">Override</t>
  </si>
  <si>
    <t xml:space="preserve">Used by the model</t>
  </si>
  <si>
    <t xml:space="preserve">Fat (g)</t>
  </si>
  <si>
    <t xml:space="preserve">   (78 constraint cells — inside Excel Solver's 100-cell limit; bounds on x do not count.)</t>
  </si>
  <si>
    <t xml:space="preserve">Calories (kcal/day)</t>
  </si>
  <si>
    <t xml:space="preserve">Fiber (g)</t>
  </si>
  <si>
    <t xml:space="preserve">7. Status above turns ✓. The website runs the same model instantly (src/lib/dietOptimizer.js).</t>
  </si>
  <si>
    <t xml:space="preserve">Protein at least (g) — 1.6 g/kg, kept in 10–30% of kcal</t>
  </si>
  <si>
    <t xml:space="preserve">Total sugars (g)</t>
  </si>
  <si>
    <t xml:space="preserve">Fiber at least (g) — 14 g per 1,000 kcal</t>
  </si>
  <si>
    <t xml:space="preserve">Calcium (mg)</t>
  </si>
  <si>
    <t xml:space="preserve">Calcium at least (mg)</t>
  </si>
  <si>
    <t xml:space="preserve">Iron (mg)</t>
  </si>
  <si>
    <t xml:space="preserve">Iron at least (mg)</t>
  </si>
  <si>
    <t xml:space="preserve">Potassium (mg)</t>
  </si>
  <si>
    <t xml:space="preserve">Potassium at least (mg)</t>
  </si>
  <si>
    <t xml:space="preserve">Sodium (mg)</t>
  </si>
  <si>
    <t xml:space="preserve">Vitamin C at least (mg)</t>
  </si>
  <si>
    <t xml:space="preserve">Vitamin C (mg)</t>
  </si>
  <si>
    <t xml:space="preserve">Sodium under (mg) — 2,300, or the diet's own limit</t>
  </si>
  <si>
    <t xml:space="preserve">Saturated fat (g)</t>
  </si>
  <si>
    <t xml:space="preserve">Total sugars under (g, optional)</t>
  </si>
  <si>
    <t xml:space="preserve">How the targets were calculated</t>
  </si>
  <si>
    <t xml:space="preserve">Your day, by meal  (lunch and dinner share a batch-cooked base — cook once, eat twice)</t>
  </si>
  <si>
    <t xml:space="preserve">Height (cm)</t>
  </si>
  <si>
    <t xml:space="preserve">Breakfast</t>
  </si>
  <si>
    <t xml:space="preserve">grams</t>
  </si>
  <si>
    <t xml:space="preserve">servings</t>
  </si>
  <si>
    <t xml:space="preserve">kcal</t>
  </si>
  <si>
    <t xml:space="preserve">protein (g)</t>
  </si>
  <si>
    <t xml:space="preserve">Weight (kg)</t>
  </si>
  <si>
    <t xml:space="preserve">Age bracket</t>
  </si>
  <si>
    <t xml:space="preserve">Activity coefficient (PA)</t>
  </si>
  <si>
    <t xml:space="preserve">Maintenance calories (IOM EER, rounded to 10)</t>
  </si>
  <si>
    <t xml:space="preserve">Goal adjustment (kcal)</t>
  </si>
  <si>
    <t xml:space="preserve">BMI</t>
  </si>
  <si>
    <t xml:space="preserve">3. DIET &amp; PRICES</t>
  </si>
  <si>
    <t xml:space="preserve">Diet</t>
  </si>
  <si>
    <t xml:space="preserve">Balanced</t>
  </si>
  <si>
    <t xml:space="preserve">What it means</t>
  </si>
  <si>
    <t xml:space="preserve">Breakfast total</t>
  </si>
  <si>
    <t xml:space="preserve">Macro split (% of calories)</t>
  </si>
  <si>
    <t xml:space="preserve">Price source</t>
  </si>
  <si>
    <t xml:space="preserve">Walmart (Oct 2026)</t>
  </si>
  <si>
    <t xml:space="preserve">or "BLS U.S. average (Sep 2026)". Added foods always use U.S. averages (see Food Data)</t>
  </si>
  <si>
    <t xml:space="preserve">Lunch</t>
  </si>
  <si>
    <t xml:space="preserve">Food list</t>
  </si>
  <si>
    <t xml:space="preserve">All foods</t>
  </si>
  <si>
    <t xml:space="preserve">or "Core 71 foods" — the class baseline ($3.02 for the example person)</t>
  </si>
  <si>
    <t xml:space="preserve">4. BALANCE RULES  (keep amounts realistic)</t>
  </si>
  <si>
    <t xml:space="preserve">Calorie tolerance (±)</t>
  </si>
  <si>
    <t xml:space="preserve">Max share of the day's protein from ONE food</t>
  </si>
  <si>
    <t xml:space="preserve">applies to foods with ≥ 10 g protein / 100 g</t>
  </si>
  <si>
    <t xml:space="preserve">Min share of protein at breakfast, lunch AND dinner</t>
  </si>
  <si>
    <t xml:space="preserve">Breakfast: share of calories (min / max)</t>
  </si>
  <si>
    <t xml:space="preserve">Lunch: share of calories (min / max)</t>
  </si>
  <si>
    <t xml:space="preserve">Dinner: share of calories (min / max)</t>
  </si>
  <si>
    <t xml:space="preserve">Snacks: share of calories (min / max)</t>
  </si>
  <si>
    <t xml:space="preserve">Vegetables minimum (cup-equivalents)</t>
  </si>
  <si>
    <t xml:space="preserve">Lunch total</t>
  </si>
  <si>
    <t xml:space="preserve">Fruit minimum (cup-equivalents)</t>
  </si>
  <si>
    <t xml:space="preserve">Max meat, poultry &amp; fish (grams/day)</t>
  </si>
  <si>
    <t xml:space="preserve">12 oz raw (~9 oz cooked) per day</t>
  </si>
  <si>
    <t xml:space="preserve">Dinner</t>
  </si>
  <si>
    <t xml:space="preserve">Max beans &amp; lentils (servings/day)</t>
  </si>
  <si>
    <t xml:space="preserve">about 2-2.25 cups cooked per day</t>
  </si>
  <si>
    <t xml:space="preserve">Max cheese (servings/day)</t>
  </si>
  <si>
    <t xml:space="preserve">slices / oz / sticks / half-cups</t>
  </si>
  <si>
    <t xml:space="preserve">Max grains &amp; bread (servings/day)</t>
  </si>
  <si>
    <t xml:space="preserve">Max oils &amp; butter (servings/day)</t>
  </si>
  <si>
    <t xml:space="preserve">tablespoons</t>
  </si>
  <si>
    <t xml:space="preserve">Max snacks &amp; sweets (servings/day)</t>
  </si>
  <si>
    <t xml:space="preserve">Per-food limits (max servings, exclusions, must-include) are on Food Data.</t>
  </si>
  <si>
    <t xml:space="preserve">Dinner total</t>
  </si>
  <si>
    <t xml:space="preserve">Snacks</t>
  </si>
  <si>
    <t xml:space="preserve">Snacks total</t>
  </si>
  <si>
    <t xml:space="preserve">DRI Tables — the numbers behind the person calculator</t>
  </si>
  <si>
    <t xml:space="preserve">Same values as the FeasaBULL Calories site. Activity coefficients: IOM (2005) EER equations, healthy-weight version.</t>
  </si>
  <si>
    <t xml:space="preserve">Group</t>
  </si>
  <si>
    <t xml:space="preserve">Inactive</t>
  </si>
  <si>
    <t xml:space="preserve">Low active</t>
  </si>
  <si>
    <t xml:space="preserve">Very active</t>
  </si>
  <si>
    <t xml:space="preserve">Men 19+</t>
  </si>
  <si>
    <t xml:space="preserve">Women 19+</t>
  </si>
  <si>
    <t xml:space="preserve">Boys 14–18</t>
  </si>
  <si>
    <t xml:space="preserve">Girls 14–18</t>
  </si>
  <si>
    <t xml:space="preserve">IOM 2005 values (used by default). Below: what the live FeasaBULL site uses today (men's values for everyone).</t>
  </si>
  <si>
    <t xml:space="preserve">Group (site)</t>
  </si>
  <si>
    <t xml:space="preserve">kcal change</t>
  </si>
  <si>
    <t xml:space="preserve">Calorie floor</t>
  </si>
  <si>
    <t xml:space="preserve">Lose fat</t>
  </si>
  <si>
    <t xml:space="preserve">Female</t>
  </si>
  <si>
    <t xml:space="preserve">Build muscle</t>
  </si>
  <si>
    <t xml:space="preserve">Ages</t>
  </si>
  <si>
    <t xml:space="preserve">Vit C (M)</t>
  </si>
  <si>
    <t xml:space="preserve">Vit C (F)</t>
  </si>
  <si>
    <t xml:space="preserve">Calcium (M)</t>
  </si>
  <si>
    <t xml:space="preserve">Calcium (F)</t>
  </si>
  <si>
    <t xml:space="preserve">Iron (M)</t>
  </si>
  <si>
    <t xml:space="preserve">Iron (F)</t>
  </si>
  <si>
    <t xml:space="preserve">Potassium (M)</t>
  </si>
  <si>
    <t xml:space="preserve">Potassium (F)</t>
  </si>
  <si>
    <t xml:space="preserve">teen</t>
  </si>
  <si>
    <t xml:space="preserve">14–18</t>
  </si>
  <si>
    <t xml:space="preserve">young</t>
  </si>
  <si>
    <t xml:space="preserve">19–30</t>
  </si>
  <si>
    <t xml:space="preserve">mid</t>
  </si>
  <si>
    <t xml:space="preserve">31–50</t>
  </si>
  <si>
    <t xml:space="preserve">older</t>
  </si>
  <si>
    <t xml:space="preserve">51–70</t>
  </si>
  <si>
    <t xml:space="preserve">oldest</t>
  </si>
  <si>
    <t xml:space="preserve">71+</t>
  </si>
  <si>
    <t xml:space="preserve">Units: vitamin C, calcium, potassium in mg; iron in mg. Fiber = 14 g per 1,000 kcal. Sodium: keep under 2,300 mg.</t>
  </si>
  <si>
    <t xml:space="preserve">Food Data — 146 foods (71 core + 75 added), sorted by group and type</t>
  </si>
  <si>
    <t xml:space="preserve">Core prices: Walmart (Oct 2026, regular price). Added foods: BLS U.S. average (Sep 2026) or USDA ERS 2023 average x BLS CPI (Sep 2026 / 2023). BLS U.S. averages kept for reference. Nutrients: USDA SR28, per 100 g edible.</t>
  </si>
  <si>
    <t xml:space="preserve">Blue = data you can edit (prices, servings, caps, exclusions).  Black = formulas.  Yellow = check this price.  Edible yield removes bone, peel, shells (USDA refuse %).</t>
  </si>
  <si>
    <t xml:space="preserve">#</t>
  </si>
  <si>
    <t xml:space="preserve">Type</t>
  </si>
  <si>
    <t xml:space="preserve">Food</t>
  </si>
  <si>
    <t xml:space="preserve">Product / price basis</t>
  </si>
  <si>
    <t xml:space="preserve">Price ($)</t>
  </si>
  <si>
    <t xml:space="preserve">Package as bought (g)</t>
  </si>
  <si>
    <t xml:space="preserve">Edible yield</t>
  </si>
  <si>
    <t xml:space="preserve">Walmart $ per 100 g edible</t>
  </si>
  <si>
    <t xml:space="preserve">BLS U.S. avg price ($)</t>
  </si>
  <si>
    <t xml:space="preserve">BLS unit (g)</t>
  </si>
  <si>
    <t xml:space="preserve">BLS $ per 100 g edible</t>
  </si>
  <si>
    <t xml:space="preserve">$ per 100 g USED</t>
  </si>
  <si>
    <t xml:space="preserve">Serving (g)</t>
  </si>
  <si>
    <t xml:space="preserve">Serving</t>
  </si>
  <si>
    <t xml:space="preserve">Max servings / day</t>
  </si>
  <si>
    <t xml:space="preserve">Exclude? (Y)</t>
  </si>
  <si>
    <t xml:space="preserve">Must include (servings)</t>
  </si>
  <si>
    <t xml:space="preserve">Red meat</t>
  </si>
  <si>
    <t xml:space="preserve">Pork</t>
  </si>
  <si>
    <t xml:space="preserve">Poultry</t>
  </si>
  <si>
    <t xml:space="preserve">Fish</t>
  </si>
  <si>
    <t xml:space="preserve">Eggs</t>
  </si>
  <si>
    <t xml:space="preserve">Dairy</t>
  </si>
  <si>
    <t xml:space="preserve">Gluten</t>
  </si>
  <si>
    <t xml:space="preserve">Shellfish</t>
  </si>
  <si>
    <t xml:space="preserve">Peanuts</t>
  </si>
  <si>
    <t xml:space="preserve">Tree nuts</t>
  </si>
  <si>
    <t xml:space="preserve">Soy</t>
  </si>
  <si>
    <t xml:space="preserve">Blocked by diet</t>
  </si>
  <si>
    <t xml:space="preserve">Allowed (1/0)</t>
  </si>
  <si>
    <t xml:space="preserve">Meal share: Breakfast</t>
  </si>
  <si>
    <t xml:space="preserve">Meal share: Lunch</t>
  </si>
  <si>
    <t xml:space="preserve">Meal share: Dinner</t>
  </si>
  <si>
    <t xml:space="preserve">Meal share: Snacks</t>
  </si>
  <si>
    <t xml:space="preserve">Grams per cup-equivalent</t>
  </si>
  <si>
    <t xml:space="preserve">Group cap</t>
  </si>
  <si>
    <t xml:space="preserve">Calories (kcal/100 g)</t>
  </si>
  <si>
    <t xml:space="preserve">Protein (g/100 g)</t>
  </si>
  <si>
    <t xml:space="preserve">Carbohydrate (g/100 g)</t>
  </si>
  <si>
    <t xml:space="preserve">Fat (g/100 g)</t>
  </si>
  <si>
    <t xml:space="preserve">Fiber (g/100 g)</t>
  </si>
  <si>
    <t xml:space="preserve">Total sugars (g/100 g)</t>
  </si>
  <si>
    <t xml:space="preserve">Calcium (mg/100 g)</t>
  </si>
  <si>
    <t xml:space="preserve">Iron (mg/100 g)</t>
  </si>
  <si>
    <t xml:space="preserve">Potassium (mg/100 g)</t>
  </si>
  <si>
    <t xml:space="preserve">Sodium (mg/100 g)</t>
  </si>
  <si>
    <t xml:space="preserve">Vitamin C (mg/100 g)</t>
  </si>
  <si>
    <t xml:space="preserve">Saturated fat (g/100 g)</t>
  </si>
  <si>
    <t xml:space="preserve">In core 71 (1/0)</t>
  </si>
  <si>
    <t xml:space="preserve">Protein per $ (g)</t>
  </si>
  <si>
    <t xml:space="preserve">Calories per $</t>
  </si>
  <si>
    <t xml:space="preserve">USDA NDB #</t>
  </si>
  <si>
    <t xml:space="preserve">USDA SR28 food</t>
  </si>
  <si>
    <t xml:space="preserve">Price / data note</t>
  </si>
  <si>
    <t xml:space="preserve">Proteins</t>
  </si>
  <si>
    <t xml:space="preserve">Chicken breast (boneless, skinless)</t>
  </si>
  <si>
    <t xml:space="preserve">Great Value frozen, 3 lb</t>
  </si>
  <si>
    <t xml:space="preserve">4 oz raw</t>
  </si>
  <si>
    <t xml:space="preserve">Meat, poultry &amp; fish</t>
  </si>
  <si>
    <t xml:space="preserve">Walmart</t>
  </si>
  <si>
    <t xml:space="preserve">05062</t>
  </si>
  <si>
    <t xml:space="preserve">Chicken, broiler or fryers, breast, skinless, boneless, meat only, raw</t>
  </si>
  <si>
    <t xml:space="preserve">Chicken drumsticks (bone-in)</t>
  </si>
  <si>
    <t xml:space="preserve">Great Value frozen, 4 lb</t>
  </si>
  <si>
    <t xml:space="preserve">100 g meat &amp; skin (~1.5 drumsticks)</t>
  </si>
  <si>
    <t xml:space="preserve">05066</t>
  </si>
  <si>
    <t xml:space="preserve">Chicken, broilers or fryers, drumstick, meat and skin, raw</t>
  </si>
  <si>
    <t xml:space="preserve">Edible yield 67%: USDA lists bone twice (66%); 33% used; USDA refuse 66% (Bone and cartilage 33%, Bone and coonective tissue 33%) not applied: bought trimmed</t>
  </si>
  <si>
    <t xml:space="preserve">Chicken thighs (boneless, skinless)</t>
  </si>
  <si>
    <t xml:space="preserve">05096</t>
  </si>
  <si>
    <t xml:space="preserve">Chicken, broilers or fryers, dark meat, thigh, meat only, raw</t>
  </si>
  <si>
    <t xml:space="preserve">USDA refuse 25% ( Skin and separable fat 25%) not applied: bought trimmed</t>
  </si>
  <si>
    <t xml:space="preserve">Deli turkey breast (sliced)</t>
  </si>
  <si>
    <t xml:space="preserve">Great Value thin sliced, 16 oz</t>
  </si>
  <si>
    <t xml:space="preserve">2 oz (about 4 slices)</t>
  </si>
  <si>
    <t xml:space="preserve">07081</t>
  </si>
  <si>
    <t xml:space="preserve">Turkey breast, sliced, prepackaged</t>
  </si>
  <si>
    <t xml:space="preserve">Ground turkey 93/7</t>
  </si>
  <si>
    <t xml:space="preserve">Jennie-O, 16 oz</t>
  </si>
  <si>
    <t xml:space="preserve">05665</t>
  </si>
  <si>
    <t xml:space="preserve">Ground turkey, 93% lean, 7% fat, raw</t>
  </si>
  <si>
    <t xml:space="preserve">Whole chicken</t>
  </si>
  <si>
    <t xml:space="preserve">Chicken, fresh, whole, per lb (BLS U.S. average)</t>
  </si>
  <si>
    <t xml:space="preserve">4 oz raw meat &amp; skin</t>
  </si>
  <si>
    <t xml:space="preserve">BLS avg</t>
  </si>
  <si>
    <t xml:space="preserve">05006</t>
  </si>
  <si>
    <t xml:space="preserve">Chicken, broilers or fryers, meat and skin, raw</t>
  </si>
  <si>
    <t xml:space="preserve">BLS APU0000706111 "Chicken, fresh, whole, per lb", U.S. city average, Sep 2026; edible yield 68% (USDA refuse 32% bone)</t>
  </si>
  <si>
    <t xml:space="preserve">Red Meat &amp; Pork</t>
  </si>
  <si>
    <t xml:space="preserve">Bacon</t>
  </si>
  <si>
    <t xml:space="preserve">Great Value hickory smoked, 16 oz</t>
  </si>
  <si>
    <t xml:space="preserve">1 slice raw</t>
  </si>
  <si>
    <t xml:space="preserve">10123</t>
  </si>
  <si>
    <t xml:space="preserve">Pork, cured, bacon, unprepared</t>
  </si>
  <si>
    <t xml:space="preserve">Beef for stew (boneless)</t>
  </si>
  <si>
    <t xml:space="preserve">Beef for stew, boneless, per lb (BLS U.S. average)</t>
  </si>
  <si>
    <t xml:space="preserve">23093</t>
  </si>
  <si>
    <t xml:space="preserve">Beef, chuck for stew, separable lean and fat, all grades, raw</t>
  </si>
  <si>
    <t xml:space="preserve">BLS APU0000703432 "Beef for stew, boneless, per lb", U.S. city average, Sep 2026</t>
  </si>
  <si>
    <t xml:space="preserve">Ground beef 80/20</t>
  </si>
  <si>
    <t xml:space="preserve">80/20 ground chuck, 1 lb roll</t>
  </si>
  <si>
    <t xml:space="preserve">23572</t>
  </si>
  <si>
    <t xml:space="preserve">Beef, ground, 80% lean meat / 20% fat, raw</t>
  </si>
  <si>
    <t xml:space="preserve">Ground beef 93/7 (lean)</t>
  </si>
  <si>
    <t xml:space="preserve">93/7 lean ground beef, 1 lb</t>
  </si>
  <si>
    <t xml:space="preserve">23472</t>
  </si>
  <si>
    <t xml:space="preserve">Beef, ground, 93% lean meat / 7% fat, raw</t>
  </si>
  <si>
    <t xml:space="preserve">Ham (sliced, cooked)</t>
  </si>
  <si>
    <t xml:space="preserve">Great Value cooked ham, 16 oz</t>
  </si>
  <si>
    <t xml:space="preserve">2 oz (2 slices)</t>
  </si>
  <si>
    <t xml:space="preserve">07029</t>
  </si>
  <si>
    <t xml:space="preserve">Ham, sliced, regular (approximately 11% fat)</t>
  </si>
  <si>
    <t xml:space="preserve">Regular price; was on Rollback at $4.47</t>
  </si>
  <si>
    <t xml:space="preserve">Pork loin chops (boneless)</t>
  </si>
  <si>
    <t xml:space="preserve">Family pack, per lb</t>
  </si>
  <si>
    <t xml:space="preserve">10164</t>
  </si>
  <si>
    <t xml:space="preserve">Pork, fresh, loin, center loin (chops), boneless, separable lean and fat, raw</t>
  </si>
  <si>
    <t xml:space="preserve">Round steak (boneless)</t>
  </si>
  <si>
    <t xml:space="preserve">Steak, round, USDA Choice, boneless, per lb (BLS U.S. average)</t>
  </si>
  <si>
    <t xml:space="preserve">13894</t>
  </si>
  <si>
    <t xml:space="preserve">Beef, round, top round, steak, separable lean and fat, trimmed to 1/8" fat, choice, raw</t>
  </si>
  <si>
    <t xml:space="preserve">BLS APU0000703511 "Steak, round, USDA Choice, boneless, per lb", U.S. city average, Sep 2026; USDA top round steak, Choice, as the nutrient match</t>
  </si>
  <si>
    <t xml:space="preserve">Top sirloin steak</t>
  </si>
  <si>
    <t xml:space="preserve">Choice Angus top sirloin, per lb</t>
  </si>
  <si>
    <t xml:space="preserve">13931</t>
  </si>
  <si>
    <t xml:space="preserve">Beef, top sirloin, steak, separable lean and fat, trimmed to 1/8" fat, choice, raw</t>
  </si>
  <si>
    <t xml:space="preserve">Fish &amp; Seafood</t>
  </si>
  <si>
    <t xml:space="preserve">Canned light tuna (in water)</t>
  </si>
  <si>
    <t xml:space="preserve">Great Value chunk light, 5 oz can</t>
  </si>
  <si>
    <t xml:space="preserve">3 oz drained</t>
  </si>
  <si>
    <t xml:space="preserve">15121</t>
  </si>
  <si>
    <t xml:space="preserve">Fish, tuna, light, canned in water, drained solids</t>
  </si>
  <si>
    <t xml:space="preserve">Drained solids ~79% of can weight</t>
  </si>
  <si>
    <t xml:space="preserve">Salmon (Atlantic, fillet)</t>
  </si>
  <si>
    <t xml:space="preserve">Marketside frozen portions, 2 lb</t>
  </si>
  <si>
    <t xml:space="preserve">15236</t>
  </si>
  <si>
    <t xml:space="preserve">Fish, salmon, Atlantic, farmed, raw</t>
  </si>
  <si>
    <t xml:space="preserve">Shrimp (raw, peeled)</t>
  </si>
  <si>
    <t xml:space="preserve">Great Value frozen, 2 lb</t>
  </si>
  <si>
    <t xml:space="preserve">15149</t>
  </si>
  <si>
    <t xml:space="preserve">Crustaceans, shrimp, mixed species, raw (may have been previously frozen)</t>
  </si>
  <si>
    <t xml:space="preserve">Tilapia (fillet)</t>
  </si>
  <si>
    <t xml:space="preserve">15261</t>
  </si>
  <si>
    <t xml:space="preserve">Fish, tilapia, raw</t>
  </si>
  <si>
    <t xml:space="preserve">Eggs (large)</t>
  </si>
  <si>
    <t xml:space="preserve">Great Value large, 12 ct</t>
  </si>
  <si>
    <t xml:space="preserve">1 large egg</t>
  </si>
  <si>
    <t xml:space="preserve">01123</t>
  </si>
  <si>
    <t xml:space="preserve">Egg, whole, raw, fresh</t>
  </si>
  <si>
    <t xml:space="preserve">Dozen = 12 x 50 g edible; shell is 12% of weight</t>
  </si>
  <si>
    <t xml:space="preserve">Plant Proteins</t>
  </si>
  <si>
    <t xml:space="preserve">Black beans (canned)</t>
  </si>
  <si>
    <t xml:space="preserve">Great Value no salt added, 15 oz</t>
  </si>
  <si>
    <t xml:space="preserve">1/2 cup</t>
  </si>
  <si>
    <t xml:space="preserve">Beans &amp; lentils</t>
  </si>
  <si>
    <t xml:space="preserve">16316</t>
  </si>
  <si>
    <t xml:space="preserve">Beans, black, mature seeds, canned, low sodium</t>
  </si>
  <si>
    <t xml:space="preserve">Nutrients for solids + liquid</t>
  </si>
  <si>
    <t xml:space="preserve">Black beans (dry)</t>
  </si>
  <si>
    <t xml:space="preserve">Dried, per lb (USDA ERS U.S. average)</t>
  </si>
  <si>
    <t xml:space="preserve">1/4 cup dry (~3/4 cup cooked)</t>
  </si>
  <si>
    <t xml:space="preserve">ERS x CPI</t>
  </si>
  <si>
    <t xml:space="preserve">16014</t>
  </si>
  <si>
    <t xml:space="preserve">Beans, black, mature seeds, raw</t>
  </si>
  <si>
    <t xml:space="preserve">Estimate: USDA ERS 2023 U.S. average $1.6585/lb x BLS CPI other processed fruits and vegetables including dried (CUUR0000SEFM03) Sep 2026 / 2023 avg = 1.0795</t>
  </si>
  <si>
    <t xml:space="preserve">Black-eyed peas (canned)</t>
  </si>
  <si>
    <t xml:space="preserve">Canned (can contents), per lb (USDA ERS U.S. average)</t>
  </si>
  <si>
    <t xml:space="preserve">16064</t>
  </si>
  <si>
    <t xml:space="preserve">Cowpeas, common (blackeyes, crowder, southern), mature seeds, canned, plain</t>
  </si>
  <si>
    <t xml:space="preserve">Estimate: USDA ERS 2023 U.S. average $1.4209/lb x BLS CPI canned fruits and vegetables (CUUR0000SEFM01) Sep 2026 / 2023 avg = 1.1034; nutrients for solids + liquid</t>
  </si>
  <si>
    <t xml:space="preserve">Black-eyed peas (dry)</t>
  </si>
  <si>
    <t xml:space="preserve">16062</t>
  </si>
  <si>
    <t xml:space="preserve">Cowpeas, common (blackeyes, crowder, southern), mature seeds, raw</t>
  </si>
  <si>
    <t xml:space="preserve">Estimate: USDA ERS 2023 U.S. average $2.1255/lb x BLS CPI other processed fruits and vegetables including dried (CUUR0000SEFM03) Sep 2026 / 2023 avg = 1.0795</t>
  </si>
  <si>
    <t xml:space="preserve">Chickpeas (canned)</t>
  </si>
  <si>
    <t xml:space="preserve">Great Value, 15.5 oz</t>
  </si>
  <si>
    <t xml:space="preserve">16058</t>
  </si>
  <si>
    <t xml:space="preserve">Chickpeas (garbanzo beans, bengal gram), mature seeds, canned, solids and liquids</t>
  </si>
  <si>
    <t xml:space="preserve">Great northern beans (canned)</t>
  </si>
  <si>
    <t xml:space="preserve">16026</t>
  </si>
  <si>
    <t xml:space="preserve">Beans, great northern, mature seeds, canned</t>
  </si>
  <si>
    <t xml:space="preserve">Estimate: USDA ERS 2023 U.S. average $1.1673/lb x BLS CPI canned fruits and vegetables (CUUR0000SEFM01) Sep 2026 / 2023 avg = 1.1034; nutrients for solids + liquid</t>
  </si>
  <si>
    <t xml:space="preserve">Great northern beans (dry)</t>
  </si>
  <si>
    <t xml:space="preserve">16024</t>
  </si>
  <si>
    <t xml:space="preserve">Beans, great northern, mature seeds, raw</t>
  </si>
  <si>
    <t xml:space="preserve">Estimate: USDA ERS 2023 U.S. average $1.8728/lb x BLS CPI other processed fruits and vegetables including dried (CUUR0000SEFM03) Sep 2026 / 2023 avg = 1.0795</t>
  </si>
  <si>
    <t xml:space="preserve">Kidney beans (canned)</t>
  </si>
  <si>
    <t xml:space="preserve">16034</t>
  </si>
  <si>
    <t xml:space="preserve">Beans, kidney, red, mature seeds, canned, solids and liquids</t>
  </si>
  <si>
    <t xml:space="preserve">Estimate: USDA ERS 2023 U.S. average $1.1999/lb x BLS CPI canned fruits and vegetables (CUUR0000SEFM01) Sep 2026 / 2023 avg = 1.1034; nutrients for solids + liquid</t>
  </si>
  <si>
    <t xml:space="preserve">Kidney beans (dry)</t>
  </si>
  <si>
    <t xml:space="preserve">16027</t>
  </si>
  <si>
    <t xml:space="preserve">Beans, kidney, all types, mature seeds, raw</t>
  </si>
  <si>
    <t xml:space="preserve">Estimate: USDA ERS 2023 U.S. average $1.9963/lb x BLS CPI other processed fruits and vegetables including dried (CUUR0000SEFM03) Sep 2026 / 2023 avg = 1.0795</t>
  </si>
  <si>
    <t xml:space="preserve">Lentils (dry)</t>
  </si>
  <si>
    <t xml:space="preserve">Great Value, 1 lb</t>
  </si>
  <si>
    <t xml:space="preserve">16069</t>
  </si>
  <si>
    <t xml:space="preserve">Lentils, raw</t>
  </si>
  <si>
    <t xml:space="preserve">Lima beans (dry)</t>
  </si>
  <si>
    <t xml:space="preserve">16071</t>
  </si>
  <si>
    <t xml:space="preserve">Lima beans, large, mature seeds, raw</t>
  </si>
  <si>
    <t xml:space="preserve">Estimate: USDA ERS 2023 U.S. average $2.6543/lb x BLS CPI other processed fruits and vegetables including dried (CUUR0000SEFM03) Sep 2026 / 2023 avg = 1.0795</t>
  </si>
  <si>
    <t xml:space="preserve">Navy beans (canned)</t>
  </si>
  <si>
    <t xml:space="preserve">16039</t>
  </si>
  <si>
    <t xml:space="preserve">Beans, navy, mature seeds, canned</t>
  </si>
  <si>
    <t xml:space="preserve">Estimate: USDA ERS 2023 U.S. average $1.2345/lb x BLS CPI canned fruits and vegetables (CUUR0000SEFM01) Sep 2026 / 2023 avg = 1.1034; nutrients for solids + liquid</t>
  </si>
  <si>
    <t xml:space="preserve">Navy beans (dry)</t>
  </si>
  <si>
    <t xml:space="preserve">16037</t>
  </si>
  <si>
    <t xml:space="preserve">Beans, navy, mature seeds, raw</t>
  </si>
  <si>
    <t xml:space="preserve">Estimate: USDA ERS 2023 U.S. average $1.7058/lb x BLS CPI other processed fruits and vegetables including dried (CUUR0000SEFM03) Sep 2026 / 2023 avg = 1.0795; USDA lists no vitamin C value; counted as 0</t>
  </si>
  <si>
    <t xml:space="preserve">Peanut butter</t>
  </si>
  <si>
    <t xml:space="preserve">Great Value creamy, 40 oz</t>
  </si>
  <si>
    <t xml:space="preserve">2 tbsp</t>
  </si>
  <si>
    <t xml:space="preserve">16098</t>
  </si>
  <si>
    <t xml:space="preserve">Peanut butter, smooth style, with salt</t>
  </si>
  <si>
    <t xml:space="preserve">Pinto beans (canned)</t>
  </si>
  <si>
    <t xml:space="preserve">16044</t>
  </si>
  <si>
    <t xml:space="preserve">Beans, pinto, mature seeds, canned, solids and liquids</t>
  </si>
  <si>
    <t xml:space="preserve">Estimate: USDA ERS 2023 U.S. average $1.2121/lb x BLS CPI canned fruits and vegetables (CUUR0000SEFM01) Sep 2026 / 2023 avg = 1.1034; nutrients for solids + liquid</t>
  </si>
  <si>
    <t xml:space="preserve">Pinto beans (dry)</t>
  </si>
  <si>
    <t xml:space="preserve">Great Value, 2 lb</t>
  </si>
  <si>
    <t xml:space="preserve">16042</t>
  </si>
  <si>
    <t xml:space="preserve">Beans, pinto, mature seeds, raw</t>
  </si>
  <si>
    <t xml:space="preserve">Tofu (extra firm)</t>
  </si>
  <si>
    <t xml:space="preserve">Nasoya extra firm, 14 oz</t>
  </si>
  <si>
    <t xml:space="preserve">3 oz</t>
  </si>
  <si>
    <t xml:space="preserve">16212</t>
  </si>
  <si>
    <t xml:space="preserve">Vitasoy USA, Organic Nasoya Extra Firm Tofu</t>
  </si>
  <si>
    <t xml:space="preserve">Price undated (Walmart Business listing)</t>
  </si>
  <si>
    <t xml:space="preserve">Dairy &amp; Alternatives</t>
  </si>
  <si>
    <t xml:space="preserve">Milk &amp; Yogurt</t>
  </si>
  <si>
    <t xml:space="preserve">2% milk</t>
  </si>
  <si>
    <t xml:space="preserve">Great Value, 1 gal</t>
  </si>
  <si>
    <t xml:space="preserve">1 cup</t>
  </si>
  <si>
    <t xml:space="preserve">01079</t>
  </si>
  <si>
    <t xml:space="preserve">Milk, reduced fat, fluid, 2% milkfat, with added vitamin A and vitamin D</t>
  </si>
  <si>
    <t xml:space="preserve">Gallon = 16 cups x 244 g</t>
  </si>
  <si>
    <t xml:space="preserve">Greek yogurt (plain, nonfat)</t>
  </si>
  <si>
    <t xml:space="preserve">Great Value, 32 oz</t>
  </si>
  <si>
    <t xml:space="preserve">1 container (6 oz)</t>
  </si>
  <si>
    <t xml:space="preserve">01256</t>
  </si>
  <si>
    <t xml:space="preserve">Yogurt, Greek, plain, nonfat</t>
  </si>
  <si>
    <t xml:space="preserve">Soy milk (calcium-fortified)</t>
  </si>
  <si>
    <t xml:space="preserve">Silk original, 64 fl oz</t>
  </si>
  <si>
    <t xml:space="preserve">16139</t>
  </si>
  <si>
    <t xml:space="preserve">Soymilk, original and vanilla, with added calcium, vitamins A and D</t>
  </si>
  <si>
    <t xml:space="preserve">Half gallon = 8 cups x 243 g</t>
  </si>
  <si>
    <t xml:space="preserve">Whole milk</t>
  </si>
  <si>
    <t xml:space="preserve">01077</t>
  </si>
  <si>
    <t xml:space="preserve">Milk, whole, 3.25% milkfat, with added vitamin D</t>
  </si>
  <si>
    <t xml:space="preserve">Cheese</t>
  </si>
  <si>
    <t xml:space="preserve">American cheese (singles)</t>
  </si>
  <si>
    <t xml:space="preserve">Great Value, 16 oz / 24 slices</t>
  </si>
  <si>
    <t xml:space="preserve">1 slice</t>
  </si>
  <si>
    <t xml:space="preserve">01042</t>
  </si>
  <si>
    <t xml:space="preserve">Cheese, pasteurized process, American, fortified with vitamin D</t>
  </si>
  <si>
    <t xml:space="preserve">Cheddar cheese</t>
  </si>
  <si>
    <t xml:space="preserve">Great Value medium block, 8 oz</t>
  </si>
  <si>
    <t xml:space="preserve">1 oz</t>
  </si>
  <si>
    <t xml:space="preserve">01009</t>
  </si>
  <si>
    <t xml:space="preserve">Cheese, cheddar</t>
  </si>
  <si>
    <t xml:space="preserve">Cottage cheese (2%)</t>
  </si>
  <si>
    <t xml:space="preserve">Great Value small curd, 24 oz</t>
  </si>
  <si>
    <t xml:space="preserve">01015</t>
  </si>
  <si>
    <t xml:space="preserve">Cheese, cottage, lowfat, 2% milkfat</t>
  </si>
  <si>
    <t xml:space="preserve">Mozzarella string cheese</t>
  </si>
  <si>
    <t xml:space="preserve">Great Value part-skim, 12 ct</t>
  </si>
  <si>
    <t xml:space="preserve">1 stick</t>
  </si>
  <si>
    <t xml:space="preserve">01029</t>
  </si>
  <si>
    <t xml:space="preserve">Cheese, mozzarella, low moisture, part-skim</t>
  </si>
  <si>
    <t xml:space="preserve">Price undated (Walmart.com listing)</t>
  </si>
  <si>
    <t xml:space="preserve">Carbohydrates</t>
  </si>
  <si>
    <t xml:space="preserve">Grains &amp; Bread</t>
  </si>
  <si>
    <t xml:space="preserve">Bagels (plain)</t>
  </si>
  <si>
    <t xml:space="preserve">Great Value, 6 ct / 20 oz</t>
  </si>
  <si>
    <t xml:space="preserve">1 bagel</t>
  </si>
  <si>
    <t xml:space="preserve">Grains &amp; bread</t>
  </si>
  <si>
    <t xml:space="preserve">18001</t>
  </si>
  <si>
    <t xml:space="preserve">Bagels, plain, enriched, with calcium propionate (includes onion, poppy, sesame)</t>
  </si>
  <si>
    <t xml:space="preserve">Brown rice (dry)</t>
  </si>
  <si>
    <t xml:space="preserve">Great Value long grain, 32 oz</t>
  </si>
  <si>
    <t xml:space="preserve">20036</t>
  </si>
  <si>
    <t xml:space="preserve">Rice, brown, long-grain, raw</t>
  </si>
  <si>
    <t xml:space="preserve">Cheerios</t>
  </si>
  <si>
    <t xml:space="preserve">Cheerios family size, 18 oz</t>
  </si>
  <si>
    <t xml:space="preserve">08013</t>
  </si>
  <si>
    <t xml:space="preserve">Cereals ready-to-eat, GENERAL MILLS, CHEERIOS</t>
  </si>
  <si>
    <t xml:space="preserve">Regular price; was on Rollback at $4.50</t>
  </si>
  <si>
    <t xml:space="preserve">Corn tortillas</t>
  </si>
  <si>
    <t xml:space="preserve">Mission yellow corn, 30 ct</t>
  </si>
  <si>
    <t xml:space="preserve">1 tortilla</t>
  </si>
  <si>
    <t xml:space="preserve">18363</t>
  </si>
  <si>
    <t xml:space="preserve">Tortillas, ready-to-bake or -fry, corn</t>
  </si>
  <si>
    <t xml:space="preserve">Weight from listed unit price (8.9 cents/oz)</t>
  </si>
  <si>
    <t xml:space="preserve">Flour tortillas</t>
  </si>
  <si>
    <t xml:space="preserve">Great Value medium, 10 ct / 16 oz</t>
  </si>
  <si>
    <t xml:space="preserve">18970</t>
  </si>
  <si>
    <t xml:space="preserve">Tortillas, ready-to-bake or -fry, flour, shelf stable</t>
  </si>
  <si>
    <t xml:space="preserve">Quinoa (dry)</t>
  </si>
  <si>
    <t xml:space="preserve">Great Value organic, 16 oz</t>
  </si>
  <si>
    <t xml:space="preserve">20035</t>
  </si>
  <si>
    <t xml:space="preserve">Quinoa, uncooked</t>
  </si>
  <si>
    <t xml:space="preserve">Rolled oats (dry)</t>
  </si>
  <si>
    <t xml:space="preserve">Great Value old fashioned, 42 oz</t>
  </si>
  <si>
    <t xml:space="preserve">1/2 cup dry</t>
  </si>
  <si>
    <t xml:space="preserve">08120</t>
  </si>
  <si>
    <t xml:space="preserve">Cereals, oats, regular and quick, not fortified, dry</t>
  </si>
  <si>
    <t xml:space="preserve">Not certified gluten-free</t>
  </si>
  <si>
    <t xml:space="preserve">Spaghetti (dry)</t>
  </si>
  <si>
    <t xml:space="preserve">Great Value, 16 oz</t>
  </si>
  <si>
    <t xml:space="preserve">2 oz dry (~1 cup cooked)</t>
  </si>
  <si>
    <t xml:space="preserve">20120</t>
  </si>
  <si>
    <t xml:space="preserve">Pasta, dry, enriched</t>
  </si>
  <si>
    <t xml:space="preserve">White bread</t>
  </si>
  <si>
    <t xml:space="preserve">Great Value, 20 oz loaf</t>
  </si>
  <si>
    <t xml:space="preserve">18069</t>
  </si>
  <si>
    <t xml:space="preserve">Bread, white, commercially prepared (includes soft bread crumbs)</t>
  </si>
  <si>
    <t xml:space="preserve">White rice (dry)</t>
  </si>
  <si>
    <t xml:space="preserve">Great Value long grain, 5 lb</t>
  </si>
  <si>
    <t xml:space="preserve">20044</t>
  </si>
  <si>
    <t xml:space="preserve">Rice, white, long-grain, regular, raw, enriched</t>
  </si>
  <si>
    <t xml:space="preserve">Whole-wheat bread</t>
  </si>
  <si>
    <t xml:space="preserve">Great Value 100% whole wheat, 20 oz</t>
  </si>
  <si>
    <t xml:space="preserve">18075</t>
  </si>
  <si>
    <t xml:space="preserve">Bread, whole-wheat, commercially prepared</t>
  </si>
  <si>
    <t xml:space="preserve">Whole-wheat spaghetti (dry)</t>
  </si>
  <si>
    <t xml:space="preserve">20124</t>
  </si>
  <si>
    <t xml:space="preserve">Pasta, whole-wheat, dry</t>
  </si>
  <si>
    <t xml:space="preserve">Starchy Vegetables</t>
  </si>
  <si>
    <t xml:space="preserve">Baby lima beans (frozen)</t>
  </si>
  <si>
    <t xml:space="preserve">Frozen, per lb (USDA ERS U.S. average)</t>
  </si>
  <si>
    <t xml:space="preserve">11039</t>
  </si>
  <si>
    <t xml:space="preserve">Lima beans, immature seeds, frozen, baby, unprepared</t>
  </si>
  <si>
    <t xml:space="preserve">Estimate: USDA ERS 2023 U.S. average $2.8348/lb x BLS CPI frozen fruits and vegetables (CUUR0000SEFM02) Sep 2026 / 2023 avg = 1.0199</t>
  </si>
  <si>
    <t xml:space="preserve">Corn (canned)</t>
  </si>
  <si>
    <t xml:space="preserve">11170</t>
  </si>
  <si>
    <t xml:space="preserve">Corn, sweet, yellow, canned, brine pack, regular pack, solids and liquids</t>
  </si>
  <si>
    <t xml:space="preserve">Estimate: USDA ERS 2023 U.S. average $1.2188/lb x BLS CPI canned fruits and vegetables (CUUR0000SEFM01) Sep 2026 / 2023 avg = 1.1034</t>
  </si>
  <si>
    <t xml:space="preserve">Corn (frozen)</t>
  </si>
  <si>
    <t xml:space="preserve">Great Value whole kernel, 12 oz</t>
  </si>
  <si>
    <t xml:space="preserve">11178</t>
  </si>
  <si>
    <t xml:space="preserve">Corn, sweet, yellow, frozen, kernels cut off cob, unprepared</t>
  </si>
  <si>
    <t xml:space="preserve">French fries (frozen)</t>
  </si>
  <si>
    <t xml:space="preserve">3 oz (about 13 fries), baked</t>
  </si>
  <si>
    <t xml:space="preserve">11842</t>
  </si>
  <si>
    <t xml:space="preserve">Potatoes, french fried, all types, salt not added in processing, frozen, as purchased</t>
  </si>
  <si>
    <t xml:space="preserve">Estimate: USDA ERS 2023 U.S. average $2.5209/lb x BLS CPI frozen fruits and vegetables (CUUR0000SEFM02) Sep 2026 / 2023 avg = 1.0199</t>
  </si>
  <si>
    <t xml:space="preserve">Green peas (canned)</t>
  </si>
  <si>
    <t xml:space="preserve">11306</t>
  </si>
  <si>
    <t xml:space="preserve">Peas, green, canned, regular pack, solids and liquids</t>
  </si>
  <si>
    <t xml:space="preserve">Estimate: USDA ERS 2023 U.S. average $1.4219/lb x BLS CPI canned fruits and vegetables (CUUR0000SEFM01) Sep 2026 / 2023 avg = 1.1034</t>
  </si>
  <si>
    <t xml:space="preserve">Green peas (frozen)</t>
  </si>
  <si>
    <t xml:space="preserve">11312</t>
  </si>
  <si>
    <t xml:space="preserve">Peas, green, frozen, unprepared</t>
  </si>
  <si>
    <t xml:space="preserve">Estimate: USDA ERS 2023 U.S. average $2.1910/lb x BLS CPI frozen fruits and vegetables (CUUR0000SEFM02) Sep 2026 / 2023 avg = 1.0199</t>
  </si>
  <si>
    <t xml:space="preserve">Potatoes (russet)</t>
  </si>
  <si>
    <t xml:space="preserve">Russet, 5 lb bag</t>
  </si>
  <si>
    <t xml:space="preserve">1 cup diced</t>
  </si>
  <si>
    <t xml:space="preserve">11352</t>
  </si>
  <si>
    <t xml:space="preserve">Potatoes, flesh and skin, raw</t>
  </si>
  <si>
    <t xml:space="preserve">Regular price; was on Rollback at $2.47</t>
  </si>
  <si>
    <t xml:space="preserve">Sweet potatoes</t>
  </si>
  <si>
    <t xml:space="preserve">3 lb bag</t>
  </si>
  <si>
    <t xml:space="preserve">1 cup cubed</t>
  </si>
  <si>
    <t xml:space="preserve">11507</t>
  </si>
  <si>
    <t xml:space="preserve">Sweet potato, raw, unprepared</t>
  </si>
  <si>
    <t xml:space="preserve">Fruits</t>
  </si>
  <si>
    <t xml:space="preserve">Fruit</t>
  </si>
  <si>
    <t xml:space="preserve">Apples (Gala)</t>
  </si>
  <si>
    <t xml:space="preserve">Fresh Gala, 3 lb bag</t>
  </si>
  <si>
    <t xml:space="preserve">1 small apple</t>
  </si>
  <si>
    <t xml:space="preserve">09003</t>
  </si>
  <si>
    <t xml:space="preserve">Apples, raw, with skin</t>
  </si>
  <si>
    <t xml:space="preserve">Older listing (Jun 2025) — verify</t>
  </si>
  <si>
    <t xml:space="preserve">Applesauce (unsweetened)</t>
  </si>
  <si>
    <t xml:space="preserve">09019</t>
  </si>
  <si>
    <t xml:space="preserve">Applesauce, canned, unsweetened, without added ascorbic acid (includes USDA commodity)</t>
  </si>
  <si>
    <t xml:space="preserve">Estimate: USDA ERS 2023 U.S. average $1.2081/lb x BLS CPI canned fruits and vegetables (CUUR0000SEFM01) Sep 2026 / 2023 avg = 1.1034</t>
  </si>
  <si>
    <t xml:space="preserve">Bananas</t>
  </si>
  <si>
    <t xml:space="preserve">Fresh, per lb</t>
  </si>
  <si>
    <t xml:space="preserve">1 medium</t>
  </si>
  <si>
    <t xml:space="preserve">09040</t>
  </si>
  <si>
    <t xml:space="preserve">Bananas, raw</t>
  </si>
  <si>
    <t xml:space="preserve">Blackberries</t>
  </si>
  <si>
    <t xml:space="preserve">Fresh, per lb (USDA ERS U.S. average)</t>
  </si>
  <si>
    <t xml:space="preserve">09042</t>
  </si>
  <si>
    <t xml:space="preserve">Blackberries, raw</t>
  </si>
  <si>
    <t xml:space="preserve">Estimate: USDA ERS 2023 U.S. average $6.8345/lb x BLS CPI fresh fruits (CUUR0000SEFK) Sep 2026 / 2023 avg = 1.0606</t>
  </si>
  <si>
    <t xml:space="preserve">Blueberries (frozen)</t>
  </si>
  <si>
    <t xml:space="preserve">Great Value, 48 oz</t>
  </si>
  <si>
    <t xml:space="preserve">09054</t>
  </si>
  <si>
    <t xml:space="preserve">Blueberries, frozen, unsweetened</t>
  </si>
  <si>
    <t xml:space="preserve">Cantaloupe</t>
  </si>
  <si>
    <t xml:space="preserve">1 cup cubes</t>
  </si>
  <si>
    <t xml:space="preserve">09181</t>
  </si>
  <si>
    <t xml:space="preserve">Melons, cantaloupe, raw</t>
  </si>
  <si>
    <t xml:space="preserve">Estimate: USDA ERS 2023 U.S. average $0.7919/lb x BLS CPI fresh fruits (CUUR0000SEFK) Sep 2026 / 2023 avg = 1.0606</t>
  </si>
  <si>
    <t xml:space="preserve">Cherries</t>
  </si>
  <si>
    <t xml:space="preserve">1 cup, pitted</t>
  </si>
  <si>
    <t xml:space="preserve">09070</t>
  </si>
  <si>
    <t xml:space="preserve">Cherries, sweet, raw</t>
  </si>
  <si>
    <t xml:space="preserve">Estimate: USDA ERS 2023 U.S. average $3.6599/lb x BLS CPI fresh fruits (CUUR0000SEFK) Sep 2026 / 2023 avg = 1.0606</t>
  </si>
  <si>
    <t xml:space="preserve">Clementines</t>
  </si>
  <si>
    <t xml:space="preserve">about 3 clementines</t>
  </si>
  <si>
    <t xml:space="preserve">09433</t>
  </si>
  <si>
    <t xml:space="preserve">Clementines, raw</t>
  </si>
  <si>
    <t xml:space="preserve">Estimate: USDA ERS 2023 U.S. average $1.5856/lb x BLS CPI fresh fruits (CUUR0000SEFK) Sep 2026 / 2023 avg = 1.0606; cup-equivalent 210 g from USDA ERS (no USDA cup measure); USDA lists no saturated-fat value, counted as 0</t>
  </si>
  <si>
    <t xml:space="preserve">Dates (pitted)</t>
  </si>
  <si>
    <t xml:space="preserve">1/4 cup chopped</t>
  </si>
  <si>
    <t xml:space="preserve">09087</t>
  </si>
  <si>
    <t xml:space="preserve">Dates, deglet noor</t>
  </si>
  <si>
    <t xml:space="preserve">Estimate: USDA ERS 2023 U.S. average $5.8879/lb x BLS CPI other processed fruits and vegetables including dried (CUUR0000SEFM03) Sep 2026 / 2023 avg = 1.0795; sold pitted, so USDA's 10% pit refuse is not applied; USDA refuse 10% (Pits) not applied: bought trimmed</t>
  </si>
  <si>
    <t xml:space="preserve">Dried apricots</t>
  </si>
  <si>
    <t xml:space="preserve">1/4 cup halves</t>
  </si>
  <si>
    <t xml:space="preserve">09032</t>
  </si>
  <si>
    <t xml:space="preserve">Apricots, dried, sulfured, uncooked</t>
  </si>
  <si>
    <t xml:space="preserve">Estimate: USDA ERS 2023 U.S. average $8.6343/lb x BLS CPI other processed fruits and vegetables including dried (CUUR0000SEFM03) Sep 2026 / 2023 avg = 1.0795</t>
  </si>
  <si>
    <t xml:space="preserve">Dried cranberries (sweetened)</t>
  </si>
  <si>
    <t xml:space="preserve">1/4 cup</t>
  </si>
  <si>
    <t xml:space="preserve">09079</t>
  </si>
  <si>
    <t xml:space="preserve">Cranberries, dried, sweetened</t>
  </si>
  <si>
    <t xml:space="preserve">Estimate: USDA ERS 2023 U.S. average $5.2639/lb x BLS CPI other processed fruits and vegetables including dried (CUUR0000SEFM03) Sep 2026 / 2023 avg = 1.0795</t>
  </si>
  <si>
    <t xml:space="preserve">Fruit cocktail (canned in juice)</t>
  </si>
  <si>
    <t xml:space="preserve">09097</t>
  </si>
  <si>
    <t xml:space="preserve">Fruit cocktail, (peach and pineapple and pear and grape and cherry), canned, juice pack, solids and liquids</t>
  </si>
  <si>
    <t xml:space="preserve">Estimate: USDA ERS 2023 U.S. average $2.6505/lb x BLS CPI canned fruits and vegetables (CUUR0000SEFM01) Sep 2026 / 2023 avg = 1.1034</t>
  </si>
  <si>
    <t xml:space="preserve">Grapefruit</t>
  </si>
  <si>
    <t xml:space="preserve">Grapefruit, per lb (BLS U.S. average)</t>
  </si>
  <si>
    <t xml:space="preserve">1 cup sections</t>
  </si>
  <si>
    <t xml:space="preserve">09111</t>
  </si>
  <si>
    <t xml:space="preserve">Grapefruit, raw, pink and red and white, all areas</t>
  </si>
  <si>
    <t xml:space="preserve">BLS APU0000711411 "Grapefruit, per lb", U.S. city average, Sep 2026; edible yield 50% (USDA refuse: peel, seeds, membrane)</t>
  </si>
  <si>
    <t xml:space="preserve">Grapes (red seedless)</t>
  </si>
  <si>
    <t xml:space="preserve">09132</t>
  </si>
  <si>
    <t xml:space="preserve">Grapes, red or green (European type, such as Thompson seedless), raw</t>
  </si>
  <si>
    <t xml:space="preserve">Honeydew melon</t>
  </si>
  <si>
    <t xml:space="preserve">09184</t>
  </si>
  <si>
    <t xml:space="preserve">Melons, honeydew, raw</t>
  </si>
  <si>
    <t xml:space="preserve">Estimate: USDA ERS 2023 U.S. average $1.2501/lb x BLS CPI fresh fruits (CUUR0000SEFK) Sep 2026 / 2023 avg = 1.0606</t>
  </si>
  <si>
    <t xml:space="preserve">Kiwifruit</t>
  </si>
  <si>
    <t xml:space="preserve">1 cup sliced</t>
  </si>
  <si>
    <t xml:space="preserve">09148</t>
  </si>
  <si>
    <t xml:space="preserve">Kiwifruit, green, raw</t>
  </si>
  <si>
    <t xml:space="preserve">Estimate: USDA ERS 2023 U.S. average $2.8347/lb x BLS CPI fresh fruits (CUUR0000SEFK) Sep 2026 / 2023 avg = 1.0606</t>
  </si>
  <si>
    <t xml:space="preserve">Mango</t>
  </si>
  <si>
    <t xml:space="preserve">1 cup pieces</t>
  </si>
  <si>
    <t xml:space="preserve">09176</t>
  </si>
  <si>
    <t xml:space="preserve">Mangos, raw</t>
  </si>
  <si>
    <t xml:space="preserve">Estimate: USDA ERS 2023 U.S. average $1.4587/lb x BLS CPI fresh fruits (CUUR0000SEFK) Sep 2026 / 2023 avg = 1.0606</t>
  </si>
  <si>
    <t xml:space="preserve">Nectarines</t>
  </si>
  <si>
    <t xml:space="preserve">1 cup slices</t>
  </si>
  <si>
    <t xml:space="preserve">09191</t>
  </si>
  <si>
    <t xml:space="preserve">Nectarines, raw</t>
  </si>
  <si>
    <t xml:space="preserve">Estimate: USDA ERS 2023 U.S. average $2.4753/lb x BLS CPI fresh fruits (CUUR0000SEFK) Sep 2026 / 2023 avg = 1.0606</t>
  </si>
  <si>
    <t xml:space="preserve">Orange juice (100%)</t>
  </si>
  <si>
    <t xml:space="preserve">Great Value not-from-concentrate, 52 fl oz</t>
  </si>
  <si>
    <t xml:space="preserve">09209</t>
  </si>
  <si>
    <t xml:space="preserve">Orange juice, chilled, includes from concentrate</t>
  </si>
  <si>
    <t xml:space="preserve">52 fl oz = 6.5 cups x 249 g</t>
  </si>
  <si>
    <t xml:space="preserve">Oranges (navel)</t>
  </si>
  <si>
    <t xml:space="preserve">Fresh navel, 4 lb bag</t>
  </si>
  <si>
    <t xml:space="preserve">1 orange</t>
  </si>
  <si>
    <t xml:space="preserve">09202</t>
  </si>
  <si>
    <t xml:space="preserve">Oranges, raw, navels</t>
  </si>
  <si>
    <t xml:space="preserve">Papaya</t>
  </si>
  <si>
    <t xml:space="preserve">09226</t>
  </si>
  <si>
    <t xml:space="preserve">Papayas, raw</t>
  </si>
  <si>
    <t xml:space="preserve">Estimate: USDA ERS 2023 U.S. average $1.3055/lb x BLS CPI fresh fruits (CUUR0000SEFK) Sep 2026 / 2023 avg = 1.0606</t>
  </si>
  <si>
    <t xml:space="preserve">Peaches</t>
  </si>
  <si>
    <t xml:space="preserve">09236</t>
  </si>
  <si>
    <t xml:space="preserve">Peaches, yellow, raw</t>
  </si>
  <si>
    <t xml:space="preserve">Estimate: USDA ERS 2023 U.S. average $2.4571/lb x BLS CPI fresh fruits (CUUR0000SEFK) Sep 2026 / 2023 avg = 1.0606</t>
  </si>
  <si>
    <t xml:space="preserve">Peaches (canned in juice)</t>
  </si>
  <si>
    <t xml:space="preserve">09238</t>
  </si>
  <si>
    <t xml:space="preserve">Peaches, canned, juice pack, solids and liquids</t>
  </si>
  <si>
    <t xml:space="preserve">Estimate: USDA ERS 2023 U.S. average $2.4868/lb x BLS CPI canned fruits and vegetables (CUUR0000SEFM01) Sep 2026 / 2023 avg = 1.1034</t>
  </si>
  <si>
    <t xml:space="preserve">Pears</t>
  </si>
  <si>
    <t xml:space="preserve">09252</t>
  </si>
  <si>
    <t xml:space="preserve">Pears, raw</t>
  </si>
  <si>
    <t xml:space="preserve">Estimate: USDA ERS 2023 U.S. average $1.9167/lb x BLS CPI fresh fruits (CUUR0000SEFK) Sep 2026 / 2023 avg = 1.0606</t>
  </si>
  <si>
    <t xml:space="preserve">Pears (canned in juice)</t>
  </si>
  <si>
    <t xml:space="preserve">09254</t>
  </si>
  <si>
    <t xml:space="preserve">Pears, canned, juice pack, solids and liquids</t>
  </si>
  <si>
    <t xml:space="preserve">Estimate: USDA ERS 2023 U.S. average $2.3290/lb x BLS CPI canned fruits and vegetables (CUUR0000SEFM01) Sep 2026 / 2023 avg = 1.1034</t>
  </si>
  <si>
    <t xml:space="preserve">Pineapple</t>
  </si>
  <si>
    <t xml:space="preserve">1 cup chunks</t>
  </si>
  <si>
    <t xml:space="preserve">09266</t>
  </si>
  <si>
    <t xml:space="preserve">Pineapple, raw, all varieties</t>
  </si>
  <si>
    <t xml:space="preserve">Estimate: USDA ERS 2023 U.S. average $0.6684/lb x BLS CPI fresh fruits (CUUR0000SEFK) Sep 2026 / 2023 avg = 1.0606</t>
  </si>
  <si>
    <t xml:space="preserve">Pineapple (canned in juice)</t>
  </si>
  <si>
    <t xml:space="preserve">09268</t>
  </si>
  <si>
    <t xml:space="preserve">Pineapple, canned, juice pack, solids and liquids</t>
  </si>
  <si>
    <t xml:space="preserve">Estimate: USDA ERS 2023 U.S. average $1.7215/lb x BLS CPI canned fruits and vegetables (CUUR0000SEFM01) Sep 2026 / 2023 avg = 1.1034</t>
  </si>
  <si>
    <t xml:space="preserve">Plums</t>
  </si>
  <si>
    <t xml:space="preserve">09279</t>
  </si>
  <si>
    <t xml:space="preserve">Plums, raw</t>
  </si>
  <si>
    <t xml:space="preserve">Estimate: USDA ERS 2023 U.S. average $2.6582/lb x BLS CPI fresh fruits (CUUR0000SEFK) Sep 2026 / 2023 avg = 1.0606</t>
  </si>
  <si>
    <t xml:space="preserve">Prunes (pitted)</t>
  </si>
  <si>
    <t xml:space="preserve">09291</t>
  </si>
  <si>
    <t xml:space="preserve">Plums, dried (prunes), uncooked</t>
  </si>
  <si>
    <t xml:space="preserve">Estimate: USDA ERS 2023 U.S. average $6.9064/lb x BLS CPI other processed fruits and vegetables including dried (CUUR0000SEFM03) Sep 2026 / 2023 avg = 1.0795; sold pitted, so USDA's 13% pit refuse is not applied; USDA refuse 13% (Pits) not applied: bought trimmed</t>
  </si>
  <si>
    <t xml:space="preserve">Raisins</t>
  </si>
  <si>
    <t xml:space="preserve">Great Value, 20 oz</t>
  </si>
  <si>
    <t xml:space="preserve">09298</t>
  </si>
  <si>
    <t xml:space="preserve">Raisins, seedless</t>
  </si>
  <si>
    <t xml:space="preserve">Raspberries</t>
  </si>
  <si>
    <t xml:space="preserve">09302</t>
  </si>
  <si>
    <t xml:space="preserve">Raspberries, raw</t>
  </si>
  <si>
    <t xml:space="preserve">Estimate: USDA ERS 2023 U.S. average $7.9668/lb x BLS CPI fresh fruits (CUUR0000SEFK) Sep 2026 / 2023 avg = 1.0606</t>
  </si>
  <si>
    <t xml:space="preserve">Strawberries</t>
  </si>
  <si>
    <t xml:space="preserve">Fresh, 1 lb</t>
  </si>
  <si>
    <t xml:space="preserve">1 cup halves</t>
  </si>
  <si>
    <t xml:space="preserve">09316</t>
  </si>
  <si>
    <t xml:space="preserve">Strawberries, raw</t>
  </si>
  <si>
    <t xml:space="preserve">Strawberries (frozen)</t>
  </si>
  <si>
    <t xml:space="preserve">09318</t>
  </si>
  <si>
    <t xml:space="preserve">Strawberries, frozen, unsweetened</t>
  </si>
  <si>
    <t xml:space="preserve">Estimate: USDA ERS 2023 U.S. average $3.4675/lb x BLS CPI frozen fruits and vegetables (CUUR0000SEFM02) Sep 2026 / 2023 avg = 1.0199</t>
  </si>
  <si>
    <t xml:space="preserve">Watermelon</t>
  </si>
  <si>
    <t xml:space="preserve">09326</t>
  </si>
  <si>
    <t xml:space="preserve">Watermelon, raw</t>
  </si>
  <si>
    <t xml:space="preserve">Estimate: USDA ERS 2023 U.S. average $0.4058/lb x BLS CPI fresh fruits (CUUR0000SEFK) Sep 2026 / 2023 avg = 1.0606</t>
  </si>
  <si>
    <t xml:space="preserve">Vegetables</t>
  </si>
  <si>
    <t xml:space="preserve">Acorn squash</t>
  </si>
  <si>
    <t xml:space="preserve">11482</t>
  </si>
  <si>
    <t xml:space="preserve">Squash, winter, acorn, raw</t>
  </si>
  <si>
    <t xml:space="preserve">Estimate: USDA ERS 2023 U.S. average $1.2414/lb x BLS CPI fresh vegetables (CUUR0000SEFL) Sep 2026 / 2023 avg = 1.0603; USDA lists no sugars value; counted as 0</t>
  </si>
  <si>
    <t xml:space="preserve">Asparagus</t>
  </si>
  <si>
    <t xml:space="preserve">11011</t>
  </si>
  <si>
    <t xml:space="preserve">Asparagus, raw</t>
  </si>
  <si>
    <t xml:space="preserve">Estimate: USDA ERS 2023 U.S. average $3.2125/lb x BLS CPI fresh vegetables (CUUR0000SEFL) Sep 2026 / 2023 avg = 1.0603</t>
  </si>
  <si>
    <t xml:space="preserve">Baby carrots</t>
  </si>
  <si>
    <t xml:space="preserve">1 cup (about 12)</t>
  </si>
  <si>
    <t xml:space="preserve">11960</t>
  </si>
  <si>
    <t xml:space="preserve">Carrots, baby, raw</t>
  </si>
  <si>
    <t xml:space="preserve">Estimate: USDA ERS 2023 U.S. average $1.4630/lb x BLS CPI fresh vegetables (CUUR0000SEFL) Sep 2026 / 2023 avg = 1.0603; cup-equivalent 125 g from USDA ERS</t>
  </si>
  <si>
    <t xml:space="preserve">Beets (canned)</t>
  </si>
  <si>
    <t xml:space="preserve">11082</t>
  </si>
  <si>
    <t xml:space="preserve">Beets, canned, regular pack, solids and liquids</t>
  </si>
  <si>
    <t xml:space="preserve">Estimate: USDA ERS 2023 U.S. average $1.2579/lb x BLS CPI canned fruits and vegetables (CUUR0000SEFM01) Sep 2026 / 2023 avg = 1.1034</t>
  </si>
  <si>
    <t xml:space="preserve">Broccoli (frozen)</t>
  </si>
  <si>
    <t xml:space="preserve">Great Value florets, 12 oz</t>
  </si>
  <si>
    <t xml:space="preserve">11094</t>
  </si>
  <si>
    <t xml:space="preserve">Broccoli, frozen, spears, unprepared</t>
  </si>
  <si>
    <t xml:space="preserve">Brussels sprouts (frozen)</t>
  </si>
  <si>
    <t xml:space="preserve">about 1 cup</t>
  </si>
  <si>
    <t xml:space="preserve">11100</t>
  </si>
  <si>
    <t xml:space="preserve">Brussels sprouts, frozen, unprepared</t>
  </si>
  <si>
    <t xml:space="preserve">Estimate: USDA ERS 2023 U.S. average $2.8850/lb x BLS CPI frozen fruits and vegetables (CUUR0000SEFM02) Sep 2026 / 2023 avg = 1.0199; cup-equivalent from USDA ERS (cooked cup / cooking yield); USDA lists no sugars value</t>
  </si>
  <si>
    <t xml:space="preserve">Butternut squash</t>
  </si>
  <si>
    <t xml:space="preserve">11485</t>
  </si>
  <si>
    <t xml:space="preserve">Squash, winter, butternut, raw</t>
  </si>
  <si>
    <t xml:space="preserve">Estimate: USDA ERS 2023 U.S. average $1.2710/lb x BLS CPI fresh vegetables (CUUR0000SEFL) Sep 2026 / 2023 avg = 1.0603</t>
  </si>
  <si>
    <t xml:space="preserve">Cabbage (green)</t>
  </si>
  <si>
    <t xml:space="preserve">1 cup chopped</t>
  </si>
  <si>
    <t xml:space="preserve">11109</t>
  </si>
  <si>
    <t xml:space="preserve">Cabbage, raw</t>
  </si>
  <si>
    <t xml:space="preserve">Estimate: USDA ERS 2023 U.S. average $0.8266/lb x BLS CPI fresh vegetables (CUUR0000SEFL) Sep 2026 / 2023 avg = 1.0603</t>
  </si>
  <si>
    <t xml:space="preserve">Cabbage (red)</t>
  </si>
  <si>
    <t xml:space="preserve">11112</t>
  </si>
  <si>
    <t xml:space="preserve">Cabbage, red, raw</t>
  </si>
  <si>
    <t xml:space="preserve">Estimate: USDA ERS 2023 U.S. average $1.2607/lb x BLS CPI fresh vegetables (CUUR0000SEFL) Sep 2026 / 2023 avg = 1.0603</t>
  </si>
  <si>
    <t xml:space="preserve">Carrots</t>
  </si>
  <si>
    <t xml:space="preserve">Fresh whole, 2 lb bag</t>
  </si>
  <si>
    <t xml:space="preserve">11124</t>
  </si>
  <si>
    <t xml:space="preserve">Carrots, raw</t>
  </si>
  <si>
    <t xml:space="preserve">Carrots (canned)</t>
  </si>
  <si>
    <t xml:space="preserve">1 cup slices with liquid</t>
  </si>
  <si>
    <t xml:space="preserve">11126</t>
  </si>
  <si>
    <t xml:space="preserve">Carrots, canned, regular pack, solids and liquids</t>
  </si>
  <si>
    <t xml:space="preserve">Estimate: USDA ERS 2023 U.S. average $1.3206/lb x BLS CPI canned fruits and vegetables (CUUR0000SEFM01) Sep 2026 / 2023 avg = 1.1034</t>
  </si>
  <si>
    <t xml:space="preserve">Carrots (frozen)</t>
  </si>
  <si>
    <t xml:space="preserve">11130</t>
  </si>
  <si>
    <t xml:space="preserve">Carrots, frozen, unprepared</t>
  </si>
  <si>
    <t xml:space="preserve">Estimate: USDA ERS 2023 U.S. average $2.0378/lb x BLS CPI frozen fruits and vegetables (CUUR0000SEFM02) Sep 2026 / 2023 avg = 1.0199</t>
  </si>
  <si>
    <t xml:space="preserve">Cauliflower (frozen)</t>
  </si>
  <si>
    <t xml:space="preserve">11137</t>
  </si>
  <si>
    <t xml:space="preserve">Cauliflower, frozen, unprepared</t>
  </si>
  <si>
    <t xml:space="preserve">Estimate: USDA ERS 2023 U.S. average $2.7191/lb x BLS CPI frozen fruits and vegetables (CUUR0000SEFM02) Sep 2026 / 2023 avg = 1.0199</t>
  </si>
  <si>
    <t xml:space="preserve">Celery</t>
  </si>
  <si>
    <t xml:space="preserve">11143</t>
  </si>
  <si>
    <t xml:space="preserve">Celery, raw</t>
  </si>
  <si>
    <t xml:space="preserve">Estimate: USDA ERS 2023 U.S. average $1.3278/lb x BLS CPI fresh vegetables (CUUR0000SEFL) Sep 2026 / 2023 avg = 1.0603</t>
  </si>
  <si>
    <t xml:space="preserve">Collard greens</t>
  </si>
  <si>
    <t xml:space="preserve">2 cups chopped, raw</t>
  </si>
  <si>
    <t xml:space="preserve">11161</t>
  </si>
  <si>
    <t xml:space="preserve">Collards, raw</t>
  </si>
  <si>
    <t xml:space="preserve">Estimate: USDA ERS 2023 U.S. average $2.4833/lb x BLS CPI fresh vegetables (CUUR0000SEFL) Sep 2026 / 2023 avg = 1.0603</t>
  </si>
  <si>
    <t xml:space="preserve">Collard greens (frozen)</t>
  </si>
  <si>
    <t xml:space="preserve">11163</t>
  </si>
  <si>
    <t xml:space="preserve">Collards, frozen, chopped, unprepared</t>
  </si>
  <si>
    <t xml:space="preserve">Estimate: USDA ERS 2023 U.S. average $2.7240/lb x BLS CPI frozen fruits and vegetables (CUUR0000SEFM02) Sep 2026 / 2023 avg = 1.0199; cup-equivalent from USDA ERS (cooked cup / cooking yield); USDA lists no sugars value</t>
  </si>
  <si>
    <t xml:space="preserve">Cucumber</t>
  </si>
  <si>
    <t xml:space="preserve">11205</t>
  </si>
  <si>
    <t xml:space="preserve">Cucumber, with peel, raw</t>
  </si>
  <si>
    <t xml:space="preserve">Estimate: USDA ERS 2023 U.S. average $1.0928/lb x BLS CPI fresh vegetables (CUUR0000SEFL) Sep 2026 / 2023 avg = 1.0603</t>
  </si>
  <si>
    <t xml:space="preserve">Green beans (canned)</t>
  </si>
  <si>
    <t xml:space="preserve">Great Value cut, 14.5 oz</t>
  </si>
  <si>
    <t xml:space="preserve">11054</t>
  </si>
  <si>
    <t xml:space="preserve">Beans, snap, green, canned, regular pack, solids and liquids</t>
  </si>
  <si>
    <t xml:space="preserve">Regular price; was on Rollback at $0.50</t>
  </si>
  <si>
    <t xml:space="preserve">Green beans (frozen)</t>
  </si>
  <si>
    <t xml:space="preserve">11060</t>
  </si>
  <si>
    <t xml:space="preserve">Beans, snap, green, frozen, all styles, unprepared</t>
  </si>
  <si>
    <t xml:space="preserve">Estimate: USDA ERS 2023 U.S. average $2.1733/lb x BLS CPI frozen fruits and vegetables (CUUR0000SEFM02) Sep 2026 / 2023 avg = 1.0199</t>
  </si>
  <si>
    <t xml:space="preserve">Green bell pepper</t>
  </si>
  <si>
    <t xml:space="preserve">Fresh, each (~145 g)</t>
  </si>
  <si>
    <t xml:space="preserve">11333</t>
  </si>
  <si>
    <t xml:space="preserve">Peppers, sweet, green, raw</t>
  </si>
  <si>
    <t xml:space="preserve">Each ~145 g as bought (119 g edible, USDA)</t>
  </si>
  <si>
    <t xml:space="preserve">Iceberg lettuce</t>
  </si>
  <si>
    <t xml:space="preserve">Lettuce, iceberg, per lb (BLS U.S. average)</t>
  </si>
  <si>
    <t xml:space="preserve">2 cups shredded</t>
  </si>
  <si>
    <t xml:space="preserve">11252</t>
  </si>
  <si>
    <t xml:space="preserve">Lettuce, iceberg (includes crisphead types), raw</t>
  </si>
  <si>
    <t xml:space="preserve">BLS APU0000712211 "Lettuce, iceberg, per lb", U.S. city average, Sep 2026</t>
  </si>
  <si>
    <t xml:space="preserve">Kale (frozen)</t>
  </si>
  <si>
    <t xml:space="preserve">11235</t>
  </si>
  <si>
    <t xml:space="preserve">Kale, frozen, unprepared</t>
  </si>
  <si>
    <t xml:space="preserve">Estimate: USDA ERS 2023 U.S. average $2.2805/lb x BLS CPI frozen fruits and vegetables (CUUR0000SEFM02) Sep 2026 / 2023 avg = 1.0199; cup-equivalent from USDA ERS (cooked cup / cooking yield); USDA lists no sugars value</t>
  </si>
  <si>
    <t xml:space="preserve">Mixed vegetables (frozen)</t>
  </si>
  <si>
    <t xml:space="preserve">2/3 cup</t>
  </si>
  <si>
    <t xml:space="preserve">11583</t>
  </si>
  <si>
    <t xml:space="preserve">Vegetables, mixed, frozen, unprepared</t>
  </si>
  <si>
    <t xml:space="preserve">Mushrooms (white)</t>
  </si>
  <si>
    <t xml:space="preserve">11260</t>
  </si>
  <si>
    <t xml:space="preserve">Mushrooms, white, raw</t>
  </si>
  <si>
    <t xml:space="preserve">Estimate: USDA ERS 2023 U.S. average $4.1545/lb x BLS CPI fresh vegetables (CUUR0000SEFL) Sep 2026 / 2023 avg = 1.0603</t>
  </si>
  <si>
    <t xml:space="preserve">Mustard greens (frozen)</t>
  </si>
  <si>
    <t xml:space="preserve">11272</t>
  </si>
  <si>
    <t xml:space="preserve">Mustard greens, frozen, unprepared</t>
  </si>
  <si>
    <t xml:space="preserve">Estimate: USDA ERS 2023 U.S. average $2.9202/lb x BLS CPI frozen fruits and vegetables (CUUR0000SEFM02) Sep 2026 / 2023 avg = 1.0199; USDA lists no sugars value</t>
  </si>
  <si>
    <t xml:space="preserve">Okra (frozen)</t>
  </si>
  <si>
    <t xml:space="preserve">11280</t>
  </si>
  <si>
    <t xml:space="preserve">Okra, frozen, unprepared</t>
  </si>
  <si>
    <t xml:space="preserve">Estimate: USDA ERS 2023 U.S. average $2.6529/lb x BLS CPI frozen fruits and vegetables (CUUR0000SEFM02) Sep 2026 / 2023 avg = 1.0199; cup-equivalent from USDA ERS (cooked cup / cooking yield)</t>
  </si>
  <si>
    <t xml:space="preserve">Onions (yellow)</t>
  </si>
  <si>
    <t xml:space="preserve">Fresh yellow, 3 lb bag</t>
  </si>
  <si>
    <t xml:space="preserve">1/2 cup chopped</t>
  </si>
  <si>
    <t xml:space="preserve">11282</t>
  </si>
  <si>
    <t xml:space="preserve">Onions, raw</t>
  </si>
  <si>
    <t xml:space="preserve">Pumpkin (canned)</t>
  </si>
  <si>
    <t xml:space="preserve">11424</t>
  </si>
  <si>
    <t xml:space="preserve">Pumpkin, canned, without salt</t>
  </si>
  <si>
    <t xml:space="preserve">Estimate: USDA ERS 2023 U.S. average $2.0809/lb x BLS CPI canned fruits and vegetables (CUUR0000SEFM01) Sep 2026 / 2023 avg = 1.1034</t>
  </si>
  <si>
    <t xml:space="preserve">Radishes</t>
  </si>
  <si>
    <t xml:space="preserve">11429</t>
  </si>
  <si>
    <t xml:space="preserve">Radishes, raw</t>
  </si>
  <si>
    <t xml:space="preserve">Estimate: USDA ERS 2023 U.S. average $1.8510/lb x BLS CPI fresh vegetables (CUUR0000SEFL) Sep 2026 / 2023 avg = 1.0603</t>
  </si>
  <si>
    <t xml:space="preserve">Red bell pepper</t>
  </si>
  <si>
    <t xml:space="preserve">11821</t>
  </si>
  <si>
    <t xml:space="preserve">Peppers, sweet, red, raw</t>
  </si>
  <si>
    <t xml:space="preserve">Estimate: USDA ERS 2023 U.S. average $1.7052/lb x BLS CPI fresh vegetables (CUUR0000SEFL) Sep 2026 / 2023 avg = 1.0603</t>
  </si>
  <si>
    <t xml:space="preserve">Romaine lettuce</t>
  </si>
  <si>
    <t xml:space="preserve">Romaine, per lb (BLS U.S. average)</t>
  </si>
  <si>
    <t xml:space="preserve">11251</t>
  </si>
  <si>
    <t xml:space="preserve">Lettuce, cos or romaine, raw</t>
  </si>
  <si>
    <t xml:space="preserve">BLS Sep 2026 price (Walmart sells by count)</t>
  </si>
  <si>
    <t xml:space="preserve">Sauerkraut (canned)</t>
  </si>
  <si>
    <t xml:space="preserve">1 cup with liquid</t>
  </si>
  <si>
    <t xml:space="preserve">11439</t>
  </si>
  <si>
    <t xml:space="preserve">Sauerkraut, canned, solids and liquids</t>
  </si>
  <si>
    <t xml:space="preserve">Estimate: USDA ERS 2023 U.S. average $1.6301/lb x BLS CPI canned fruits and vegetables (CUUR0000SEFM01) Sep 2026 / 2023 avg = 1.1034</t>
  </si>
  <si>
    <t xml:space="preserve">Spinach (canned)</t>
  </si>
  <si>
    <t xml:space="preserve">11459</t>
  </si>
  <si>
    <t xml:space="preserve">Spinach, canned, regular pack, solids and liquids</t>
  </si>
  <si>
    <t xml:space="preserve">Estimate: USDA ERS 2023 U.S. average $1.6709/lb x BLS CPI canned fruits and vegetables (CUUR0000SEFM01) Sep 2026 / 2023 avg = 1.1034</t>
  </si>
  <si>
    <t xml:space="preserve">Spinach (fresh)</t>
  </si>
  <si>
    <t xml:space="preserve">Marketside, 10 oz bag</t>
  </si>
  <si>
    <t xml:space="preserve">2 cups raw</t>
  </si>
  <si>
    <t xml:space="preserve">11457</t>
  </si>
  <si>
    <t xml:space="preserve">Spinach, raw</t>
  </si>
  <si>
    <t xml:space="preserve">Bagged and washed: no refuse; USDA refuse 28% (Large stems and roots) not applied: bought trimmed</t>
  </si>
  <si>
    <t xml:space="preserve">Spinach (frozen)</t>
  </si>
  <si>
    <t xml:space="preserve">11463</t>
  </si>
  <si>
    <t xml:space="preserve">Spinach, frozen, chopped or leaf, unprepared</t>
  </si>
  <si>
    <t xml:space="preserve">Estimate: USDA ERS 2023 U.S. average $2.4690/lb x BLS CPI frozen fruits and vegetables (CUUR0000SEFM02) Sep 2026 / 2023 avg = 1.0199</t>
  </si>
  <si>
    <t xml:space="preserve">Tomatoes (canned)</t>
  </si>
  <si>
    <t xml:space="preserve">11531</t>
  </si>
  <si>
    <t xml:space="preserve">Tomatoes, red, ripe, canned, packed in tomato juice</t>
  </si>
  <si>
    <t xml:space="preserve">Estimate: USDA ERS 2023 U.S. average $1.2082/lb x BLS CPI canned fruits and vegetables (CUUR0000SEFM01) Sep 2026 / 2023 avg = 1.1034</t>
  </si>
  <si>
    <t xml:space="preserve">Tomatoes (roma)</t>
  </si>
  <si>
    <t xml:space="preserve">Fresh roma, per lb</t>
  </si>
  <si>
    <t xml:space="preserve">11529</t>
  </si>
  <si>
    <t xml:space="preserve">Tomatoes, red, ripe, raw, year round average</t>
  </si>
  <si>
    <t xml:space="preserve">Turnip greens (frozen)</t>
  </si>
  <si>
    <t xml:space="preserve">11574</t>
  </si>
  <si>
    <t xml:space="preserve">Turnip greens, frozen, unprepared</t>
  </si>
  <si>
    <t xml:space="preserve">Estimate: USDA ERS 2023 U.S. average $2.9198/lb x BLS CPI frozen fruits and vegetables (CUUR0000SEFM02) Sep 2026 / 2023 avg = 1.0199; USDA lists no sugars value</t>
  </si>
  <si>
    <t xml:space="preserve">Zucchini</t>
  </si>
  <si>
    <t xml:space="preserve">11477</t>
  </si>
  <si>
    <t xml:space="preserve">Squash, summer, zucchini, includes skin, raw</t>
  </si>
  <si>
    <t xml:space="preserve">Estimate: USDA ERS 2023 U.S. average $1.6391/lb x BLS CPI fresh vegetables (CUUR0000SEFL) Sep 2026 / 2023 avg = 1.0603</t>
  </si>
  <si>
    <t xml:space="preserve">Fats, Oils &amp; Nuts</t>
  </si>
  <si>
    <t xml:space="preserve">Oils &amp; Fats</t>
  </si>
  <si>
    <t xml:space="preserve">Butter (salted)</t>
  </si>
  <si>
    <t xml:space="preserve">Great Value, 2 x 16 oz</t>
  </si>
  <si>
    <t xml:space="preserve">1 tbsp</t>
  </si>
  <si>
    <t xml:space="preserve">Oils &amp; butter</t>
  </si>
  <si>
    <t xml:space="preserve">01001</t>
  </si>
  <si>
    <t xml:space="preserve">Butter, salted</t>
  </si>
  <si>
    <t xml:space="preserve">Canola oil</t>
  </si>
  <si>
    <t xml:space="preserve">Great Value, 48 fl oz</t>
  </si>
  <si>
    <t xml:space="preserve">04582</t>
  </si>
  <si>
    <t xml:space="preserve">Oil, canola</t>
  </si>
  <si>
    <t xml:space="preserve">48 fl oz = 6 cups x 218 g</t>
  </si>
  <si>
    <t xml:space="preserve">Olive oil (extra virgin)</t>
  </si>
  <si>
    <t xml:space="preserve">Great Value, 51 fl oz</t>
  </si>
  <si>
    <t xml:space="preserve">04053</t>
  </si>
  <si>
    <t xml:space="preserve">Oil, olive, salad or cooking</t>
  </si>
  <si>
    <t xml:space="preserve">51 fl oz = 6.375 cups x 216 g</t>
  </si>
  <si>
    <t xml:space="preserve">Nuts &amp; Seeds</t>
  </si>
  <si>
    <t xml:space="preserve">Almonds</t>
  </si>
  <si>
    <t xml:space="preserve">Great Value whole, 16 oz</t>
  </si>
  <si>
    <t xml:space="preserve">1 oz (~23 almonds)</t>
  </si>
  <si>
    <t xml:space="preserve">12061</t>
  </si>
  <si>
    <t xml:space="preserve">Nuts, almonds</t>
  </si>
  <si>
    <t xml:space="preserve">Price undated (Walmart.com listing); USDA refuse 60% (Shells) not applied: bought trimmed</t>
  </si>
  <si>
    <t xml:space="preserve">Avocado (Hass)</t>
  </si>
  <si>
    <t xml:space="preserve">Fresh, each (~203 g)</t>
  </si>
  <si>
    <t xml:space="preserve">1/2 avocado</t>
  </si>
  <si>
    <t xml:space="preserve">09038</t>
  </si>
  <si>
    <t xml:space="preserve">Avocados, raw, California</t>
  </si>
  <si>
    <t xml:space="preserve">Each ~203 g as bought (136 g edible, USDA)</t>
  </si>
  <si>
    <t xml:space="preserve">Snacks &amp; Sweets</t>
  </si>
  <si>
    <t xml:space="preserve">Chocolate chip cookies</t>
  </si>
  <si>
    <t xml:space="preserve">Great Value chewy, 13 oz</t>
  </si>
  <si>
    <t xml:space="preserve">2 cookies</t>
  </si>
  <si>
    <t xml:space="preserve">Snacks &amp; sweets</t>
  </si>
  <si>
    <t xml:space="preserve">18159</t>
  </si>
  <si>
    <t xml:space="preserve">Cookies, chocolate chip, commercially prepared, regular, higher fat, enriched</t>
  </si>
  <si>
    <t xml:space="preserve">Older listing (Jul 2025) — verify</t>
  </si>
  <si>
    <t xml:space="preserve">Granola bars (chocolate chip)</t>
  </si>
  <si>
    <t xml:space="preserve">Great Value chewy, 10 ct</t>
  </si>
  <si>
    <t xml:space="preserve">1 bar</t>
  </si>
  <si>
    <t xml:space="preserve">19404</t>
  </si>
  <si>
    <t xml:space="preserve">Snacks, granola bars, soft, uncoated, chocolate chip</t>
  </si>
  <si>
    <t xml:space="preserve">Potato chips</t>
  </si>
  <si>
    <t xml:space="preserve">Great Value original, 8 oz</t>
  </si>
  <si>
    <t xml:space="preserve">19411</t>
  </si>
  <si>
    <t xml:space="preserve">Snacks, potato chips, plain, salted</t>
  </si>
  <si>
    <t xml:space="preserve">From 10-pack price $18.70</t>
  </si>
  <si>
    <t xml:space="preserve">Vanilla ice cream</t>
  </si>
  <si>
    <t xml:space="preserve">19095</t>
  </si>
  <si>
    <t xml:space="preserve">Ice creams, vanilla</t>
  </si>
  <si>
    <t xml:space="preserve">48 fl oz = 6 cups x 132 g</t>
  </si>
  <si>
    <t xml:space="preserve">Diets — macro split and which food attributes each diet forbids</t>
  </si>
  <si>
    <t xml:space="preserve">Food j is allowed when (attribute row of food j) · (forbidden row of the diet) = 0. Edit or add diets here.</t>
  </si>
  <si>
    <t xml:space="preserve">Description</t>
  </si>
  <si>
    <t xml:space="preserve">Protein min</t>
  </si>
  <si>
    <t xml:space="preserve">Protein max</t>
  </si>
  <si>
    <t xml:space="preserve">Carbs min</t>
  </si>
  <si>
    <t xml:space="preserve">Carbs max</t>
  </si>
  <si>
    <t xml:space="preserve">Fat min</t>
  </si>
  <si>
    <t xml:space="preserve">Fat max</t>
  </si>
  <si>
    <t xml:space="preserve">Forbid Red meat</t>
  </si>
  <si>
    <t xml:space="preserve">Forbid Pork</t>
  </si>
  <si>
    <t xml:space="preserve">Forbid Poultry</t>
  </si>
  <si>
    <t xml:space="preserve">Forbid Fish</t>
  </si>
  <si>
    <t xml:space="preserve">Forbid Eggs</t>
  </si>
  <si>
    <t xml:space="preserve">Forbid Dairy</t>
  </si>
  <si>
    <t xml:space="preserve">Forbid Gluten</t>
  </si>
  <si>
    <t xml:space="preserve">Forbid Shellfish</t>
  </si>
  <si>
    <t xml:space="preserve">Forbid Peanuts</t>
  </si>
  <si>
    <t xml:space="preserve">Forbid Tree nuts</t>
  </si>
  <si>
    <t xml:space="preserve">Forbid Soy</t>
  </si>
  <si>
    <t xml:space="preserve">Sodium max (mg)</t>
  </si>
  <si>
    <t xml:space="preserve">Sat fat max (% kcal)</t>
  </si>
  <si>
    <t xml:space="preserve">USDA Acceptable Macronutrient Distribution Ranges; all foods allowed</t>
  </si>
  <si>
    <t xml:space="preserve">High-Protein</t>
  </si>
  <si>
    <t xml:space="preserve">For muscle gain: protein 25-35% of calories</t>
  </si>
  <si>
    <t xml:space="preserve">Low-Carb</t>
  </si>
  <si>
    <t xml:space="preserve">Moderate low-carb: carbs 20-35%, fat 35-50% (below the AMDR carb range)</t>
  </si>
  <si>
    <t xml:space="preserve">Vegetarian</t>
  </si>
  <si>
    <t xml:space="preserve">Lacto-ovo: no meat, poultry or fish</t>
  </si>
  <si>
    <t xml:space="preserve">Vegan</t>
  </si>
  <si>
    <t xml:space="preserve">No animal products</t>
  </si>
  <si>
    <t xml:space="preserve">Pescatarian</t>
  </si>
  <si>
    <t xml:space="preserve">Fish and seafood, no meat or poultry</t>
  </si>
  <si>
    <t xml:space="preserve">Gluten-Free</t>
  </si>
  <si>
    <t xml:space="preserve">No wheat, barley, rye or non-certified oats</t>
  </si>
  <si>
    <t xml:space="preserve">No Pork</t>
  </si>
  <si>
    <t xml:space="preserve">All foods except pork</t>
  </si>
  <si>
    <t xml:space="preserve">Dairy-Free</t>
  </si>
  <si>
    <t xml:space="preserve">No milk, cheese, yogurt, butter or ice cream (soy milk allowed)</t>
  </si>
  <si>
    <t xml:space="preserve">DASH-Style</t>
  </si>
  <si>
    <t xml:space="preserve">Heart-healthy DASH goals: saturated fat &lt;= 6% of calories, sodium &lt;= 1,500 mg, protein ~18%, carbs ~55%, fat ~27%</t>
  </si>
  <si>
    <t xml:space="preserve">Low-Carb sets carbohydrate below the AMDR range (45–65%) on purpose; High-Protein sits at the top of the AMDR protein range.</t>
  </si>
  <si>
    <t xml:space="preserve">Diets change two things in the model: the macro rows of b_min/b_max, and the upper bounds u (a forbidden food gets u = 0).</t>
  </si>
  <si>
    <t xml:space="preserve">DASH-Style: MedlinePlus (NIH) DASH goals are saturated fat &lt;= 6% of calories, total fat ~27%, protein ~18%, carbohydrate ~55%, and sodium &lt;= 2,300 mg with 1,500 mg "an even more effective goal". The three macro targets add to exactly 100%, so they are modeled as ±3-point bands.</t>
  </si>
  <si>
    <t xml:space="preserve">Allergy columns (Shellfish, Peanuts, Tree nuts, Soy) mark foods that ARE the allergen; packaged foods can still contain traces.</t>
  </si>
  <si>
    <t xml:space="preserve">Matrix Model — minimize cᵀx subject to G·x (≥ or ≤) b,  0 ≤ x ≤ u</t>
  </si>
  <si>
    <t xml:space="preserve">x = food amounts in 100 g units (column C below). A = nutrient matrix, M = meal matrix, G = every constraint row stacked. Solve with Data → Solver (see Planner).</t>
  </si>
  <si>
    <t xml:space="preserve">Selected diet</t>
  </si>
  <si>
    <t xml:space="preserve">Macro (% of kcal)</t>
  </si>
  <si>
    <t xml:space="preserve">min</t>
  </si>
  <si>
    <t xml:space="preserve">max</t>
  </si>
  <si>
    <t xml:space="preserve">Protein</t>
  </si>
  <si>
    <t xml:space="preserve">Carbohydrate</t>
  </si>
  <si>
    <t xml:space="preserve">Fat</t>
  </si>
  <si>
    <t xml:space="preserve">Saturated fat (max only)</t>
  </si>
  <si>
    <t xml:space="preserve">FOOD PARAMETERS  (one column per food)</t>
  </si>
  <si>
    <t xml:space="preserve">c — $ per 100 g edible</t>
  </si>
  <si>
    <t xml:space="preserve">u — upper bound (100 g units)</t>
  </si>
  <si>
    <t xml:space="preserve">l — lower bound (must-include)</t>
  </si>
  <si>
    <t xml:space="preserve">allowed by diet</t>
  </si>
  <si>
    <t xml:space="preserve">NUTRIENT MATRIX A  (rows = nutrients, columns = foods, per 100 g edible — USDA SR28)</t>
  </si>
  <si>
    <t xml:space="preserve">MEAL MATRIX Mᵀ  (share of each food eaten at each meal; columns sum to 1)</t>
  </si>
  <si>
    <t xml:space="preserve">CONSTRAINT MATRIX G  (every rule is one row: coefficients across the food columns)</t>
  </si>
  <si>
    <t xml:space="preserve">Rule</t>
  </si>
  <si>
    <t xml:space="preserve">Kind</t>
  </si>
  <si>
    <t xml:space="preserve">b (right side)</t>
  </si>
  <si>
    <t xml:space="preserve">G·x (plan)</t>
  </si>
  <si>
    <t xml:space="preserve">Calories ≥ target − tolerance</t>
  </si>
  <si>
    <t xml:space="preserve">nutrient ≥</t>
  </si>
  <si>
    <t xml:space="preserve">Protein ≥ floor (g, optional)</t>
  </si>
  <si>
    <t xml:space="preserve">Protein ≥ min % of calories  (4·P − s·kcal ≥ 0)</t>
  </si>
  <si>
    <t xml:space="preserve">macro ≥</t>
  </si>
  <si>
    <t xml:space="preserve">Carbs ≥ min % of calories  (4·C − s·kcal ≥ 0)</t>
  </si>
  <si>
    <t xml:space="preserve">Fat ≥ min % of calories  (9·F − s·kcal ≥ 0)</t>
  </si>
  <si>
    <t xml:space="preserve">Fiber ≥ minimum</t>
  </si>
  <si>
    <t xml:space="preserve">Calcium ≥ minimum</t>
  </si>
  <si>
    <t xml:space="preserve">Iron ≥ minimum</t>
  </si>
  <si>
    <t xml:space="preserve">Potassium ≥ minimum</t>
  </si>
  <si>
    <t xml:space="preserve">Vitamin C ≥ minimum</t>
  </si>
  <si>
    <t xml:space="preserve">Breakfast calories ≥ min share</t>
  </si>
  <si>
    <t xml:space="preserve">meal ≥</t>
  </si>
  <si>
    <t xml:space="preserve">Lunch calories ≥ min share</t>
  </si>
  <si>
    <t xml:space="preserve">Dinner calories ≥ min share</t>
  </si>
  <si>
    <t xml:space="preserve">Snacks calories ≥ min share</t>
  </si>
  <si>
    <t xml:space="preserve">Breakfast protein ≥ min share of day</t>
  </si>
  <si>
    <t xml:space="preserve">Lunch protein ≥ min share of day</t>
  </si>
  <si>
    <t xml:space="preserve">Dinner protein ≥ min share of day</t>
  </si>
  <si>
    <t xml:space="preserve">Vegetables ≥ min cup-equivalents</t>
  </si>
  <si>
    <t xml:space="preserve">group ≥</t>
  </si>
  <si>
    <t xml:space="preserve">Fruit ≥ min cup-equivalents</t>
  </si>
  <si>
    <t xml:space="preserve">Calories ≤ target + tolerance</t>
  </si>
  <si>
    <t xml:space="preserve">nutrient ≤</t>
  </si>
  <si>
    <t xml:space="preserve">Protein ≤ max % of calories</t>
  </si>
  <si>
    <t xml:space="preserve">macro ≤</t>
  </si>
  <si>
    <t xml:space="preserve">Carbs ≤ max % of calories</t>
  </si>
  <si>
    <t xml:space="preserve">Fat ≤ max % of calories</t>
  </si>
  <si>
    <t xml:space="preserve">Saturated fat ≤ max % of calories (100% = no limit)</t>
  </si>
  <si>
    <t xml:space="preserve">Sodium ≤ maximum</t>
  </si>
  <si>
    <t xml:space="preserve">Total sugars ≤ maximum (blank = none)</t>
  </si>
  <si>
    <t xml:space="preserve">Breakfast calories ≤ max share</t>
  </si>
  <si>
    <t xml:space="preserve">meal ≤</t>
  </si>
  <si>
    <t xml:space="preserve">Lunch calories ≤ max share</t>
  </si>
  <si>
    <t xml:space="preserve">Dinner calories ≤ max share</t>
  </si>
  <si>
    <t xml:space="preserve">Snacks calories ≤ max share</t>
  </si>
  <si>
    <t xml:space="preserve">Meat, poultry &amp; fish ≤ max grams</t>
  </si>
  <si>
    <t xml:space="preserve">group ≤</t>
  </si>
  <si>
    <t xml:space="preserve">Beans &amp; lentils ≤ max servings</t>
  </si>
  <si>
    <t xml:space="preserve">Cheese ≤ max servings</t>
  </si>
  <si>
    <t xml:space="preserve">Grains &amp; bread ≤ max servings</t>
  </si>
  <si>
    <t xml:space="preserve">Oils &amp; butter ≤ max servings</t>
  </si>
  <si>
    <t xml:space="preserve">Snacks &amp; sweets ≤ max servings</t>
  </si>
  <si>
    <t xml:space="preserve">Chicken breast (boneless, skinless) ≤ max share of protein</t>
  </si>
  <si>
    <t xml:space="preserve">share ≤</t>
  </si>
  <si>
    <t xml:space="preserve">Chicken drumsticks (bone-in) ≤ max share of protein</t>
  </si>
  <si>
    <t xml:space="preserve">Chicken thighs (boneless, skinless) ≤ max share of protein</t>
  </si>
  <si>
    <t xml:space="preserve">Deli turkey breast (sliced) ≤ max share of protein</t>
  </si>
  <si>
    <t xml:space="preserve">Ground turkey 93/7 ≤ max share of protein</t>
  </si>
  <si>
    <t xml:space="preserve">Whole chicken ≤ max share of protein</t>
  </si>
  <si>
    <t xml:space="preserve">Bacon ≤ max share of protein</t>
  </si>
  <si>
    <t xml:space="preserve">Beef for stew (boneless) ≤ max share of protein</t>
  </si>
  <si>
    <t xml:space="preserve">Ground beef 80/20 ≤ max share of protein</t>
  </si>
  <si>
    <t xml:space="preserve">Ground beef 93/7 (lean) ≤ max share of protein</t>
  </si>
  <si>
    <t xml:space="preserve">Ham (sliced, cooked) ≤ max share of protein</t>
  </si>
  <si>
    <t xml:space="preserve">Pork loin chops (boneless) ≤ max share of protein</t>
  </si>
  <si>
    <t xml:space="preserve">Round steak (boneless) ≤ max share of protein</t>
  </si>
  <si>
    <t xml:space="preserve">Top sirloin steak ≤ max share of protein</t>
  </si>
  <si>
    <t xml:space="preserve">Canned light tuna (in water) ≤ max share of protein</t>
  </si>
  <si>
    <t xml:space="preserve">Salmon (Atlantic, fillet) ≤ max share of protein</t>
  </si>
  <si>
    <t xml:space="preserve">Shrimp (raw, peeled) ≤ max share of protein</t>
  </si>
  <si>
    <t xml:space="preserve">Tilapia (fillet) ≤ max share of protein</t>
  </si>
  <si>
    <t xml:space="preserve">Eggs (large) ≤ max share of protein</t>
  </si>
  <si>
    <t xml:space="preserve">Black beans (dry) ≤ max share of protein</t>
  </si>
  <si>
    <t xml:space="preserve">Black-eyed peas (dry) ≤ max share of protein</t>
  </si>
  <si>
    <t xml:space="preserve">Great northern beans (dry) ≤ max share of protein</t>
  </si>
  <si>
    <t xml:space="preserve">Kidney beans (dry) ≤ max share of protein</t>
  </si>
  <si>
    <t xml:space="preserve">Lentils (dry) ≤ max share of protein</t>
  </si>
  <si>
    <t xml:space="preserve">Lima beans (dry) ≤ max share of protein</t>
  </si>
  <si>
    <t xml:space="preserve">Navy beans (dry) ≤ max share of protein</t>
  </si>
  <si>
    <t xml:space="preserve">Peanut butter ≤ max share of protein</t>
  </si>
  <si>
    <t xml:space="preserve">Pinto beans (dry) ≤ max share of protein</t>
  </si>
  <si>
    <t xml:space="preserve">Tofu (extra firm) ≤ max share of protein</t>
  </si>
  <si>
    <t xml:space="preserve">Greek yogurt (plain, nonfat) ≤ max share of protein</t>
  </si>
  <si>
    <t xml:space="preserve">American cheese (singles) ≤ max share of protein</t>
  </si>
  <si>
    <t xml:space="preserve">Cheddar cheese ≤ max share of protein</t>
  </si>
  <si>
    <t xml:space="preserve">Cottage cheese (2%) ≤ max share of protein</t>
  </si>
  <si>
    <t xml:space="preserve">Mozzarella string cheese ≤ max share of protein</t>
  </si>
  <si>
    <t xml:space="preserve">Bagels (plain) ≤ max share of protein</t>
  </si>
  <si>
    <t xml:space="preserve">Cheerios ≤ max share of protein</t>
  </si>
  <si>
    <t xml:space="preserve">Quinoa (dry) ≤ max share of protein</t>
  </si>
  <si>
    <t xml:space="preserve">Rolled oats (dry) ≤ max share of protein</t>
  </si>
  <si>
    <t xml:space="preserve">Spaghetti (dry) ≤ max share of protein</t>
  </si>
  <si>
    <t xml:space="preserve">Whole-wheat bread ≤ max share of protein</t>
  </si>
  <si>
    <t xml:space="preserve">Whole-wheat spaghetti (dry) ≤ max share of protein</t>
  </si>
  <si>
    <t xml:space="preserve">Almonds ≤ max share of protein</t>
  </si>
  <si>
    <t xml:space="preserve">DIET VECTOR x  (Solver changes column C;  pre-filled with the Simplex answer for the Balanced example)</t>
  </si>
  <si>
    <t xml:space="preserve">x (100 g units)</t>
  </si>
  <si>
    <t xml:space="preserve">u</t>
  </si>
  <si>
    <t xml:space="preserve">l</t>
  </si>
  <si>
    <t xml:space="preserve">grams/day</t>
  </si>
  <si>
    <t xml:space="preserve">cost ($)</t>
  </si>
  <si>
    <t xml:space="preserve">at cap?</t>
  </si>
  <si>
    <t xml:space="preserve">Breakfast (g)</t>
  </si>
  <si>
    <t xml:space="preserve">Lunch (g)</t>
  </si>
  <si>
    <t xml:space="preserve">Dinner (g)</t>
  </si>
  <si>
    <t xml:space="preserve">Snacks (g)</t>
  </si>
  <si>
    <t xml:space="preserve">Breakfast list #</t>
  </si>
  <si>
    <t xml:space="preserve">Lunch list #</t>
  </si>
  <si>
    <t xml:space="preserve">Dinner list #</t>
  </si>
  <si>
    <t xml:space="preserve">Snacks list #</t>
  </si>
  <si>
    <t xml:space="preserve">cᵀx  — cost per day ($)</t>
  </si>
  <si>
    <t xml:space="preserve">NUTRIENTS:  A·x (whole day)  and  N = A·(x ∘ M) (per meal, one matrix product)</t>
  </si>
  <si>
    <t xml:space="preserve">A·x (day)</t>
  </si>
  <si>
    <t xml:space="preserve">Diet Comparison — the example person under every diet (A·X computes all nutrients in one matrix product)</t>
  </si>
  <si>
    <t xml:space="preserve">Columns of X are optimal Simplex solutions (Walmart prices, default balance rules) plus a hand-built typical day. Values in 100 g units.</t>
  </si>
  <si>
    <t xml:space="preserve">Typical day (not optimized)</t>
  </si>
  <si>
    <t xml:space="preserve">Cost per day  (cᵀX, Walmart $)</t>
  </si>
  <si>
    <t xml:space="preserve">A·X  (nutrients × diets)</t>
  </si>
  <si>
    <t xml:space="preserve">Targets the plan misses (example person, each diet's own macro split)</t>
  </si>
  <si>
    <t xml:space="preserve">Calories in ±5%</t>
  </si>
  <si>
    <t xml:space="preserve">Protein ≥ 112 g</t>
  </si>
  <si>
    <t xml:space="preserve">Fiber ≥ 42 g</t>
  </si>
  <si>
    <t xml:space="preserve">Calcium ≥ 1,000 mg</t>
  </si>
  <si>
    <t xml:space="preserve">Potassium ≥ 3,400 mg</t>
  </si>
  <si>
    <t xml:space="preserve">Vitamin C ≥ 90 mg</t>
  </si>
  <si>
    <t xml:space="preserve">Sodium ≤ the diet's limit (2,300 mg; DASH-Style 1,500 mg)</t>
  </si>
  <si>
    <t xml:space="preserve">Fat ≤ the diet's max % of calories (typical day: 35%, AMDR)</t>
  </si>
  <si>
    <t xml:space="preserve">What this shows</t>
  </si>
  <si>
    <t xml:space="preserve">• Example person (from the calculator): male, 21, 173 cm, 70.3 kg, active, maintain -&gt; 3,030 kcal, protein ≥ 112 g, fiber ≥ 42 g.</t>
  </si>
  <si>
    <t xml:space="preserve">• The optimized Balanced day costs $2.87 and meets every target; the typical day costs more and misses several targets (red cells).</t>
  </si>
  <si>
    <t xml:space="preserve">• Vegetarian, Pescatarian, Gluten-Free, No Pork cost the same as Balanced (within half a cent): the Balanced answer uses only 1.1 g of meat or poultry, and the best meatless day costs just $0.000049 more, so excluding meat costs essentially nothing. Plant proteins (beans, peanut butter) and eggs cost far less per gram of protein than meat.</t>
  </si>
  <si>
    <t xml:space="preserve">• High-Protein and Low-Carb cost more because they force more protein (or fat) per calorie, which pulls in pricier foods.</t>
  </si>
  <si>
    <t xml:space="preserve">• Each column of X is a separate Simplex solve; A·X then evaluates every diet against every nutrient in one matrix multiplication.</t>
  </si>
  <si>
    <t xml:space="preserve">Optimality Proof — why the Balanced plan is the cheapest possible (example person)</t>
  </si>
  <si>
    <t xml:space="preserve">At a Simplex corner, the tight rules form a SQUARE linear system B·x_B = r. Solving it with B⁻¹ reproduces the answer; the same B⁻¹ gives shadow prices that certify no cheaper plan exists.</t>
  </si>
  <si>
    <t xml:space="preserve">Tight rules: 7.  Foods strictly inside their bounds (basic): 7.  Foods held at their cap: 5.  The rows and columns come from the exact basis the Simplex method finishes on. At a degenerate corner a basic food can sit exactly at its cap (it is still basic) — that is how the square system stays square.</t>
  </si>
  <si>
    <t xml:space="preserve">Built for the example person and the Balanced diet with default rules; it reads prices and nutrients live from Food Data. If you edit prices so the plan is no longer optimal, the certificate below will say so.</t>
  </si>
  <si>
    <t xml:space="preserve">G_T = the tight rows of the constraint matrix (example values fixed so the proof does not move when the Planner changes)</t>
  </si>
  <si>
    <t xml:space="preserve">Tight rule</t>
  </si>
  <si>
    <t xml:space="preserve">sense</t>
  </si>
  <si>
    <t xml:space="preserve">b_T</t>
  </si>
  <si>
    <t xml:space="preserve">kcal &gt;= min</t>
  </si>
  <si>
    <t xml:space="preserve">≥</t>
  </si>
  <si>
    <t xml:space="preserve">protein &gt;= min</t>
  </si>
  <si>
    <t xml:space="preserve">calcium &gt;= min</t>
  </si>
  <si>
    <t xml:space="preserve">carb% &lt;= 65% of kcal</t>
  </si>
  <si>
    <t xml:space="preserve">≤</t>
  </si>
  <si>
    <t xml:space="preserve">vegetables &gt;= 2.5 cup-eq</t>
  </si>
  <si>
    <t xml:space="preserve">fruit &gt;= 2 cup-eq</t>
  </si>
  <si>
    <t xml:space="preserve">legumes &lt;= 3 servings</t>
  </si>
  <si>
    <t xml:space="preserve">c (Walmart $ / 100 g)</t>
  </si>
  <si>
    <t xml:space="preserve">x* (Simplex, Balanced)</t>
  </si>
  <si>
    <t xml:space="preserve">u (cap, 100 g units)</t>
  </si>
  <si>
    <t xml:space="preserve">STEP 1 — square system:  B (7×7) = G_T restricted to the basic foods;  N = G_T on foods held at cap</t>
  </si>
  <si>
    <t xml:space="preserve">B: Chicken drumsticks (bone-in)</t>
  </si>
  <si>
    <t xml:space="preserve">B: Lentils (dry)</t>
  </si>
  <si>
    <t xml:space="preserve">B: 2% milk</t>
  </si>
  <si>
    <t xml:space="preserve">B: Brown rice (dry)</t>
  </si>
  <si>
    <t xml:space="preserve">B: Spaghetti (dry)</t>
  </si>
  <si>
    <t xml:space="preserve">B: Bananas</t>
  </si>
  <si>
    <t xml:space="preserve">B: Broccoli (frozen)</t>
  </si>
  <si>
    <t xml:space="preserve">N: Eggs (large)</t>
  </si>
  <si>
    <t xml:space="preserve">N: Peanut butter</t>
  </si>
  <si>
    <t xml:space="preserve">N: Pinto beans (dry)</t>
  </si>
  <si>
    <t xml:space="preserve">N: White rice (dry)</t>
  </si>
  <si>
    <t xml:space="preserve">N: Cabbage (green)</t>
  </si>
  <si>
    <t xml:space="preserve">r = b_T − N·u_N</t>
  </si>
  <si>
    <t xml:space="preserve">u_N (caps of foods held at cap)</t>
  </si>
  <si>
    <t xml:space="preserve">STEP 2 — B⁻¹ (MINVERSE) and det(B) (MDETERM); then x_B = B⁻¹·r</t>
  </si>
  <si>
    <t xml:space="preserve">det(B)</t>
  </si>
  <si>
    <t xml:space="preserve">Basic food</t>
  </si>
  <si>
    <t xml:space="preserve">x_B = B⁻¹·r</t>
  </si>
  <si>
    <t xml:space="preserve">x* (Simplex)</t>
  </si>
  <si>
    <t xml:space="preserve">difference</t>
  </si>
  <si>
    <t xml:space="preserve">Check</t>
  </si>
  <si>
    <t xml:space="preserve">STEP 3 — shadow prices  yᵀ = c_Bᵀ·B⁻¹  (extra $/day if a tight rule is tightened by one unit)</t>
  </si>
  <si>
    <t xml:space="preserve">y</t>
  </si>
  <si>
    <t xml:space="preserve">sign OK?</t>
  </si>
  <si>
    <t xml:space="preserve">meaning</t>
  </si>
  <si>
    <t xml:space="preserve">c_B (row)</t>
  </si>
  <si>
    <t xml:space="preserve">yᵀ (row)</t>
  </si>
  <si>
    <t xml:space="preserve">STEP 4 — optimality certificate:  reduced cost d = c − yᵀ·G_T  for every food</t>
  </si>
  <si>
    <t xml:space="preserve">d ($ per 100 g)</t>
  </si>
  <si>
    <t xml:space="preserve">role</t>
  </si>
  <si>
    <t xml:space="preserve">zero</t>
  </si>
  <si>
    <t xml:space="preserve">basic</t>
  </si>
  <si>
    <t xml:space="preserve">at cap</t>
  </si>
  <si>
    <t xml:space="preserve">condition met?</t>
  </si>
  <si>
    <t xml:space="preserve">Rules: basic food → d = 0;  food at cap → d ≤ 0 (would add more if allowed);  food not eaten → d ≥ 0 (adding it raises cost).</t>
  </si>
  <si>
    <t xml:space="preserve">Verdict</t>
  </si>
  <si>
    <t xml:space="preserve">How the workbook maps to the project</t>
  </si>
  <si>
    <t xml:space="preserve">Planner = inputs and the answer.  Food Data = the data (sorted by group/type).  Diets = presets.  Matrix Model = the linear algebra (A, M, G, c, u, x; G·x and cᵀx by MMULT).  Diet Comparison = A·X for every diet at once.  Optimality Proof = B⁻¹, det(B), shadow prices.</t>
  </si>
  <si>
    <t xml:space="preserve">The website optimizer (src/lib/dietOptimizer.js) builds exactly the same G, b, c, u and solves them with a two-phase Simplex (Gauss-Jordan row operations).</t>
  </si>
  <si>
    <t xml:space="preserve">Rules that keep the plan realistic ("no absurd amounts")</t>
  </si>
  <si>
    <t xml:space="preserve">1. Portion caps per food (max servings/day on Food Data) — upper bounds u.</t>
  </si>
  <si>
    <t xml:space="preserve">2. Protein diversity: no single food supplies more than 35% of the day's protein:  p_j·x_j − α·(pᵀx) ≤ 0  (a linear row for each high-protein food).</t>
  </si>
  <si>
    <t xml:space="preserve">3. Meal balance: breakfast, lunch and dinner each carry ≥ 20% of the protein; each meal stays inside its calorie share. Uses the meal matrix M:  meal calories = (A_kcal ∘ M_k)ᵀ·x.</t>
  </si>
  <si>
    <t xml:space="preserve">4. Group caps: meat/poultry/fish ≤ 12 oz raw, beans &amp; lentils ≤ 3 servings, cheese ≤ 3, grains ≤ 9, oils &amp; butter ≤ 4 tbsp, snacks ≤ 2.</t>
  </si>
  <si>
    <t xml:space="preserve">5. Food-group minimums in USDA cup-equivalents: vegetables ≥ 2.5 cups, fruit ≥ 2 cups (Dietary Guidelines, 2,000-kcal pattern).</t>
  </si>
  <si>
    <t xml:space="preserve">Assumptions and limits to state in the presentation</t>
  </si>
  <si>
    <t xml:space="preserve">• Core 71 foods: one retailer (Walmart online, Oct 2026, regular non-sale prices); store prices vary. BLS U.S. averages (Sep 2026) are a sensitivity check (Planner → Price source).</t>
  </si>
  <si>
    <t xml:space="preserve">• 75 added foods: Walmart.com blocks automated price lookups, so they use official U.S. averages: BLS Average Price Data (Sep 2026) where BLS publishes the item, otherwise USDA ERS Fruit and Vegetable Prices (2023) x the BLS CPI-U for the same category (Sep 2026 / 2023 average). These are estimates, not shelf prices; see Price source on Food Data.</t>
  </si>
  <si>
    <t xml:space="preserve">• Planner → Food list = "Core 71 foods" reproduces the original class model ($3.02/day for the example person).</t>
  </si>
  <si>
    <t xml:space="preserve">• Yellow prices on Food Data are older or undated listings — verify them before final numbers.</t>
  </si>
  <si>
    <t xml:space="preserve">• Nutrients are USDA SR28 per 100 g of the food as bought and edible (raw meat, dry grains/beans). Small cooking losses are ignored.</t>
  </si>
  <si>
    <t xml:space="preserve">• Edible yield converts price to $ per 100 g EDIBLE: bone-in chicken, peels and shells would otherwise look cheaper than they are.</t>
  </si>
  <si>
    <t xml:space="preserve">• Each food has a fixed meal pattern (matrix M), so lunch and dinner share the same batch-cooked base — realistic for meal prep, but not varied.</t>
  </si>
  <si>
    <t xml:space="preserve">• A linear program cannot force "use at least a normal portion if you use a food at all" (that needs integer variables), so plans can include small amounts (e.g. 15 g of milk).</t>
  </si>
  <si>
    <t xml:space="preserve">• Taste and cooking time are not in the model. The website offers variety by solving extra LPs that penalize foods already used. Vitamins A, D, B12, magnesium and zinc are not tracked.</t>
  </si>
  <si>
    <t xml:space="preserve">• A few USDA SR28 values are blank (mostly total sugars, plus vitamin C for dry navy beans and saturated fat for clementines); blanks count as 0.</t>
  </si>
  <si>
    <t xml:space="preserve">• Removed from v1: flour and sugar (ingredients, not foods eaten alone — the v1 optimizer chose raw flour).</t>
  </si>
  <si>
    <t xml:space="preserve">References (APA 7)</t>
  </si>
  <si>
    <t xml:space="preserve">U.S. Department of Agriculture, Agricultural Research Service, Nutrient Data Laboratory. (2015). USDA National Nutrient Database for Standard Reference, Release 28 [Data set]. https://www.ars.usda.gov/northeast-area/beltsville-md-bhnrc/beltsville-human-nutrition-research-center/methods-and-application-of-food-composition-laboratory/mafcl-site-pages/sr11-sr28/</t>
  </si>
  <si>
    <t xml:space="preserve">U.S. Department of Agriculture, Agricultural Research Service. (2018). FoodData Central: SR Legacy [Data set]. https://fdc.nal.usda.gov/</t>
  </si>
  <si>
    <t xml:space="preserve">U.S. Department of Agriculture, Economic Research Service. (2025). Fruit and vegetable prices [Data set; 2023 retail scanner data, updated December 9, 2025]. https://www.ers.usda.gov/data-products/fruit-and-vegetable-prices</t>
  </si>
  <si>
    <t xml:space="preserve">U.S. Bureau of Labor Statistics. (2026). Consumer Price Index for All Urban Consumers: Fresh fruits (CUUR0000SEFK), Fresh vegetables (CUUR0000SEFL), Canned (CUUR0000SEFM01), Frozen (CUUR0000SEFM02) and Other processed fruits and vegetables including dried (CUUR0000SEFM03), U.S. city average [Data series]. https://data.bls.gov/timeseries/CUUR0000SEFK</t>
  </si>
  <si>
    <t xml:space="preserve">U.S. Bureau of Labor Statistics. (n.d.). CPI: Average price data. Retrieved October 26, 2026, from https://www.bls.gov/cpi/factsheets/average-prices.htm</t>
  </si>
  <si>
    <t xml:space="preserve">MedlinePlus. (n.d.). High blood pressure and diet. U.S. National Library of Medicine. Retrieved October 26, 2026, from https://medlineplus.gov/ency/article/007483.htm</t>
  </si>
  <si>
    <t xml:space="preserve">U.S. Bureau of Labor Statistics. (2026). Average retail food and energy prices, U.S. and Midwest region [Data table]. https://www.bls.gov/regions/mid-atlantic/data/averageretailfoodandenergyprices_usandmidwest_table.htm</t>
  </si>
  <si>
    <t xml:space="preserve">Walmart Inc. (2026, October 26). Product listings for the foods in Food Data [Retail prices]. https://www.walmart.com/ and https://business.walmart.com/</t>
  </si>
  <si>
    <t xml:space="preserve">U.S. Department of Agriculture &amp; U.S. Department of Health and Human Services. (2020). Dietary guidelines for Americans, 2020–2025 (9th ed.). https://www.dietaryguidelines.gov/</t>
  </si>
  <si>
    <t xml:space="preserve">Institute of Medicine. (2005). Dietary reference intakes for energy, carbohydrate, fiber, fat, fatty acids, cholesterol, protein, and amino acids. The National Academies Press. https://doi.org/10.17226/10490</t>
  </si>
  <si>
    <t xml:space="preserve">National Academies of Sciences, Engineering, and Medicine. (2019). Dietary reference intakes for sodium and potassium. The National Academies Press. https://doi.org/10.17226/25353</t>
  </si>
  <si>
    <t xml:space="preserve">Dantzig, G. B. (1990). The diet problem. Interfaces, 20(4), 43–47. https://doi.org/10.1287/inte.20.4.43</t>
  </si>
  <si>
    <t xml:space="preserve">Stigler, G. J. (1945). The cost of subsistence. Journal of Farm Economics, 27(2), 303–314. https://doi.org/10.2307/1231810</t>
  </si>
  <si>
    <t xml:space="preserve">Color legend</t>
  </si>
  <si>
    <t xml:space="preserve">Blue = inputs you can edit.  Black = formulas.  Green = links to another sheet.  Yellow = price to verify / Solver variable cells.  Grey = matrix-product results.</t>
  </si>
</sst>
</file>

<file path=xl/styles.xml><?xml version="1.0" encoding="utf-8"?>
<styleSheet xmlns="http://schemas.openxmlformats.org/spreadsheetml/2006/main">
  <numFmts count="23">
    <numFmt numFmtId="164" formatCode="General"/>
    <numFmt numFmtId="165" formatCode="\$0.00"/>
    <numFmt numFmtId="166" formatCode="0"/>
    <numFmt numFmtId="167" formatCode="0&quot; ft&quot;"/>
    <numFmt numFmtId="168" formatCode="0&quot; in&quot;"/>
    <numFmt numFmtId="169" formatCode="General"/>
    <numFmt numFmtId="170" formatCode="0.0"/>
    <numFmt numFmtId="171" formatCode="#,##0"/>
    <numFmt numFmtId="172" formatCode="0.00"/>
    <numFmt numFmtId="173" formatCode="\+0;\-0;0"/>
    <numFmt numFmtId="174" formatCode="@"/>
    <numFmt numFmtId="175" formatCode="0%"/>
    <numFmt numFmtId="176" formatCode="\$0.000"/>
    <numFmt numFmtId="177" formatCode="0.000"/>
    <numFmt numFmtId="178" formatCode="#,##0.00"/>
    <numFmt numFmtId="179" formatCode="0.0000"/>
    <numFmt numFmtId="180" formatCode="#,##0.0"/>
    <numFmt numFmtId="181" formatCode="0.000;\-0.000;&quot;&quot;"/>
    <numFmt numFmtId="182" formatCode="#,##0.000"/>
    <numFmt numFmtId="183" formatCode="0.000000"/>
    <numFmt numFmtId="184" formatCode="0.000E+00"/>
    <numFmt numFmtId="185" formatCode="0.0E+00"/>
    <numFmt numFmtId="186"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i val="true"/>
      <sz val="10"/>
      <color rgb="FF000000"/>
      <name val="Arial"/>
      <family val="0"/>
      <charset val="1"/>
    </font>
    <font>
      <b val="true"/>
      <sz val="11"/>
      <color rgb="FF000000"/>
      <name val="Arial"/>
      <family val="0"/>
      <charset val="1"/>
    </font>
    <font>
      <sz val="10"/>
      <color rgb="FF000000"/>
      <name val="Arial"/>
      <family val="0"/>
      <charset val="1"/>
    </font>
    <font>
      <sz val="10"/>
      <color rgb="FF0000FF"/>
      <name val="Arial"/>
      <family val="0"/>
      <charset val="1"/>
    </font>
    <font>
      <b val="true"/>
      <sz val="12"/>
      <color rgb="FF008000"/>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sz val="10"/>
      <name val="Arial"/>
      <family val="2"/>
    </font>
    <font>
      <sz val="10"/>
      <color rgb="FF008000"/>
      <name val="Arial"/>
      <family val="0"/>
      <charset val="1"/>
    </font>
    <font>
      <b val="true"/>
      <sz val="12"/>
      <color rgb="FF000000"/>
      <name val="Arial"/>
      <family val="0"/>
      <charset val="1"/>
    </font>
  </fonts>
  <fills count="15">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FFFDE7"/>
        <bgColor rgb="FFFFFFFF"/>
      </patternFill>
    </fill>
    <fill>
      <patternFill patternType="solid">
        <fgColor rgb="FFD9E1F2"/>
        <bgColor rgb="FFDDEBF7"/>
      </patternFill>
    </fill>
    <fill>
      <patternFill patternType="solid">
        <fgColor rgb="FFF8CBAD"/>
        <bgColor rgb="FFFCE4D6"/>
      </patternFill>
    </fill>
    <fill>
      <patternFill patternType="solid">
        <fgColor rgb="FFDDEBF7"/>
        <bgColor rgb="FFD9E1F2"/>
      </patternFill>
    </fill>
    <fill>
      <patternFill patternType="solid">
        <fgColor rgb="FFFFF2CC"/>
        <bgColor rgb="FFFCE4D6"/>
      </patternFill>
    </fill>
    <fill>
      <patternFill patternType="solid">
        <fgColor rgb="FFFCE4EC"/>
        <bgColor rgb="FFFCE4D6"/>
      </patternFill>
    </fill>
    <fill>
      <patternFill patternType="solid">
        <fgColor rgb="FFE2EFDA"/>
        <bgColor rgb="FFEDEDED"/>
      </patternFill>
    </fill>
    <fill>
      <patternFill patternType="solid">
        <fgColor rgb="FFEDE7F6"/>
        <bgColor rgb="FFEDEDED"/>
      </patternFill>
    </fill>
    <fill>
      <patternFill patternType="solid">
        <fgColor rgb="FFEDEDED"/>
        <bgColor rgb="FFF2F2F2"/>
      </patternFill>
    </fill>
    <fill>
      <patternFill patternType="solid">
        <fgColor rgb="FFF2F2F2"/>
        <bgColor rgb="FFEDEDED"/>
      </patternFill>
    </fill>
    <fill>
      <patternFill patternType="solid">
        <fgColor rgb="FF7F7F7F"/>
        <bgColor rgb="FF666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1" fontId="8" fillId="4" borderId="1" xfId="0" applyFont="tru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7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75" fontId="8"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10"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6" fontId="8" fillId="0" borderId="1" xfId="0" applyFont="true" applyBorder="true" applyAlignment="false" applyProtection="false">
      <alignment horizontal="general" vertical="bottom" textRotation="0" wrapText="false" indent="0" shrinkToFit="false"/>
      <protection locked="true" hidden="false"/>
    </xf>
    <xf numFmtId="176" fontId="10"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66" fontId="10" fillId="0" borderId="1" xfId="0" applyFont="true" applyBorder="true" applyAlignment="true" applyProtection="false">
      <alignment horizontal="center" vertical="center" textRotation="0" wrapText="true" indent="0" shrinkToFit="false"/>
      <protection locked="true" hidden="false"/>
    </xf>
    <xf numFmtId="175" fontId="8" fillId="0"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4" fontId="10"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4" fontId="7" fillId="9" borderId="1" xfId="0" applyFont="true" applyBorder="true" applyAlignment="false" applyProtection="false">
      <alignment horizontal="general" vertical="bottom" textRotation="0" wrapText="false" indent="0" shrinkToFit="false"/>
      <protection locked="true" hidden="false"/>
    </xf>
    <xf numFmtId="164" fontId="10" fillId="10" borderId="1" xfId="0" applyFont="true" applyBorder="true" applyAlignment="false" applyProtection="false">
      <alignment horizontal="general" vertical="bottom" textRotation="0" wrapText="false" indent="0" shrinkToFit="false"/>
      <protection locked="true" hidden="false"/>
    </xf>
    <xf numFmtId="164" fontId="7" fillId="10" borderId="1" xfId="0" applyFont="tru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false" applyProtection="false">
      <alignment horizontal="general" vertical="bottom" textRotation="0" wrapText="false" indent="0" shrinkToFit="false"/>
      <protection locked="true" hidden="false"/>
    </xf>
    <xf numFmtId="164" fontId="7" fillId="11" borderId="1" xfId="0" applyFont="true" applyBorder="true" applyAlignment="false" applyProtection="false">
      <alignment horizontal="general" vertical="bottom" textRotation="0" wrapText="false" indent="0" shrinkToFit="false"/>
      <protection locked="true" hidden="false"/>
    </xf>
    <xf numFmtId="164" fontId="10" fillId="12" borderId="1" xfId="0" applyFont="true" applyBorder="true" applyAlignment="false" applyProtection="false">
      <alignment horizontal="general" vertical="bottom" textRotation="0" wrapText="false" indent="0" shrinkToFit="false"/>
      <protection locked="true" hidden="false"/>
    </xf>
    <xf numFmtId="164" fontId="7" fillId="12"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5" fontId="14" fillId="0" borderId="1" xfId="0" applyFont="tru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center" vertical="center" textRotation="0" wrapText="true" indent="0" shrinkToFit="false"/>
      <protection locked="true" hidden="false"/>
    </xf>
    <xf numFmtId="164" fontId="11" fillId="8" borderId="1" xfId="0" applyFont="true" applyBorder="true" applyAlignment="true" applyProtection="false">
      <alignment horizontal="center" vertical="center" textRotation="0" wrapText="true" indent="0" shrinkToFit="false"/>
      <protection locked="true" hidden="false"/>
    </xf>
    <xf numFmtId="164" fontId="11" fillId="9" borderId="1" xfId="0" applyFont="true" applyBorder="true" applyAlignment="true" applyProtection="false">
      <alignment horizontal="center" vertical="center" textRotation="0" wrapText="true" indent="0" shrinkToFit="false"/>
      <protection locked="true" hidden="false"/>
    </xf>
    <xf numFmtId="164" fontId="11"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center" vertical="center" textRotation="0" wrapText="true" indent="0" shrinkToFit="false"/>
      <protection locked="true" hidden="false"/>
    </xf>
    <xf numFmtId="164" fontId="11" fillId="12" borderId="1" xfId="0" applyFont="true" applyBorder="true" applyAlignment="true" applyProtection="false">
      <alignment horizontal="center" vertical="center" textRotation="0" wrapText="true" indent="0" shrinkToFit="false"/>
      <protection locked="true" hidden="false"/>
    </xf>
    <xf numFmtId="177" fontId="14" fillId="0"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72" fontId="14" fillId="0"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78" fontId="14" fillId="0" borderId="1" xfId="0" applyFont="true" applyBorder="true" applyAlignment="false" applyProtection="false">
      <alignment horizontal="general" vertical="bottom" textRotation="0" wrapText="false" indent="0" shrinkToFit="false"/>
      <protection locked="true" hidden="false"/>
    </xf>
    <xf numFmtId="178" fontId="10" fillId="13" borderId="1" xfId="0" applyFont="true" applyBorder="true" applyAlignment="false" applyProtection="false">
      <alignment horizontal="general" vertical="bottom" textRotation="0" wrapText="false" indent="0" shrinkToFit="false"/>
      <protection locked="true" hidden="false"/>
    </xf>
    <xf numFmtId="178" fontId="8"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79" fontId="8" fillId="2"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80" fontId="10" fillId="13" borderId="1" xfId="0" applyFont="true" applyBorder="true" applyAlignment="false" applyProtection="false">
      <alignment horizontal="general" vertical="bottom" textRotation="0" wrapText="false" indent="0" shrinkToFit="false"/>
      <protection locked="true" hidden="false"/>
    </xf>
    <xf numFmtId="180" fontId="7" fillId="1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71" fontId="7" fillId="13" borderId="1" xfId="0" applyFont="true" applyBorder="true" applyAlignment="false" applyProtection="false">
      <alignment horizontal="general" vertical="bottom" textRotation="0" wrapText="false" indent="0" shrinkToFit="false"/>
      <protection locked="true" hidden="false"/>
    </xf>
    <xf numFmtId="179" fontId="14" fillId="0" borderId="1" xfId="0" applyFont="true" applyBorder="true" applyAlignment="false" applyProtection="false">
      <alignment horizontal="general" vertical="bottom" textRotation="0" wrapText="false" indent="0" shrinkToFit="false"/>
      <protection locked="true" hidden="false"/>
    </xf>
    <xf numFmtId="164" fontId="12" fillId="14" borderId="1" xfId="0" applyFont="true" applyBorder="true" applyAlignment="true" applyProtection="false">
      <alignment horizontal="center" vertical="center" textRotation="0" wrapText="true" indent="0" shrinkToFit="false"/>
      <protection locked="true" hidden="false"/>
    </xf>
    <xf numFmtId="177" fontId="7" fillId="1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82" fontId="7" fillId="13" borderId="1" xfId="0" applyFont="true" applyBorder="true" applyAlignment="false" applyProtection="false">
      <alignment horizontal="general" vertical="bottom" textRotation="0" wrapText="false" indent="0" shrinkToFit="false"/>
      <protection locked="true" hidden="false"/>
    </xf>
    <xf numFmtId="183" fontId="7" fillId="13" borderId="1" xfId="0" applyFont="true" applyBorder="true" applyAlignment="false" applyProtection="false">
      <alignment horizontal="general" vertical="bottom" textRotation="0" wrapText="false" indent="0" shrinkToFit="false"/>
      <protection locked="true" hidden="false"/>
    </xf>
    <xf numFmtId="184" fontId="10" fillId="13" borderId="1" xfId="0" applyFont="true" applyBorder="true" applyAlignment="false" applyProtection="false">
      <alignment horizontal="general" vertical="bottom" textRotation="0" wrapText="false" indent="0" shrinkToFit="false"/>
      <protection locked="true" hidden="false"/>
    </xf>
    <xf numFmtId="183" fontId="10" fillId="13" borderId="1" xfId="0" applyFont="true" applyBorder="true" applyAlignment="false" applyProtection="false">
      <alignment horizontal="general" vertical="bottom" textRotation="0" wrapText="false" indent="0" shrinkToFit="false"/>
      <protection locked="true" hidden="false"/>
    </xf>
    <xf numFmtId="183" fontId="7" fillId="0" borderId="1" xfId="0" applyFont="true" applyBorder="true" applyAlignment="false" applyProtection="false">
      <alignment horizontal="general" vertical="bottom" textRotation="0" wrapText="false" indent="0" shrinkToFit="false"/>
      <protection locked="true" hidden="false"/>
    </xf>
    <xf numFmtId="185" fontId="7" fillId="0" borderId="1" xfId="0" applyFont="true" applyBorder="true" applyAlignment="false" applyProtection="false">
      <alignment horizontal="general" vertical="bottom" textRotation="0" wrapText="false" indent="0" shrinkToFit="false"/>
      <protection locked="true" hidden="false"/>
    </xf>
    <xf numFmtId="186" fontId="7" fillId="0" borderId="1" xfId="0" applyFont="true" applyBorder="true" applyAlignment="false" applyProtection="false">
      <alignment horizontal="general" vertical="bottom" textRotation="0" wrapText="false" indent="0" shrinkToFit="false"/>
      <protection locked="true" hidden="false"/>
    </xf>
    <xf numFmtId="183" fontId="10" fillId="0" borderId="1" xfId="0" applyFont="true" applyBorder="true" applyAlignment="false" applyProtection="false">
      <alignment horizontal="general" vertical="bottom" textRotation="0" wrapText="false" indent="0" shrinkToFit="false"/>
      <protection locked="true" hidden="false"/>
    </xf>
    <xf numFmtId="179" fontId="10" fillId="13"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E2EFDA"/>
        </patternFill>
      </fill>
    </dxf>
    <dxf>
      <fill>
        <patternFill>
          <bgColor rgb="FFFCE4D6"/>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7F6"/>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EC"/>
          <bgColor rgb="FF000000"/>
        </patternFill>
      </fill>
    </dxf>
    <dxf>
      <fill>
        <patternFill patternType="solid">
          <fgColor rgb="FFFFF2CC"/>
          <bgColor rgb="FF000000"/>
        </patternFill>
      </fill>
    </dxf>
    <dxf>
      <fill>
        <patternFill patternType="solid">
          <fgColor rgb="FFFFFF00"/>
          <bgColor rgb="FF000000"/>
        </patternFill>
      </fill>
    </dxf>
    <dxf>
      <fill>
        <patternFill patternType="solid">
          <fgColor rgb="FF0000FF"/>
          <bgColor rgb="FF000000"/>
        </patternFill>
      </fill>
    </dxf>
    <dxf>
      <font>
        <strike val="1"/>
        <color rgb="FFA6A6A6"/>
      </font>
    </dxf>
    <dxf>
      <font>
        <b val="1"/>
        <color rgb="FFC00000"/>
      </font>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EDEDED"/>
      <rgbColor rgb="FF993366"/>
      <rgbColor rgb="FFFFFDE7"/>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E2EFDA"/>
      <rgbColor rgb="FFFFF2CC"/>
      <rgbColor rgb="FFEDE7F6"/>
      <rgbColor rgb="FFFCE4D6"/>
      <rgbColor rgb="FFFCE4EC"/>
      <rgbColor rgb="FFF8CBAD"/>
      <rgbColor rgb="FF3366FF"/>
      <rgbColor rgb="FF33CCCC"/>
      <rgbColor rgb="FF99CC00"/>
      <rgbColor rgb="FFFFCC00"/>
      <rgbColor rgb="FFFF9900"/>
      <rgbColor rgb="FFFF6600"/>
      <rgbColor rgb="FF66669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4"/>
    <col collapsed="false" customWidth="true" hidden="false" outlineLevel="0" max="4" min="4" style="0" width="40"/>
    <col collapsed="false" customWidth="true" hidden="false" outlineLevel="0" max="5" min="5" style="0" width="3"/>
    <col collapsed="false" customWidth="true" hidden="false" outlineLevel="0" max="6" min="6" style="0" width="36"/>
    <col collapsed="false" customWidth="true" hidden="false" outlineLevel="0" max="10" min="7" style="0" width="11"/>
    <col collapsed="false" customWidth="true" hidden="false" outlineLevel="0" max="11" min="11" style="0" width="3"/>
    <col collapsed="false" customWidth="true" hidden="false" outlineLevel="0" max="12" min="12"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F4" s="3" t="s">
        <v>3</v>
      </c>
      <c r="L4" s="3" t="s">
        <v>4</v>
      </c>
    </row>
    <row r="5" customFormat="false" ht="15" hidden="false" customHeight="false" outlineLevel="0" collapsed="false">
      <c r="B5" s="4" t="s">
        <v>5</v>
      </c>
      <c r="C5" s="5" t="s">
        <v>6</v>
      </c>
      <c r="F5" s="4" t="s">
        <v>7</v>
      </c>
      <c r="G5" s="6" t="n">
        <f aca="false">'Matrix Model'!C270</f>
        <v>2.87499509083363</v>
      </c>
      <c r="L5" s="7" t="s">
        <v>8</v>
      </c>
    </row>
    <row r="6" customFormat="false" ht="15" hidden="false" customHeight="false" outlineLevel="0" collapsed="false">
      <c r="B6" s="4" t="s">
        <v>9</v>
      </c>
      <c r="C6" s="8" t="n">
        <v>21</v>
      </c>
      <c r="F6" s="4" t="s">
        <v>10</v>
      </c>
      <c r="G6" s="9" t="n">
        <f aca="false">G5*7</f>
        <v>20.1249656358354</v>
      </c>
      <c r="L6" s="7" t="s">
        <v>11</v>
      </c>
    </row>
    <row r="7" customFormat="false" ht="15" hidden="false" customHeight="false" outlineLevel="0" collapsed="false">
      <c r="B7" s="4" t="s">
        <v>12</v>
      </c>
      <c r="C7" s="10" t="n">
        <v>5</v>
      </c>
      <c r="D7" s="11" t="n">
        <v>8</v>
      </c>
      <c r="F7" s="4" t="s">
        <v>13</v>
      </c>
      <c r="G7" s="12" t="n">
        <f aca="false">'Matrix Model'!C271</f>
        <v>0</v>
      </c>
      <c r="L7" s="7" t="s">
        <v>14</v>
      </c>
    </row>
    <row r="8" customFormat="false" ht="15" hidden="false" customHeight="false" outlineLevel="0" collapsed="false">
      <c r="B8" s="4" t="s">
        <v>15</v>
      </c>
      <c r="C8" s="13" t="n">
        <v>155</v>
      </c>
      <c r="F8" s="4" t="s">
        <v>16</v>
      </c>
      <c r="G8" s="14" t="str">
        <f aca="false">IF(G7=0,"✓ Plan meets every rule","✗ Re-run Solver: the plan does not fit these inputs")</f>
        <v>✓ Plan meets every rule</v>
      </c>
      <c r="H8" s="14"/>
      <c r="I8" s="14"/>
      <c r="J8" s="14"/>
      <c r="L8" s="7" t="s">
        <v>17</v>
      </c>
    </row>
    <row r="9" customFormat="false" ht="15" hidden="false" customHeight="false" outlineLevel="0" collapsed="false">
      <c r="B9" s="4" t="s">
        <v>18</v>
      </c>
      <c r="C9" s="5" t="s">
        <v>19</v>
      </c>
      <c r="L9" s="7" t="s">
        <v>20</v>
      </c>
    </row>
    <row r="10" customFormat="false" ht="15" hidden="false" customHeight="false" outlineLevel="0" collapsed="false">
      <c r="B10" s="4" t="s">
        <v>21</v>
      </c>
      <c r="C10" s="5" t="s">
        <v>22</v>
      </c>
      <c r="F10" s="15" t="s">
        <v>23</v>
      </c>
      <c r="L10" s="2" t="s">
        <v>24</v>
      </c>
    </row>
    <row r="11" customFormat="false" ht="15" hidden="false" customHeight="false" outlineLevel="0" collapsed="false">
      <c r="B11" s="4" t="s">
        <v>25</v>
      </c>
      <c r="C11" s="5" t="s">
        <v>26</v>
      </c>
      <c r="D11" s="2" t="s">
        <v>27</v>
      </c>
      <c r="F11" s="16" t="s">
        <v>28</v>
      </c>
      <c r="G11" s="16" t="s">
        <v>29</v>
      </c>
      <c r="H11" s="16" t="s">
        <v>30</v>
      </c>
      <c r="I11" s="16" t="s">
        <v>31</v>
      </c>
      <c r="L11" s="2" t="s">
        <v>32</v>
      </c>
    </row>
    <row r="12" customFormat="false" ht="15" hidden="false" customHeight="false" outlineLevel="0" collapsed="false">
      <c r="B12" s="2" t="s">
        <v>33</v>
      </c>
      <c r="F12" s="4" t="s">
        <v>34</v>
      </c>
      <c r="G12" s="17" t="n">
        <f aca="false">'Matrix Model'!C275</f>
        <v>2878.499999883</v>
      </c>
      <c r="H12" s="18" t="n">
        <f aca="false">Planner!$E$16*(1-Planner!$C$42)</f>
        <v>2878.5</v>
      </c>
      <c r="I12" s="18" t="n">
        <f aca="false">Planner!$E$16*(1+Planner!$C$42)</f>
        <v>3181.5</v>
      </c>
      <c r="L12" s="2" t="s">
        <v>35</v>
      </c>
    </row>
    <row r="13" customFormat="false" ht="15" hidden="false" customHeight="false" outlineLevel="0" collapsed="false">
      <c r="F13" s="4" t="s">
        <v>36</v>
      </c>
      <c r="G13" s="17" t="n">
        <f aca="false">'Matrix Model'!C276</f>
        <v>111.99999999238</v>
      </c>
      <c r="H13" s="18" t="n">
        <f aca="false">MAX(N(Planner!$E$17),'Matrix Model'!$C$8*$G$12/4)</f>
        <v>112</v>
      </c>
      <c r="I13" s="18" t="n">
        <f aca="false">'Matrix Model'!$D$8*$G$12/4</f>
        <v>251.868749989762</v>
      </c>
      <c r="L13" s="2" t="s">
        <v>37</v>
      </c>
    </row>
    <row r="14" customFormat="false" ht="15" hidden="false" customHeight="false" outlineLevel="0" collapsed="false">
      <c r="B14" s="3" t="s">
        <v>38</v>
      </c>
      <c r="F14" s="4" t="s">
        <v>39</v>
      </c>
      <c r="G14" s="17" t="n">
        <f aca="false">'Matrix Model'!C277</f>
        <v>467.75624998337</v>
      </c>
      <c r="H14" s="18" t="n">
        <f aca="false">'Matrix Model'!$C$9*$G$12/4</f>
        <v>323.831249986838</v>
      </c>
      <c r="I14" s="18" t="n">
        <f aca="false">'Matrix Model'!$D$9*$G$12/4</f>
        <v>467.756249980988</v>
      </c>
      <c r="L14" s="7" t="s">
        <v>40</v>
      </c>
    </row>
    <row r="15" customFormat="false" ht="91" hidden="false" customHeight="false" outlineLevel="0" collapsed="false">
      <c r="B15" s="16" t="s">
        <v>41</v>
      </c>
      <c r="C15" s="16" t="s">
        <v>42</v>
      </c>
      <c r="D15" s="16" t="s">
        <v>43</v>
      </c>
      <c r="E15" s="16" t="s">
        <v>44</v>
      </c>
      <c r="F15" s="4" t="s">
        <v>45</v>
      </c>
      <c r="G15" s="17" t="n">
        <f aca="false">'Matrix Model'!C278</f>
        <v>65.50461073898</v>
      </c>
      <c r="H15" s="18" t="n">
        <f aca="false">'Matrix Model'!$C$10*$G$12/9</f>
        <v>63.9666666640667</v>
      </c>
      <c r="I15" s="18" t="n">
        <f aca="false">'Matrix Model'!$D$10*$G$12/9</f>
        <v>111.941666662117</v>
      </c>
      <c r="L15" s="7" t="s">
        <v>46</v>
      </c>
    </row>
    <row r="16" customFormat="false" ht="15" hidden="false" customHeight="false" outlineLevel="0" collapsed="false">
      <c r="B16" s="4" t="s">
        <v>47</v>
      </c>
      <c r="C16" s="18" t="n">
        <f aca="false">MAX(IF(Planner!$C$5="Male",'DRI Tables'!$E$17,'DRI Tables'!$E$18),ROUND(($C$31+$C$32)/10,0)*10)</f>
        <v>3030</v>
      </c>
      <c r="D16" s="19"/>
      <c r="E16" s="20" t="n">
        <f aca="false">IF(AND(D16="",C16=""),"",IF(D16="",C16,D16))</f>
        <v>3030</v>
      </c>
      <c r="F16" s="4" t="s">
        <v>48</v>
      </c>
      <c r="G16" s="17" t="n">
        <f aca="false">'Matrix Model'!C279</f>
        <v>45.7854769708</v>
      </c>
      <c r="H16" s="18" t="n">
        <f aca="false">Planner!$E$18</f>
        <v>42</v>
      </c>
      <c r="I16" s="18"/>
      <c r="L16" s="7" t="s">
        <v>49</v>
      </c>
    </row>
    <row r="17" customFormat="false" ht="15" hidden="false" customHeight="false" outlineLevel="0" collapsed="false">
      <c r="B17" s="4" t="s">
        <v>50</v>
      </c>
      <c r="C17" s="18" t="n">
        <f aca="false">MIN(MAX(ROUND(1.6*$C$28,0),ROUND(0.1*$C$16/4,0)),ROUND(0.3*$C$16/4,0))</f>
        <v>112</v>
      </c>
      <c r="D17" s="19"/>
      <c r="E17" s="20" t="n">
        <f aca="false">IF(AND(D17="",C17=""),"",IF(D17="",C17,D17))</f>
        <v>112</v>
      </c>
      <c r="F17" s="4" t="s">
        <v>51</v>
      </c>
      <c r="G17" s="17" t="n">
        <f aca="false">'Matrix Model'!C280</f>
        <v>70.42665832904</v>
      </c>
      <c r="H17" s="18"/>
      <c r="I17" s="18" t="str">
        <f aca="false">IF(Planner!$E$24="","",Planner!$E$24)</f>
        <v/>
      </c>
    </row>
    <row r="18" customFormat="false" ht="15" hidden="false" customHeight="false" outlineLevel="0" collapsed="false">
      <c r="B18" s="4" t="s">
        <v>52</v>
      </c>
      <c r="C18" s="18" t="n">
        <f aca="false">ROUND(14*$C$16/1000,0)</f>
        <v>42</v>
      </c>
      <c r="D18" s="19"/>
      <c r="E18" s="20" t="n">
        <f aca="false">IF(AND(D18="",C18=""),"",IF(D18="",C18,D18))</f>
        <v>42</v>
      </c>
      <c r="F18" s="4" t="s">
        <v>53</v>
      </c>
      <c r="G18" s="17" t="n">
        <f aca="false">'Matrix Model'!C281</f>
        <v>999.999999993</v>
      </c>
      <c r="H18" s="18" t="n">
        <f aca="false">Planner!$E$19</f>
        <v>1000</v>
      </c>
      <c r="I18" s="18"/>
    </row>
    <row r="19" customFormat="false" ht="15" hidden="false" customHeight="false" outlineLevel="0" collapsed="false">
      <c r="B19" s="4" t="s">
        <v>54</v>
      </c>
      <c r="C19" s="18" t="n">
        <f aca="false">IF(Planner!$C$5="Male",INDEX('DRI Tables'!$E$23:$E$27,MATCH($C$29,'DRI Tables'!$A$23:$A$27,0)),INDEX('DRI Tables'!$F$23:$F$27,MATCH($C$29,'DRI Tables'!$A$23:$A$27,0)))</f>
        <v>1000</v>
      </c>
      <c r="D19" s="19"/>
      <c r="E19" s="20" t="n">
        <f aca="false">IF(AND(D19="",C19=""),"",IF(D19="",C19,D19))</f>
        <v>1000</v>
      </c>
      <c r="F19" s="4" t="s">
        <v>55</v>
      </c>
      <c r="G19" s="17" t="n">
        <f aca="false">'Matrix Model'!C282</f>
        <v>23.29435064691</v>
      </c>
      <c r="H19" s="18" t="n">
        <f aca="false">Planner!$E$20</f>
        <v>8</v>
      </c>
      <c r="I19" s="18"/>
    </row>
    <row r="20" customFormat="false" ht="15" hidden="false" customHeight="false" outlineLevel="0" collapsed="false">
      <c r="B20" s="4" t="s">
        <v>56</v>
      </c>
      <c r="C20" s="18" t="n">
        <f aca="false">IF(Planner!$C$5="Male",INDEX('DRI Tables'!$G$23:$G$27,MATCH($C$29,'DRI Tables'!$A$23:$A$27,0)),INDEX('DRI Tables'!$H$23:$H$27,MATCH($C$29,'DRI Tables'!$A$23:$A$27,0)))</f>
        <v>8</v>
      </c>
      <c r="D20" s="19"/>
      <c r="E20" s="20" t="n">
        <f aca="false">IF(AND(D20="",C20=""),"",IF(D20="",C20,D20))</f>
        <v>8</v>
      </c>
      <c r="F20" s="4" t="s">
        <v>57</v>
      </c>
      <c r="G20" s="17" t="n">
        <f aca="false">'Matrix Model'!C283</f>
        <v>5100.496644172</v>
      </c>
      <c r="H20" s="18" t="n">
        <f aca="false">Planner!$E$21</f>
        <v>3400</v>
      </c>
      <c r="I20" s="18"/>
    </row>
    <row r="21" customFormat="false" ht="15" hidden="false" customHeight="false" outlineLevel="0" collapsed="false">
      <c r="B21" s="4" t="s">
        <v>58</v>
      </c>
      <c r="C21" s="18" t="n">
        <f aca="false">IF(Planner!$C$5="Male",INDEX('DRI Tables'!$I$23:$I$27,MATCH($C$29,'DRI Tables'!$A$23:$A$27,0)),INDEX('DRI Tables'!$J$23:$J$27,MATCH($C$29,'DRI Tables'!$A$23:$A$27,0)))</f>
        <v>3400</v>
      </c>
      <c r="D21" s="19"/>
      <c r="E21" s="20" t="n">
        <f aca="false">IF(AND(D21="",C21=""),"",IF(D21="",C21,D21))</f>
        <v>3400</v>
      </c>
      <c r="F21" s="4" t="s">
        <v>59</v>
      </c>
      <c r="G21" s="17" t="n">
        <f aca="false">'Matrix Model'!C284</f>
        <v>780.055020859</v>
      </c>
      <c r="H21" s="18"/>
      <c r="I21" s="18" t="n">
        <f aca="false">Planner!$E$23</f>
        <v>2300</v>
      </c>
    </row>
    <row r="22" customFormat="false" ht="15" hidden="false" customHeight="false" outlineLevel="0" collapsed="false">
      <c r="B22" s="4" t="s">
        <v>60</v>
      </c>
      <c r="C22" s="18" t="n">
        <f aca="false">IF(Planner!$C$5="Male",INDEX('DRI Tables'!$C$23:$C$27,MATCH($C$29,'DRI Tables'!$A$23:$A$27,0)),INDEX('DRI Tables'!$D$23:$D$27,MATCH($C$29,'DRI Tables'!$A$23:$A$27,0)))</f>
        <v>90</v>
      </c>
      <c r="D22" s="19"/>
      <c r="E22" s="20" t="n">
        <f aca="false">IF(AND(D22="",C22=""),"",IF(D22="",C22,D22))</f>
        <v>90</v>
      </c>
      <c r="F22" s="4" t="s">
        <v>61</v>
      </c>
      <c r="G22" s="17" t="n">
        <f aca="false">'Matrix Model'!C285</f>
        <v>126.7483161952</v>
      </c>
      <c r="H22" s="18" t="n">
        <f aca="false">Planner!$E$22</f>
        <v>90</v>
      </c>
      <c r="I22" s="18"/>
    </row>
    <row r="23" customFormat="false" ht="15" hidden="false" customHeight="false" outlineLevel="0" collapsed="false">
      <c r="B23" s="4" t="s">
        <v>62</v>
      </c>
      <c r="C23" s="18" t="n">
        <f aca="false">IF(INDEX(Diets!$T$5:$T$14,MATCH(Planner!$C$36,Diets!$A$5:$A$14,0))="",2300,MIN(2300,INDEX(Diets!$T$5:$T$14,MATCH(Planner!$C$36,Diets!$A$5:$A$14,0))))</f>
        <v>2300</v>
      </c>
      <c r="D23" s="19"/>
      <c r="E23" s="20" t="n">
        <f aca="false">IF(AND(D23="",C23=""),"",IF(D23="",C23,D23))</f>
        <v>2300</v>
      </c>
      <c r="F23" s="4" t="s">
        <v>63</v>
      </c>
      <c r="G23" s="17" t="n">
        <f aca="false">'Matrix Model'!C286</f>
        <v>19.058425245663</v>
      </c>
      <c r="H23" s="18"/>
      <c r="I23" s="18" t="str">
        <f aca="false">IF('Matrix Model'!$D$11&gt;=1,"",'Matrix Model'!$D$11*$G$12/9)</f>
        <v/>
      </c>
    </row>
    <row r="24" customFormat="false" ht="15" hidden="false" customHeight="false" outlineLevel="0" collapsed="false">
      <c r="B24" s="4" t="s">
        <v>64</v>
      </c>
      <c r="C24" s="18"/>
      <c r="D24" s="19"/>
      <c r="E24" s="20" t="str">
        <f aca="false">IF(AND(D24="",C24=""),"",IF(D24="",C24,D24))</f>
        <v/>
      </c>
    </row>
    <row r="26" customFormat="false" ht="15" hidden="false" customHeight="false" outlineLevel="0" collapsed="false">
      <c r="B26" s="15" t="s">
        <v>65</v>
      </c>
      <c r="F26" s="15" t="s">
        <v>66</v>
      </c>
    </row>
    <row r="27" customFormat="false" ht="15" hidden="false" customHeight="false" outlineLevel="0" collapsed="false">
      <c r="B27" s="4" t="s">
        <v>67</v>
      </c>
      <c r="C27" s="21" t="n">
        <f aca="false">ROUND((Planner!$C$7*12+N(Planner!$D$7))*2.54,0)</f>
        <v>173</v>
      </c>
      <c r="F27" s="22" t="s">
        <v>68</v>
      </c>
      <c r="G27" s="22" t="s">
        <v>69</v>
      </c>
      <c r="H27" s="22" t="s">
        <v>70</v>
      </c>
      <c r="I27" s="22" t="s">
        <v>71</v>
      </c>
      <c r="J27" s="22" t="s">
        <v>72</v>
      </c>
    </row>
    <row r="28" customFormat="false" ht="15" hidden="false" customHeight="false" outlineLevel="0" collapsed="false">
      <c r="B28" s="4" t="s">
        <v>73</v>
      </c>
      <c r="C28" s="23" t="n">
        <f aca="false">ROUND(Planner!$C$8*0.45359237,1)</f>
        <v>70.3</v>
      </c>
      <c r="F28" s="4" t="str">
        <f aca="false">IFERROR(INDEX('Matrix Model'!$B$123:$B$268,MATCH(1,'Matrix Model'!$N$123:$N$268,0)),"")</f>
        <v>Eggs (large)</v>
      </c>
      <c r="G28" s="21" t="n">
        <f aca="false">IFERROR(INDEX('Matrix Model'!$J$123:$J$268,MATCH(1,'Matrix Model'!$N$123:$N$268,0)),"")</f>
        <v>150</v>
      </c>
      <c r="H28" s="23" t="n">
        <f aca="false">IFERROR(G28/INDEX('Food Data'!$N$6:$N$151,MATCH(1,'Matrix Model'!$N$123:$N$268,0)),"")</f>
        <v>3</v>
      </c>
      <c r="I28" s="21" t="n">
        <f aca="false">IFERROR(G28*INDEX('Food Data'!$AL$6:$AL$151,MATCH(1,'Matrix Model'!$N$123:$N$268,0))/100,"")</f>
        <v>214.5</v>
      </c>
      <c r="J28" s="21" t="n">
        <f aca="false">IFERROR(G28*INDEX('Food Data'!$AM$6:$AM$151,MATCH(1,'Matrix Model'!$N$123:$N$268,0))/100,"")</f>
        <v>18.84</v>
      </c>
    </row>
    <row r="29" customFormat="false" ht="15" hidden="false" customHeight="false" outlineLevel="0" collapsed="false">
      <c r="B29" s="4" t="s">
        <v>74</v>
      </c>
      <c r="C29" s="4" t="str">
        <f aca="false">IF(Planner!$C$6&lt;19,"teen",IF(Planner!$C$6&lt;=30,"young",IF(Planner!$C$6&lt;=50,"mid",IF(Planner!$C$6&lt;=70,"older","oldest"))))</f>
        <v>young</v>
      </c>
      <c r="F29" s="4" t="str">
        <f aca="false">IFERROR(INDEX('Matrix Model'!$B$123:$B$268,MATCH(2,'Matrix Model'!$N$123:$N$268,0)),"")</f>
        <v>Peanut butter</v>
      </c>
      <c r="G29" s="21" t="n">
        <f aca="false">IFERROR(INDEX('Matrix Model'!$J$123:$J$268,MATCH(2,'Matrix Model'!$N$123:$N$268,0)),"")</f>
        <v>32</v>
      </c>
      <c r="H29" s="23" t="n">
        <f aca="false">IFERROR(G29/INDEX('Food Data'!$N$6:$N$151,MATCH(2,'Matrix Model'!$N$123:$N$268,0)),"")</f>
        <v>1</v>
      </c>
      <c r="I29" s="21" t="n">
        <f aca="false">IFERROR(G29*INDEX('Food Data'!$AL$6:$AL$151,MATCH(2,'Matrix Model'!$N$123:$N$268,0))/100,"")</f>
        <v>191.36</v>
      </c>
      <c r="J29" s="21" t="n">
        <f aca="false">IFERROR(G29*INDEX('Food Data'!$AM$6:$AM$151,MATCH(2,'Matrix Model'!$N$123:$N$268,0))/100,"")</f>
        <v>7.1072</v>
      </c>
    </row>
    <row r="30" customFormat="false" ht="15" hidden="false" customHeight="false" outlineLevel="0" collapsed="false">
      <c r="B30" s="4" t="s">
        <v>75</v>
      </c>
      <c r="C30" s="24" t="n">
        <f aca="false">IF(Planner!$C$11="Same as current site",INDEX('DRI Tables'!$B$11:$E$14,IF(Planner!$C$6&lt;19,IF(Planner!$C$5="Male",3,4),IF(Planner!$C$5="Male",1,2)),MATCH(Planner!$C$9,'DRI Tables'!$B$4:$E$4,0)),INDEX('DRI Tables'!$B$5:$E$8,IF(Planner!$C$6&lt;19,IF(Planner!$C$5="Male",3,4),IF(Planner!$C$5="Male",1,2)),MATCH(Planner!$C$9,'DRI Tables'!$B$4:$E$4,0)))</f>
        <v>1.25</v>
      </c>
      <c r="F30" s="4" t="str">
        <f aca="false">IFERROR(INDEX('Matrix Model'!$B$123:$B$268,MATCH(3,'Matrix Model'!$N$123:$N$268,0)),"")</f>
        <v>2% milk</v>
      </c>
      <c r="G30" s="21" t="n">
        <f aca="false">IFERROR(INDEX('Matrix Model'!$J$123:$J$268,MATCH(3,'Matrix Model'!$N$123:$N$268,0)),"")</f>
        <v>229.9540488</v>
      </c>
      <c r="H30" s="23" t="n">
        <f aca="false">IFERROR(G30/INDEX('Food Data'!$N$6:$N$151,MATCH(3,'Matrix Model'!$N$123:$N$268,0)),"")</f>
        <v>0.942434626229508</v>
      </c>
      <c r="I30" s="21" t="n">
        <f aca="false">IFERROR(G30*INDEX('Food Data'!$AL$6:$AL$151,MATCH(3,'Matrix Model'!$N$123:$N$268,0))/100,"")</f>
        <v>114.9770244</v>
      </c>
      <c r="J30" s="21" t="n">
        <f aca="false">IFERROR(G30*INDEX('Food Data'!$AM$6:$AM$151,MATCH(3,'Matrix Model'!$N$123:$N$268,0))/100,"")</f>
        <v>7.5884836104</v>
      </c>
    </row>
    <row r="31" customFormat="false" ht="15" hidden="false" customHeight="false" outlineLevel="0" collapsed="false">
      <c r="B31" s="4" t="s">
        <v>76</v>
      </c>
      <c r="C31" s="18" t="n">
        <f aca="false">ROUND(IF(Planner!$C$6&lt;19,IF(Planner!$C$5="Male",88.5-61.9*Planner!$C$6+$C$30*(26.7*$C$28+903*($C$27/100))+25,135.3-30.8*Planner!$C$6+$C$30*(10*$C$28+934*($C$27/100))+IF(Planner!$C$11="Same as current site",20,25)),IF(Planner!$C$5="Male",662-9.53*Planner!$C$6+$C$30*(15.91*$C$28+539.6*($C$27/100)),354-6.91*Planner!$C$6+$C$30*(9.36*$C$28+726*($C$27/100))))/10,0)*10</f>
        <v>3030</v>
      </c>
      <c r="F31" s="4" t="str">
        <f aca="false">IFERROR(INDEX('Matrix Model'!$B$123:$B$268,MATCH(4,'Matrix Model'!$N$123:$N$268,0)),"")</f>
        <v>Bananas</v>
      </c>
      <c r="G31" s="21" t="n">
        <f aca="false">IFERROR(INDEX('Matrix Model'!$J$123:$J$268,MATCH(4,'Matrix Model'!$N$123:$N$268,0)),"")</f>
        <v>118</v>
      </c>
      <c r="H31" s="23" t="n">
        <f aca="false">IFERROR(G31/INDEX('Food Data'!$N$6:$N$151,MATCH(4,'Matrix Model'!$N$123:$N$268,0)),"")</f>
        <v>1</v>
      </c>
      <c r="I31" s="21" t="n">
        <f aca="false">IFERROR(G31*INDEX('Food Data'!$AL$6:$AL$151,MATCH(4,'Matrix Model'!$N$123:$N$268,0))/100,"")</f>
        <v>105.02</v>
      </c>
      <c r="J31" s="21" t="n">
        <f aca="false">IFERROR(G31*INDEX('Food Data'!$AM$6:$AM$151,MATCH(4,'Matrix Model'!$N$123:$N$268,0))/100,"")</f>
        <v>1.2862</v>
      </c>
    </row>
    <row r="32" customFormat="false" ht="15" hidden="false" customHeight="false" outlineLevel="0" collapsed="false">
      <c r="B32" s="4" t="s">
        <v>77</v>
      </c>
      <c r="C32" s="25" t="n">
        <f aca="false">INDEX('DRI Tables'!$B$17:$B$19,MATCH(Planner!$C$10,'DRI Tables'!$A$17:$A$19,0))</f>
        <v>0</v>
      </c>
      <c r="F32" s="4" t="str">
        <f aca="false">IFERROR(INDEX('Matrix Model'!$B$123:$B$268,MATCH(5,'Matrix Model'!$N$123:$N$268,0)),"")</f>
        <v/>
      </c>
      <c r="G32" s="21" t="str">
        <f aca="false">IFERROR(INDEX('Matrix Model'!$J$123:$J$268,MATCH(5,'Matrix Model'!$N$123:$N$268,0)),"")</f>
        <v/>
      </c>
      <c r="H32" s="23" t="str">
        <f aca="false">IFERROR(G32/INDEX('Food Data'!$N$6:$N$151,MATCH(5,'Matrix Model'!$N$123:$N$268,0)),"")</f>
        <v/>
      </c>
      <c r="I32" s="21" t="str">
        <f aca="false">IFERROR(G32*INDEX('Food Data'!$AL$6:$AL$151,MATCH(5,'Matrix Model'!$N$123:$N$268,0))/100,"")</f>
        <v/>
      </c>
      <c r="J32" s="21" t="str">
        <f aca="false">IFERROR(G32*INDEX('Food Data'!$AM$6:$AM$151,MATCH(5,'Matrix Model'!$N$123:$N$268,0))/100,"")</f>
        <v/>
      </c>
    </row>
    <row r="33" customFormat="false" ht="15" hidden="false" customHeight="false" outlineLevel="0" collapsed="false">
      <c r="B33" s="4" t="s">
        <v>78</v>
      </c>
      <c r="C33" s="23" t="n">
        <f aca="false">ROUND($C$28/(($C$27/100))^2,1)</f>
        <v>23.5</v>
      </c>
      <c r="F33" s="4" t="str">
        <f aca="false">IFERROR(INDEX('Matrix Model'!$B$123:$B$268,MATCH(6,'Matrix Model'!$N$123:$N$268,0)),"")</f>
        <v/>
      </c>
      <c r="G33" s="21" t="str">
        <f aca="false">IFERROR(INDEX('Matrix Model'!$J$123:$J$268,MATCH(6,'Matrix Model'!$N$123:$N$268,0)),"")</f>
        <v/>
      </c>
      <c r="H33" s="23" t="str">
        <f aca="false">IFERROR(G33/INDEX('Food Data'!$N$6:$N$151,MATCH(6,'Matrix Model'!$N$123:$N$268,0)),"")</f>
        <v/>
      </c>
      <c r="I33" s="21" t="str">
        <f aca="false">IFERROR(G33*INDEX('Food Data'!$AL$6:$AL$151,MATCH(6,'Matrix Model'!$N$123:$N$268,0))/100,"")</f>
        <v/>
      </c>
      <c r="J33" s="21" t="str">
        <f aca="false">IFERROR(G33*INDEX('Food Data'!$AM$6:$AM$151,MATCH(6,'Matrix Model'!$N$123:$N$268,0))/100,"")</f>
        <v/>
      </c>
    </row>
    <row r="34" customFormat="false" ht="15" hidden="false" customHeight="false" outlineLevel="0" collapsed="false">
      <c r="F34" s="4" t="str">
        <f aca="false">IFERROR(INDEX('Matrix Model'!$B$123:$B$268,MATCH(7,'Matrix Model'!$N$123:$N$268,0)),"")</f>
        <v/>
      </c>
      <c r="G34" s="21" t="str">
        <f aca="false">IFERROR(INDEX('Matrix Model'!$J$123:$J$268,MATCH(7,'Matrix Model'!$N$123:$N$268,0)),"")</f>
        <v/>
      </c>
      <c r="H34" s="23" t="str">
        <f aca="false">IFERROR(G34/INDEX('Food Data'!$N$6:$N$151,MATCH(7,'Matrix Model'!$N$123:$N$268,0)),"")</f>
        <v/>
      </c>
      <c r="I34" s="21" t="str">
        <f aca="false">IFERROR(G34*INDEX('Food Data'!$AL$6:$AL$151,MATCH(7,'Matrix Model'!$N$123:$N$268,0))/100,"")</f>
        <v/>
      </c>
      <c r="J34" s="21" t="str">
        <f aca="false">IFERROR(G34*INDEX('Food Data'!$AM$6:$AM$151,MATCH(7,'Matrix Model'!$N$123:$N$268,0))/100,"")</f>
        <v/>
      </c>
    </row>
    <row r="35" customFormat="false" ht="15" hidden="false" customHeight="false" outlineLevel="0" collapsed="false">
      <c r="B35" s="3" t="s">
        <v>79</v>
      </c>
      <c r="F35" s="4" t="str">
        <f aca="false">IFERROR(INDEX('Matrix Model'!$B$123:$B$268,MATCH(8,'Matrix Model'!$N$123:$N$268,0)),"")</f>
        <v/>
      </c>
      <c r="G35" s="21" t="str">
        <f aca="false">IFERROR(INDEX('Matrix Model'!$J$123:$J$268,MATCH(8,'Matrix Model'!$N$123:$N$268,0)),"")</f>
        <v/>
      </c>
      <c r="H35" s="23" t="str">
        <f aca="false">IFERROR(G35/INDEX('Food Data'!$N$6:$N$151,MATCH(8,'Matrix Model'!$N$123:$N$268,0)),"")</f>
        <v/>
      </c>
      <c r="I35" s="21" t="str">
        <f aca="false">IFERROR(G35*INDEX('Food Data'!$AL$6:$AL$151,MATCH(8,'Matrix Model'!$N$123:$N$268,0))/100,"")</f>
        <v/>
      </c>
      <c r="J35" s="21" t="str">
        <f aca="false">IFERROR(G35*INDEX('Food Data'!$AM$6:$AM$151,MATCH(8,'Matrix Model'!$N$123:$N$268,0))/100,"")</f>
        <v/>
      </c>
    </row>
    <row r="36" customFormat="false" ht="15" hidden="false" customHeight="false" outlineLevel="0" collapsed="false">
      <c r="B36" s="4" t="s">
        <v>80</v>
      </c>
      <c r="C36" s="26" t="s">
        <v>81</v>
      </c>
      <c r="F36" s="4" t="str">
        <f aca="false">IFERROR(INDEX('Matrix Model'!$B$123:$B$268,MATCH(9,'Matrix Model'!$N$123:$N$268,0)),"")</f>
        <v/>
      </c>
      <c r="G36" s="21" t="str">
        <f aca="false">IFERROR(INDEX('Matrix Model'!$J$123:$J$268,MATCH(9,'Matrix Model'!$N$123:$N$268,0)),"")</f>
        <v/>
      </c>
      <c r="H36" s="23" t="str">
        <f aca="false">IFERROR(G36/INDEX('Food Data'!$N$6:$N$151,MATCH(9,'Matrix Model'!$N$123:$N$268,0)),"")</f>
        <v/>
      </c>
      <c r="I36" s="21" t="str">
        <f aca="false">IFERROR(G36*INDEX('Food Data'!$AL$6:$AL$151,MATCH(9,'Matrix Model'!$N$123:$N$268,0))/100,"")</f>
        <v/>
      </c>
      <c r="J36" s="21" t="str">
        <f aca="false">IFERROR(G36*INDEX('Food Data'!$AM$6:$AM$151,MATCH(9,'Matrix Model'!$N$123:$N$268,0))/100,"")</f>
        <v/>
      </c>
    </row>
    <row r="37" customFormat="false" ht="35.05" hidden="false" customHeight="false" outlineLevel="0" collapsed="false">
      <c r="B37" s="4" t="s">
        <v>82</v>
      </c>
      <c r="C37" s="27" t="str">
        <f aca="false">INDEX(Diets!$B$5:$B$14,MATCH(Planner!$C$36,Diets!$A$5:$A$14,0))</f>
        <v>USDA Acceptable Macronutrient Distribution Ranges; all foods allowed</v>
      </c>
      <c r="F37" s="14" t="s">
        <v>83</v>
      </c>
      <c r="I37" s="28" t="n">
        <f aca="false">'Matrix Model'!D275</f>
        <v>625.8570244</v>
      </c>
      <c r="J37" s="28" t="n">
        <f aca="false">'Matrix Model'!D276</f>
        <v>34.8218836104</v>
      </c>
    </row>
    <row r="38" customFormat="false" ht="15" hidden="false" customHeight="false" outlineLevel="0" collapsed="false">
      <c r="B38" s="4" t="s">
        <v>84</v>
      </c>
      <c r="C38" s="4" t="str">
        <f aca="false">"Protein "&amp;TEXT('Matrix Model'!$C$8,"0%")&amp;"–"&amp;TEXT('Matrix Model'!$D$8,"0%")&amp;", Carbs "&amp;TEXT('Matrix Model'!$C$9,"0%")&amp;"–"&amp;TEXT('Matrix Model'!$D$9,"0%")&amp;", Fat "&amp;TEXT('Matrix Model'!$C$10,"0%")&amp;"–"&amp;TEXT('Matrix Model'!$D$10,"0%")</f>
        <v>Protein 10%–35%, Carbs 45%–65%, Fat 20%–35%</v>
      </c>
    </row>
    <row r="39" customFormat="false" ht="15" hidden="false" customHeight="false" outlineLevel="0" collapsed="false">
      <c r="B39" s="4" t="s">
        <v>85</v>
      </c>
      <c r="C39" s="29" t="s">
        <v>86</v>
      </c>
      <c r="D39" s="2" t="s">
        <v>87</v>
      </c>
      <c r="F39" s="22" t="s">
        <v>88</v>
      </c>
      <c r="G39" s="22" t="s">
        <v>69</v>
      </c>
      <c r="H39" s="22" t="s">
        <v>70</v>
      </c>
      <c r="I39" s="22" t="s">
        <v>71</v>
      </c>
      <c r="J39" s="22" t="s">
        <v>72</v>
      </c>
    </row>
    <row r="40" customFormat="false" ht="15" hidden="false" customHeight="false" outlineLevel="0" collapsed="false">
      <c r="B40" s="4" t="s">
        <v>89</v>
      </c>
      <c r="C40" s="26" t="s">
        <v>90</v>
      </c>
      <c r="D40" s="2" t="s">
        <v>91</v>
      </c>
      <c r="F40" s="4" t="str">
        <f aca="false">IFERROR(INDEX('Matrix Model'!$B$123:$B$268,MATCH(1,'Matrix Model'!$O$123:$O$268,0)),"")</f>
        <v>Chicken drumsticks (bone-in)</v>
      </c>
      <c r="G40" s="21" t="n">
        <f aca="false">IFERROR(INDEX('Matrix Model'!$K$123:$K$268,MATCH(1,'Matrix Model'!$O$123:$O$268,0)),"")</f>
        <v>0.5580406</v>
      </c>
      <c r="H40" s="23" t="n">
        <f aca="false">IFERROR(G40/INDEX('Food Data'!$N$6:$N$151,MATCH(1,'Matrix Model'!$O$123:$O$268,0)),"")</f>
        <v>0.005580406</v>
      </c>
      <c r="I40" s="21" t="n">
        <f aca="false">IFERROR(G40*INDEX('Food Data'!$AL$6:$AL$151,MATCH(1,'Matrix Model'!$O$123:$O$268,0))/100,"")</f>
        <v>0.898445366</v>
      </c>
      <c r="J40" s="21" t="n">
        <f aca="false">IFERROR(G40*INDEX('Food Data'!$AM$6:$AM$151,MATCH(1,'Matrix Model'!$O$123:$O$268,0))/100,"")</f>
        <v>0.10089374048</v>
      </c>
    </row>
    <row r="41" customFormat="false" ht="15" hidden="false" customHeight="false" outlineLevel="0" collapsed="false">
      <c r="B41" s="3" t="s">
        <v>92</v>
      </c>
      <c r="F41" s="4" t="str">
        <f aca="false">IFERROR(INDEX('Matrix Model'!$B$123:$B$268,MATCH(2,'Matrix Model'!$O$123:$O$268,0)),"")</f>
        <v>Pinto beans (dry)</v>
      </c>
      <c r="G41" s="21" t="n">
        <f aca="false">IFERROR(INDEX('Matrix Model'!$K$123:$K$268,MATCH(2,'Matrix Model'!$O$123:$O$268,0)),"")</f>
        <v>72</v>
      </c>
      <c r="H41" s="23" t="n">
        <f aca="false">IFERROR(G41/INDEX('Food Data'!$N$6:$N$151,MATCH(2,'Matrix Model'!$O$123:$O$268,0)),"")</f>
        <v>1.5</v>
      </c>
      <c r="I41" s="21" t="n">
        <f aca="false">IFERROR(G41*INDEX('Food Data'!$AL$6:$AL$151,MATCH(2,'Matrix Model'!$O$123:$O$268,0))/100,"")</f>
        <v>249.84</v>
      </c>
      <c r="J41" s="21" t="n">
        <f aca="false">IFERROR(G41*INDEX('Food Data'!$AM$6:$AM$151,MATCH(2,'Matrix Model'!$O$123:$O$268,0))/100,"")</f>
        <v>15.4224</v>
      </c>
    </row>
    <row r="42" customFormat="false" ht="15" hidden="false" customHeight="false" outlineLevel="0" collapsed="false">
      <c r="B42" s="4" t="s">
        <v>93</v>
      </c>
      <c r="C42" s="30" t="n">
        <v>0.05</v>
      </c>
      <c r="F42" s="4" t="str">
        <f aca="false">IFERROR(INDEX('Matrix Model'!$B$123:$B$268,MATCH(3,'Matrix Model'!$O$123:$O$268,0)),"")</f>
        <v>Brown rice (dry)</v>
      </c>
      <c r="G42" s="21" t="n">
        <f aca="false">IFERROR(INDEX('Matrix Model'!$K$123:$K$268,MATCH(3,'Matrix Model'!$O$123:$O$268,0)),"")</f>
        <v>75.55644015</v>
      </c>
      <c r="H42" s="23" t="n">
        <f aca="false">IFERROR(G42/INDEX('Food Data'!$N$6:$N$151,MATCH(3,'Matrix Model'!$O$123:$O$268,0)),"")</f>
        <v>1.6425313076087</v>
      </c>
      <c r="I42" s="21" t="n">
        <f aca="false">IFERROR(G42*INDEX('Food Data'!$AL$6:$AL$151,MATCH(3,'Matrix Model'!$O$123:$O$268,0))/100,"")</f>
        <v>277.2921353505</v>
      </c>
      <c r="J42" s="21" t="n">
        <f aca="false">IFERROR(G42*INDEX('Food Data'!$AM$6:$AM$151,MATCH(3,'Matrix Model'!$O$123:$O$268,0))/100,"")</f>
        <v>5.69695558731</v>
      </c>
    </row>
    <row r="43" customFormat="false" ht="15" hidden="false" customHeight="false" outlineLevel="0" collapsed="false">
      <c r="B43" s="4" t="s">
        <v>94</v>
      </c>
      <c r="C43" s="30" t="n">
        <v>0.35</v>
      </c>
      <c r="D43" s="2" t="s">
        <v>95</v>
      </c>
      <c r="F43" s="4" t="str">
        <f aca="false">IFERROR(INDEX('Matrix Model'!$B$123:$B$268,MATCH(4,'Matrix Model'!$O$123:$O$268,0)),"")</f>
        <v>Spaghetti (dry)</v>
      </c>
      <c r="G43" s="21" t="n">
        <f aca="false">IFERROR(INDEX('Matrix Model'!$K$123:$K$268,MATCH(4,'Matrix Model'!$O$123:$O$268,0)),"")</f>
        <v>7.5377075</v>
      </c>
      <c r="H43" s="23" t="n">
        <f aca="false">IFERROR(G43/INDEX('Food Data'!$N$6:$N$151,MATCH(4,'Matrix Model'!$O$123:$O$268,0)),"")</f>
        <v>0.13224048245614</v>
      </c>
      <c r="I43" s="21" t="n">
        <f aca="false">IFERROR(G43*INDEX('Food Data'!$AL$6:$AL$151,MATCH(4,'Matrix Model'!$O$123:$O$268,0))/100,"")</f>
        <v>27.964894825</v>
      </c>
      <c r="J43" s="21" t="n">
        <f aca="false">IFERROR(G43*INDEX('Food Data'!$AM$6:$AM$151,MATCH(4,'Matrix Model'!$O$123:$O$268,0))/100,"")</f>
        <v>0.982917058</v>
      </c>
    </row>
    <row r="44" customFormat="false" ht="15" hidden="false" customHeight="false" outlineLevel="0" collapsed="false">
      <c r="B44" s="4" t="s">
        <v>96</v>
      </c>
      <c r="C44" s="30" t="n">
        <v>0.2</v>
      </c>
      <c r="F44" s="4" t="str">
        <f aca="false">IFERROR(INDEX('Matrix Model'!$B$123:$B$268,MATCH(5,'Matrix Model'!$O$123:$O$268,0)),"")</f>
        <v>White rice (dry)</v>
      </c>
      <c r="G44" s="21" t="n">
        <f aca="false">IFERROR(INDEX('Matrix Model'!$K$123:$K$268,MATCH(5,'Matrix Model'!$O$123:$O$268,0)),"")</f>
        <v>92</v>
      </c>
      <c r="H44" s="23" t="n">
        <f aca="false">IFERROR(G44/INDEX('Food Data'!$N$6:$N$151,MATCH(5,'Matrix Model'!$O$123:$O$268,0)),"")</f>
        <v>2</v>
      </c>
      <c r="I44" s="21" t="n">
        <f aca="false">IFERROR(G44*INDEX('Food Data'!$AL$6:$AL$151,MATCH(5,'Matrix Model'!$O$123:$O$268,0))/100,"")</f>
        <v>335.8</v>
      </c>
      <c r="J44" s="21" t="n">
        <f aca="false">IFERROR(G44*INDEX('Food Data'!$AM$6:$AM$151,MATCH(5,'Matrix Model'!$O$123:$O$268,0))/100,"")</f>
        <v>6.5596</v>
      </c>
    </row>
    <row r="45" customFormat="false" ht="15" hidden="false" customHeight="false" outlineLevel="0" collapsed="false">
      <c r="B45" s="4" t="s">
        <v>97</v>
      </c>
      <c r="C45" s="30" t="n">
        <v>0.2</v>
      </c>
      <c r="D45" s="30" t="n">
        <v>0.3</v>
      </c>
      <c r="F45" s="4" t="str">
        <f aca="false">IFERROR(INDEX('Matrix Model'!$B$123:$B$268,MATCH(6,'Matrix Model'!$O$123:$O$268,0)),"")</f>
        <v>Broccoli (frozen)</v>
      </c>
      <c r="G45" s="21" t="n">
        <f aca="false">IFERROR(INDEX('Matrix Model'!$K$123:$K$268,MATCH(6,'Matrix Model'!$O$123:$O$268,0)),"")</f>
        <v>22.75</v>
      </c>
      <c r="H45" s="23" t="n">
        <f aca="false">IFERROR(G45/INDEX('Food Data'!$N$6:$N$151,MATCH(6,'Matrix Model'!$O$123:$O$268,0)),"")</f>
        <v>0.239473684210526</v>
      </c>
      <c r="I45" s="21" t="n">
        <f aca="false">IFERROR(G45*INDEX('Food Data'!$AL$6:$AL$151,MATCH(6,'Matrix Model'!$O$123:$O$268,0))/100,"")</f>
        <v>6.5975</v>
      </c>
      <c r="J45" s="21" t="n">
        <f aca="false">IFERROR(G45*INDEX('Food Data'!$AM$6:$AM$151,MATCH(6,'Matrix Model'!$O$123:$O$268,0))/100,"")</f>
        <v>0.69615</v>
      </c>
    </row>
    <row r="46" customFormat="false" ht="15" hidden="false" customHeight="false" outlineLevel="0" collapsed="false">
      <c r="B46" s="4" t="s">
        <v>98</v>
      </c>
      <c r="C46" s="30" t="n">
        <v>0.25</v>
      </c>
      <c r="D46" s="30" t="n">
        <v>0.35</v>
      </c>
      <c r="F46" s="4" t="str">
        <f aca="false">IFERROR(INDEX('Matrix Model'!$B$123:$B$268,MATCH(7,'Matrix Model'!$O$123:$O$268,0)),"")</f>
        <v>Cabbage (green)</v>
      </c>
      <c r="G46" s="21" t="n">
        <f aca="false">IFERROR(INDEX('Matrix Model'!$K$123:$K$268,MATCH(7,'Matrix Model'!$O$123:$O$268,0)),"")</f>
        <v>89</v>
      </c>
      <c r="H46" s="23" t="n">
        <f aca="false">IFERROR(G46/INDEX('Food Data'!$N$6:$N$151,MATCH(7,'Matrix Model'!$O$123:$O$268,0)),"")</f>
        <v>1</v>
      </c>
      <c r="I46" s="21" t="n">
        <f aca="false">IFERROR(G46*INDEX('Food Data'!$AL$6:$AL$151,MATCH(7,'Matrix Model'!$O$123:$O$268,0))/100,"")</f>
        <v>22.25</v>
      </c>
      <c r="J46" s="21" t="n">
        <f aca="false">IFERROR(G46*INDEX('Food Data'!$AM$6:$AM$151,MATCH(7,'Matrix Model'!$O$123:$O$268,0))/100,"")</f>
        <v>1.1392</v>
      </c>
    </row>
    <row r="47" customFormat="false" ht="15" hidden="false" customHeight="false" outlineLevel="0" collapsed="false">
      <c r="B47" s="4" t="s">
        <v>99</v>
      </c>
      <c r="C47" s="30" t="n">
        <v>0.25</v>
      </c>
      <c r="D47" s="30" t="n">
        <v>0.4</v>
      </c>
      <c r="F47" s="4" t="str">
        <f aca="false">IFERROR(INDEX('Matrix Model'!$B$123:$B$268,MATCH(8,'Matrix Model'!$O$123:$O$268,0)),"")</f>
        <v/>
      </c>
      <c r="G47" s="21" t="str">
        <f aca="false">IFERROR(INDEX('Matrix Model'!$K$123:$K$268,MATCH(8,'Matrix Model'!$O$123:$O$268,0)),"")</f>
        <v/>
      </c>
      <c r="H47" s="23" t="str">
        <f aca="false">IFERROR(G47/INDEX('Food Data'!$N$6:$N$151,MATCH(8,'Matrix Model'!$O$123:$O$268,0)),"")</f>
        <v/>
      </c>
      <c r="I47" s="21" t="str">
        <f aca="false">IFERROR(G47*INDEX('Food Data'!$AL$6:$AL$151,MATCH(8,'Matrix Model'!$O$123:$O$268,0))/100,"")</f>
        <v/>
      </c>
      <c r="J47" s="21" t="str">
        <f aca="false">IFERROR(G47*INDEX('Food Data'!$AM$6:$AM$151,MATCH(8,'Matrix Model'!$O$123:$O$268,0))/100,"")</f>
        <v/>
      </c>
    </row>
    <row r="48" customFormat="false" ht="15" hidden="false" customHeight="false" outlineLevel="0" collapsed="false">
      <c r="B48" s="4" t="s">
        <v>100</v>
      </c>
      <c r="C48" s="30" t="n">
        <v>0.05</v>
      </c>
      <c r="D48" s="30" t="n">
        <v>0.2</v>
      </c>
      <c r="F48" s="4" t="str">
        <f aca="false">IFERROR(INDEX('Matrix Model'!$B$123:$B$268,MATCH(9,'Matrix Model'!$O$123:$O$268,0)),"")</f>
        <v/>
      </c>
      <c r="G48" s="21" t="str">
        <f aca="false">IFERROR(INDEX('Matrix Model'!$K$123:$K$268,MATCH(9,'Matrix Model'!$O$123:$O$268,0)),"")</f>
        <v/>
      </c>
      <c r="H48" s="23" t="str">
        <f aca="false">IFERROR(G48/INDEX('Food Data'!$N$6:$N$151,MATCH(9,'Matrix Model'!$O$123:$O$268,0)),"")</f>
        <v/>
      </c>
      <c r="I48" s="21" t="str">
        <f aca="false">IFERROR(G48*INDEX('Food Data'!$AL$6:$AL$151,MATCH(9,'Matrix Model'!$O$123:$O$268,0))/100,"")</f>
        <v/>
      </c>
      <c r="J48" s="21" t="str">
        <f aca="false">IFERROR(G48*INDEX('Food Data'!$AM$6:$AM$151,MATCH(9,'Matrix Model'!$O$123:$O$268,0))/100,"")</f>
        <v/>
      </c>
    </row>
    <row r="49" customFormat="false" ht="15" hidden="false" customHeight="false" outlineLevel="0" collapsed="false">
      <c r="B49" s="4" t="s">
        <v>101</v>
      </c>
      <c r="C49" s="13" t="n">
        <v>2.5</v>
      </c>
      <c r="F49" s="14" t="s">
        <v>102</v>
      </c>
      <c r="I49" s="28" t="n">
        <f aca="false">'Matrix Model'!E275</f>
        <v>920.6429755415</v>
      </c>
      <c r="J49" s="28" t="n">
        <f aca="false">'Matrix Model'!E276</f>
        <v>30.59811638579</v>
      </c>
    </row>
    <row r="50" customFormat="false" ht="15" hidden="false" customHeight="false" outlineLevel="0" collapsed="false">
      <c r="B50" s="4" t="s">
        <v>103</v>
      </c>
      <c r="C50" s="13" t="n">
        <v>2</v>
      </c>
    </row>
    <row r="51" customFormat="false" ht="15" hidden="false" customHeight="false" outlineLevel="0" collapsed="false">
      <c r="B51" s="4" t="s">
        <v>104</v>
      </c>
      <c r="C51" s="8" t="n">
        <v>340</v>
      </c>
      <c r="D51" s="2" t="s">
        <v>105</v>
      </c>
      <c r="F51" s="22" t="s">
        <v>106</v>
      </c>
      <c r="G51" s="22" t="s">
        <v>69</v>
      </c>
      <c r="H51" s="22" t="s">
        <v>70</v>
      </c>
      <c r="I51" s="22" t="s">
        <v>71</v>
      </c>
      <c r="J51" s="22" t="s">
        <v>72</v>
      </c>
    </row>
    <row r="52" customFormat="false" ht="15" hidden="false" customHeight="false" outlineLevel="0" collapsed="false">
      <c r="B52" s="4" t="s">
        <v>107</v>
      </c>
      <c r="C52" s="8" t="n">
        <v>3</v>
      </c>
      <c r="D52" s="2" t="s">
        <v>108</v>
      </c>
      <c r="F52" s="4" t="str">
        <f aca="false">IFERROR(INDEX('Matrix Model'!$B$123:$B$268,MATCH(1,'Matrix Model'!$P$123:$P$268,0)),"")</f>
        <v>Chicken drumsticks (bone-in)</v>
      </c>
      <c r="G52" s="21" t="n">
        <f aca="false">IFERROR(INDEX('Matrix Model'!$L$123:$L$268,MATCH(1,'Matrix Model'!$P$123:$P$268,0)),"")</f>
        <v>0.5580406</v>
      </c>
      <c r="H52" s="23" t="n">
        <f aca="false">IFERROR(G52/INDEX('Food Data'!$N$6:$N$151,MATCH(1,'Matrix Model'!$P$123:$P$268,0)),"")</f>
        <v>0.005580406</v>
      </c>
      <c r="I52" s="21" t="n">
        <f aca="false">IFERROR(G52*INDEX('Food Data'!$AL$6:$AL$151,MATCH(1,'Matrix Model'!$P$123:$P$268,0))/100,"")</f>
        <v>0.898445366</v>
      </c>
      <c r="J52" s="21" t="n">
        <f aca="false">IFERROR(G52*INDEX('Food Data'!$AM$6:$AM$151,MATCH(1,'Matrix Model'!$P$123:$P$268,0))/100,"")</f>
        <v>0.10089374048</v>
      </c>
    </row>
    <row r="53" customFormat="false" ht="15" hidden="false" customHeight="false" outlineLevel="0" collapsed="false">
      <c r="B53" s="4" t="s">
        <v>109</v>
      </c>
      <c r="C53" s="8" t="n">
        <v>3</v>
      </c>
      <c r="D53" s="2" t="s">
        <v>110</v>
      </c>
      <c r="F53" s="4" t="str">
        <f aca="false">IFERROR(INDEX('Matrix Model'!$B$123:$B$268,MATCH(2,'Matrix Model'!$P$123:$P$268,0)),"")</f>
        <v>Pinto beans (dry)</v>
      </c>
      <c r="G53" s="21" t="n">
        <f aca="false">IFERROR(INDEX('Matrix Model'!$L$123:$L$268,MATCH(2,'Matrix Model'!$P$123:$P$268,0)),"")</f>
        <v>72</v>
      </c>
      <c r="H53" s="23" t="n">
        <f aca="false">IFERROR(G53/INDEX('Food Data'!$N$6:$N$151,MATCH(2,'Matrix Model'!$P$123:$P$268,0)),"")</f>
        <v>1.5</v>
      </c>
      <c r="I53" s="21" t="n">
        <f aca="false">IFERROR(G53*INDEX('Food Data'!$AL$6:$AL$151,MATCH(2,'Matrix Model'!$P$123:$P$268,0))/100,"")</f>
        <v>249.84</v>
      </c>
      <c r="J53" s="21" t="n">
        <f aca="false">IFERROR(G53*INDEX('Food Data'!$AM$6:$AM$151,MATCH(2,'Matrix Model'!$P$123:$P$268,0))/100,"")</f>
        <v>15.4224</v>
      </c>
    </row>
    <row r="54" customFormat="false" ht="15" hidden="false" customHeight="false" outlineLevel="0" collapsed="false">
      <c r="B54" s="4" t="s">
        <v>111</v>
      </c>
      <c r="C54" s="8" t="n">
        <v>9</v>
      </c>
      <c r="F54" s="4" t="str">
        <f aca="false">IFERROR(INDEX('Matrix Model'!$B$123:$B$268,MATCH(3,'Matrix Model'!$P$123:$P$268,0)),"")</f>
        <v>Brown rice (dry)</v>
      </c>
      <c r="G54" s="21" t="n">
        <f aca="false">IFERROR(INDEX('Matrix Model'!$L$123:$L$268,MATCH(3,'Matrix Model'!$P$123:$P$268,0)),"")</f>
        <v>75.55644015</v>
      </c>
      <c r="H54" s="23" t="n">
        <f aca="false">IFERROR(G54/INDEX('Food Data'!$N$6:$N$151,MATCH(3,'Matrix Model'!$P$123:$P$268,0)),"")</f>
        <v>1.6425313076087</v>
      </c>
      <c r="I54" s="21" t="n">
        <f aca="false">IFERROR(G54*INDEX('Food Data'!$AL$6:$AL$151,MATCH(3,'Matrix Model'!$P$123:$P$268,0))/100,"")</f>
        <v>277.2921353505</v>
      </c>
      <c r="J54" s="21" t="n">
        <f aca="false">IFERROR(G54*INDEX('Food Data'!$AM$6:$AM$151,MATCH(3,'Matrix Model'!$P$123:$P$268,0))/100,"")</f>
        <v>5.69695558731</v>
      </c>
    </row>
    <row r="55" customFormat="false" ht="15" hidden="false" customHeight="false" outlineLevel="0" collapsed="false">
      <c r="B55" s="4" t="s">
        <v>112</v>
      </c>
      <c r="C55" s="8" t="n">
        <v>4</v>
      </c>
      <c r="D55" s="2" t="s">
        <v>113</v>
      </c>
      <c r="F55" s="4" t="str">
        <f aca="false">IFERROR(INDEX('Matrix Model'!$B$123:$B$268,MATCH(4,'Matrix Model'!$P$123:$P$268,0)),"")</f>
        <v>Spaghetti (dry)</v>
      </c>
      <c r="G55" s="21" t="n">
        <f aca="false">IFERROR(INDEX('Matrix Model'!$L$123:$L$268,MATCH(4,'Matrix Model'!$P$123:$P$268,0)),"")</f>
        <v>7.5377075</v>
      </c>
      <c r="H55" s="23" t="n">
        <f aca="false">IFERROR(G55/INDEX('Food Data'!$N$6:$N$151,MATCH(4,'Matrix Model'!$P$123:$P$268,0)),"")</f>
        <v>0.13224048245614</v>
      </c>
      <c r="I55" s="21" t="n">
        <f aca="false">IFERROR(G55*INDEX('Food Data'!$AL$6:$AL$151,MATCH(4,'Matrix Model'!$P$123:$P$268,0))/100,"")</f>
        <v>27.964894825</v>
      </c>
      <c r="J55" s="21" t="n">
        <f aca="false">IFERROR(G55*INDEX('Food Data'!$AM$6:$AM$151,MATCH(4,'Matrix Model'!$P$123:$P$268,0))/100,"")</f>
        <v>0.982917058</v>
      </c>
    </row>
    <row r="56" customFormat="false" ht="15" hidden="false" customHeight="false" outlineLevel="0" collapsed="false">
      <c r="B56" s="4" t="s">
        <v>114</v>
      </c>
      <c r="C56" s="8" t="n">
        <v>2</v>
      </c>
      <c r="F56" s="4" t="str">
        <f aca="false">IFERROR(INDEX('Matrix Model'!$B$123:$B$268,MATCH(5,'Matrix Model'!$P$123:$P$268,0)),"")</f>
        <v>White rice (dry)</v>
      </c>
      <c r="G56" s="21" t="n">
        <f aca="false">IFERROR(INDEX('Matrix Model'!$L$123:$L$268,MATCH(5,'Matrix Model'!$P$123:$P$268,0)),"")</f>
        <v>92</v>
      </c>
      <c r="H56" s="23" t="n">
        <f aca="false">IFERROR(G56/INDEX('Food Data'!$N$6:$N$151,MATCH(5,'Matrix Model'!$P$123:$P$268,0)),"")</f>
        <v>2</v>
      </c>
      <c r="I56" s="21" t="n">
        <f aca="false">IFERROR(G56*INDEX('Food Data'!$AL$6:$AL$151,MATCH(5,'Matrix Model'!$P$123:$P$268,0))/100,"")</f>
        <v>335.8</v>
      </c>
      <c r="J56" s="21" t="n">
        <f aca="false">IFERROR(G56*INDEX('Food Data'!$AM$6:$AM$151,MATCH(5,'Matrix Model'!$P$123:$P$268,0))/100,"")</f>
        <v>6.5596</v>
      </c>
    </row>
    <row r="57" customFormat="false" ht="15" hidden="false" customHeight="false" outlineLevel="0" collapsed="false">
      <c r="B57" s="2" t="s">
        <v>115</v>
      </c>
      <c r="F57" s="4" t="str">
        <f aca="false">IFERROR(INDEX('Matrix Model'!$B$123:$B$268,MATCH(6,'Matrix Model'!$P$123:$P$268,0)),"")</f>
        <v>Broccoli (frozen)</v>
      </c>
      <c r="G57" s="21" t="n">
        <f aca="false">IFERROR(INDEX('Matrix Model'!$L$123:$L$268,MATCH(6,'Matrix Model'!$P$123:$P$268,0)),"")</f>
        <v>22.75</v>
      </c>
      <c r="H57" s="23" t="n">
        <f aca="false">IFERROR(G57/INDEX('Food Data'!$N$6:$N$151,MATCH(6,'Matrix Model'!$P$123:$P$268,0)),"")</f>
        <v>0.239473684210526</v>
      </c>
      <c r="I57" s="21" t="n">
        <f aca="false">IFERROR(G57*INDEX('Food Data'!$AL$6:$AL$151,MATCH(6,'Matrix Model'!$P$123:$P$268,0))/100,"")</f>
        <v>6.5975</v>
      </c>
      <c r="J57" s="21" t="n">
        <f aca="false">IFERROR(G57*INDEX('Food Data'!$AM$6:$AM$151,MATCH(6,'Matrix Model'!$P$123:$P$268,0))/100,"")</f>
        <v>0.69615</v>
      </c>
    </row>
    <row r="58" customFormat="false" ht="15" hidden="false" customHeight="false" outlineLevel="0" collapsed="false">
      <c r="F58" s="4" t="str">
        <f aca="false">IFERROR(INDEX('Matrix Model'!$B$123:$B$268,MATCH(7,'Matrix Model'!$P$123:$P$268,0)),"")</f>
        <v>Cabbage (green)</v>
      </c>
      <c r="G58" s="21" t="n">
        <f aca="false">IFERROR(INDEX('Matrix Model'!$L$123:$L$268,MATCH(7,'Matrix Model'!$P$123:$P$268,0)),"")</f>
        <v>89</v>
      </c>
      <c r="H58" s="23" t="n">
        <f aca="false">IFERROR(G58/INDEX('Food Data'!$N$6:$N$151,MATCH(7,'Matrix Model'!$P$123:$P$268,0)),"")</f>
        <v>1</v>
      </c>
      <c r="I58" s="21" t="n">
        <f aca="false">IFERROR(G58*INDEX('Food Data'!$AL$6:$AL$151,MATCH(7,'Matrix Model'!$P$123:$P$268,0))/100,"")</f>
        <v>22.25</v>
      </c>
      <c r="J58" s="21" t="n">
        <f aca="false">IFERROR(G58*INDEX('Food Data'!$AM$6:$AM$151,MATCH(7,'Matrix Model'!$P$123:$P$268,0))/100,"")</f>
        <v>1.1392</v>
      </c>
    </row>
    <row r="59" customFormat="false" ht="15" hidden="false" customHeight="false" outlineLevel="0" collapsed="false">
      <c r="F59" s="4" t="str">
        <f aca="false">IFERROR(INDEX('Matrix Model'!$B$123:$B$268,MATCH(8,'Matrix Model'!$P$123:$P$268,0)),"")</f>
        <v/>
      </c>
      <c r="G59" s="21" t="str">
        <f aca="false">IFERROR(INDEX('Matrix Model'!$L$123:$L$268,MATCH(8,'Matrix Model'!$P$123:$P$268,0)),"")</f>
        <v/>
      </c>
      <c r="H59" s="23" t="str">
        <f aca="false">IFERROR(G59/INDEX('Food Data'!$N$6:$N$151,MATCH(8,'Matrix Model'!$P$123:$P$268,0)),"")</f>
        <v/>
      </c>
      <c r="I59" s="21" t="str">
        <f aca="false">IFERROR(G59*INDEX('Food Data'!$AL$6:$AL$151,MATCH(8,'Matrix Model'!$P$123:$P$268,0))/100,"")</f>
        <v/>
      </c>
      <c r="J59" s="21" t="str">
        <f aca="false">IFERROR(G59*INDEX('Food Data'!$AM$6:$AM$151,MATCH(8,'Matrix Model'!$P$123:$P$268,0))/100,"")</f>
        <v/>
      </c>
    </row>
    <row r="60" customFormat="false" ht="15" hidden="false" customHeight="false" outlineLevel="0" collapsed="false">
      <c r="F60" s="4" t="str">
        <f aca="false">IFERROR(INDEX('Matrix Model'!$B$123:$B$268,MATCH(9,'Matrix Model'!$P$123:$P$268,0)),"")</f>
        <v/>
      </c>
      <c r="G60" s="21" t="str">
        <f aca="false">IFERROR(INDEX('Matrix Model'!$L$123:$L$268,MATCH(9,'Matrix Model'!$P$123:$P$268,0)),"")</f>
        <v/>
      </c>
      <c r="H60" s="23" t="str">
        <f aca="false">IFERROR(G60/INDEX('Food Data'!$N$6:$N$151,MATCH(9,'Matrix Model'!$P$123:$P$268,0)),"")</f>
        <v/>
      </c>
      <c r="I60" s="21" t="str">
        <f aca="false">IFERROR(G60*INDEX('Food Data'!$AL$6:$AL$151,MATCH(9,'Matrix Model'!$P$123:$P$268,0))/100,"")</f>
        <v/>
      </c>
      <c r="J60" s="21" t="str">
        <f aca="false">IFERROR(G60*INDEX('Food Data'!$AM$6:$AM$151,MATCH(9,'Matrix Model'!$P$123:$P$268,0))/100,"")</f>
        <v/>
      </c>
    </row>
    <row r="61" customFormat="false" ht="15" hidden="false" customHeight="false" outlineLevel="0" collapsed="false">
      <c r="F61" s="14" t="s">
        <v>116</v>
      </c>
      <c r="I61" s="28" t="n">
        <f aca="false">'Matrix Model'!F275</f>
        <v>920.6429755415</v>
      </c>
      <c r="J61" s="28" t="n">
        <f aca="false">'Matrix Model'!F276</f>
        <v>30.59811638579</v>
      </c>
    </row>
    <row r="63" customFormat="false" ht="15" hidden="false" customHeight="false" outlineLevel="0" collapsed="false">
      <c r="F63" s="22" t="s">
        <v>117</v>
      </c>
      <c r="G63" s="22" t="s">
        <v>69</v>
      </c>
      <c r="H63" s="22" t="s">
        <v>70</v>
      </c>
      <c r="I63" s="22" t="s">
        <v>71</v>
      </c>
      <c r="J63" s="22" t="s">
        <v>72</v>
      </c>
    </row>
    <row r="64" customFormat="false" ht="15" hidden="false" customHeight="false" outlineLevel="0" collapsed="false">
      <c r="F64" s="4" t="str">
        <f aca="false">IFERROR(INDEX('Matrix Model'!$B$123:$B$268,MATCH(1,'Matrix Model'!$Q$123:$Q$268,0)),"")</f>
        <v>Peanut butter</v>
      </c>
      <c r="G64" s="21" t="n">
        <f aca="false">IFERROR(INDEX('Matrix Model'!$M$123:$M$268,MATCH(1,'Matrix Model'!$Q$123:$Q$268,0)),"")</f>
        <v>32</v>
      </c>
      <c r="H64" s="23" t="n">
        <f aca="false">IFERROR(G64/INDEX('Food Data'!$N$6:$N$151,MATCH(1,'Matrix Model'!$Q$123:$Q$268,0)),"")</f>
        <v>1</v>
      </c>
      <c r="I64" s="21" t="n">
        <f aca="false">IFERROR(G64*INDEX('Food Data'!$AL$6:$AL$151,MATCH(1,'Matrix Model'!$Q$123:$Q$268,0))/100,"")</f>
        <v>191.36</v>
      </c>
      <c r="J64" s="21" t="n">
        <f aca="false">IFERROR(G64*INDEX('Food Data'!$AM$6:$AM$151,MATCH(1,'Matrix Model'!$Q$123:$Q$268,0))/100,"")</f>
        <v>7.1072</v>
      </c>
    </row>
    <row r="65" customFormat="false" ht="15" hidden="false" customHeight="false" outlineLevel="0" collapsed="false">
      <c r="F65" s="4" t="str">
        <f aca="false">IFERROR(INDEX('Matrix Model'!$B$123:$B$268,MATCH(2,'Matrix Model'!$Q$123:$Q$268,0)),"")</f>
        <v>2% milk</v>
      </c>
      <c r="G65" s="21" t="n">
        <f aca="false">IFERROR(INDEX('Matrix Model'!$M$123:$M$268,MATCH(2,'Matrix Model'!$Q$123:$Q$268,0)),"")</f>
        <v>229.9540488</v>
      </c>
      <c r="H65" s="23" t="n">
        <f aca="false">IFERROR(G65/INDEX('Food Data'!$N$6:$N$151,MATCH(2,'Matrix Model'!$Q$123:$Q$268,0)),"")</f>
        <v>0.942434626229508</v>
      </c>
      <c r="I65" s="21" t="n">
        <f aca="false">IFERROR(G65*INDEX('Food Data'!$AL$6:$AL$151,MATCH(2,'Matrix Model'!$Q$123:$Q$268,0))/100,"")</f>
        <v>114.9770244</v>
      </c>
      <c r="J65" s="21" t="n">
        <f aca="false">IFERROR(G65*INDEX('Food Data'!$AM$6:$AM$151,MATCH(2,'Matrix Model'!$Q$123:$Q$268,0))/100,"")</f>
        <v>7.5884836104</v>
      </c>
    </row>
    <row r="66" customFormat="false" ht="15" hidden="false" customHeight="false" outlineLevel="0" collapsed="false">
      <c r="F66" s="4" t="str">
        <f aca="false">IFERROR(INDEX('Matrix Model'!$B$123:$B$268,MATCH(3,'Matrix Model'!$Q$123:$Q$268,0)),"")</f>
        <v>Bananas</v>
      </c>
      <c r="G66" s="21" t="n">
        <f aca="false">IFERROR(INDEX('Matrix Model'!$M$123:$M$268,MATCH(3,'Matrix Model'!$Q$123:$Q$268,0)),"")</f>
        <v>118</v>
      </c>
      <c r="H66" s="23" t="n">
        <f aca="false">IFERROR(G66/INDEX('Food Data'!$N$6:$N$151,MATCH(3,'Matrix Model'!$Q$123:$Q$268,0)),"")</f>
        <v>1</v>
      </c>
      <c r="I66" s="21" t="n">
        <f aca="false">IFERROR(G66*INDEX('Food Data'!$AL$6:$AL$151,MATCH(3,'Matrix Model'!$Q$123:$Q$268,0))/100,"")</f>
        <v>105.02</v>
      </c>
      <c r="J66" s="21" t="n">
        <f aca="false">IFERROR(G66*INDEX('Food Data'!$AM$6:$AM$151,MATCH(3,'Matrix Model'!$Q$123:$Q$268,0))/100,"")</f>
        <v>1.2862</v>
      </c>
    </row>
    <row r="67" customFormat="false" ht="15" hidden="false" customHeight="false" outlineLevel="0" collapsed="false">
      <c r="F67" s="4" t="str">
        <f aca="false">IFERROR(INDEX('Matrix Model'!$B$123:$B$268,MATCH(4,'Matrix Model'!$Q$123:$Q$268,0)),"")</f>
        <v/>
      </c>
      <c r="G67" s="21" t="str">
        <f aca="false">IFERROR(INDEX('Matrix Model'!$M$123:$M$268,MATCH(4,'Matrix Model'!$Q$123:$Q$268,0)),"")</f>
        <v/>
      </c>
      <c r="H67" s="23" t="str">
        <f aca="false">IFERROR(G67/INDEX('Food Data'!$N$6:$N$151,MATCH(4,'Matrix Model'!$Q$123:$Q$268,0)),"")</f>
        <v/>
      </c>
      <c r="I67" s="21" t="str">
        <f aca="false">IFERROR(G67*INDEX('Food Data'!$AL$6:$AL$151,MATCH(4,'Matrix Model'!$Q$123:$Q$268,0))/100,"")</f>
        <v/>
      </c>
      <c r="J67" s="21" t="str">
        <f aca="false">IFERROR(G67*INDEX('Food Data'!$AM$6:$AM$151,MATCH(4,'Matrix Model'!$Q$123:$Q$268,0))/100,"")</f>
        <v/>
      </c>
    </row>
    <row r="68" customFormat="false" ht="15" hidden="false" customHeight="false" outlineLevel="0" collapsed="false">
      <c r="F68" s="4" t="str">
        <f aca="false">IFERROR(INDEX('Matrix Model'!$B$123:$B$268,MATCH(5,'Matrix Model'!$Q$123:$Q$268,0)),"")</f>
        <v/>
      </c>
      <c r="G68" s="21" t="str">
        <f aca="false">IFERROR(INDEX('Matrix Model'!$M$123:$M$268,MATCH(5,'Matrix Model'!$Q$123:$Q$268,0)),"")</f>
        <v/>
      </c>
      <c r="H68" s="23" t="str">
        <f aca="false">IFERROR(G68/INDEX('Food Data'!$N$6:$N$151,MATCH(5,'Matrix Model'!$Q$123:$Q$268,0)),"")</f>
        <v/>
      </c>
      <c r="I68" s="21" t="str">
        <f aca="false">IFERROR(G68*INDEX('Food Data'!$AL$6:$AL$151,MATCH(5,'Matrix Model'!$Q$123:$Q$268,0))/100,"")</f>
        <v/>
      </c>
      <c r="J68" s="21" t="str">
        <f aca="false">IFERROR(G68*INDEX('Food Data'!$AM$6:$AM$151,MATCH(5,'Matrix Model'!$Q$123:$Q$268,0))/100,"")</f>
        <v/>
      </c>
    </row>
    <row r="69" customFormat="false" ht="15" hidden="false" customHeight="false" outlineLevel="0" collapsed="false">
      <c r="F69" s="4" t="str">
        <f aca="false">IFERROR(INDEX('Matrix Model'!$B$123:$B$268,MATCH(6,'Matrix Model'!$Q$123:$Q$268,0)),"")</f>
        <v/>
      </c>
      <c r="G69" s="21" t="str">
        <f aca="false">IFERROR(INDEX('Matrix Model'!$M$123:$M$268,MATCH(6,'Matrix Model'!$Q$123:$Q$268,0)),"")</f>
        <v/>
      </c>
      <c r="H69" s="23" t="str">
        <f aca="false">IFERROR(G69/INDEX('Food Data'!$N$6:$N$151,MATCH(6,'Matrix Model'!$Q$123:$Q$268,0)),"")</f>
        <v/>
      </c>
      <c r="I69" s="21" t="str">
        <f aca="false">IFERROR(G69*INDEX('Food Data'!$AL$6:$AL$151,MATCH(6,'Matrix Model'!$Q$123:$Q$268,0))/100,"")</f>
        <v/>
      </c>
      <c r="J69" s="21" t="str">
        <f aca="false">IFERROR(G69*INDEX('Food Data'!$AM$6:$AM$151,MATCH(6,'Matrix Model'!$Q$123:$Q$268,0))/100,"")</f>
        <v/>
      </c>
    </row>
    <row r="70" customFormat="false" ht="15" hidden="false" customHeight="false" outlineLevel="0" collapsed="false">
      <c r="F70" s="4" t="str">
        <f aca="false">IFERROR(INDEX('Matrix Model'!$B$123:$B$268,MATCH(7,'Matrix Model'!$Q$123:$Q$268,0)),"")</f>
        <v/>
      </c>
      <c r="G70" s="21" t="str">
        <f aca="false">IFERROR(INDEX('Matrix Model'!$M$123:$M$268,MATCH(7,'Matrix Model'!$Q$123:$Q$268,0)),"")</f>
        <v/>
      </c>
      <c r="H70" s="23" t="str">
        <f aca="false">IFERROR(G70/INDEX('Food Data'!$N$6:$N$151,MATCH(7,'Matrix Model'!$Q$123:$Q$268,0)),"")</f>
        <v/>
      </c>
      <c r="I70" s="21" t="str">
        <f aca="false">IFERROR(G70*INDEX('Food Data'!$AL$6:$AL$151,MATCH(7,'Matrix Model'!$Q$123:$Q$268,0))/100,"")</f>
        <v/>
      </c>
      <c r="J70" s="21" t="str">
        <f aca="false">IFERROR(G70*INDEX('Food Data'!$AM$6:$AM$151,MATCH(7,'Matrix Model'!$Q$123:$Q$268,0))/100,"")</f>
        <v/>
      </c>
    </row>
    <row r="71" customFormat="false" ht="15" hidden="false" customHeight="false" outlineLevel="0" collapsed="false">
      <c r="F71" s="4" t="str">
        <f aca="false">IFERROR(INDEX('Matrix Model'!$B$123:$B$268,MATCH(8,'Matrix Model'!$Q$123:$Q$268,0)),"")</f>
        <v/>
      </c>
      <c r="G71" s="21" t="str">
        <f aca="false">IFERROR(INDEX('Matrix Model'!$M$123:$M$268,MATCH(8,'Matrix Model'!$Q$123:$Q$268,0)),"")</f>
        <v/>
      </c>
      <c r="H71" s="23" t="str">
        <f aca="false">IFERROR(G71/INDEX('Food Data'!$N$6:$N$151,MATCH(8,'Matrix Model'!$Q$123:$Q$268,0)),"")</f>
        <v/>
      </c>
      <c r="I71" s="21" t="str">
        <f aca="false">IFERROR(G71*INDEX('Food Data'!$AL$6:$AL$151,MATCH(8,'Matrix Model'!$Q$123:$Q$268,0))/100,"")</f>
        <v/>
      </c>
      <c r="J71" s="21" t="str">
        <f aca="false">IFERROR(G71*INDEX('Food Data'!$AM$6:$AM$151,MATCH(8,'Matrix Model'!$Q$123:$Q$268,0))/100,"")</f>
        <v/>
      </c>
    </row>
    <row r="72" customFormat="false" ht="15" hidden="false" customHeight="false" outlineLevel="0" collapsed="false">
      <c r="F72" s="4" t="str">
        <f aca="false">IFERROR(INDEX('Matrix Model'!$B$123:$B$268,MATCH(9,'Matrix Model'!$Q$123:$Q$268,0)),"")</f>
        <v/>
      </c>
      <c r="G72" s="21" t="str">
        <f aca="false">IFERROR(INDEX('Matrix Model'!$M$123:$M$268,MATCH(9,'Matrix Model'!$Q$123:$Q$268,0)),"")</f>
        <v/>
      </c>
      <c r="H72" s="23" t="str">
        <f aca="false">IFERROR(G72/INDEX('Food Data'!$N$6:$N$151,MATCH(9,'Matrix Model'!$Q$123:$Q$268,0)),"")</f>
        <v/>
      </c>
      <c r="I72" s="21" t="str">
        <f aca="false">IFERROR(G72*INDEX('Food Data'!$AL$6:$AL$151,MATCH(9,'Matrix Model'!$Q$123:$Q$268,0))/100,"")</f>
        <v/>
      </c>
      <c r="J72" s="21" t="str">
        <f aca="false">IFERROR(G72*INDEX('Food Data'!$AM$6:$AM$151,MATCH(9,'Matrix Model'!$Q$123:$Q$268,0))/100,"")</f>
        <v/>
      </c>
    </row>
    <row r="73" customFormat="false" ht="15" hidden="false" customHeight="false" outlineLevel="0" collapsed="false">
      <c r="F73" s="14" t="s">
        <v>118</v>
      </c>
      <c r="I73" s="28" t="n">
        <f aca="false">'Matrix Model'!G275</f>
        <v>411.3570244</v>
      </c>
      <c r="J73" s="28" t="n">
        <f aca="false">'Matrix Model'!G276</f>
        <v>15.9818836104</v>
      </c>
    </row>
  </sheetData>
  <mergeCells count="1">
    <mergeCell ref="G8:J8"/>
  </mergeCells>
  <conditionalFormatting sqref="G8">
    <cfRule type="expression" priority="2" aboveAverage="0" equalAverage="0" bottom="0" percent="0" rank="0" text="" dxfId="0">
      <formula>$G$7=0</formula>
    </cfRule>
    <cfRule type="expression" priority="3" aboveAverage="0" equalAverage="0" bottom="0" percent="0" rank="0" text="" dxfId="1">
      <formula>$G$7&gt;0</formula>
    </cfRule>
  </conditionalFormatting>
  <dataValidations count="7">
    <dataValidation allowBlank="false" errorStyle="stop" operator="between" showDropDown="false" showErrorMessage="false" showInputMessage="false" sqref="C5" type="list">
      <formula1>"Male,Female"</formula1>
      <formula2>0</formula2>
    </dataValidation>
    <dataValidation allowBlank="false" errorStyle="stop" operator="between" showDropDown="false" showErrorMessage="false" showInputMessage="false" sqref="C9" type="list">
      <formula1>"Inactive,Low active,Active,Very active"</formula1>
      <formula2>0</formula2>
    </dataValidation>
    <dataValidation allowBlank="false" errorStyle="stop" operator="between" showDropDown="false" showErrorMessage="false" showInputMessage="false" sqref="C10" type="list">
      <formula1>"Lose fat,Maintain,Build muscle"</formula1>
      <formula2>0</formula2>
    </dataValidation>
    <dataValidation allowBlank="false" errorStyle="stop" operator="between" showDropDown="false" showErrorMessage="false" showInputMessage="false" sqref="C11" type="list">
      <formula1>"IOM 2005 (corrected),Same as current site"</formula1>
      <formula2>0</formula2>
    </dataValidation>
    <dataValidation allowBlank="false" errorStyle="stop" operator="between" showDropDown="false" showErrorMessage="false" showInputMessage="false" sqref="C36" type="list">
      <formula1>Diets!$A$5:$A$14</formula1>
      <formula2>0</formula2>
    </dataValidation>
    <dataValidation allowBlank="false" errorStyle="stop" operator="between" showDropDown="false" showErrorMessage="false" showInputMessage="false" sqref="C39" type="list">
      <formula1>"Walmart (Oct 2026),BLS U.S. average (Sep 2026)"</formula1>
      <formula2>0</formula2>
    </dataValidation>
    <dataValidation allowBlank="false" errorStyle="stop" operator="between" showDropDown="false" showErrorMessage="false" showInputMessage="false" sqref="C40" type="list">
      <formula1>"All foods,Core 71 foods"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10" min="2" style="0" width="12"/>
  </cols>
  <sheetData>
    <row r="1" customFormat="false" ht="17.35" hidden="false" customHeight="false" outlineLevel="0" collapsed="false">
      <c r="A1" s="1" t="s">
        <v>119</v>
      </c>
    </row>
    <row r="2" customFormat="false" ht="15" hidden="false" customHeight="false" outlineLevel="0" collapsed="false">
      <c r="A2" s="2" t="s">
        <v>120</v>
      </c>
    </row>
    <row r="4" customFormat="false" ht="15" hidden="false" customHeight="false" outlineLevel="0" collapsed="false">
      <c r="A4" s="16" t="s">
        <v>121</v>
      </c>
      <c r="B4" s="16" t="s">
        <v>122</v>
      </c>
      <c r="C4" s="16" t="s">
        <v>123</v>
      </c>
      <c r="D4" s="16" t="s">
        <v>19</v>
      </c>
      <c r="E4" s="16" t="s">
        <v>124</v>
      </c>
    </row>
    <row r="5" customFormat="false" ht="15" hidden="false" customHeight="false" outlineLevel="0" collapsed="false">
      <c r="A5" s="14" t="s">
        <v>125</v>
      </c>
      <c r="B5" s="31" t="n">
        <v>1</v>
      </c>
      <c r="C5" s="31" t="n">
        <v>1.11</v>
      </c>
      <c r="D5" s="31" t="n">
        <v>1.25</v>
      </c>
      <c r="E5" s="31" t="n">
        <v>1.48</v>
      </c>
    </row>
    <row r="6" customFormat="false" ht="15" hidden="false" customHeight="false" outlineLevel="0" collapsed="false">
      <c r="A6" s="14" t="s">
        <v>126</v>
      </c>
      <c r="B6" s="31" t="n">
        <v>1</v>
      </c>
      <c r="C6" s="31" t="n">
        <v>1.12</v>
      </c>
      <c r="D6" s="31" t="n">
        <v>1.27</v>
      </c>
      <c r="E6" s="31" t="n">
        <v>1.45</v>
      </c>
    </row>
    <row r="7" customFormat="false" ht="15" hidden="false" customHeight="false" outlineLevel="0" collapsed="false">
      <c r="A7" s="14" t="s">
        <v>127</v>
      </c>
      <c r="B7" s="31" t="n">
        <v>1</v>
      </c>
      <c r="C7" s="31" t="n">
        <v>1.13</v>
      </c>
      <c r="D7" s="31" t="n">
        <v>1.26</v>
      </c>
      <c r="E7" s="31" t="n">
        <v>1.42</v>
      </c>
    </row>
    <row r="8" customFormat="false" ht="15" hidden="false" customHeight="false" outlineLevel="0" collapsed="false">
      <c r="A8" s="14" t="s">
        <v>128</v>
      </c>
      <c r="B8" s="31" t="n">
        <v>1</v>
      </c>
      <c r="C8" s="31" t="n">
        <v>1.16</v>
      </c>
      <c r="D8" s="31" t="n">
        <v>1.31</v>
      </c>
      <c r="E8" s="31" t="n">
        <v>1.56</v>
      </c>
    </row>
    <row r="9" customFormat="false" ht="15" hidden="false" customHeight="false" outlineLevel="0" collapsed="false">
      <c r="A9" s="2" t="s">
        <v>129</v>
      </c>
    </row>
    <row r="10" customFormat="false" ht="15" hidden="false" customHeight="false" outlineLevel="0" collapsed="false">
      <c r="A10" s="16" t="s">
        <v>130</v>
      </c>
      <c r="B10" s="16" t="s">
        <v>122</v>
      </c>
      <c r="C10" s="16" t="s">
        <v>123</v>
      </c>
      <c r="D10" s="16" t="s">
        <v>19</v>
      </c>
      <c r="E10" s="16" t="s">
        <v>124</v>
      </c>
    </row>
    <row r="11" customFormat="false" ht="15" hidden="false" customHeight="false" outlineLevel="0" collapsed="false">
      <c r="A11" s="14" t="s">
        <v>125</v>
      </c>
      <c r="B11" s="31" t="n">
        <v>1</v>
      </c>
      <c r="C11" s="31" t="n">
        <v>1.11</v>
      </c>
      <c r="D11" s="31" t="n">
        <v>1.25</v>
      </c>
      <c r="E11" s="31" t="n">
        <v>1.48</v>
      </c>
    </row>
    <row r="12" customFormat="false" ht="15" hidden="false" customHeight="false" outlineLevel="0" collapsed="false">
      <c r="A12" s="14" t="s">
        <v>126</v>
      </c>
      <c r="B12" s="31" t="n">
        <v>1</v>
      </c>
      <c r="C12" s="31" t="n">
        <v>1.11</v>
      </c>
      <c r="D12" s="31" t="n">
        <v>1.25</v>
      </c>
      <c r="E12" s="31" t="n">
        <v>1.48</v>
      </c>
    </row>
    <row r="13" customFormat="false" ht="15" hidden="false" customHeight="false" outlineLevel="0" collapsed="false">
      <c r="A13" s="14" t="s">
        <v>127</v>
      </c>
      <c r="B13" s="31" t="n">
        <v>1</v>
      </c>
      <c r="C13" s="31" t="n">
        <v>1.13</v>
      </c>
      <c r="D13" s="31" t="n">
        <v>1.26</v>
      </c>
      <c r="E13" s="31" t="n">
        <v>1.42</v>
      </c>
    </row>
    <row r="14" customFormat="false" ht="15" hidden="false" customHeight="false" outlineLevel="0" collapsed="false">
      <c r="A14" s="14" t="s">
        <v>128</v>
      </c>
      <c r="B14" s="31" t="n">
        <v>1</v>
      </c>
      <c r="C14" s="31" t="n">
        <v>1.13</v>
      </c>
      <c r="D14" s="31" t="n">
        <v>1.26</v>
      </c>
      <c r="E14" s="31" t="n">
        <v>1.42</v>
      </c>
    </row>
    <row r="16" customFormat="false" ht="15" hidden="false" customHeight="false" outlineLevel="0" collapsed="false">
      <c r="A16" s="16" t="s">
        <v>21</v>
      </c>
      <c r="B16" s="16" t="s">
        <v>131</v>
      </c>
      <c r="D16" s="15" t="s">
        <v>132</v>
      </c>
    </row>
    <row r="17" customFormat="false" ht="15" hidden="false" customHeight="false" outlineLevel="0" collapsed="false">
      <c r="A17" s="14" t="s">
        <v>133</v>
      </c>
      <c r="B17" s="32" t="n">
        <v>-500</v>
      </c>
      <c r="D17" s="7" t="s">
        <v>6</v>
      </c>
      <c r="E17" s="33" t="n">
        <v>1500</v>
      </c>
    </row>
    <row r="18" customFormat="false" ht="15" hidden="false" customHeight="false" outlineLevel="0" collapsed="false">
      <c r="A18" s="14" t="s">
        <v>22</v>
      </c>
      <c r="B18" s="32" t="n">
        <v>0</v>
      </c>
      <c r="D18" s="7" t="s">
        <v>134</v>
      </c>
      <c r="E18" s="33" t="n">
        <v>1200</v>
      </c>
    </row>
    <row r="19" customFormat="false" ht="15" hidden="false" customHeight="false" outlineLevel="0" collapsed="false">
      <c r="A19" s="14" t="s">
        <v>135</v>
      </c>
      <c r="B19" s="32" t="n">
        <v>350</v>
      </c>
    </row>
    <row r="22" customFormat="false" ht="23.85" hidden="false" customHeight="false" outlineLevel="0" collapsed="false">
      <c r="A22" s="16" t="s">
        <v>74</v>
      </c>
      <c r="B22" s="16" t="s">
        <v>136</v>
      </c>
      <c r="C22" s="16" t="s">
        <v>137</v>
      </c>
      <c r="D22" s="16" t="s">
        <v>138</v>
      </c>
      <c r="E22" s="16" t="s">
        <v>139</v>
      </c>
      <c r="F22" s="16" t="s">
        <v>140</v>
      </c>
      <c r="G22" s="16" t="s">
        <v>141</v>
      </c>
      <c r="H22" s="16" t="s">
        <v>142</v>
      </c>
      <c r="I22" s="16" t="s">
        <v>143</v>
      </c>
      <c r="J22" s="16" t="s">
        <v>144</v>
      </c>
    </row>
    <row r="23" customFormat="false" ht="15" hidden="false" customHeight="false" outlineLevel="0" collapsed="false">
      <c r="A23" s="14" t="s">
        <v>145</v>
      </c>
      <c r="B23" s="4" t="s">
        <v>146</v>
      </c>
      <c r="C23" s="34" t="n">
        <v>75</v>
      </c>
      <c r="D23" s="34" t="n">
        <v>65</v>
      </c>
      <c r="E23" s="34" t="n">
        <v>1300</v>
      </c>
      <c r="F23" s="34" t="n">
        <v>1300</v>
      </c>
      <c r="G23" s="34" t="n">
        <v>11</v>
      </c>
      <c r="H23" s="34" t="n">
        <v>15</v>
      </c>
      <c r="I23" s="34" t="n">
        <v>3000</v>
      </c>
      <c r="J23" s="34" t="n">
        <v>2300</v>
      </c>
    </row>
    <row r="24" customFormat="false" ht="15" hidden="false" customHeight="false" outlineLevel="0" collapsed="false">
      <c r="A24" s="14" t="s">
        <v>147</v>
      </c>
      <c r="B24" s="4" t="s">
        <v>148</v>
      </c>
      <c r="C24" s="34" t="n">
        <v>90</v>
      </c>
      <c r="D24" s="34" t="n">
        <v>75</v>
      </c>
      <c r="E24" s="34" t="n">
        <v>1000</v>
      </c>
      <c r="F24" s="34" t="n">
        <v>1000</v>
      </c>
      <c r="G24" s="34" t="n">
        <v>8</v>
      </c>
      <c r="H24" s="34" t="n">
        <v>18</v>
      </c>
      <c r="I24" s="34" t="n">
        <v>3400</v>
      </c>
      <c r="J24" s="34" t="n">
        <v>2600</v>
      </c>
    </row>
    <row r="25" customFormat="false" ht="15" hidden="false" customHeight="false" outlineLevel="0" collapsed="false">
      <c r="A25" s="14" t="s">
        <v>149</v>
      </c>
      <c r="B25" s="4" t="s">
        <v>150</v>
      </c>
      <c r="C25" s="34" t="n">
        <v>90</v>
      </c>
      <c r="D25" s="34" t="n">
        <v>75</v>
      </c>
      <c r="E25" s="34" t="n">
        <v>1000</v>
      </c>
      <c r="F25" s="34" t="n">
        <v>1000</v>
      </c>
      <c r="G25" s="34" t="n">
        <v>8</v>
      </c>
      <c r="H25" s="34" t="n">
        <v>18</v>
      </c>
      <c r="I25" s="34" t="n">
        <v>3400</v>
      </c>
      <c r="J25" s="34" t="n">
        <v>2600</v>
      </c>
    </row>
    <row r="26" customFormat="false" ht="15" hidden="false" customHeight="false" outlineLevel="0" collapsed="false">
      <c r="A26" s="14" t="s">
        <v>151</v>
      </c>
      <c r="B26" s="4" t="s">
        <v>152</v>
      </c>
      <c r="C26" s="34" t="n">
        <v>90</v>
      </c>
      <c r="D26" s="34" t="n">
        <v>75</v>
      </c>
      <c r="E26" s="34" t="n">
        <v>1000</v>
      </c>
      <c r="F26" s="34" t="n">
        <v>1200</v>
      </c>
      <c r="G26" s="34" t="n">
        <v>8</v>
      </c>
      <c r="H26" s="34" t="n">
        <v>8</v>
      </c>
      <c r="I26" s="34" t="n">
        <v>3400</v>
      </c>
      <c r="J26" s="34" t="n">
        <v>2600</v>
      </c>
    </row>
    <row r="27" customFormat="false" ht="15" hidden="false" customHeight="false" outlineLevel="0" collapsed="false">
      <c r="A27" s="14" t="s">
        <v>153</v>
      </c>
      <c r="B27" s="4" t="s">
        <v>154</v>
      </c>
      <c r="C27" s="34" t="n">
        <v>90</v>
      </c>
      <c r="D27" s="34" t="n">
        <v>75</v>
      </c>
      <c r="E27" s="34" t="n">
        <v>1200</v>
      </c>
      <c r="F27" s="34" t="n">
        <v>1200</v>
      </c>
      <c r="G27" s="34" t="n">
        <v>8</v>
      </c>
      <c r="H27" s="34" t="n">
        <v>8</v>
      </c>
      <c r="I27" s="34" t="n">
        <v>3400</v>
      </c>
      <c r="J27" s="34" t="n">
        <v>2600</v>
      </c>
    </row>
    <row r="29" customFormat="false" ht="15" hidden="false" customHeight="false" outlineLevel="0" collapsed="false">
      <c r="A29"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15"/>
    <col collapsed="false" customWidth="true" hidden="false" outlineLevel="0" max="5" min="4" style="0" width="30"/>
    <col collapsed="false" customWidth="true" hidden="false" outlineLevel="0" max="6" min="6" style="0" width="9"/>
    <col collapsed="false" customWidth="true" hidden="false" outlineLevel="0" max="7" min="7" style="0" width="11"/>
    <col collapsed="false" customWidth="true" hidden="false" outlineLevel="0" max="8" min="8" style="0" width="8"/>
    <col collapsed="false" customWidth="true" hidden="false" outlineLevel="0" max="9" min="9" style="0" width="11"/>
    <col collapsed="false" customWidth="true" hidden="false" outlineLevel="0" max="10" min="10" style="0" width="10"/>
    <col collapsed="false" customWidth="true" hidden="false" outlineLevel="0" max="11" min="11" style="0" width="9"/>
    <col collapsed="false" customWidth="true" hidden="false" outlineLevel="0" max="12" min="12" style="0" width="10"/>
    <col collapsed="false" customWidth="true" hidden="false" outlineLevel="0" max="13" min="13" style="0" width="11"/>
    <col collapsed="false" customWidth="true" hidden="false" outlineLevel="0" max="14" min="14" style="0" width="8"/>
    <col collapsed="false" customWidth="true" hidden="false" outlineLevel="0" max="15" min="15" style="0" width="24"/>
    <col collapsed="false" customWidth="true" hidden="false" outlineLevel="0" max="16" min="16" style="0" width="9"/>
    <col collapsed="false" customWidth="true" hidden="false" outlineLevel="0" max="17" min="17" style="0" width="8"/>
    <col collapsed="false" customWidth="true" hidden="false" outlineLevel="0" max="18" min="18" style="0" width="9"/>
    <col collapsed="false" customWidth="true" hidden="false" outlineLevel="0" max="29" min="19" style="0" width="7"/>
    <col collapsed="false" customWidth="true" hidden="false" outlineLevel="0" max="35" min="30" style="0" width="8"/>
    <col collapsed="false" customWidth="true" hidden="false" outlineLevel="0" max="36" min="36" style="0" width="9"/>
    <col collapsed="false" customWidth="true" hidden="false" outlineLevel="0" max="37" min="37" style="0" width="12"/>
    <col collapsed="false" customWidth="true" hidden="false" outlineLevel="0" max="49" min="38" style="0" width="9"/>
    <col collapsed="false" customWidth="true" hidden="false" outlineLevel="0" max="50" min="50" style="0" width="10"/>
    <col collapsed="false" customWidth="true" hidden="false" outlineLevel="0" max="51" min="51" style="0" width="7"/>
    <col collapsed="false" customWidth="true" hidden="false" outlineLevel="0" max="53" min="52" style="0" width="9"/>
    <col collapsed="false" customWidth="true" hidden="false" outlineLevel="0" max="54" min="54" style="0" width="8"/>
    <col collapsed="false" customWidth="true" hidden="false" outlineLevel="0" max="55" min="55" style="0" width="46"/>
    <col collapsed="false" customWidth="true" hidden="false" outlineLevel="0" max="56" min="56" style="0" width="44"/>
  </cols>
  <sheetData>
    <row r="1" customFormat="false" ht="17.35" hidden="false" customHeight="false" outlineLevel="0" collapsed="false">
      <c r="A1" s="1" t="s">
        <v>156</v>
      </c>
    </row>
    <row r="2" customFormat="false" ht="15" hidden="false" customHeight="false" outlineLevel="0" collapsed="false">
      <c r="A2" s="2" t="s">
        <v>157</v>
      </c>
    </row>
    <row r="3" customFormat="false" ht="15" hidden="false" customHeight="false" outlineLevel="0" collapsed="false">
      <c r="A3" s="2" t="s">
        <v>158</v>
      </c>
    </row>
    <row r="5" customFormat="false" ht="66" hidden="false" customHeight="true" outlineLevel="0" collapsed="false">
      <c r="A5" s="16" t="s">
        <v>159</v>
      </c>
      <c r="B5" s="16" t="s">
        <v>121</v>
      </c>
      <c r="C5" s="16" t="s">
        <v>160</v>
      </c>
      <c r="D5" s="16" t="s">
        <v>161</v>
      </c>
      <c r="E5" s="16" t="s">
        <v>162</v>
      </c>
      <c r="F5" s="16" t="s">
        <v>163</v>
      </c>
      <c r="G5" s="16" t="s">
        <v>164</v>
      </c>
      <c r="H5" s="16" t="s">
        <v>165</v>
      </c>
      <c r="I5" s="16" t="s">
        <v>166</v>
      </c>
      <c r="J5" s="16" t="s">
        <v>167</v>
      </c>
      <c r="K5" s="16" t="s">
        <v>168</v>
      </c>
      <c r="L5" s="16" t="s">
        <v>169</v>
      </c>
      <c r="M5" s="16" t="s">
        <v>170</v>
      </c>
      <c r="N5" s="16" t="s">
        <v>171</v>
      </c>
      <c r="O5" s="16" t="s">
        <v>172</v>
      </c>
      <c r="P5" s="16" t="s">
        <v>173</v>
      </c>
      <c r="Q5" s="16" t="s">
        <v>174</v>
      </c>
      <c r="R5" s="16" t="s">
        <v>175</v>
      </c>
      <c r="S5" s="16" t="s">
        <v>176</v>
      </c>
      <c r="T5" s="16" t="s">
        <v>177</v>
      </c>
      <c r="U5" s="16" t="s">
        <v>178</v>
      </c>
      <c r="V5" s="16" t="s">
        <v>179</v>
      </c>
      <c r="W5" s="16" t="s">
        <v>180</v>
      </c>
      <c r="X5" s="16" t="s">
        <v>181</v>
      </c>
      <c r="Y5" s="16" t="s">
        <v>182</v>
      </c>
      <c r="Z5" s="16" t="s">
        <v>183</v>
      </c>
      <c r="AA5" s="16" t="s">
        <v>184</v>
      </c>
      <c r="AB5" s="16" t="s">
        <v>185</v>
      </c>
      <c r="AC5" s="16" t="s">
        <v>186</v>
      </c>
      <c r="AD5" s="16" t="s">
        <v>187</v>
      </c>
      <c r="AE5" s="16" t="s">
        <v>188</v>
      </c>
      <c r="AF5" s="16" t="s">
        <v>189</v>
      </c>
      <c r="AG5" s="16" t="s">
        <v>190</v>
      </c>
      <c r="AH5" s="16" t="s">
        <v>191</v>
      </c>
      <c r="AI5" s="16" t="s">
        <v>192</v>
      </c>
      <c r="AJ5" s="16" t="s">
        <v>193</v>
      </c>
      <c r="AK5" s="16" t="s">
        <v>194</v>
      </c>
      <c r="AL5" s="16" t="s">
        <v>195</v>
      </c>
      <c r="AM5" s="16" t="s">
        <v>196</v>
      </c>
      <c r="AN5" s="16" t="s">
        <v>197</v>
      </c>
      <c r="AO5" s="16" t="s">
        <v>198</v>
      </c>
      <c r="AP5" s="16" t="s">
        <v>199</v>
      </c>
      <c r="AQ5" s="16" t="s">
        <v>200</v>
      </c>
      <c r="AR5" s="16" t="s">
        <v>201</v>
      </c>
      <c r="AS5" s="16" t="s">
        <v>202</v>
      </c>
      <c r="AT5" s="16" t="s">
        <v>203</v>
      </c>
      <c r="AU5" s="16" t="s">
        <v>204</v>
      </c>
      <c r="AV5" s="16" t="s">
        <v>205</v>
      </c>
      <c r="AW5" s="16" t="s">
        <v>206</v>
      </c>
      <c r="AX5" s="16" t="s">
        <v>85</v>
      </c>
      <c r="AY5" s="16" t="s">
        <v>207</v>
      </c>
      <c r="AZ5" s="16" t="s">
        <v>208</v>
      </c>
      <c r="BA5" s="16" t="s">
        <v>209</v>
      </c>
      <c r="BB5" s="16" t="s">
        <v>210</v>
      </c>
      <c r="BC5" s="16" t="s">
        <v>211</v>
      </c>
      <c r="BD5" s="16" t="s">
        <v>212</v>
      </c>
    </row>
    <row r="6" customFormat="false" ht="15" hidden="false" customHeight="false" outlineLevel="0" collapsed="false">
      <c r="A6" s="4" t="n">
        <v>1</v>
      </c>
      <c r="B6" s="35" t="s">
        <v>213</v>
      </c>
      <c r="C6" s="36" t="s">
        <v>178</v>
      </c>
      <c r="D6" s="14" t="s">
        <v>214</v>
      </c>
      <c r="E6" s="4" t="s">
        <v>215</v>
      </c>
      <c r="F6" s="37" t="n">
        <v>9.84</v>
      </c>
      <c r="G6" s="34" t="n">
        <v>1360.8</v>
      </c>
      <c r="H6" s="30" t="n">
        <v>1</v>
      </c>
      <c r="I6" s="38" t="n">
        <f aca="false">F6/(G6*H6)*100</f>
        <v>0.72310405643739</v>
      </c>
      <c r="J6" s="39" t="n">
        <v>4.203</v>
      </c>
      <c r="K6" s="34" t="n">
        <v>453.6</v>
      </c>
      <c r="L6" s="38" t="n">
        <f aca="false">J6/(K6*H6)*100</f>
        <v>0.926587301587302</v>
      </c>
      <c r="M6" s="40" t="n">
        <f aca="false">IF(AND(IF(Planner!$C$39="BLS U.S. average (Sep 2026)",1,0)=1,L6&lt;&gt;""),L6,I6)</f>
        <v>0.72310405643739</v>
      </c>
      <c r="N6" s="13" t="n">
        <v>113</v>
      </c>
      <c r="O6" s="4" t="s">
        <v>216</v>
      </c>
      <c r="P6" s="8" t="n">
        <v>2</v>
      </c>
      <c r="Q6" s="41"/>
      <c r="R6" s="13"/>
      <c r="S6" s="42" t="n">
        <v>0</v>
      </c>
      <c r="T6" s="42" t="n">
        <v>0</v>
      </c>
      <c r="U6" s="42" t="n">
        <v>1</v>
      </c>
      <c r="V6" s="42" t="n">
        <v>0</v>
      </c>
      <c r="W6" s="42" t="n">
        <v>0</v>
      </c>
      <c r="X6" s="42" t="n">
        <v>0</v>
      </c>
      <c r="Y6" s="42" t="n">
        <v>0</v>
      </c>
      <c r="Z6" s="42" t="n">
        <v>0</v>
      </c>
      <c r="AA6" s="42" t="n">
        <v>0</v>
      </c>
      <c r="AB6" s="42" t="n">
        <v>0</v>
      </c>
      <c r="AC6" s="42" t="n">
        <v>0</v>
      </c>
      <c r="AD6" s="43" t="n">
        <f aca="false">SUMPRODUCT(S6:AC6,INDEX(Diets!$I$5:$S$14,MATCH(Planner!$C$36,Diets!$A$5:$A$14,0),0))</f>
        <v>0</v>
      </c>
      <c r="AE6" s="44" t="n">
        <f aca="false">IF(OR(UPPER(Q6)="Y",AD6&gt;0,AND(Planner!$C$40="Core 71 foods",AY6=0)),0,1)</f>
        <v>1</v>
      </c>
      <c r="AF6" s="45" t="n">
        <v>0</v>
      </c>
      <c r="AG6" s="45" t="n">
        <v>0.5</v>
      </c>
      <c r="AH6" s="45" t="n">
        <v>0.5</v>
      </c>
      <c r="AI6" s="45" t="n">
        <v>0</v>
      </c>
      <c r="AJ6" s="8"/>
      <c r="AK6" s="4" t="s">
        <v>217</v>
      </c>
      <c r="AL6" s="31" t="n">
        <v>120</v>
      </c>
      <c r="AM6" s="31" t="n">
        <v>22.5</v>
      </c>
      <c r="AN6" s="31" t="n">
        <v>0</v>
      </c>
      <c r="AO6" s="31" t="n">
        <v>2.62</v>
      </c>
      <c r="AP6" s="31" t="n">
        <v>0</v>
      </c>
      <c r="AQ6" s="31" t="n">
        <v>0</v>
      </c>
      <c r="AR6" s="31" t="n">
        <v>5</v>
      </c>
      <c r="AS6" s="31" t="n">
        <v>0.37</v>
      </c>
      <c r="AT6" s="31" t="n">
        <v>334</v>
      </c>
      <c r="AU6" s="31" t="n">
        <v>45</v>
      </c>
      <c r="AV6" s="31" t="n">
        <v>0</v>
      </c>
      <c r="AW6" s="31" t="n">
        <v>0.563</v>
      </c>
      <c r="AX6" s="4" t="s">
        <v>218</v>
      </c>
      <c r="AY6" s="43" t="n">
        <v>1</v>
      </c>
      <c r="AZ6" s="23" t="n">
        <f aca="false">AM6/M6</f>
        <v>31.1158536585366</v>
      </c>
      <c r="BA6" s="18" t="n">
        <f aca="false">AL6/M6</f>
        <v>165.951219512195</v>
      </c>
      <c r="BB6" s="4" t="s">
        <v>219</v>
      </c>
      <c r="BC6" s="4" t="s">
        <v>220</v>
      </c>
      <c r="BD6" s="4"/>
    </row>
    <row r="7" customFormat="false" ht="15" hidden="false" customHeight="false" outlineLevel="0" collapsed="false">
      <c r="A7" s="4" t="n">
        <v>2</v>
      </c>
      <c r="B7" s="35" t="s">
        <v>213</v>
      </c>
      <c r="C7" s="36" t="s">
        <v>178</v>
      </c>
      <c r="D7" s="14" t="s">
        <v>221</v>
      </c>
      <c r="E7" s="4" t="s">
        <v>222</v>
      </c>
      <c r="F7" s="37" t="n">
        <v>4.83</v>
      </c>
      <c r="G7" s="34" t="n">
        <v>1814.4</v>
      </c>
      <c r="H7" s="30" t="n">
        <v>0.67</v>
      </c>
      <c r="I7" s="38" t="n">
        <f aca="false">F7/(G7*H7)*100</f>
        <v>0.397318960751797</v>
      </c>
      <c r="J7" s="39" t="n">
        <v>1.739</v>
      </c>
      <c r="K7" s="34" t="n">
        <v>453.6</v>
      </c>
      <c r="L7" s="38" t="n">
        <f aca="false">J7/(K7*H7)*100</f>
        <v>0.572205112006107</v>
      </c>
      <c r="M7" s="40" t="n">
        <f aca="false">IF(AND(IF(Planner!$C$39="BLS U.S. average (Sep 2026)",1,0)=1,L7&lt;&gt;""),L7,I7)</f>
        <v>0.397318960751797</v>
      </c>
      <c r="N7" s="13" t="n">
        <v>100</v>
      </c>
      <c r="O7" s="4" t="s">
        <v>223</v>
      </c>
      <c r="P7" s="8" t="n">
        <v>2</v>
      </c>
      <c r="Q7" s="41"/>
      <c r="R7" s="13"/>
      <c r="S7" s="42" t="n">
        <v>0</v>
      </c>
      <c r="T7" s="42" t="n">
        <v>0</v>
      </c>
      <c r="U7" s="42" t="n">
        <v>1</v>
      </c>
      <c r="V7" s="42" t="n">
        <v>0</v>
      </c>
      <c r="W7" s="42" t="n">
        <v>0</v>
      </c>
      <c r="X7" s="42" t="n">
        <v>0</v>
      </c>
      <c r="Y7" s="42" t="n">
        <v>0</v>
      </c>
      <c r="Z7" s="42" t="n">
        <v>0</v>
      </c>
      <c r="AA7" s="42" t="n">
        <v>0</v>
      </c>
      <c r="AB7" s="42" t="n">
        <v>0</v>
      </c>
      <c r="AC7" s="42" t="n">
        <v>0</v>
      </c>
      <c r="AD7" s="43" t="n">
        <f aca="false">SUMPRODUCT(S7:AC7,INDEX(Diets!$I$5:$S$14,MATCH(Planner!$C$36,Diets!$A$5:$A$14,0),0))</f>
        <v>0</v>
      </c>
      <c r="AE7" s="44" t="n">
        <f aca="false">IF(OR(UPPER(Q7)="Y",AD7&gt;0,AND(Planner!$C$40="Core 71 foods",AY7=0)),0,1)</f>
        <v>1</v>
      </c>
      <c r="AF7" s="45" t="n">
        <v>0</v>
      </c>
      <c r="AG7" s="45" t="n">
        <v>0.5</v>
      </c>
      <c r="AH7" s="45" t="n">
        <v>0.5</v>
      </c>
      <c r="AI7" s="45" t="n">
        <v>0</v>
      </c>
      <c r="AJ7" s="8"/>
      <c r="AK7" s="4" t="s">
        <v>217</v>
      </c>
      <c r="AL7" s="31" t="n">
        <v>161</v>
      </c>
      <c r="AM7" s="31" t="n">
        <v>18.08</v>
      </c>
      <c r="AN7" s="31" t="n">
        <v>0.11</v>
      </c>
      <c r="AO7" s="31" t="n">
        <v>9.2</v>
      </c>
      <c r="AP7" s="31" t="n">
        <v>0</v>
      </c>
      <c r="AQ7" s="31" t="n">
        <v>0</v>
      </c>
      <c r="AR7" s="31" t="n">
        <v>8</v>
      </c>
      <c r="AS7" s="31" t="n">
        <v>0.71</v>
      </c>
      <c r="AT7" s="31" t="n">
        <v>211</v>
      </c>
      <c r="AU7" s="31" t="n">
        <v>106</v>
      </c>
      <c r="AV7" s="31" t="n">
        <v>0</v>
      </c>
      <c r="AW7" s="31" t="n">
        <v>2.459</v>
      </c>
      <c r="AX7" s="4" t="s">
        <v>218</v>
      </c>
      <c r="AY7" s="43" t="n">
        <v>1</v>
      </c>
      <c r="AZ7" s="23" t="n">
        <f aca="false">AM7/M7</f>
        <v>45.5050017391304</v>
      </c>
      <c r="BA7" s="18" t="n">
        <f aca="false">AL7/M7</f>
        <v>405.216</v>
      </c>
      <c r="BB7" s="4" t="s">
        <v>224</v>
      </c>
      <c r="BC7" s="4" t="s">
        <v>225</v>
      </c>
      <c r="BD7" s="4" t="s">
        <v>226</v>
      </c>
    </row>
    <row r="8" customFormat="false" ht="15" hidden="false" customHeight="false" outlineLevel="0" collapsed="false">
      <c r="A8" s="4" t="n">
        <v>3</v>
      </c>
      <c r="B8" s="35" t="s">
        <v>213</v>
      </c>
      <c r="C8" s="36" t="s">
        <v>178</v>
      </c>
      <c r="D8" s="14" t="s">
        <v>227</v>
      </c>
      <c r="E8" s="4" t="s">
        <v>215</v>
      </c>
      <c r="F8" s="37" t="n">
        <v>9.87</v>
      </c>
      <c r="G8" s="34" t="n">
        <v>1360.8</v>
      </c>
      <c r="H8" s="30" t="n">
        <v>1</v>
      </c>
      <c r="I8" s="38" t="n">
        <f aca="false">F8/(G8*H8)*100</f>
        <v>0.725308641975309</v>
      </c>
      <c r="J8" s="4"/>
      <c r="K8" s="4"/>
      <c r="L8" s="4"/>
      <c r="M8" s="40" t="n">
        <f aca="false">IF(AND(IF(Planner!$C$39="BLS U.S. average (Sep 2026)",1,0)=1,L8&lt;&gt;""),L8,I8)</f>
        <v>0.725308641975309</v>
      </c>
      <c r="N8" s="13" t="n">
        <v>113</v>
      </c>
      <c r="O8" s="4" t="s">
        <v>216</v>
      </c>
      <c r="P8" s="8" t="n">
        <v>2</v>
      </c>
      <c r="Q8" s="41"/>
      <c r="R8" s="13"/>
      <c r="S8" s="42" t="n">
        <v>0</v>
      </c>
      <c r="T8" s="42" t="n">
        <v>0</v>
      </c>
      <c r="U8" s="42" t="n">
        <v>1</v>
      </c>
      <c r="V8" s="42" t="n">
        <v>0</v>
      </c>
      <c r="W8" s="42" t="n">
        <v>0</v>
      </c>
      <c r="X8" s="42" t="n">
        <v>0</v>
      </c>
      <c r="Y8" s="42" t="n">
        <v>0</v>
      </c>
      <c r="Z8" s="42" t="n">
        <v>0</v>
      </c>
      <c r="AA8" s="42" t="n">
        <v>0</v>
      </c>
      <c r="AB8" s="42" t="n">
        <v>0</v>
      </c>
      <c r="AC8" s="42" t="n">
        <v>0</v>
      </c>
      <c r="AD8" s="43" t="n">
        <f aca="false">SUMPRODUCT(S8:AC8,INDEX(Diets!$I$5:$S$14,MATCH(Planner!$C$36,Diets!$A$5:$A$14,0),0))</f>
        <v>0</v>
      </c>
      <c r="AE8" s="44" t="n">
        <f aca="false">IF(OR(UPPER(Q8)="Y",AD8&gt;0,AND(Planner!$C$40="Core 71 foods",AY8=0)),0,1)</f>
        <v>1</v>
      </c>
      <c r="AF8" s="45" t="n">
        <v>0</v>
      </c>
      <c r="AG8" s="45" t="n">
        <v>0.5</v>
      </c>
      <c r="AH8" s="45" t="n">
        <v>0.5</v>
      </c>
      <c r="AI8" s="45" t="n">
        <v>0</v>
      </c>
      <c r="AJ8" s="8"/>
      <c r="AK8" s="4" t="s">
        <v>217</v>
      </c>
      <c r="AL8" s="31" t="n">
        <v>121</v>
      </c>
      <c r="AM8" s="31" t="n">
        <v>19.66</v>
      </c>
      <c r="AN8" s="31" t="n">
        <v>0</v>
      </c>
      <c r="AO8" s="31" t="n">
        <v>4.12</v>
      </c>
      <c r="AP8" s="31" t="n">
        <v>0</v>
      </c>
      <c r="AQ8" s="31" t="n">
        <v>0</v>
      </c>
      <c r="AR8" s="31" t="n">
        <v>7</v>
      </c>
      <c r="AS8" s="31" t="n">
        <v>0.81</v>
      </c>
      <c r="AT8" s="31" t="n">
        <v>242</v>
      </c>
      <c r="AU8" s="31" t="n">
        <v>95</v>
      </c>
      <c r="AV8" s="31" t="n">
        <v>0</v>
      </c>
      <c r="AW8" s="31" t="n">
        <v>1.097</v>
      </c>
      <c r="AX8" s="4" t="s">
        <v>218</v>
      </c>
      <c r="AY8" s="43" t="n">
        <v>1</v>
      </c>
      <c r="AZ8" s="23" t="n">
        <f aca="false">AM8/M8</f>
        <v>27.1057021276596</v>
      </c>
      <c r="BA8" s="18" t="n">
        <f aca="false">AL8/M8</f>
        <v>166.825531914894</v>
      </c>
      <c r="BB8" s="4" t="s">
        <v>228</v>
      </c>
      <c r="BC8" s="4" t="s">
        <v>229</v>
      </c>
      <c r="BD8" s="4" t="s">
        <v>230</v>
      </c>
    </row>
    <row r="9" customFormat="false" ht="15" hidden="false" customHeight="false" outlineLevel="0" collapsed="false">
      <c r="A9" s="4" t="n">
        <v>4</v>
      </c>
      <c r="B9" s="35" t="s">
        <v>213</v>
      </c>
      <c r="C9" s="36" t="s">
        <v>178</v>
      </c>
      <c r="D9" s="14" t="s">
        <v>231</v>
      </c>
      <c r="E9" s="4" t="s">
        <v>232</v>
      </c>
      <c r="F9" s="37" t="n">
        <v>5.97</v>
      </c>
      <c r="G9" s="34" t="n">
        <v>453.6</v>
      </c>
      <c r="H9" s="30" t="n">
        <v>1</v>
      </c>
      <c r="I9" s="38" t="n">
        <f aca="false">F9/(G9*H9)*100</f>
        <v>1.31613756613757</v>
      </c>
      <c r="J9" s="4"/>
      <c r="K9" s="4"/>
      <c r="L9" s="4"/>
      <c r="M9" s="40" t="n">
        <f aca="false">IF(AND(IF(Planner!$C$39="BLS U.S. average (Sep 2026)",1,0)=1,L9&lt;&gt;""),L9,I9)</f>
        <v>1.31613756613757</v>
      </c>
      <c r="N9" s="13" t="n">
        <v>56</v>
      </c>
      <c r="O9" s="4" t="s">
        <v>233</v>
      </c>
      <c r="P9" s="8" t="n">
        <v>2</v>
      </c>
      <c r="Q9" s="41"/>
      <c r="R9" s="13"/>
      <c r="S9" s="42" t="n">
        <v>0</v>
      </c>
      <c r="T9" s="42" t="n">
        <v>0</v>
      </c>
      <c r="U9" s="42" t="n">
        <v>1</v>
      </c>
      <c r="V9" s="42" t="n">
        <v>0</v>
      </c>
      <c r="W9" s="42" t="n">
        <v>0</v>
      </c>
      <c r="X9" s="42" t="n">
        <v>0</v>
      </c>
      <c r="Y9" s="42" t="n">
        <v>0</v>
      </c>
      <c r="Z9" s="42" t="n">
        <v>0</v>
      </c>
      <c r="AA9" s="42" t="n">
        <v>0</v>
      </c>
      <c r="AB9" s="42" t="n">
        <v>0</v>
      </c>
      <c r="AC9" s="42" t="n">
        <v>0</v>
      </c>
      <c r="AD9" s="43" t="n">
        <f aca="false">SUMPRODUCT(S9:AC9,INDEX(Diets!$I$5:$S$14,MATCH(Planner!$C$36,Diets!$A$5:$A$14,0),0))</f>
        <v>0</v>
      </c>
      <c r="AE9" s="44" t="n">
        <f aca="false">IF(OR(UPPER(Q9)="Y",AD9&gt;0,AND(Planner!$C$40="Core 71 foods",AY9=0)),0,1)</f>
        <v>1</v>
      </c>
      <c r="AF9" s="45" t="n">
        <v>0</v>
      </c>
      <c r="AG9" s="45" t="n">
        <v>1</v>
      </c>
      <c r="AH9" s="45" t="n">
        <v>0</v>
      </c>
      <c r="AI9" s="45" t="n">
        <v>0</v>
      </c>
      <c r="AJ9" s="8"/>
      <c r="AK9" s="4" t="s">
        <v>217</v>
      </c>
      <c r="AL9" s="31" t="n">
        <v>100</v>
      </c>
      <c r="AM9" s="31" t="n">
        <v>16.33</v>
      </c>
      <c r="AN9" s="31" t="n">
        <v>2.34</v>
      </c>
      <c r="AO9" s="31" t="n">
        <v>2.37</v>
      </c>
      <c r="AP9" s="31" t="n">
        <v>0</v>
      </c>
      <c r="AQ9" s="31" t="n">
        <v>3.28</v>
      </c>
      <c r="AR9" s="31" t="n">
        <v>7</v>
      </c>
      <c r="AS9" s="31" t="n">
        <v>0.34</v>
      </c>
      <c r="AT9" s="31" t="n">
        <v>401</v>
      </c>
      <c r="AU9" s="31" t="n">
        <v>922</v>
      </c>
      <c r="AV9" s="31" t="n">
        <v>0</v>
      </c>
      <c r="AW9" s="31" t="n">
        <v>0.318</v>
      </c>
      <c r="AX9" s="4" t="s">
        <v>218</v>
      </c>
      <c r="AY9" s="43" t="n">
        <v>1</v>
      </c>
      <c r="AZ9" s="23" t="n">
        <f aca="false">AM9/M9</f>
        <v>12.4075175879397</v>
      </c>
      <c r="BA9" s="18" t="n">
        <f aca="false">AL9/M9</f>
        <v>75.9798994974874</v>
      </c>
      <c r="BB9" s="4" t="s">
        <v>234</v>
      </c>
      <c r="BC9" s="4" t="s">
        <v>235</v>
      </c>
      <c r="BD9" s="4"/>
    </row>
    <row r="10" customFormat="false" ht="15" hidden="false" customHeight="false" outlineLevel="0" collapsed="false">
      <c r="A10" s="4" t="n">
        <v>5</v>
      </c>
      <c r="B10" s="35" t="s">
        <v>213</v>
      </c>
      <c r="C10" s="36" t="s">
        <v>178</v>
      </c>
      <c r="D10" s="14" t="s">
        <v>236</v>
      </c>
      <c r="E10" s="4" t="s">
        <v>237</v>
      </c>
      <c r="F10" s="37" t="n">
        <v>5.56</v>
      </c>
      <c r="G10" s="34" t="n">
        <v>453.6</v>
      </c>
      <c r="H10" s="30" t="n">
        <v>1</v>
      </c>
      <c r="I10" s="38" t="n">
        <f aca="false">F10/(G10*H10)*100</f>
        <v>1.22574955908289</v>
      </c>
      <c r="J10" s="4"/>
      <c r="K10" s="4"/>
      <c r="L10" s="4"/>
      <c r="M10" s="40" t="n">
        <f aca="false">IF(AND(IF(Planner!$C$39="BLS U.S. average (Sep 2026)",1,0)=1,L10&lt;&gt;""),L10,I10)</f>
        <v>1.22574955908289</v>
      </c>
      <c r="N10" s="13" t="n">
        <v>113</v>
      </c>
      <c r="O10" s="4" t="s">
        <v>216</v>
      </c>
      <c r="P10" s="8" t="n">
        <v>2</v>
      </c>
      <c r="Q10" s="41"/>
      <c r="R10" s="13"/>
      <c r="S10" s="42" t="n">
        <v>0</v>
      </c>
      <c r="T10" s="42" t="n">
        <v>0</v>
      </c>
      <c r="U10" s="42" t="n">
        <v>1</v>
      </c>
      <c r="V10" s="42" t="n">
        <v>0</v>
      </c>
      <c r="W10" s="42" t="n">
        <v>0</v>
      </c>
      <c r="X10" s="42" t="n">
        <v>0</v>
      </c>
      <c r="Y10" s="42" t="n">
        <v>0</v>
      </c>
      <c r="Z10" s="42" t="n">
        <v>0</v>
      </c>
      <c r="AA10" s="42" t="n">
        <v>0</v>
      </c>
      <c r="AB10" s="42" t="n">
        <v>0</v>
      </c>
      <c r="AC10" s="42" t="n">
        <v>0</v>
      </c>
      <c r="AD10" s="43" t="n">
        <f aca="false">SUMPRODUCT(S10:AC10,INDEX(Diets!$I$5:$S$14,MATCH(Planner!$C$36,Diets!$A$5:$A$14,0),0))</f>
        <v>0</v>
      </c>
      <c r="AE10" s="44" t="n">
        <f aca="false">IF(OR(UPPER(Q10)="Y",AD10&gt;0,AND(Planner!$C$40="Core 71 foods",AY10=0)),0,1)</f>
        <v>1</v>
      </c>
      <c r="AF10" s="45" t="n">
        <v>0</v>
      </c>
      <c r="AG10" s="45" t="n">
        <v>0.5</v>
      </c>
      <c r="AH10" s="45" t="n">
        <v>0.5</v>
      </c>
      <c r="AI10" s="45" t="n">
        <v>0</v>
      </c>
      <c r="AJ10" s="8"/>
      <c r="AK10" s="4" t="s">
        <v>217</v>
      </c>
      <c r="AL10" s="31" t="n">
        <v>150</v>
      </c>
      <c r="AM10" s="31" t="n">
        <v>18.73</v>
      </c>
      <c r="AN10" s="31" t="n">
        <v>0</v>
      </c>
      <c r="AO10" s="31" t="n">
        <v>8.34</v>
      </c>
      <c r="AP10" s="31" t="n">
        <v>0</v>
      </c>
      <c r="AQ10" s="31" t="n">
        <v>0</v>
      </c>
      <c r="AR10" s="31" t="n">
        <v>21</v>
      </c>
      <c r="AS10" s="31" t="n">
        <v>1.17</v>
      </c>
      <c r="AT10" s="31" t="n">
        <v>213</v>
      </c>
      <c r="AU10" s="31" t="n">
        <v>69</v>
      </c>
      <c r="AV10" s="31" t="n">
        <v>0</v>
      </c>
      <c r="AW10" s="31" t="n">
        <v>2.17</v>
      </c>
      <c r="AX10" s="4" t="s">
        <v>218</v>
      </c>
      <c r="AY10" s="43" t="n">
        <v>1</v>
      </c>
      <c r="AZ10" s="23" t="n">
        <f aca="false">AM10/M10</f>
        <v>15.2804460431655</v>
      </c>
      <c r="BA10" s="18" t="n">
        <f aca="false">AL10/M10</f>
        <v>122.374100719424</v>
      </c>
      <c r="BB10" s="4" t="s">
        <v>238</v>
      </c>
      <c r="BC10" s="4" t="s">
        <v>239</v>
      </c>
      <c r="BD10" s="4"/>
    </row>
    <row r="11" customFormat="false" ht="15" hidden="false" customHeight="false" outlineLevel="0" collapsed="false">
      <c r="A11" s="4" t="n">
        <v>6</v>
      </c>
      <c r="B11" s="35" t="s">
        <v>213</v>
      </c>
      <c r="C11" s="36" t="s">
        <v>178</v>
      </c>
      <c r="D11" s="14" t="s">
        <v>240</v>
      </c>
      <c r="E11" s="4" t="s">
        <v>241</v>
      </c>
      <c r="F11" s="37" t="n">
        <v>2.064</v>
      </c>
      <c r="G11" s="34" t="n">
        <v>453.6</v>
      </c>
      <c r="H11" s="30" t="n">
        <v>0.68</v>
      </c>
      <c r="I11" s="38" t="n">
        <f aca="false">F11/(G11*H11)*100</f>
        <v>0.669156551509493</v>
      </c>
      <c r="J11" s="39" t="n">
        <v>2.064</v>
      </c>
      <c r="K11" s="34" t="n">
        <v>453.6</v>
      </c>
      <c r="L11" s="38" t="n">
        <f aca="false">J11/(K11*H11)*100</f>
        <v>0.669156551509493</v>
      </c>
      <c r="M11" s="40" t="n">
        <f aca="false">IF(AND(IF(Planner!$C$39="BLS U.S. average (Sep 2026)",1,0)=1,L11&lt;&gt;""),L11,I11)</f>
        <v>0.669156551509493</v>
      </c>
      <c r="N11" s="13" t="n">
        <v>113</v>
      </c>
      <c r="O11" s="4" t="s">
        <v>242</v>
      </c>
      <c r="P11" s="8" t="n">
        <v>2</v>
      </c>
      <c r="Q11" s="41"/>
      <c r="R11" s="13"/>
      <c r="S11" s="42" t="n">
        <v>0</v>
      </c>
      <c r="T11" s="42" t="n">
        <v>0</v>
      </c>
      <c r="U11" s="42" t="n">
        <v>1</v>
      </c>
      <c r="V11" s="42" t="n">
        <v>0</v>
      </c>
      <c r="W11" s="42" t="n">
        <v>0</v>
      </c>
      <c r="X11" s="42" t="n">
        <v>0</v>
      </c>
      <c r="Y11" s="42" t="n">
        <v>0</v>
      </c>
      <c r="Z11" s="42" t="n">
        <v>0</v>
      </c>
      <c r="AA11" s="42" t="n">
        <v>0</v>
      </c>
      <c r="AB11" s="42" t="n">
        <v>0</v>
      </c>
      <c r="AC11" s="42" t="n">
        <v>0</v>
      </c>
      <c r="AD11" s="43" t="n">
        <f aca="false">SUMPRODUCT(S11:AC11,INDEX(Diets!$I$5:$S$14,MATCH(Planner!$C$36,Diets!$A$5:$A$14,0),0))</f>
        <v>0</v>
      </c>
      <c r="AE11" s="44" t="n">
        <f aca="false">IF(OR(UPPER(Q11)="Y",AD11&gt;0,AND(Planner!$C$40="Core 71 foods",AY11=0)),0,1)</f>
        <v>1</v>
      </c>
      <c r="AF11" s="45" t="n">
        <v>0</v>
      </c>
      <c r="AG11" s="45" t="n">
        <v>0.5</v>
      </c>
      <c r="AH11" s="45" t="n">
        <v>0.5</v>
      </c>
      <c r="AI11" s="45" t="n">
        <v>0</v>
      </c>
      <c r="AJ11" s="8"/>
      <c r="AK11" s="4" t="s">
        <v>217</v>
      </c>
      <c r="AL11" s="31" t="n">
        <v>215</v>
      </c>
      <c r="AM11" s="31" t="n">
        <v>18.6</v>
      </c>
      <c r="AN11" s="31" t="n">
        <v>0</v>
      </c>
      <c r="AO11" s="31" t="n">
        <v>15.06</v>
      </c>
      <c r="AP11" s="31" t="n">
        <v>0</v>
      </c>
      <c r="AQ11" s="31" t="n">
        <v>0</v>
      </c>
      <c r="AR11" s="31" t="n">
        <v>11</v>
      </c>
      <c r="AS11" s="31" t="n">
        <v>0.9</v>
      </c>
      <c r="AT11" s="31" t="n">
        <v>189</v>
      </c>
      <c r="AU11" s="31" t="n">
        <v>70</v>
      </c>
      <c r="AV11" s="31" t="n">
        <v>1.6</v>
      </c>
      <c r="AW11" s="31" t="n">
        <v>4.31</v>
      </c>
      <c r="AX11" s="4" t="s">
        <v>243</v>
      </c>
      <c r="AY11" s="43" t="n">
        <v>0</v>
      </c>
      <c r="AZ11" s="23" t="n">
        <f aca="false">AM11/M11</f>
        <v>27.7961860465116</v>
      </c>
      <c r="BA11" s="18" t="n">
        <f aca="false">AL11/M11</f>
        <v>321.3</v>
      </c>
      <c r="BB11" s="4" t="s">
        <v>244</v>
      </c>
      <c r="BC11" s="4" t="s">
        <v>245</v>
      </c>
      <c r="BD11" s="4" t="s">
        <v>246</v>
      </c>
    </row>
    <row r="12" customFormat="false" ht="15" hidden="false" customHeight="false" outlineLevel="0" collapsed="false">
      <c r="A12" s="4" t="n">
        <v>7</v>
      </c>
      <c r="B12" s="35" t="s">
        <v>213</v>
      </c>
      <c r="C12" s="36" t="s">
        <v>247</v>
      </c>
      <c r="D12" s="14" t="s">
        <v>248</v>
      </c>
      <c r="E12" s="4" t="s">
        <v>249</v>
      </c>
      <c r="F12" s="37" t="n">
        <v>4.24</v>
      </c>
      <c r="G12" s="34" t="n">
        <v>453.6</v>
      </c>
      <c r="H12" s="30" t="n">
        <v>1</v>
      </c>
      <c r="I12" s="38" t="n">
        <f aca="false">F12/(G12*H12)*100</f>
        <v>0.934744268077602</v>
      </c>
      <c r="J12" s="39" t="n">
        <v>6.756</v>
      </c>
      <c r="K12" s="34" t="n">
        <v>453.6</v>
      </c>
      <c r="L12" s="38" t="n">
        <f aca="false">J12/(K12*H12)*100</f>
        <v>1.48941798941799</v>
      </c>
      <c r="M12" s="40" t="n">
        <f aca="false">IF(AND(IF(Planner!$C$39="BLS U.S. average (Sep 2026)",1,0)=1,L12&lt;&gt;""),L12,I12)</f>
        <v>0.934744268077602</v>
      </c>
      <c r="N12" s="13" t="n">
        <v>28</v>
      </c>
      <c r="O12" s="4" t="s">
        <v>250</v>
      </c>
      <c r="P12" s="8" t="n">
        <v>3</v>
      </c>
      <c r="Q12" s="41"/>
      <c r="R12" s="13"/>
      <c r="S12" s="42" t="n">
        <v>1</v>
      </c>
      <c r="T12" s="42" t="n">
        <v>1</v>
      </c>
      <c r="U12" s="42" t="n">
        <v>0</v>
      </c>
      <c r="V12" s="42" t="n">
        <v>0</v>
      </c>
      <c r="W12" s="42" t="n">
        <v>0</v>
      </c>
      <c r="X12" s="42" t="n">
        <v>0</v>
      </c>
      <c r="Y12" s="42" t="n">
        <v>0</v>
      </c>
      <c r="Z12" s="42" t="n">
        <v>0</v>
      </c>
      <c r="AA12" s="42" t="n">
        <v>0</v>
      </c>
      <c r="AB12" s="42" t="n">
        <v>0</v>
      </c>
      <c r="AC12" s="42" t="n">
        <v>0</v>
      </c>
      <c r="AD12" s="43" t="n">
        <f aca="false">SUMPRODUCT(S12:AC12,INDEX(Diets!$I$5:$S$14,MATCH(Planner!$C$36,Diets!$A$5:$A$14,0),0))</f>
        <v>0</v>
      </c>
      <c r="AE12" s="44" t="n">
        <f aca="false">IF(OR(UPPER(Q12)="Y",AD12&gt;0,AND(Planner!$C$40="Core 71 foods",AY12=0)),0,1)</f>
        <v>1</v>
      </c>
      <c r="AF12" s="45" t="n">
        <v>1</v>
      </c>
      <c r="AG12" s="45" t="n">
        <v>0</v>
      </c>
      <c r="AH12" s="45" t="n">
        <v>0</v>
      </c>
      <c r="AI12" s="45" t="n">
        <v>0</v>
      </c>
      <c r="AJ12" s="8"/>
      <c r="AK12" s="4" t="s">
        <v>217</v>
      </c>
      <c r="AL12" s="31" t="n">
        <v>417</v>
      </c>
      <c r="AM12" s="31" t="n">
        <v>12.62</v>
      </c>
      <c r="AN12" s="31" t="n">
        <v>1.28</v>
      </c>
      <c r="AO12" s="31" t="n">
        <v>39.69</v>
      </c>
      <c r="AP12" s="31" t="n">
        <v>0</v>
      </c>
      <c r="AQ12" s="31" t="n">
        <v>1</v>
      </c>
      <c r="AR12" s="31" t="n">
        <v>5</v>
      </c>
      <c r="AS12" s="31" t="n">
        <v>0.41</v>
      </c>
      <c r="AT12" s="31" t="n">
        <v>198</v>
      </c>
      <c r="AU12" s="31" t="n">
        <v>662</v>
      </c>
      <c r="AV12" s="31" t="n">
        <v>0</v>
      </c>
      <c r="AW12" s="31" t="n">
        <v>13.296</v>
      </c>
      <c r="AX12" s="4" t="s">
        <v>218</v>
      </c>
      <c r="AY12" s="43" t="n">
        <v>1</v>
      </c>
      <c r="AZ12" s="23" t="n">
        <f aca="false">AM12/M12</f>
        <v>13.5010188679245</v>
      </c>
      <c r="BA12" s="18" t="n">
        <f aca="false">AL12/M12</f>
        <v>446.111320754717</v>
      </c>
      <c r="BB12" s="4" t="s">
        <v>251</v>
      </c>
      <c r="BC12" s="4" t="s">
        <v>252</v>
      </c>
      <c r="BD12" s="4"/>
    </row>
    <row r="13" customFormat="false" ht="15" hidden="false" customHeight="false" outlineLevel="0" collapsed="false">
      <c r="A13" s="4" t="n">
        <v>8</v>
      </c>
      <c r="B13" s="35" t="s">
        <v>213</v>
      </c>
      <c r="C13" s="36" t="s">
        <v>247</v>
      </c>
      <c r="D13" s="14" t="s">
        <v>253</v>
      </c>
      <c r="E13" s="4" t="s">
        <v>254</v>
      </c>
      <c r="F13" s="37" t="n">
        <v>8.533</v>
      </c>
      <c r="G13" s="34" t="n">
        <v>453.6</v>
      </c>
      <c r="H13" s="30" t="n">
        <v>1</v>
      </c>
      <c r="I13" s="38" t="n">
        <f aca="false">F13/(G13*H13)*100</f>
        <v>1.88117283950617</v>
      </c>
      <c r="J13" s="39" t="n">
        <v>8.533</v>
      </c>
      <c r="K13" s="34" t="n">
        <v>453.6</v>
      </c>
      <c r="L13" s="38" t="n">
        <f aca="false">J13/(K13*H13)*100</f>
        <v>1.88117283950617</v>
      </c>
      <c r="M13" s="40" t="n">
        <f aca="false">IF(AND(IF(Planner!$C$39="BLS U.S. average (Sep 2026)",1,0)=1,L13&lt;&gt;""),L13,I13)</f>
        <v>1.88117283950617</v>
      </c>
      <c r="N13" s="13" t="n">
        <v>113</v>
      </c>
      <c r="O13" s="4" t="s">
        <v>216</v>
      </c>
      <c r="P13" s="8" t="n">
        <v>2</v>
      </c>
      <c r="Q13" s="41"/>
      <c r="R13" s="13"/>
      <c r="S13" s="42" t="n">
        <v>1</v>
      </c>
      <c r="T13" s="42" t="n">
        <v>0</v>
      </c>
      <c r="U13" s="42" t="n">
        <v>0</v>
      </c>
      <c r="V13" s="42" t="n">
        <v>0</v>
      </c>
      <c r="W13" s="42" t="n">
        <v>0</v>
      </c>
      <c r="X13" s="42" t="n">
        <v>0</v>
      </c>
      <c r="Y13" s="42" t="n">
        <v>0</v>
      </c>
      <c r="Z13" s="42" t="n">
        <v>0</v>
      </c>
      <c r="AA13" s="42" t="n">
        <v>0</v>
      </c>
      <c r="AB13" s="42" t="n">
        <v>0</v>
      </c>
      <c r="AC13" s="42" t="n">
        <v>0</v>
      </c>
      <c r="AD13" s="43" t="n">
        <f aca="false">SUMPRODUCT(S13:AC13,INDEX(Diets!$I$5:$S$14,MATCH(Planner!$C$36,Diets!$A$5:$A$14,0),0))</f>
        <v>0</v>
      </c>
      <c r="AE13" s="44" t="n">
        <f aca="false">IF(OR(UPPER(Q13)="Y",AD13&gt;0,AND(Planner!$C$40="Core 71 foods",AY13=0)),0,1)</f>
        <v>1</v>
      </c>
      <c r="AF13" s="45" t="n">
        <v>0</v>
      </c>
      <c r="AG13" s="45" t="n">
        <v>0</v>
      </c>
      <c r="AH13" s="45" t="n">
        <v>1</v>
      </c>
      <c r="AI13" s="45" t="n">
        <v>0</v>
      </c>
      <c r="AJ13" s="8"/>
      <c r="AK13" s="4" t="s">
        <v>217</v>
      </c>
      <c r="AL13" s="31" t="n">
        <v>128</v>
      </c>
      <c r="AM13" s="31" t="n">
        <v>21.75</v>
      </c>
      <c r="AN13" s="31" t="n">
        <v>0.16</v>
      </c>
      <c r="AO13" s="31" t="n">
        <v>4.48</v>
      </c>
      <c r="AP13" s="31" t="n">
        <v>0</v>
      </c>
      <c r="AQ13" s="31" t="n">
        <v>0</v>
      </c>
      <c r="AR13" s="31" t="n">
        <v>13</v>
      </c>
      <c r="AS13" s="31" t="n">
        <v>2.12</v>
      </c>
      <c r="AT13" s="31" t="n">
        <v>367</v>
      </c>
      <c r="AU13" s="31" t="n">
        <v>80</v>
      </c>
      <c r="AV13" s="31" t="n">
        <v>0</v>
      </c>
      <c r="AW13" s="31" t="n">
        <v>1.86</v>
      </c>
      <c r="AX13" s="4" t="s">
        <v>243</v>
      </c>
      <c r="AY13" s="43" t="n">
        <v>0</v>
      </c>
      <c r="AZ13" s="23" t="n">
        <f aca="false">AM13/M13</f>
        <v>11.5619360131255</v>
      </c>
      <c r="BA13" s="18" t="n">
        <f aca="false">AL13/M13</f>
        <v>68.0426579163249</v>
      </c>
      <c r="BB13" s="4" t="s">
        <v>255</v>
      </c>
      <c r="BC13" s="4" t="s">
        <v>256</v>
      </c>
      <c r="BD13" s="4" t="s">
        <v>257</v>
      </c>
    </row>
    <row r="14" customFormat="false" ht="15" hidden="false" customHeight="false" outlineLevel="0" collapsed="false">
      <c r="A14" s="4" t="n">
        <v>9</v>
      </c>
      <c r="B14" s="35" t="s">
        <v>213</v>
      </c>
      <c r="C14" s="36" t="s">
        <v>247</v>
      </c>
      <c r="D14" s="14" t="s">
        <v>258</v>
      </c>
      <c r="E14" s="4" t="s">
        <v>259</v>
      </c>
      <c r="F14" s="37" t="n">
        <v>6.43</v>
      </c>
      <c r="G14" s="34" t="n">
        <v>453.6</v>
      </c>
      <c r="H14" s="30" t="n">
        <v>1</v>
      </c>
      <c r="I14" s="38" t="n">
        <f aca="false">F14/(G14*H14)*100</f>
        <v>1.41754850088183</v>
      </c>
      <c r="J14" s="39" t="n">
        <v>6.792</v>
      </c>
      <c r="K14" s="34" t="n">
        <v>453.6</v>
      </c>
      <c r="L14" s="38" t="n">
        <f aca="false">J14/(K14*H14)*100</f>
        <v>1.4973544973545</v>
      </c>
      <c r="M14" s="40" t="n">
        <f aca="false">IF(AND(IF(Planner!$C$39="BLS U.S. average (Sep 2026)",1,0)=1,L14&lt;&gt;""),L14,I14)</f>
        <v>1.41754850088183</v>
      </c>
      <c r="N14" s="13" t="n">
        <v>113</v>
      </c>
      <c r="O14" s="4" t="s">
        <v>216</v>
      </c>
      <c r="P14" s="8" t="n">
        <v>2</v>
      </c>
      <c r="Q14" s="41"/>
      <c r="R14" s="13"/>
      <c r="S14" s="42" t="n">
        <v>1</v>
      </c>
      <c r="T14" s="42" t="n">
        <v>0</v>
      </c>
      <c r="U14" s="42" t="n">
        <v>0</v>
      </c>
      <c r="V14" s="42" t="n">
        <v>0</v>
      </c>
      <c r="W14" s="42" t="n">
        <v>0</v>
      </c>
      <c r="X14" s="42" t="n">
        <v>0</v>
      </c>
      <c r="Y14" s="42" t="n">
        <v>0</v>
      </c>
      <c r="Z14" s="42" t="n">
        <v>0</v>
      </c>
      <c r="AA14" s="42" t="n">
        <v>0</v>
      </c>
      <c r="AB14" s="42" t="n">
        <v>0</v>
      </c>
      <c r="AC14" s="42" t="n">
        <v>0</v>
      </c>
      <c r="AD14" s="43" t="n">
        <f aca="false">SUMPRODUCT(S14:AC14,INDEX(Diets!$I$5:$S$14,MATCH(Planner!$C$36,Diets!$A$5:$A$14,0),0))</f>
        <v>0</v>
      </c>
      <c r="AE14" s="44" t="n">
        <f aca="false">IF(OR(UPPER(Q14)="Y",AD14&gt;0,AND(Planner!$C$40="Core 71 foods",AY14=0)),0,1)</f>
        <v>1</v>
      </c>
      <c r="AF14" s="45" t="n">
        <v>0</v>
      </c>
      <c r="AG14" s="45" t="n">
        <v>0.5</v>
      </c>
      <c r="AH14" s="45" t="n">
        <v>0.5</v>
      </c>
      <c r="AI14" s="45" t="n">
        <v>0</v>
      </c>
      <c r="AJ14" s="8"/>
      <c r="AK14" s="4" t="s">
        <v>217</v>
      </c>
      <c r="AL14" s="31" t="n">
        <v>254</v>
      </c>
      <c r="AM14" s="31" t="n">
        <v>17.17</v>
      </c>
      <c r="AN14" s="31" t="n">
        <v>0</v>
      </c>
      <c r="AO14" s="31" t="n">
        <v>20</v>
      </c>
      <c r="AP14" s="31" t="n">
        <v>0</v>
      </c>
      <c r="AQ14" s="31" t="n">
        <v>0</v>
      </c>
      <c r="AR14" s="31" t="n">
        <v>18</v>
      </c>
      <c r="AS14" s="31" t="n">
        <v>1.94</v>
      </c>
      <c r="AT14" s="31" t="n">
        <v>270</v>
      </c>
      <c r="AU14" s="31" t="n">
        <v>66</v>
      </c>
      <c r="AV14" s="31" t="n">
        <v>0</v>
      </c>
      <c r="AW14" s="31" t="n">
        <v>7.581</v>
      </c>
      <c r="AX14" s="4" t="s">
        <v>218</v>
      </c>
      <c r="AY14" s="43" t="n">
        <v>1</v>
      </c>
      <c r="AZ14" s="23" t="n">
        <f aca="false">AM14/M14</f>
        <v>12.1124603421462</v>
      </c>
      <c r="BA14" s="18" t="n">
        <f aca="false">AL14/M14</f>
        <v>179.182581648523</v>
      </c>
      <c r="BB14" s="4" t="s">
        <v>260</v>
      </c>
      <c r="BC14" s="4" t="s">
        <v>261</v>
      </c>
      <c r="BD14" s="4"/>
    </row>
    <row r="15" customFormat="false" ht="15" hidden="false" customHeight="false" outlineLevel="0" collapsed="false">
      <c r="A15" s="4" t="n">
        <v>10</v>
      </c>
      <c r="B15" s="35" t="s">
        <v>213</v>
      </c>
      <c r="C15" s="36" t="s">
        <v>247</v>
      </c>
      <c r="D15" s="14" t="s">
        <v>262</v>
      </c>
      <c r="E15" s="4" t="s">
        <v>263</v>
      </c>
      <c r="F15" s="37" t="n">
        <v>7.87</v>
      </c>
      <c r="G15" s="34" t="n">
        <v>453.6</v>
      </c>
      <c r="H15" s="30" t="n">
        <v>1</v>
      </c>
      <c r="I15" s="38" t="n">
        <f aca="false">F15/(G15*H15)*100</f>
        <v>1.73500881834215</v>
      </c>
      <c r="J15" s="39" t="n">
        <v>8.461</v>
      </c>
      <c r="K15" s="34" t="n">
        <v>453.6</v>
      </c>
      <c r="L15" s="38" t="n">
        <f aca="false">J15/(K15*H15)*100</f>
        <v>1.86529982363316</v>
      </c>
      <c r="M15" s="40" t="n">
        <f aca="false">IF(AND(IF(Planner!$C$39="BLS U.S. average (Sep 2026)",1,0)=1,L15&lt;&gt;""),L15,I15)</f>
        <v>1.73500881834215</v>
      </c>
      <c r="N15" s="13" t="n">
        <v>113</v>
      </c>
      <c r="O15" s="4" t="s">
        <v>216</v>
      </c>
      <c r="P15" s="8" t="n">
        <v>2</v>
      </c>
      <c r="Q15" s="41"/>
      <c r="R15" s="13"/>
      <c r="S15" s="42" t="n">
        <v>1</v>
      </c>
      <c r="T15" s="42" t="n">
        <v>0</v>
      </c>
      <c r="U15" s="42" t="n">
        <v>0</v>
      </c>
      <c r="V15" s="42" t="n">
        <v>0</v>
      </c>
      <c r="W15" s="42" t="n">
        <v>0</v>
      </c>
      <c r="X15" s="42" t="n">
        <v>0</v>
      </c>
      <c r="Y15" s="42" t="n">
        <v>0</v>
      </c>
      <c r="Z15" s="42" t="n">
        <v>0</v>
      </c>
      <c r="AA15" s="42" t="n">
        <v>0</v>
      </c>
      <c r="AB15" s="42" t="n">
        <v>0</v>
      </c>
      <c r="AC15" s="42" t="n">
        <v>0</v>
      </c>
      <c r="AD15" s="43" t="n">
        <f aca="false">SUMPRODUCT(S15:AC15,INDEX(Diets!$I$5:$S$14,MATCH(Planner!$C$36,Diets!$A$5:$A$14,0),0))</f>
        <v>0</v>
      </c>
      <c r="AE15" s="44" t="n">
        <f aca="false">IF(OR(UPPER(Q15)="Y",AD15&gt;0,AND(Planner!$C$40="Core 71 foods",AY15=0)),0,1)</f>
        <v>1</v>
      </c>
      <c r="AF15" s="45" t="n">
        <v>0</v>
      </c>
      <c r="AG15" s="45" t="n">
        <v>0.5</v>
      </c>
      <c r="AH15" s="45" t="n">
        <v>0.5</v>
      </c>
      <c r="AI15" s="45" t="n">
        <v>0</v>
      </c>
      <c r="AJ15" s="8"/>
      <c r="AK15" s="4" t="s">
        <v>217</v>
      </c>
      <c r="AL15" s="31" t="n">
        <v>152</v>
      </c>
      <c r="AM15" s="31" t="n">
        <v>20.85</v>
      </c>
      <c r="AN15" s="31" t="n">
        <v>0</v>
      </c>
      <c r="AO15" s="31" t="n">
        <v>7</v>
      </c>
      <c r="AP15" s="31" t="n">
        <v>0</v>
      </c>
      <c r="AQ15" s="31" t="n">
        <v>0</v>
      </c>
      <c r="AR15" s="31" t="n">
        <v>10</v>
      </c>
      <c r="AS15" s="31" t="n">
        <v>2.33</v>
      </c>
      <c r="AT15" s="31" t="n">
        <v>336</v>
      </c>
      <c r="AU15" s="31" t="n">
        <v>66</v>
      </c>
      <c r="AV15" s="31" t="n">
        <v>0</v>
      </c>
      <c r="AW15" s="31" t="n">
        <v>2.878</v>
      </c>
      <c r="AX15" s="4" t="s">
        <v>218</v>
      </c>
      <c r="AY15" s="43" t="n">
        <v>1</v>
      </c>
      <c r="AZ15" s="23" t="n">
        <f aca="false">AM15/M15</f>
        <v>12.0172299872935</v>
      </c>
      <c r="BA15" s="18" t="n">
        <f aca="false">AL15/M15</f>
        <v>87.607623888183</v>
      </c>
      <c r="BB15" s="4" t="s">
        <v>264</v>
      </c>
      <c r="BC15" s="4" t="s">
        <v>265</v>
      </c>
      <c r="BD15" s="4"/>
    </row>
    <row r="16" customFormat="false" ht="15" hidden="false" customHeight="false" outlineLevel="0" collapsed="false">
      <c r="A16" s="4" t="n">
        <v>11</v>
      </c>
      <c r="B16" s="35" t="s">
        <v>213</v>
      </c>
      <c r="C16" s="36" t="s">
        <v>247</v>
      </c>
      <c r="D16" s="14" t="s">
        <v>266</v>
      </c>
      <c r="E16" s="4" t="s">
        <v>267</v>
      </c>
      <c r="F16" s="37" t="n">
        <v>4.97</v>
      </c>
      <c r="G16" s="34" t="n">
        <v>453.6</v>
      </c>
      <c r="H16" s="30" t="n">
        <v>1</v>
      </c>
      <c r="I16" s="38" t="n">
        <f aca="false">F16/(G16*H16)*100</f>
        <v>1.09567901234568</v>
      </c>
      <c r="J16" s="39" t="n">
        <v>5.45</v>
      </c>
      <c r="K16" s="34" t="n">
        <v>453.6</v>
      </c>
      <c r="L16" s="38" t="n">
        <f aca="false">J16/(K16*H16)*100</f>
        <v>1.20149911816578</v>
      </c>
      <c r="M16" s="40" t="n">
        <f aca="false">IF(AND(IF(Planner!$C$39="BLS U.S. average (Sep 2026)",1,0)=1,L16&lt;&gt;""),L16,I16)</f>
        <v>1.09567901234568</v>
      </c>
      <c r="N16" s="13" t="n">
        <v>56</v>
      </c>
      <c r="O16" s="4" t="s">
        <v>268</v>
      </c>
      <c r="P16" s="8" t="n">
        <v>2</v>
      </c>
      <c r="Q16" s="41"/>
      <c r="R16" s="13"/>
      <c r="S16" s="42" t="n">
        <v>1</v>
      </c>
      <c r="T16" s="42" t="n">
        <v>1</v>
      </c>
      <c r="U16" s="42" t="n">
        <v>0</v>
      </c>
      <c r="V16" s="42" t="n">
        <v>0</v>
      </c>
      <c r="W16" s="42" t="n">
        <v>0</v>
      </c>
      <c r="X16" s="42" t="n">
        <v>0</v>
      </c>
      <c r="Y16" s="42" t="n">
        <v>0</v>
      </c>
      <c r="Z16" s="42" t="n">
        <v>0</v>
      </c>
      <c r="AA16" s="42" t="n">
        <v>0</v>
      </c>
      <c r="AB16" s="42" t="n">
        <v>0</v>
      </c>
      <c r="AC16" s="42" t="n">
        <v>0</v>
      </c>
      <c r="AD16" s="43" t="n">
        <f aca="false">SUMPRODUCT(S16:AC16,INDEX(Diets!$I$5:$S$14,MATCH(Planner!$C$36,Diets!$A$5:$A$14,0),0))</f>
        <v>0</v>
      </c>
      <c r="AE16" s="44" t="n">
        <f aca="false">IF(OR(UPPER(Q16)="Y",AD16&gt;0,AND(Planner!$C$40="Core 71 foods",AY16=0)),0,1)</f>
        <v>1</v>
      </c>
      <c r="AF16" s="45" t="n">
        <v>0</v>
      </c>
      <c r="AG16" s="45" t="n">
        <v>1</v>
      </c>
      <c r="AH16" s="45" t="n">
        <v>0</v>
      </c>
      <c r="AI16" s="45" t="n">
        <v>0</v>
      </c>
      <c r="AJ16" s="8"/>
      <c r="AK16" s="4" t="s">
        <v>217</v>
      </c>
      <c r="AL16" s="31" t="n">
        <v>163</v>
      </c>
      <c r="AM16" s="31" t="n">
        <v>16.6</v>
      </c>
      <c r="AN16" s="31" t="n">
        <v>3.83</v>
      </c>
      <c r="AO16" s="31" t="n">
        <v>8.6</v>
      </c>
      <c r="AP16" s="31" t="n">
        <v>1.3</v>
      </c>
      <c r="AQ16" s="31" t="n">
        <v>0</v>
      </c>
      <c r="AR16" s="31" t="n">
        <v>24</v>
      </c>
      <c r="AS16" s="31" t="n">
        <v>1.02</v>
      </c>
      <c r="AT16" s="31" t="n">
        <v>287</v>
      </c>
      <c r="AU16" s="31" t="n">
        <v>1143</v>
      </c>
      <c r="AV16" s="31" t="n">
        <v>4</v>
      </c>
      <c r="AW16" s="31" t="n">
        <v>2.936</v>
      </c>
      <c r="AX16" s="4" t="s">
        <v>218</v>
      </c>
      <c r="AY16" s="43" t="n">
        <v>1</v>
      </c>
      <c r="AZ16" s="23" t="n">
        <f aca="false">AM16/M16</f>
        <v>15.1504225352113</v>
      </c>
      <c r="BA16" s="18" t="n">
        <f aca="false">AL16/M16</f>
        <v>148.766197183099</v>
      </c>
      <c r="BB16" s="4" t="s">
        <v>269</v>
      </c>
      <c r="BC16" s="4" t="s">
        <v>270</v>
      </c>
      <c r="BD16" s="4" t="s">
        <v>271</v>
      </c>
    </row>
    <row r="17" customFormat="false" ht="15" hidden="false" customHeight="false" outlineLevel="0" collapsed="false">
      <c r="A17" s="4" t="n">
        <v>12</v>
      </c>
      <c r="B17" s="35" t="s">
        <v>213</v>
      </c>
      <c r="C17" s="36" t="s">
        <v>247</v>
      </c>
      <c r="D17" s="14" t="s">
        <v>272</v>
      </c>
      <c r="E17" s="4" t="s">
        <v>273</v>
      </c>
      <c r="F17" s="37" t="n">
        <v>4.17</v>
      </c>
      <c r="G17" s="34" t="n">
        <v>453.6</v>
      </c>
      <c r="H17" s="30" t="n">
        <v>1</v>
      </c>
      <c r="I17" s="38" t="n">
        <f aca="false">F17/(G17*H17)*100</f>
        <v>0.919312169312169</v>
      </c>
      <c r="J17" s="39" t="n">
        <v>4.55</v>
      </c>
      <c r="K17" s="34" t="n">
        <v>453.6</v>
      </c>
      <c r="L17" s="38" t="n">
        <f aca="false">J17/(K17*H17)*100</f>
        <v>1.00308641975309</v>
      </c>
      <c r="M17" s="40" t="n">
        <f aca="false">IF(AND(IF(Planner!$C$39="BLS U.S. average (Sep 2026)",1,0)=1,L17&lt;&gt;""),L17,I17)</f>
        <v>0.919312169312169</v>
      </c>
      <c r="N17" s="13" t="n">
        <v>113</v>
      </c>
      <c r="O17" s="4" t="s">
        <v>216</v>
      </c>
      <c r="P17" s="8" t="n">
        <v>2</v>
      </c>
      <c r="Q17" s="41"/>
      <c r="R17" s="13"/>
      <c r="S17" s="42" t="n">
        <v>1</v>
      </c>
      <c r="T17" s="42" t="n">
        <v>1</v>
      </c>
      <c r="U17" s="42" t="n">
        <v>0</v>
      </c>
      <c r="V17" s="42" t="n">
        <v>0</v>
      </c>
      <c r="W17" s="42" t="n">
        <v>0</v>
      </c>
      <c r="X17" s="42" t="n">
        <v>0</v>
      </c>
      <c r="Y17" s="42" t="n">
        <v>0</v>
      </c>
      <c r="Z17" s="42" t="n">
        <v>0</v>
      </c>
      <c r="AA17" s="42" t="n">
        <v>0</v>
      </c>
      <c r="AB17" s="42" t="n">
        <v>0</v>
      </c>
      <c r="AC17" s="42" t="n">
        <v>0</v>
      </c>
      <c r="AD17" s="43" t="n">
        <f aca="false">SUMPRODUCT(S17:AC17,INDEX(Diets!$I$5:$S$14,MATCH(Planner!$C$36,Diets!$A$5:$A$14,0),0))</f>
        <v>0</v>
      </c>
      <c r="AE17" s="44" t="n">
        <f aca="false">IF(OR(UPPER(Q17)="Y",AD17&gt;0,AND(Planner!$C$40="Core 71 foods",AY17=0)),0,1)</f>
        <v>1</v>
      </c>
      <c r="AF17" s="45" t="n">
        <v>0</v>
      </c>
      <c r="AG17" s="45" t="n">
        <v>0.5</v>
      </c>
      <c r="AH17" s="45" t="n">
        <v>0.5</v>
      </c>
      <c r="AI17" s="45" t="n">
        <v>0</v>
      </c>
      <c r="AJ17" s="8"/>
      <c r="AK17" s="4" t="s">
        <v>217</v>
      </c>
      <c r="AL17" s="31" t="n">
        <v>201</v>
      </c>
      <c r="AM17" s="31" t="n">
        <v>21.14</v>
      </c>
      <c r="AN17" s="31" t="n">
        <v>0</v>
      </c>
      <c r="AO17" s="31" t="n">
        <v>12.96</v>
      </c>
      <c r="AP17" s="31" t="n">
        <v>0</v>
      </c>
      <c r="AQ17" s="31" t="n">
        <v>0</v>
      </c>
      <c r="AR17" s="31" t="n">
        <v>9</v>
      </c>
      <c r="AS17" s="31" t="n">
        <v>0.48</v>
      </c>
      <c r="AT17" s="31" t="n">
        <v>345</v>
      </c>
      <c r="AU17" s="31" t="n">
        <v>82</v>
      </c>
      <c r="AV17" s="31" t="n">
        <v>0</v>
      </c>
      <c r="AW17" s="31" t="n">
        <v>4.413</v>
      </c>
      <c r="AX17" s="4" t="s">
        <v>218</v>
      </c>
      <c r="AY17" s="43" t="n">
        <v>1</v>
      </c>
      <c r="AZ17" s="23" t="n">
        <f aca="false">AM17/M17</f>
        <v>22.9954532374101</v>
      </c>
      <c r="BA17" s="18" t="n">
        <f aca="false">AL17/M17</f>
        <v>218.641726618705</v>
      </c>
      <c r="BB17" s="4" t="s">
        <v>274</v>
      </c>
      <c r="BC17" s="4" t="s">
        <v>275</v>
      </c>
      <c r="BD17" s="4"/>
    </row>
    <row r="18" customFormat="false" ht="15" hidden="false" customHeight="false" outlineLevel="0" collapsed="false">
      <c r="A18" s="4" t="n">
        <v>13</v>
      </c>
      <c r="B18" s="35" t="s">
        <v>213</v>
      </c>
      <c r="C18" s="36" t="s">
        <v>247</v>
      </c>
      <c r="D18" s="14" t="s">
        <v>276</v>
      </c>
      <c r="E18" s="4" t="s">
        <v>277</v>
      </c>
      <c r="F18" s="37" t="n">
        <v>9.838</v>
      </c>
      <c r="G18" s="34" t="n">
        <v>453.6</v>
      </c>
      <c r="H18" s="30" t="n">
        <v>1</v>
      </c>
      <c r="I18" s="38" t="n">
        <f aca="false">F18/(G18*H18)*100</f>
        <v>2.16887125220459</v>
      </c>
      <c r="J18" s="39" t="n">
        <v>9.838</v>
      </c>
      <c r="K18" s="34" t="n">
        <v>453.6</v>
      </c>
      <c r="L18" s="38" t="n">
        <f aca="false">J18/(K18*H18)*100</f>
        <v>2.16887125220459</v>
      </c>
      <c r="M18" s="40" t="n">
        <f aca="false">IF(AND(IF(Planner!$C$39="BLS U.S. average (Sep 2026)",1,0)=1,L18&lt;&gt;""),L18,I18)</f>
        <v>2.16887125220459</v>
      </c>
      <c r="N18" s="13" t="n">
        <v>113</v>
      </c>
      <c r="O18" s="4" t="s">
        <v>216</v>
      </c>
      <c r="P18" s="8" t="n">
        <v>2</v>
      </c>
      <c r="Q18" s="41"/>
      <c r="R18" s="13"/>
      <c r="S18" s="42" t="n">
        <v>1</v>
      </c>
      <c r="T18" s="42" t="n">
        <v>0</v>
      </c>
      <c r="U18" s="42" t="n">
        <v>0</v>
      </c>
      <c r="V18" s="42" t="n">
        <v>0</v>
      </c>
      <c r="W18" s="42" t="n">
        <v>0</v>
      </c>
      <c r="X18" s="42" t="n">
        <v>0</v>
      </c>
      <c r="Y18" s="42" t="n">
        <v>0</v>
      </c>
      <c r="Z18" s="42" t="n">
        <v>0</v>
      </c>
      <c r="AA18" s="42" t="n">
        <v>0</v>
      </c>
      <c r="AB18" s="42" t="n">
        <v>0</v>
      </c>
      <c r="AC18" s="42" t="n">
        <v>0</v>
      </c>
      <c r="AD18" s="43" t="n">
        <f aca="false">SUMPRODUCT(S18:AC18,INDEX(Diets!$I$5:$S$14,MATCH(Planner!$C$36,Diets!$A$5:$A$14,0),0))</f>
        <v>0</v>
      </c>
      <c r="AE18" s="44" t="n">
        <f aca="false">IF(OR(UPPER(Q18)="Y",AD18&gt;0,AND(Planner!$C$40="Core 71 foods",AY18=0)),0,1)</f>
        <v>1</v>
      </c>
      <c r="AF18" s="45" t="n">
        <v>0</v>
      </c>
      <c r="AG18" s="45" t="n">
        <v>0</v>
      </c>
      <c r="AH18" s="45" t="n">
        <v>1</v>
      </c>
      <c r="AI18" s="45" t="n">
        <v>0</v>
      </c>
      <c r="AJ18" s="8"/>
      <c r="AK18" s="4" t="s">
        <v>217</v>
      </c>
      <c r="AL18" s="31" t="n">
        <v>168</v>
      </c>
      <c r="AM18" s="31" t="n">
        <v>21.94</v>
      </c>
      <c r="AN18" s="31" t="n">
        <v>0</v>
      </c>
      <c r="AO18" s="31" t="n">
        <v>8.19</v>
      </c>
      <c r="AP18" s="31" t="n">
        <v>0</v>
      </c>
      <c r="AQ18" s="31" t="n">
        <v>0</v>
      </c>
      <c r="AR18" s="31" t="n">
        <v>17</v>
      </c>
      <c r="AS18" s="31" t="n">
        <v>1.97</v>
      </c>
      <c r="AT18" s="31" t="n">
        <v>341</v>
      </c>
      <c r="AU18" s="31" t="n">
        <v>57</v>
      </c>
      <c r="AV18" s="31" t="n">
        <v>0</v>
      </c>
      <c r="AW18" s="31" t="n">
        <v>3.224</v>
      </c>
      <c r="AX18" s="4" t="s">
        <v>243</v>
      </c>
      <c r="AY18" s="43" t="n">
        <v>0</v>
      </c>
      <c r="AZ18" s="23" t="n">
        <f aca="false">AM18/M18</f>
        <v>10.115860947347</v>
      </c>
      <c r="BA18" s="18" t="n">
        <f aca="false">AL18/M18</f>
        <v>77.459646269567</v>
      </c>
      <c r="BB18" s="4" t="s">
        <v>278</v>
      </c>
      <c r="BC18" s="4" t="s">
        <v>279</v>
      </c>
      <c r="BD18" s="4" t="s">
        <v>280</v>
      </c>
    </row>
    <row r="19" customFormat="false" ht="15" hidden="false" customHeight="false" outlineLevel="0" collapsed="false">
      <c r="A19" s="4" t="n">
        <v>14</v>
      </c>
      <c r="B19" s="35" t="s">
        <v>213</v>
      </c>
      <c r="C19" s="36" t="s">
        <v>247</v>
      </c>
      <c r="D19" s="14" t="s">
        <v>281</v>
      </c>
      <c r="E19" s="4" t="s">
        <v>282</v>
      </c>
      <c r="F19" s="37" t="n">
        <v>12.94</v>
      </c>
      <c r="G19" s="34" t="n">
        <v>453.6</v>
      </c>
      <c r="H19" s="30" t="n">
        <v>0.97</v>
      </c>
      <c r="I19" s="38" t="n">
        <f aca="false">F19/(G19*H19)*100</f>
        <v>2.94096256295569</v>
      </c>
      <c r="J19" s="39" t="n">
        <v>14.106</v>
      </c>
      <c r="K19" s="34" t="n">
        <v>453.6</v>
      </c>
      <c r="L19" s="38" t="n">
        <f aca="false">J19/(K19*H19)*100</f>
        <v>3.20596738122511</v>
      </c>
      <c r="M19" s="40" t="n">
        <f aca="false">IF(AND(IF(Planner!$C$39="BLS U.S. average (Sep 2026)",1,0)=1,L19&lt;&gt;""),L19,I19)</f>
        <v>2.94096256295569</v>
      </c>
      <c r="N19" s="13" t="n">
        <v>113</v>
      </c>
      <c r="O19" s="4" t="s">
        <v>216</v>
      </c>
      <c r="P19" s="8" t="n">
        <v>2</v>
      </c>
      <c r="Q19" s="41"/>
      <c r="R19" s="13"/>
      <c r="S19" s="42" t="n">
        <v>1</v>
      </c>
      <c r="T19" s="42" t="n">
        <v>0</v>
      </c>
      <c r="U19" s="42" t="n">
        <v>0</v>
      </c>
      <c r="V19" s="42" t="n">
        <v>0</v>
      </c>
      <c r="W19" s="42" t="n">
        <v>0</v>
      </c>
      <c r="X19" s="42" t="n">
        <v>0</v>
      </c>
      <c r="Y19" s="42" t="n">
        <v>0</v>
      </c>
      <c r="Z19" s="42" t="n">
        <v>0</v>
      </c>
      <c r="AA19" s="42" t="n">
        <v>0</v>
      </c>
      <c r="AB19" s="42" t="n">
        <v>0</v>
      </c>
      <c r="AC19" s="42" t="n">
        <v>0</v>
      </c>
      <c r="AD19" s="43" t="n">
        <f aca="false">SUMPRODUCT(S19:AC19,INDEX(Diets!$I$5:$S$14,MATCH(Planner!$C$36,Diets!$A$5:$A$14,0),0))</f>
        <v>0</v>
      </c>
      <c r="AE19" s="44" t="n">
        <f aca="false">IF(OR(UPPER(Q19)="Y",AD19&gt;0,AND(Planner!$C$40="Core 71 foods",AY19=0)),0,1)</f>
        <v>1</v>
      </c>
      <c r="AF19" s="45" t="n">
        <v>0</v>
      </c>
      <c r="AG19" s="45" t="n">
        <v>0</v>
      </c>
      <c r="AH19" s="45" t="n">
        <v>1</v>
      </c>
      <c r="AI19" s="45" t="n">
        <v>0</v>
      </c>
      <c r="AJ19" s="8"/>
      <c r="AK19" s="4" t="s">
        <v>217</v>
      </c>
      <c r="AL19" s="31" t="n">
        <v>214</v>
      </c>
      <c r="AM19" s="31" t="n">
        <v>19.92</v>
      </c>
      <c r="AN19" s="31" t="n">
        <v>0</v>
      </c>
      <c r="AO19" s="31" t="n">
        <v>14.28</v>
      </c>
      <c r="AP19" s="31" t="n">
        <v>0</v>
      </c>
      <c r="AQ19" s="31" t="n">
        <v>0</v>
      </c>
      <c r="AR19" s="31" t="n">
        <v>25</v>
      </c>
      <c r="AS19" s="31" t="n">
        <v>1.46</v>
      </c>
      <c r="AT19" s="31" t="n">
        <v>309</v>
      </c>
      <c r="AU19" s="31" t="n">
        <v>51</v>
      </c>
      <c r="AV19" s="31" t="n">
        <v>0</v>
      </c>
      <c r="AW19" s="31" t="n">
        <v>5.763</v>
      </c>
      <c r="AX19" s="4" t="s">
        <v>218</v>
      </c>
      <c r="AY19" s="43" t="n">
        <v>1</v>
      </c>
      <c r="AZ19" s="23" t="n">
        <f aca="false">AM19/M19</f>
        <v>6.77329261205564</v>
      </c>
      <c r="BA19" s="18" t="n">
        <f aca="false">AL19/M19</f>
        <v>72.7652921174652</v>
      </c>
      <c r="BB19" s="4" t="s">
        <v>283</v>
      </c>
      <c r="BC19" s="4" t="s">
        <v>284</v>
      </c>
      <c r="BD19" s="4"/>
    </row>
    <row r="20" customFormat="false" ht="15" hidden="false" customHeight="false" outlineLevel="0" collapsed="false">
      <c r="A20" s="4" t="n">
        <v>15</v>
      </c>
      <c r="B20" s="35" t="s">
        <v>213</v>
      </c>
      <c r="C20" s="36" t="s">
        <v>285</v>
      </c>
      <c r="D20" s="14" t="s">
        <v>286</v>
      </c>
      <c r="E20" s="4" t="s">
        <v>287</v>
      </c>
      <c r="F20" s="37" t="n">
        <v>0.96</v>
      </c>
      <c r="G20" s="34" t="n">
        <v>141.7</v>
      </c>
      <c r="H20" s="30" t="n">
        <v>0.79</v>
      </c>
      <c r="I20" s="38" t="n">
        <f aca="false">F20/(G20*H20)*100</f>
        <v>0.857579303752803</v>
      </c>
      <c r="J20" s="4"/>
      <c r="K20" s="4"/>
      <c r="L20" s="4"/>
      <c r="M20" s="40" t="n">
        <f aca="false">IF(AND(IF(Planner!$C$39="BLS U.S. average (Sep 2026)",1,0)=1,L20&lt;&gt;""),L20,I20)</f>
        <v>0.857579303752803</v>
      </c>
      <c r="N20" s="13" t="n">
        <v>85</v>
      </c>
      <c r="O20" s="4" t="s">
        <v>288</v>
      </c>
      <c r="P20" s="8" t="n">
        <v>2</v>
      </c>
      <c r="Q20" s="41"/>
      <c r="R20" s="13"/>
      <c r="S20" s="42" t="n">
        <v>0</v>
      </c>
      <c r="T20" s="42" t="n">
        <v>0</v>
      </c>
      <c r="U20" s="42" t="n">
        <v>0</v>
      </c>
      <c r="V20" s="42" t="n">
        <v>1</v>
      </c>
      <c r="W20" s="42" t="n">
        <v>0</v>
      </c>
      <c r="X20" s="42" t="n">
        <v>0</v>
      </c>
      <c r="Y20" s="42" t="n">
        <v>0</v>
      </c>
      <c r="Z20" s="42" t="n">
        <v>0</v>
      </c>
      <c r="AA20" s="42" t="n">
        <v>0</v>
      </c>
      <c r="AB20" s="42" t="n">
        <v>0</v>
      </c>
      <c r="AC20" s="42" t="n">
        <v>0</v>
      </c>
      <c r="AD20" s="43" t="n">
        <f aca="false">SUMPRODUCT(S20:AC20,INDEX(Diets!$I$5:$S$14,MATCH(Planner!$C$36,Diets!$A$5:$A$14,0),0))</f>
        <v>0</v>
      </c>
      <c r="AE20" s="44" t="n">
        <f aca="false">IF(OR(UPPER(Q20)="Y",AD20&gt;0,AND(Planner!$C$40="Core 71 foods",AY20=0)),0,1)</f>
        <v>1</v>
      </c>
      <c r="AF20" s="45" t="n">
        <v>0</v>
      </c>
      <c r="AG20" s="45" t="n">
        <v>1</v>
      </c>
      <c r="AH20" s="45" t="n">
        <v>0</v>
      </c>
      <c r="AI20" s="45" t="n">
        <v>0</v>
      </c>
      <c r="AJ20" s="8"/>
      <c r="AK20" s="4" t="s">
        <v>217</v>
      </c>
      <c r="AL20" s="31" t="n">
        <v>86</v>
      </c>
      <c r="AM20" s="31" t="n">
        <v>19.44</v>
      </c>
      <c r="AN20" s="31" t="n">
        <v>0</v>
      </c>
      <c r="AO20" s="31" t="n">
        <v>0.96</v>
      </c>
      <c r="AP20" s="31" t="n">
        <v>0</v>
      </c>
      <c r="AQ20" s="31" t="n">
        <v>0</v>
      </c>
      <c r="AR20" s="31" t="n">
        <v>17</v>
      </c>
      <c r="AS20" s="31" t="n">
        <v>1.63</v>
      </c>
      <c r="AT20" s="31" t="n">
        <v>179</v>
      </c>
      <c r="AU20" s="31" t="n">
        <v>247</v>
      </c>
      <c r="AV20" s="31" t="n">
        <v>0</v>
      </c>
      <c r="AW20" s="31" t="n">
        <v>0.211</v>
      </c>
      <c r="AX20" s="4" t="s">
        <v>218</v>
      </c>
      <c r="AY20" s="43" t="n">
        <v>1</v>
      </c>
      <c r="AZ20" s="23" t="n">
        <f aca="false">AM20/M20</f>
        <v>22.6684575</v>
      </c>
      <c r="BA20" s="18" t="n">
        <f aca="false">AL20/M20</f>
        <v>100.282270833333</v>
      </c>
      <c r="BB20" s="4" t="s">
        <v>289</v>
      </c>
      <c r="BC20" s="4" t="s">
        <v>290</v>
      </c>
      <c r="BD20" s="4" t="s">
        <v>291</v>
      </c>
    </row>
    <row r="21" customFormat="false" ht="15" hidden="false" customHeight="false" outlineLevel="0" collapsed="false">
      <c r="A21" s="4" t="n">
        <v>16</v>
      </c>
      <c r="B21" s="35" t="s">
        <v>213</v>
      </c>
      <c r="C21" s="36" t="s">
        <v>285</v>
      </c>
      <c r="D21" s="14" t="s">
        <v>292</v>
      </c>
      <c r="E21" s="4" t="s">
        <v>293</v>
      </c>
      <c r="F21" s="37" t="n">
        <v>21.94</v>
      </c>
      <c r="G21" s="34" t="n">
        <v>907.2</v>
      </c>
      <c r="H21" s="30" t="n">
        <v>1</v>
      </c>
      <c r="I21" s="38" t="n">
        <f aca="false">F21/(G21*H21)*100</f>
        <v>2.418430335097</v>
      </c>
      <c r="J21" s="4"/>
      <c r="K21" s="4"/>
      <c r="L21" s="4"/>
      <c r="M21" s="40" t="n">
        <f aca="false">IF(AND(IF(Planner!$C$39="BLS U.S. average (Sep 2026)",1,0)=1,L21&lt;&gt;""),L21,I21)</f>
        <v>2.418430335097</v>
      </c>
      <c r="N21" s="13" t="n">
        <v>113</v>
      </c>
      <c r="O21" s="4" t="s">
        <v>216</v>
      </c>
      <c r="P21" s="8" t="n">
        <v>2</v>
      </c>
      <c r="Q21" s="41"/>
      <c r="R21" s="13"/>
      <c r="S21" s="42" t="n">
        <v>0</v>
      </c>
      <c r="T21" s="42" t="n">
        <v>0</v>
      </c>
      <c r="U21" s="42" t="n">
        <v>0</v>
      </c>
      <c r="V21" s="42" t="n">
        <v>1</v>
      </c>
      <c r="W21" s="42" t="n">
        <v>0</v>
      </c>
      <c r="X21" s="42" t="n">
        <v>0</v>
      </c>
      <c r="Y21" s="42" t="n">
        <v>0</v>
      </c>
      <c r="Z21" s="42" t="n">
        <v>0</v>
      </c>
      <c r="AA21" s="42" t="n">
        <v>0</v>
      </c>
      <c r="AB21" s="42" t="n">
        <v>0</v>
      </c>
      <c r="AC21" s="42" t="n">
        <v>0</v>
      </c>
      <c r="AD21" s="43" t="n">
        <f aca="false">SUMPRODUCT(S21:AC21,INDEX(Diets!$I$5:$S$14,MATCH(Planner!$C$36,Diets!$A$5:$A$14,0),0))</f>
        <v>0</v>
      </c>
      <c r="AE21" s="44" t="n">
        <f aca="false">IF(OR(UPPER(Q21)="Y",AD21&gt;0,AND(Planner!$C$40="Core 71 foods",AY21=0)),0,1)</f>
        <v>1</v>
      </c>
      <c r="AF21" s="45" t="n">
        <v>0</v>
      </c>
      <c r="AG21" s="45" t="n">
        <v>0</v>
      </c>
      <c r="AH21" s="45" t="n">
        <v>1</v>
      </c>
      <c r="AI21" s="45" t="n">
        <v>0</v>
      </c>
      <c r="AJ21" s="8"/>
      <c r="AK21" s="4" t="s">
        <v>217</v>
      </c>
      <c r="AL21" s="31" t="n">
        <v>208</v>
      </c>
      <c r="AM21" s="31" t="n">
        <v>20.42</v>
      </c>
      <c r="AN21" s="31" t="n">
        <v>0</v>
      </c>
      <c r="AO21" s="31" t="n">
        <v>13.42</v>
      </c>
      <c r="AP21" s="31" t="n">
        <v>0</v>
      </c>
      <c r="AQ21" s="31" t="n">
        <v>0</v>
      </c>
      <c r="AR21" s="31" t="n">
        <v>9</v>
      </c>
      <c r="AS21" s="31" t="n">
        <v>0.34</v>
      </c>
      <c r="AT21" s="31" t="n">
        <v>363</v>
      </c>
      <c r="AU21" s="31" t="n">
        <v>59</v>
      </c>
      <c r="AV21" s="31" t="n">
        <v>3.9</v>
      </c>
      <c r="AW21" s="31" t="n">
        <v>3.05</v>
      </c>
      <c r="AX21" s="4" t="s">
        <v>218</v>
      </c>
      <c r="AY21" s="43" t="n">
        <v>1</v>
      </c>
      <c r="AZ21" s="23" t="n">
        <f aca="false">AM21/M21</f>
        <v>8.44349316317229</v>
      </c>
      <c r="BA21" s="18" t="n">
        <f aca="false">AL21/M21</f>
        <v>86.0061987237922</v>
      </c>
      <c r="BB21" s="4" t="s">
        <v>294</v>
      </c>
      <c r="BC21" s="4" t="s">
        <v>295</v>
      </c>
      <c r="BD21" s="4"/>
    </row>
    <row r="22" customFormat="false" ht="15" hidden="false" customHeight="false" outlineLevel="0" collapsed="false">
      <c r="A22" s="4" t="n">
        <v>17</v>
      </c>
      <c r="B22" s="35" t="s">
        <v>213</v>
      </c>
      <c r="C22" s="36" t="s">
        <v>285</v>
      </c>
      <c r="D22" s="14" t="s">
        <v>296</v>
      </c>
      <c r="E22" s="4" t="s">
        <v>297</v>
      </c>
      <c r="F22" s="37" t="n">
        <v>15.96</v>
      </c>
      <c r="G22" s="34" t="n">
        <v>907.2</v>
      </c>
      <c r="H22" s="30" t="n">
        <v>1</v>
      </c>
      <c r="I22" s="38" t="n">
        <f aca="false">F22/(G22*H22)*100</f>
        <v>1.75925925925926</v>
      </c>
      <c r="J22" s="4"/>
      <c r="K22" s="4"/>
      <c r="L22" s="4"/>
      <c r="M22" s="40" t="n">
        <f aca="false">IF(AND(IF(Planner!$C$39="BLS U.S. average (Sep 2026)",1,0)=1,L22&lt;&gt;""),L22,I22)</f>
        <v>1.75925925925926</v>
      </c>
      <c r="N22" s="13" t="n">
        <v>113</v>
      </c>
      <c r="O22" s="4" t="s">
        <v>216</v>
      </c>
      <c r="P22" s="8" t="n">
        <v>2</v>
      </c>
      <c r="Q22" s="41"/>
      <c r="R22" s="13"/>
      <c r="S22" s="42" t="n">
        <v>0</v>
      </c>
      <c r="T22" s="42" t="n">
        <v>0</v>
      </c>
      <c r="U22" s="42" t="n">
        <v>0</v>
      </c>
      <c r="V22" s="42" t="n">
        <v>1</v>
      </c>
      <c r="W22" s="42" t="n">
        <v>0</v>
      </c>
      <c r="X22" s="42" t="n">
        <v>0</v>
      </c>
      <c r="Y22" s="42" t="n">
        <v>0</v>
      </c>
      <c r="Z22" s="42" t="n">
        <v>1</v>
      </c>
      <c r="AA22" s="42" t="n">
        <v>0</v>
      </c>
      <c r="AB22" s="42" t="n">
        <v>0</v>
      </c>
      <c r="AC22" s="42" t="n">
        <v>0</v>
      </c>
      <c r="AD22" s="43" t="n">
        <f aca="false">SUMPRODUCT(S22:AC22,INDEX(Diets!$I$5:$S$14,MATCH(Planner!$C$36,Diets!$A$5:$A$14,0),0))</f>
        <v>0</v>
      </c>
      <c r="AE22" s="44" t="n">
        <f aca="false">IF(OR(UPPER(Q22)="Y",AD22&gt;0,AND(Planner!$C$40="Core 71 foods",AY22=0)),0,1)</f>
        <v>1</v>
      </c>
      <c r="AF22" s="45" t="n">
        <v>0</v>
      </c>
      <c r="AG22" s="45" t="n">
        <v>0</v>
      </c>
      <c r="AH22" s="45" t="n">
        <v>1</v>
      </c>
      <c r="AI22" s="45" t="n">
        <v>0</v>
      </c>
      <c r="AJ22" s="8"/>
      <c r="AK22" s="4" t="s">
        <v>217</v>
      </c>
      <c r="AL22" s="31" t="n">
        <v>71</v>
      </c>
      <c r="AM22" s="31" t="n">
        <v>13.61</v>
      </c>
      <c r="AN22" s="31" t="n">
        <v>0.91</v>
      </c>
      <c r="AO22" s="31" t="n">
        <v>1.01</v>
      </c>
      <c r="AP22" s="31" t="n">
        <v>0</v>
      </c>
      <c r="AQ22" s="31" t="n">
        <v>0</v>
      </c>
      <c r="AR22" s="31" t="n">
        <v>54</v>
      </c>
      <c r="AS22" s="31" t="n">
        <v>0.21</v>
      </c>
      <c r="AT22" s="31" t="n">
        <v>113</v>
      </c>
      <c r="AU22" s="31" t="n">
        <v>566</v>
      </c>
      <c r="AV22" s="31" t="n">
        <v>0</v>
      </c>
      <c r="AW22" s="31" t="n">
        <v>0.261</v>
      </c>
      <c r="AX22" s="4" t="s">
        <v>218</v>
      </c>
      <c r="AY22" s="43" t="n">
        <v>1</v>
      </c>
      <c r="AZ22" s="23" t="n">
        <f aca="false">AM22/M22</f>
        <v>7.73621052631579</v>
      </c>
      <c r="BA22" s="18" t="n">
        <f aca="false">AL22/M22</f>
        <v>40.3578947368421</v>
      </c>
      <c r="BB22" s="4" t="s">
        <v>298</v>
      </c>
      <c r="BC22" s="4" t="s">
        <v>299</v>
      </c>
      <c r="BD22" s="4"/>
    </row>
    <row r="23" customFormat="false" ht="15" hidden="false" customHeight="false" outlineLevel="0" collapsed="false">
      <c r="A23" s="4" t="n">
        <v>18</v>
      </c>
      <c r="B23" s="35" t="s">
        <v>213</v>
      </c>
      <c r="C23" s="36" t="s">
        <v>285</v>
      </c>
      <c r="D23" s="14" t="s">
        <v>300</v>
      </c>
      <c r="E23" s="4" t="s">
        <v>297</v>
      </c>
      <c r="F23" s="37" t="n">
        <v>8.87</v>
      </c>
      <c r="G23" s="34" t="n">
        <v>907.2</v>
      </c>
      <c r="H23" s="30" t="n">
        <v>1</v>
      </c>
      <c r="I23" s="38" t="n">
        <f aca="false">F23/(G23*H23)*100</f>
        <v>0.977733686067019</v>
      </c>
      <c r="J23" s="4"/>
      <c r="K23" s="4"/>
      <c r="L23" s="4"/>
      <c r="M23" s="40" t="n">
        <f aca="false">IF(AND(IF(Planner!$C$39="BLS U.S. average (Sep 2026)",1,0)=1,L23&lt;&gt;""),L23,I23)</f>
        <v>0.977733686067019</v>
      </c>
      <c r="N23" s="13" t="n">
        <v>113</v>
      </c>
      <c r="O23" s="4" t="s">
        <v>216</v>
      </c>
      <c r="P23" s="8" t="n">
        <v>2</v>
      </c>
      <c r="Q23" s="41"/>
      <c r="R23" s="13"/>
      <c r="S23" s="42" t="n">
        <v>0</v>
      </c>
      <c r="T23" s="42" t="n">
        <v>0</v>
      </c>
      <c r="U23" s="42" t="n">
        <v>0</v>
      </c>
      <c r="V23" s="42" t="n">
        <v>1</v>
      </c>
      <c r="W23" s="42" t="n">
        <v>0</v>
      </c>
      <c r="X23" s="42" t="n">
        <v>0</v>
      </c>
      <c r="Y23" s="42" t="n">
        <v>0</v>
      </c>
      <c r="Z23" s="42" t="n">
        <v>0</v>
      </c>
      <c r="AA23" s="42" t="n">
        <v>0</v>
      </c>
      <c r="AB23" s="42" t="n">
        <v>0</v>
      </c>
      <c r="AC23" s="42" t="n">
        <v>0</v>
      </c>
      <c r="AD23" s="43" t="n">
        <f aca="false">SUMPRODUCT(S23:AC23,INDEX(Diets!$I$5:$S$14,MATCH(Planner!$C$36,Diets!$A$5:$A$14,0),0))</f>
        <v>0</v>
      </c>
      <c r="AE23" s="44" t="n">
        <f aca="false">IF(OR(UPPER(Q23)="Y",AD23&gt;0,AND(Planner!$C$40="Core 71 foods",AY23=0)),0,1)</f>
        <v>1</v>
      </c>
      <c r="AF23" s="45" t="n">
        <v>0</v>
      </c>
      <c r="AG23" s="45" t="n">
        <v>0.5</v>
      </c>
      <c r="AH23" s="45" t="n">
        <v>0.5</v>
      </c>
      <c r="AI23" s="45" t="n">
        <v>0</v>
      </c>
      <c r="AJ23" s="8"/>
      <c r="AK23" s="4" t="s">
        <v>217</v>
      </c>
      <c r="AL23" s="31" t="n">
        <v>96</v>
      </c>
      <c r="AM23" s="31" t="n">
        <v>20.08</v>
      </c>
      <c r="AN23" s="31" t="n">
        <v>0</v>
      </c>
      <c r="AO23" s="31" t="n">
        <v>1.7</v>
      </c>
      <c r="AP23" s="31" t="n">
        <v>0</v>
      </c>
      <c r="AQ23" s="31" t="n">
        <v>0</v>
      </c>
      <c r="AR23" s="31" t="n">
        <v>10</v>
      </c>
      <c r="AS23" s="31" t="n">
        <v>0.56</v>
      </c>
      <c r="AT23" s="31" t="n">
        <v>302</v>
      </c>
      <c r="AU23" s="31" t="n">
        <v>52</v>
      </c>
      <c r="AV23" s="31" t="n">
        <v>0</v>
      </c>
      <c r="AW23" s="31" t="n">
        <v>0.585</v>
      </c>
      <c r="AX23" s="4" t="s">
        <v>218</v>
      </c>
      <c r="AY23" s="43" t="n">
        <v>1</v>
      </c>
      <c r="AZ23" s="23" t="n">
        <f aca="false">AM23/M23</f>
        <v>20.537289740699</v>
      </c>
      <c r="BA23" s="18" t="n">
        <f aca="false">AL23/M23</f>
        <v>98.1862457722661</v>
      </c>
      <c r="BB23" s="4" t="s">
        <v>301</v>
      </c>
      <c r="BC23" s="4" t="s">
        <v>302</v>
      </c>
      <c r="BD23" s="4"/>
    </row>
    <row r="24" customFormat="false" ht="15" hidden="false" customHeight="false" outlineLevel="0" collapsed="false">
      <c r="A24" s="4" t="n">
        <v>19</v>
      </c>
      <c r="B24" s="35" t="s">
        <v>213</v>
      </c>
      <c r="C24" s="36" t="s">
        <v>180</v>
      </c>
      <c r="D24" s="14" t="s">
        <v>303</v>
      </c>
      <c r="E24" s="4" t="s">
        <v>304</v>
      </c>
      <c r="F24" s="37" t="n">
        <v>1.67</v>
      </c>
      <c r="G24" s="34" t="n">
        <v>681.8</v>
      </c>
      <c r="H24" s="30" t="n">
        <v>0.88</v>
      </c>
      <c r="I24" s="38" t="n">
        <f aca="false">F24/(G24*H24)*100</f>
        <v>0.278340755753487</v>
      </c>
      <c r="J24" s="39" t="n">
        <v>2.272</v>
      </c>
      <c r="K24" s="34" t="n">
        <v>681.8</v>
      </c>
      <c r="L24" s="38" t="n">
        <f aca="false">J24/(K24*H24)*100</f>
        <v>0.378676764713726</v>
      </c>
      <c r="M24" s="40" t="n">
        <f aca="false">IF(AND(IF(Planner!$C$39="BLS U.S. average (Sep 2026)",1,0)=1,L24&lt;&gt;""),L24,I24)</f>
        <v>0.278340755753487</v>
      </c>
      <c r="N24" s="13" t="n">
        <v>50</v>
      </c>
      <c r="O24" s="4" t="s">
        <v>305</v>
      </c>
      <c r="P24" s="8" t="n">
        <v>3</v>
      </c>
      <c r="Q24" s="41"/>
      <c r="R24" s="13"/>
      <c r="S24" s="42" t="n">
        <v>0</v>
      </c>
      <c r="T24" s="42" t="n">
        <v>0</v>
      </c>
      <c r="U24" s="42" t="n">
        <v>0</v>
      </c>
      <c r="V24" s="42" t="n">
        <v>0</v>
      </c>
      <c r="W24" s="42" t="n">
        <v>1</v>
      </c>
      <c r="X24" s="42" t="n">
        <v>0</v>
      </c>
      <c r="Y24" s="42" t="n">
        <v>0</v>
      </c>
      <c r="Z24" s="42" t="n">
        <v>0</v>
      </c>
      <c r="AA24" s="42" t="n">
        <v>0</v>
      </c>
      <c r="AB24" s="42" t="n">
        <v>0</v>
      </c>
      <c r="AC24" s="42" t="n">
        <v>0</v>
      </c>
      <c r="AD24" s="43" t="n">
        <f aca="false">SUMPRODUCT(S24:AC24,INDEX(Diets!$I$5:$S$14,MATCH(Planner!$C$36,Diets!$A$5:$A$14,0),0))</f>
        <v>0</v>
      </c>
      <c r="AE24" s="44" t="n">
        <f aca="false">IF(OR(UPPER(Q24)="Y",AD24&gt;0,AND(Planner!$C$40="Core 71 foods",AY24=0)),0,1)</f>
        <v>1</v>
      </c>
      <c r="AF24" s="45" t="n">
        <v>1</v>
      </c>
      <c r="AG24" s="45" t="n">
        <v>0</v>
      </c>
      <c r="AH24" s="45" t="n">
        <v>0</v>
      </c>
      <c r="AI24" s="45" t="n">
        <v>0</v>
      </c>
      <c r="AJ24" s="8"/>
      <c r="AK24" s="4"/>
      <c r="AL24" s="31" t="n">
        <v>143</v>
      </c>
      <c r="AM24" s="31" t="n">
        <v>12.56</v>
      </c>
      <c r="AN24" s="31" t="n">
        <v>0.72</v>
      </c>
      <c r="AO24" s="31" t="n">
        <v>9.51</v>
      </c>
      <c r="AP24" s="31" t="n">
        <v>0</v>
      </c>
      <c r="AQ24" s="31" t="n">
        <v>0.37</v>
      </c>
      <c r="AR24" s="31" t="n">
        <v>56</v>
      </c>
      <c r="AS24" s="31" t="n">
        <v>1.75</v>
      </c>
      <c r="AT24" s="31" t="n">
        <v>138</v>
      </c>
      <c r="AU24" s="31" t="n">
        <v>142</v>
      </c>
      <c r="AV24" s="31" t="n">
        <v>0</v>
      </c>
      <c r="AW24" s="31" t="n">
        <v>3.126</v>
      </c>
      <c r="AX24" s="4" t="s">
        <v>218</v>
      </c>
      <c r="AY24" s="43" t="n">
        <v>1</v>
      </c>
      <c r="AZ24" s="23" t="n">
        <f aca="false">AM24/M24</f>
        <v>45.1245451497006</v>
      </c>
      <c r="BA24" s="18" t="n">
        <f aca="false">AL24/M24</f>
        <v>513.758754491018</v>
      </c>
      <c r="BB24" s="4" t="s">
        <v>306</v>
      </c>
      <c r="BC24" s="4" t="s">
        <v>307</v>
      </c>
      <c r="BD24" s="4" t="s">
        <v>308</v>
      </c>
    </row>
    <row r="25" customFormat="false" ht="15" hidden="false" customHeight="false" outlineLevel="0" collapsed="false">
      <c r="A25" s="4" t="n">
        <v>20</v>
      </c>
      <c r="B25" s="35" t="s">
        <v>213</v>
      </c>
      <c r="C25" s="36" t="s">
        <v>309</v>
      </c>
      <c r="D25" s="14" t="s">
        <v>310</v>
      </c>
      <c r="E25" s="4" t="s">
        <v>311</v>
      </c>
      <c r="F25" s="37" t="n">
        <v>0.92</v>
      </c>
      <c r="G25" s="34" t="n">
        <v>425.2</v>
      </c>
      <c r="H25" s="30" t="n">
        <v>1</v>
      </c>
      <c r="I25" s="38" t="n">
        <f aca="false">F25/(G25*H25)*100</f>
        <v>0.216368767638758</v>
      </c>
      <c r="J25" s="4"/>
      <c r="K25" s="4"/>
      <c r="L25" s="4"/>
      <c r="M25" s="40" t="n">
        <f aca="false">IF(AND(IF(Planner!$C$39="BLS U.S. average (Sep 2026)",1,0)=1,L25&lt;&gt;""),L25,I25)</f>
        <v>0.216368767638758</v>
      </c>
      <c r="N25" s="13" t="n">
        <v>120</v>
      </c>
      <c r="O25" s="4" t="s">
        <v>312</v>
      </c>
      <c r="P25" s="8" t="n">
        <v>3</v>
      </c>
      <c r="Q25" s="41"/>
      <c r="R25" s="13"/>
      <c r="S25" s="42" t="n">
        <v>0</v>
      </c>
      <c r="T25" s="42" t="n">
        <v>0</v>
      </c>
      <c r="U25" s="42" t="n">
        <v>0</v>
      </c>
      <c r="V25" s="42" t="n">
        <v>0</v>
      </c>
      <c r="W25" s="42" t="n">
        <v>0</v>
      </c>
      <c r="X25" s="42" t="n">
        <v>0</v>
      </c>
      <c r="Y25" s="42" t="n">
        <v>0</v>
      </c>
      <c r="Z25" s="42" t="n">
        <v>0</v>
      </c>
      <c r="AA25" s="42" t="n">
        <v>0</v>
      </c>
      <c r="AB25" s="42" t="n">
        <v>0</v>
      </c>
      <c r="AC25" s="42" t="n">
        <v>0</v>
      </c>
      <c r="AD25" s="43" t="n">
        <f aca="false">SUMPRODUCT(S25:AC25,INDEX(Diets!$I$5:$S$14,MATCH(Planner!$C$36,Diets!$A$5:$A$14,0),0))</f>
        <v>0</v>
      </c>
      <c r="AE25" s="44" t="n">
        <f aca="false">IF(OR(UPPER(Q25)="Y",AD25&gt;0,AND(Planner!$C$40="Core 71 foods",AY25=0)),0,1)</f>
        <v>1</v>
      </c>
      <c r="AF25" s="45" t="n">
        <v>0</v>
      </c>
      <c r="AG25" s="45" t="n">
        <v>0.5</v>
      </c>
      <c r="AH25" s="45" t="n">
        <v>0.5</v>
      </c>
      <c r="AI25" s="45" t="n">
        <v>0</v>
      </c>
      <c r="AJ25" s="8"/>
      <c r="AK25" s="4" t="s">
        <v>313</v>
      </c>
      <c r="AL25" s="31" t="n">
        <v>91</v>
      </c>
      <c r="AM25" s="31" t="n">
        <v>6.03</v>
      </c>
      <c r="AN25" s="31" t="n">
        <v>16.55</v>
      </c>
      <c r="AO25" s="31" t="n">
        <v>0.29</v>
      </c>
      <c r="AP25" s="31" t="n">
        <v>6.9</v>
      </c>
      <c r="AQ25" s="31" t="n">
        <v>0.23</v>
      </c>
      <c r="AR25" s="31" t="n">
        <v>35</v>
      </c>
      <c r="AS25" s="31" t="n">
        <v>1.9</v>
      </c>
      <c r="AT25" s="31" t="n">
        <v>308</v>
      </c>
      <c r="AU25" s="31" t="n">
        <v>138</v>
      </c>
      <c r="AV25" s="31" t="n">
        <v>2.7</v>
      </c>
      <c r="AW25" s="31" t="n">
        <v>0.075</v>
      </c>
      <c r="AX25" s="4" t="s">
        <v>218</v>
      </c>
      <c r="AY25" s="43" t="n">
        <v>1</v>
      </c>
      <c r="AZ25" s="23" t="n">
        <f aca="false">AM25/M25</f>
        <v>27.8690869565217</v>
      </c>
      <c r="BA25" s="18" t="n">
        <f aca="false">AL25/M25</f>
        <v>420.578260869565</v>
      </c>
      <c r="BB25" s="4" t="s">
        <v>314</v>
      </c>
      <c r="BC25" s="4" t="s">
        <v>315</v>
      </c>
      <c r="BD25" s="4" t="s">
        <v>316</v>
      </c>
    </row>
    <row r="26" customFormat="false" ht="15" hidden="false" customHeight="false" outlineLevel="0" collapsed="false">
      <c r="A26" s="4" t="n">
        <v>21</v>
      </c>
      <c r="B26" s="35" t="s">
        <v>213</v>
      </c>
      <c r="C26" s="36" t="s">
        <v>309</v>
      </c>
      <c r="D26" s="14" t="s">
        <v>317</v>
      </c>
      <c r="E26" s="4" t="s">
        <v>318</v>
      </c>
      <c r="F26" s="37" t="n">
        <v>1.79</v>
      </c>
      <c r="G26" s="34" t="n">
        <v>453.6</v>
      </c>
      <c r="H26" s="30" t="n">
        <v>1</v>
      </c>
      <c r="I26" s="38" t="n">
        <f aca="false">F26/(G26*H26)*100</f>
        <v>0.394620811287478</v>
      </c>
      <c r="J26" s="4"/>
      <c r="K26" s="4"/>
      <c r="L26" s="4"/>
      <c r="M26" s="40" t="n">
        <f aca="false">IF(AND(IF(Planner!$C$39="BLS U.S. average (Sep 2026)",1,0)=1,L26&lt;&gt;""),L26,I26)</f>
        <v>0.394620811287478</v>
      </c>
      <c r="N26" s="13" t="n">
        <v>48</v>
      </c>
      <c r="O26" s="4" t="s">
        <v>319</v>
      </c>
      <c r="P26" s="8" t="n">
        <v>3</v>
      </c>
      <c r="Q26" s="41"/>
      <c r="R26" s="13"/>
      <c r="S26" s="42" t="n">
        <v>0</v>
      </c>
      <c r="T26" s="42" t="n">
        <v>0</v>
      </c>
      <c r="U26" s="42" t="n">
        <v>0</v>
      </c>
      <c r="V26" s="42" t="n">
        <v>0</v>
      </c>
      <c r="W26" s="42" t="n">
        <v>0</v>
      </c>
      <c r="X26" s="42" t="n">
        <v>0</v>
      </c>
      <c r="Y26" s="42" t="n">
        <v>0</v>
      </c>
      <c r="Z26" s="42" t="n">
        <v>0</v>
      </c>
      <c r="AA26" s="42" t="n">
        <v>0</v>
      </c>
      <c r="AB26" s="42" t="n">
        <v>0</v>
      </c>
      <c r="AC26" s="42" t="n">
        <v>0</v>
      </c>
      <c r="AD26" s="43" t="n">
        <f aca="false">SUMPRODUCT(S26:AC26,INDEX(Diets!$I$5:$S$14,MATCH(Planner!$C$36,Diets!$A$5:$A$14,0),0))</f>
        <v>0</v>
      </c>
      <c r="AE26" s="44" t="n">
        <f aca="false">IF(OR(UPPER(Q26)="Y",AD26&gt;0,AND(Planner!$C$40="Core 71 foods",AY26=0)),0,1)</f>
        <v>1</v>
      </c>
      <c r="AF26" s="45" t="n">
        <v>0</v>
      </c>
      <c r="AG26" s="45" t="n">
        <v>0.5</v>
      </c>
      <c r="AH26" s="45" t="n">
        <v>0.5</v>
      </c>
      <c r="AI26" s="45" t="n">
        <v>0</v>
      </c>
      <c r="AJ26" s="8"/>
      <c r="AK26" s="4" t="s">
        <v>313</v>
      </c>
      <c r="AL26" s="31" t="n">
        <v>341</v>
      </c>
      <c r="AM26" s="31" t="n">
        <v>21.6</v>
      </c>
      <c r="AN26" s="31" t="n">
        <v>62.36</v>
      </c>
      <c r="AO26" s="31" t="n">
        <v>1.42</v>
      </c>
      <c r="AP26" s="31" t="n">
        <v>15.5</v>
      </c>
      <c r="AQ26" s="31" t="n">
        <v>2.12</v>
      </c>
      <c r="AR26" s="31" t="n">
        <v>123</v>
      </c>
      <c r="AS26" s="31" t="n">
        <v>5.02</v>
      </c>
      <c r="AT26" s="31" t="n">
        <v>1483</v>
      </c>
      <c r="AU26" s="31" t="n">
        <v>5</v>
      </c>
      <c r="AV26" s="31" t="n">
        <v>0</v>
      </c>
      <c r="AW26" s="31" t="n">
        <v>0.366</v>
      </c>
      <c r="AX26" s="4" t="s">
        <v>320</v>
      </c>
      <c r="AY26" s="43" t="n">
        <v>0</v>
      </c>
      <c r="AZ26" s="23" t="n">
        <f aca="false">AM26/M26</f>
        <v>54.7360893854749</v>
      </c>
      <c r="BA26" s="18" t="n">
        <f aca="false">AL26/M26</f>
        <v>864.120670391062</v>
      </c>
      <c r="BB26" s="4" t="s">
        <v>321</v>
      </c>
      <c r="BC26" s="4" t="s">
        <v>322</v>
      </c>
      <c r="BD26" s="4" t="s">
        <v>323</v>
      </c>
    </row>
    <row r="27" customFormat="false" ht="15" hidden="false" customHeight="false" outlineLevel="0" collapsed="false">
      <c r="A27" s="4" t="n">
        <v>22</v>
      </c>
      <c r="B27" s="35" t="s">
        <v>213</v>
      </c>
      <c r="C27" s="36" t="s">
        <v>309</v>
      </c>
      <c r="D27" s="14" t="s">
        <v>324</v>
      </c>
      <c r="E27" s="4" t="s">
        <v>325</v>
      </c>
      <c r="F27" s="37" t="n">
        <v>1.568</v>
      </c>
      <c r="G27" s="34" t="n">
        <v>453.6</v>
      </c>
      <c r="H27" s="30" t="n">
        <v>1</v>
      </c>
      <c r="I27" s="38" t="n">
        <f aca="false">F27/(G27*H27)*100</f>
        <v>0.345679012345679</v>
      </c>
      <c r="J27" s="4"/>
      <c r="K27" s="4"/>
      <c r="L27" s="4"/>
      <c r="M27" s="40" t="n">
        <f aca="false">IF(AND(IF(Planner!$C$39="BLS U.S. average (Sep 2026)",1,0)=1,L27&lt;&gt;""),L27,I27)</f>
        <v>0.345679012345679</v>
      </c>
      <c r="N27" s="13" t="n">
        <v>120</v>
      </c>
      <c r="O27" s="4" t="s">
        <v>312</v>
      </c>
      <c r="P27" s="8" t="n">
        <v>3</v>
      </c>
      <c r="Q27" s="41"/>
      <c r="R27" s="13"/>
      <c r="S27" s="42" t="n">
        <v>0</v>
      </c>
      <c r="T27" s="42" t="n">
        <v>0</v>
      </c>
      <c r="U27" s="42" t="n">
        <v>0</v>
      </c>
      <c r="V27" s="42" t="n">
        <v>0</v>
      </c>
      <c r="W27" s="42" t="n">
        <v>0</v>
      </c>
      <c r="X27" s="42" t="n">
        <v>0</v>
      </c>
      <c r="Y27" s="42" t="n">
        <v>0</v>
      </c>
      <c r="Z27" s="42" t="n">
        <v>0</v>
      </c>
      <c r="AA27" s="42" t="n">
        <v>0</v>
      </c>
      <c r="AB27" s="42" t="n">
        <v>0</v>
      </c>
      <c r="AC27" s="42" t="n">
        <v>0</v>
      </c>
      <c r="AD27" s="43" t="n">
        <f aca="false">SUMPRODUCT(S27:AC27,INDEX(Diets!$I$5:$S$14,MATCH(Planner!$C$36,Diets!$A$5:$A$14,0),0))</f>
        <v>0</v>
      </c>
      <c r="AE27" s="44" t="n">
        <f aca="false">IF(OR(UPPER(Q27)="Y",AD27&gt;0,AND(Planner!$C$40="Core 71 foods",AY27=0)),0,1)</f>
        <v>1</v>
      </c>
      <c r="AF27" s="45" t="n">
        <v>0</v>
      </c>
      <c r="AG27" s="45" t="n">
        <v>0.5</v>
      </c>
      <c r="AH27" s="45" t="n">
        <v>0.5</v>
      </c>
      <c r="AI27" s="45" t="n">
        <v>0</v>
      </c>
      <c r="AJ27" s="8"/>
      <c r="AK27" s="4" t="s">
        <v>313</v>
      </c>
      <c r="AL27" s="31" t="n">
        <v>77</v>
      </c>
      <c r="AM27" s="31" t="n">
        <v>4.74</v>
      </c>
      <c r="AN27" s="31" t="n">
        <v>13.63</v>
      </c>
      <c r="AO27" s="31" t="n">
        <v>0.55</v>
      </c>
      <c r="AP27" s="31" t="n">
        <v>3.3</v>
      </c>
      <c r="AQ27" s="31" t="n">
        <v>0</v>
      </c>
      <c r="AR27" s="31" t="n">
        <v>20</v>
      </c>
      <c r="AS27" s="31" t="n">
        <v>0.97</v>
      </c>
      <c r="AT27" s="31" t="n">
        <v>172</v>
      </c>
      <c r="AU27" s="31" t="n">
        <v>293</v>
      </c>
      <c r="AV27" s="31" t="n">
        <v>2.7</v>
      </c>
      <c r="AW27" s="31" t="n">
        <v>0.144</v>
      </c>
      <c r="AX27" s="4" t="s">
        <v>320</v>
      </c>
      <c r="AY27" s="43" t="n">
        <v>0</v>
      </c>
      <c r="AZ27" s="23" t="n">
        <f aca="false">AM27/M27</f>
        <v>13.7121428571429</v>
      </c>
      <c r="BA27" s="18" t="n">
        <f aca="false">AL27/M27</f>
        <v>222.75</v>
      </c>
      <c r="BB27" s="4" t="s">
        <v>326</v>
      </c>
      <c r="BC27" s="4" t="s">
        <v>327</v>
      </c>
      <c r="BD27" s="4" t="s">
        <v>328</v>
      </c>
    </row>
    <row r="28" customFormat="false" ht="15" hidden="false" customHeight="false" outlineLevel="0" collapsed="false">
      <c r="A28" s="4" t="n">
        <v>23</v>
      </c>
      <c r="B28" s="35" t="s">
        <v>213</v>
      </c>
      <c r="C28" s="36" t="s">
        <v>309</v>
      </c>
      <c r="D28" s="14" t="s">
        <v>329</v>
      </c>
      <c r="E28" s="4" t="s">
        <v>318</v>
      </c>
      <c r="F28" s="37" t="n">
        <v>2.294</v>
      </c>
      <c r="G28" s="34" t="n">
        <v>453.6</v>
      </c>
      <c r="H28" s="30" t="n">
        <v>1</v>
      </c>
      <c r="I28" s="38" t="n">
        <f aca="false">F28/(G28*H28)*100</f>
        <v>0.505731922398589</v>
      </c>
      <c r="J28" s="4"/>
      <c r="K28" s="4"/>
      <c r="L28" s="4"/>
      <c r="M28" s="40" t="n">
        <f aca="false">IF(AND(IF(Planner!$C$39="BLS U.S. average (Sep 2026)",1,0)=1,L28&lt;&gt;""),L28,I28)</f>
        <v>0.505731922398589</v>
      </c>
      <c r="N28" s="13" t="n">
        <v>48</v>
      </c>
      <c r="O28" s="4" t="s">
        <v>319</v>
      </c>
      <c r="P28" s="8" t="n">
        <v>3</v>
      </c>
      <c r="Q28" s="41"/>
      <c r="R28" s="13"/>
      <c r="S28" s="42" t="n">
        <v>0</v>
      </c>
      <c r="T28" s="42" t="n">
        <v>0</v>
      </c>
      <c r="U28" s="42" t="n">
        <v>0</v>
      </c>
      <c r="V28" s="42" t="n">
        <v>0</v>
      </c>
      <c r="W28" s="42" t="n">
        <v>0</v>
      </c>
      <c r="X28" s="42" t="n">
        <v>0</v>
      </c>
      <c r="Y28" s="42" t="n">
        <v>0</v>
      </c>
      <c r="Z28" s="42" t="n">
        <v>0</v>
      </c>
      <c r="AA28" s="42" t="n">
        <v>0</v>
      </c>
      <c r="AB28" s="42" t="n">
        <v>0</v>
      </c>
      <c r="AC28" s="42" t="n">
        <v>0</v>
      </c>
      <c r="AD28" s="43" t="n">
        <f aca="false">SUMPRODUCT(S28:AC28,INDEX(Diets!$I$5:$S$14,MATCH(Planner!$C$36,Diets!$A$5:$A$14,0),0))</f>
        <v>0</v>
      </c>
      <c r="AE28" s="44" t="n">
        <f aca="false">IF(OR(UPPER(Q28)="Y",AD28&gt;0,AND(Planner!$C$40="Core 71 foods",AY28=0)),0,1)</f>
        <v>1</v>
      </c>
      <c r="AF28" s="45" t="n">
        <v>0</v>
      </c>
      <c r="AG28" s="45" t="n">
        <v>0.5</v>
      </c>
      <c r="AH28" s="45" t="n">
        <v>0.5</v>
      </c>
      <c r="AI28" s="45" t="n">
        <v>0</v>
      </c>
      <c r="AJ28" s="8"/>
      <c r="AK28" s="4" t="s">
        <v>313</v>
      </c>
      <c r="AL28" s="31" t="n">
        <v>336</v>
      </c>
      <c r="AM28" s="31" t="n">
        <v>23.52</v>
      </c>
      <c r="AN28" s="31" t="n">
        <v>60.03</v>
      </c>
      <c r="AO28" s="31" t="n">
        <v>1.26</v>
      </c>
      <c r="AP28" s="31" t="n">
        <v>10.6</v>
      </c>
      <c r="AQ28" s="31" t="n">
        <v>6.9</v>
      </c>
      <c r="AR28" s="31" t="n">
        <v>110</v>
      </c>
      <c r="AS28" s="31" t="n">
        <v>8.27</v>
      </c>
      <c r="AT28" s="31" t="n">
        <v>1112</v>
      </c>
      <c r="AU28" s="31" t="n">
        <v>16</v>
      </c>
      <c r="AV28" s="31" t="n">
        <v>1.5</v>
      </c>
      <c r="AW28" s="31" t="n">
        <v>0.331</v>
      </c>
      <c r="AX28" s="4" t="s">
        <v>320</v>
      </c>
      <c r="AY28" s="43" t="n">
        <v>0</v>
      </c>
      <c r="AZ28" s="23" t="n">
        <f aca="false">AM28/M28</f>
        <v>46.5068526591107</v>
      </c>
      <c r="BA28" s="18" t="n">
        <f aca="false">AL28/M28</f>
        <v>664.383609415868</v>
      </c>
      <c r="BB28" s="4" t="s">
        <v>330</v>
      </c>
      <c r="BC28" s="4" t="s">
        <v>331</v>
      </c>
      <c r="BD28" s="4" t="s">
        <v>332</v>
      </c>
    </row>
    <row r="29" customFormat="false" ht="15" hidden="false" customHeight="false" outlineLevel="0" collapsed="false">
      <c r="A29" s="4" t="n">
        <v>24</v>
      </c>
      <c r="B29" s="35" t="s">
        <v>213</v>
      </c>
      <c r="C29" s="36" t="s">
        <v>309</v>
      </c>
      <c r="D29" s="14" t="s">
        <v>333</v>
      </c>
      <c r="E29" s="4" t="s">
        <v>334</v>
      </c>
      <c r="F29" s="37" t="n">
        <v>0.92</v>
      </c>
      <c r="G29" s="34" t="n">
        <v>439.4</v>
      </c>
      <c r="H29" s="30" t="n">
        <v>1</v>
      </c>
      <c r="I29" s="38" t="n">
        <f aca="false">F29/(G29*H29)*100</f>
        <v>0.209376422394174</v>
      </c>
      <c r="J29" s="4"/>
      <c r="K29" s="4"/>
      <c r="L29" s="4"/>
      <c r="M29" s="40" t="n">
        <f aca="false">IF(AND(IF(Planner!$C$39="BLS U.S. average (Sep 2026)",1,0)=1,L29&lt;&gt;""),L29,I29)</f>
        <v>0.209376422394174</v>
      </c>
      <c r="N29" s="13" t="n">
        <v>120</v>
      </c>
      <c r="O29" s="4" t="s">
        <v>312</v>
      </c>
      <c r="P29" s="8" t="n">
        <v>3</v>
      </c>
      <c r="Q29" s="41"/>
      <c r="R29" s="13"/>
      <c r="S29" s="42" t="n">
        <v>0</v>
      </c>
      <c r="T29" s="42" t="n">
        <v>0</v>
      </c>
      <c r="U29" s="42" t="n">
        <v>0</v>
      </c>
      <c r="V29" s="42" t="n">
        <v>0</v>
      </c>
      <c r="W29" s="42" t="n">
        <v>0</v>
      </c>
      <c r="X29" s="42" t="n">
        <v>0</v>
      </c>
      <c r="Y29" s="42" t="n">
        <v>0</v>
      </c>
      <c r="Z29" s="42" t="n">
        <v>0</v>
      </c>
      <c r="AA29" s="42" t="n">
        <v>0</v>
      </c>
      <c r="AB29" s="42" t="n">
        <v>0</v>
      </c>
      <c r="AC29" s="42" t="n">
        <v>0</v>
      </c>
      <c r="AD29" s="43" t="n">
        <f aca="false">SUMPRODUCT(S29:AC29,INDEX(Diets!$I$5:$S$14,MATCH(Planner!$C$36,Diets!$A$5:$A$14,0),0))</f>
        <v>0</v>
      </c>
      <c r="AE29" s="44" t="n">
        <f aca="false">IF(OR(UPPER(Q29)="Y",AD29&gt;0,AND(Planner!$C$40="Core 71 foods",AY29=0)),0,1)</f>
        <v>1</v>
      </c>
      <c r="AF29" s="45" t="n">
        <v>0</v>
      </c>
      <c r="AG29" s="45" t="n">
        <v>0.5</v>
      </c>
      <c r="AH29" s="45" t="n">
        <v>0.5</v>
      </c>
      <c r="AI29" s="45" t="n">
        <v>0</v>
      </c>
      <c r="AJ29" s="8"/>
      <c r="AK29" s="4" t="s">
        <v>313</v>
      </c>
      <c r="AL29" s="31" t="n">
        <v>88</v>
      </c>
      <c r="AM29" s="31" t="n">
        <v>4.92</v>
      </c>
      <c r="AN29" s="31" t="n">
        <v>13.49</v>
      </c>
      <c r="AO29" s="31" t="n">
        <v>1.95</v>
      </c>
      <c r="AP29" s="31" t="n">
        <v>4.4</v>
      </c>
      <c r="AQ29" s="31" t="n">
        <v>0</v>
      </c>
      <c r="AR29" s="31" t="n">
        <v>35</v>
      </c>
      <c r="AS29" s="31" t="n">
        <v>1.23</v>
      </c>
      <c r="AT29" s="31" t="n">
        <v>144</v>
      </c>
      <c r="AU29" s="31" t="n">
        <v>278</v>
      </c>
      <c r="AV29" s="31" t="n">
        <v>0.1</v>
      </c>
      <c r="AW29" s="31" t="n">
        <v>0.204</v>
      </c>
      <c r="AX29" s="4" t="s">
        <v>218</v>
      </c>
      <c r="AY29" s="43" t="n">
        <v>1</v>
      </c>
      <c r="AZ29" s="23" t="n">
        <f aca="false">AM29/M29</f>
        <v>23.498347826087</v>
      </c>
      <c r="BA29" s="18" t="n">
        <f aca="false">AL29/M29</f>
        <v>420.295652173913</v>
      </c>
      <c r="BB29" s="4" t="s">
        <v>335</v>
      </c>
      <c r="BC29" s="4" t="s">
        <v>336</v>
      </c>
      <c r="BD29" s="4" t="s">
        <v>316</v>
      </c>
    </row>
    <row r="30" customFormat="false" ht="15" hidden="false" customHeight="false" outlineLevel="0" collapsed="false">
      <c r="A30" s="4" t="n">
        <v>25</v>
      </c>
      <c r="B30" s="35" t="s">
        <v>213</v>
      </c>
      <c r="C30" s="36" t="s">
        <v>309</v>
      </c>
      <c r="D30" s="14" t="s">
        <v>337</v>
      </c>
      <c r="E30" s="4" t="s">
        <v>325</v>
      </c>
      <c r="F30" s="37" t="n">
        <v>1.288</v>
      </c>
      <c r="G30" s="34" t="n">
        <v>453.6</v>
      </c>
      <c r="H30" s="30" t="n">
        <v>1</v>
      </c>
      <c r="I30" s="38" t="n">
        <f aca="false">F30/(G30*H30)*100</f>
        <v>0.283950617283951</v>
      </c>
      <c r="J30" s="4"/>
      <c r="K30" s="4"/>
      <c r="L30" s="4"/>
      <c r="M30" s="40" t="n">
        <f aca="false">IF(AND(IF(Planner!$C$39="BLS U.S. average (Sep 2026)",1,0)=1,L30&lt;&gt;""),L30,I30)</f>
        <v>0.283950617283951</v>
      </c>
      <c r="N30" s="13" t="n">
        <v>120</v>
      </c>
      <c r="O30" s="4" t="s">
        <v>312</v>
      </c>
      <c r="P30" s="8" t="n">
        <v>3</v>
      </c>
      <c r="Q30" s="41"/>
      <c r="R30" s="13"/>
      <c r="S30" s="42" t="n">
        <v>0</v>
      </c>
      <c r="T30" s="42" t="n">
        <v>0</v>
      </c>
      <c r="U30" s="42" t="n">
        <v>0</v>
      </c>
      <c r="V30" s="42" t="n">
        <v>0</v>
      </c>
      <c r="W30" s="42" t="n">
        <v>0</v>
      </c>
      <c r="X30" s="42" t="n">
        <v>0</v>
      </c>
      <c r="Y30" s="42" t="n">
        <v>0</v>
      </c>
      <c r="Z30" s="42" t="n">
        <v>0</v>
      </c>
      <c r="AA30" s="42" t="n">
        <v>0</v>
      </c>
      <c r="AB30" s="42" t="n">
        <v>0</v>
      </c>
      <c r="AC30" s="42" t="n">
        <v>0</v>
      </c>
      <c r="AD30" s="43" t="n">
        <f aca="false">SUMPRODUCT(S30:AC30,INDEX(Diets!$I$5:$S$14,MATCH(Planner!$C$36,Diets!$A$5:$A$14,0),0))</f>
        <v>0</v>
      </c>
      <c r="AE30" s="44" t="n">
        <f aca="false">IF(OR(UPPER(Q30)="Y",AD30&gt;0,AND(Planner!$C$40="Core 71 foods",AY30=0)),0,1)</f>
        <v>1</v>
      </c>
      <c r="AF30" s="45" t="n">
        <v>0</v>
      </c>
      <c r="AG30" s="45" t="n">
        <v>0.5</v>
      </c>
      <c r="AH30" s="45" t="n">
        <v>0.5</v>
      </c>
      <c r="AI30" s="45" t="n">
        <v>0</v>
      </c>
      <c r="AJ30" s="8"/>
      <c r="AK30" s="4" t="s">
        <v>313</v>
      </c>
      <c r="AL30" s="31" t="n">
        <v>114</v>
      </c>
      <c r="AM30" s="31" t="n">
        <v>7.37</v>
      </c>
      <c r="AN30" s="31" t="n">
        <v>21.02</v>
      </c>
      <c r="AO30" s="31" t="n">
        <v>0.39</v>
      </c>
      <c r="AP30" s="31" t="n">
        <v>4.9</v>
      </c>
      <c r="AQ30" s="31" t="n">
        <v>1.41</v>
      </c>
      <c r="AR30" s="31" t="n">
        <v>53</v>
      </c>
      <c r="AS30" s="31" t="n">
        <v>1.57</v>
      </c>
      <c r="AT30" s="31" t="n">
        <v>351</v>
      </c>
      <c r="AU30" s="31" t="n">
        <v>370</v>
      </c>
      <c r="AV30" s="31" t="n">
        <v>1.3</v>
      </c>
      <c r="AW30" s="31" t="n">
        <v>0.12</v>
      </c>
      <c r="AX30" s="4" t="s">
        <v>320</v>
      </c>
      <c r="AY30" s="43" t="n">
        <v>0</v>
      </c>
      <c r="AZ30" s="23" t="n">
        <f aca="false">AM30/M30</f>
        <v>25.9552173913044</v>
      </c>
      <c r="BA30" s="18" t="n">
        <f aca="false">AL30/M30</f>
        <v>401.478260869565</v>
      </c>
      <c r="BB30" s="4" t="s">
        <v>338</v>
      </c>
      <c r="BC30" s="4" t="s">
        <v>339</v>
      </c>
      <c r="BD30" s="4" t="s">
        <v>340</v>
      </c>
    </row>
    <row r="31" customFormat="false" ht="15" hidden="false" customHeight="false" outlineLevel="0" collapsed="false">
      <c r="A31" s="4" t="n">
        <v>26</v>
      </c>
      <c r="B31" s="35" t="s">
        <v>213</v>
      </c>
      <c r="C31" s="36" t="s">
        <v>309</v>
      </c>
      <c r="D31" s="14" t="s">
        <v>341</v>
      </c>
      <c r="E31" s="4" t="s">
        <v>318</v>
      </c>
      <c r="F31" s="37" t="n">
        <v>2.022</v>
      </c>
      <c r="G31" s="34" t="n">
        <v>453.6</v>
      </c>
      <c r="H31" s="30" t="n">
        <v>1</v>
      </c>
      <c r="I31" s="38" t="n">
        <f aca="false">F31/(G31*H31)*100</f>
        <v>0.445767195767196</v>
      </c>
      <c r="J31" s="4"/>
      <c r="K31" s="4"/>
      <c r="L31" s="4"/>
      <c r="M31" s="40" t="n">
        <f aca="false">IF(AND(IF(Planner!$C$39="BLS U.S. average (Sep 2026)",1,0)=1,L31&lt;&gt;""),L31,I31)</f>
        <v>0.445767195767196</v>
      </c>
      <c r="N31" s="13" t="n">
        <v>48</v>
      </c>
      <c r="O31" s="4" t="s">
        <v>319</v>
      </c>
      <c r="P31" s="8" t="n">
        <v>3</v>
      </c>
      <c r="Q31" s="41"/>
      <c r="R31" s="13"/>
      <c r="S31" s="42" t="n">
        <v>0</v>
      </c>
      <c r="T31" s="42" t="n">
        <v>0</v>
      </c>
      <c r="U31" s="42" t="n">
        <v>0</v>
      </c>
      <c r="V31" s="42" t="n">
        <v>0</v>
      </c>
      <c r="W31" s="42" t="n">
        <v>0</v>
      </c>
      <c r="X31" s="42" t="n">
        <v>0</v>
      </c>
      <c r="Y31" s="42" t="n">
        <v>0</v>
      </c>
      <c r="Z31" s="42" t="n">
        <v>0</v>
      </c>
      <c r="AA31" s="42" t="n">
        <v>0</v>
      </c>
      <c r="AB31" s="42" t="n">
        <v>0</v>
      </c>
      <c r="AC31" s="42" t="n">
        <v>0</v>
      </c>
      <c r="AD31" s="43" t="n">
        <f aca="false">SUMPRODUCT(S31:AC31,INDEX(Diets!$I$5:$S$14,MATCH(Planner!$C$36,Diets!$A$5:$A$14,0),0))</f>
        <v>0</v>
      </c>
      <c r="AE31" s="44" t="n">
        <f aca="false">IF(OR(UPPER(Q31)="Y",AD31&gt;0,AND(Planner!$C$40="Core 71 foods",AY31=0)),0,1)</f>
        <v>1</v>
      </c>
      <c r="AF31" s="45" t="n">
        <v>0</v>
      </c>
      <c r="AG31" s="45" t="n">
        <v>0.5</v>
      </c>
      <c r="AH31" s="45" t="n">
        <v>0.5</v>
      </c>
      <c r="AI31" s="45" t="n">
        <v>0</v>
      </c>
      <c r="AJ31" s="8"/>
      <c r="AK31" s="4" t="s">
        <v>313</v>
      </c>
      <c r="AL31" s="31" t="n">
        <v>339</v>
      </c>
      <c r="AM31" s="31" t="n">
        <v>21.86</v>
      </c>
      <c r="AN31" s="31" t="n">
        <v>62.37</v>
      </c>
      <c r="AO31" s="31" t="n">
        <v>1.14</v>
      </c>
      <c r="AP31" s="31" t="n">
        <v>20.2</v>
      </c>
      <c r="AQ31" s="31" t="n">
        <v>2.26</v>
      </c>
      <c r="AR31" s="31" t="n">
        <v>175</v>
      </c>
      <c r="AS31" s="31" t="n">
        <v>5.47</v>
      </c>
      <c r="AT31" s="31" t="n">
        <v>1387</v>
      </c>
      <c r="AU31" s="31" t="n">
        <v>14</v>
      </c>
      <c r="AV31" s="31" t="n">
        <v>5.3</v>
      </c>
      <c r="AW31" s="31" t="n">
        <v>0.356</v>
      </c>
      <c r="AX31" s="4" t="s">
        <v>320</v>
      </c>
      <c r="AY31" s="43" t="n">
        <v>0</v>
      </c>
      <c r="AZ31" s="23" t="n">
        <f aca="false">AM31/M31</f>
        <v>49.0390504451039</v>
      </c>
      <c r="BA31" s="18" t="n">
        <f aca="false">AL31/M31</f>
        <v>760.486646884273</v>
      </c>
      <c r="BB31" s="4" t="s">
        <v>342</v>
      </c>
      <c r="BC31" s="4" t="s">
        <v>343</v>
      </c>
      <c r="BD31" s="4" t="s">
        <v>344</v>
      </c>
    </row>
    <row r="32" customFormat="false" ht="15" hidden="false" customHeight="false" outlineLevel="0" collapsed="false">
      <c r="A32" s="4" t="n">
        <v>27</v>
      </c>
      <c r="B32" s="35" t="s">
        <v>213</v>
      </c>
      <c r="C32" s="36" t="s">
        <v>309</v>
      </c>
      <c r="D32" s="14" t="s">
        <v>345</v>
      </c>
      <c r="E32" s="4" t="s">
        <v>325</v>
      </c>
      <c r="F32" s="37" t="n">
        <v>1.324</v>
      </c>
      <c r="G32" s="34" t="n">
        <v>453.6</v>
      </c>
      <c r="H32" s="30" t="n">
        <v>1</v>
      </c>
      <c r="I32" s="38" t="n">
        <f aca="false">F32/(G32*H32)*100</f>
        <v>0.291887125220459</v>
      </c>
      <c r="J32" s="4"/>
      <c r="K32" s="4"/>
      <c r="L32" s="4"/>
      <c r="M32" s="40" t="n">
        <f aca="false">IF(AND(IF(Planner!$C$39="BLS U.S. average (Sep 2026)",1,0)=1,L32&lt;&gt;""),L32,I32)</f>
        <v>0.291887125220459</v>
      </c>
      <c r="N32" s="13" t="n">
        <v>120</v>
      </c>
      <c r="O32" s="4" t="s">
        <v>312</v>
      </c>
      <c r="P32" s="8" t="n">
        <v>3</v>
      </c>
      <c r="Q32" s="41"/>
      <c r="R32" s="13"/>
      <c r="S32" s="42" t="n">
        <v>0</v>
      </c>
      <c r="T32" s="42" t="n">
        <v>0</v>
      </c>
      <c r="U32" s="42" t="n">
        <v>0</v>
      </c>
      <c r="V32" s="42" t="n">
        <v>0</v>
      </c>
      <c r="W32" s="42" t="n">
        <v>0</v>
      </c>
      <c r="X32" s="42" t="n">
        <v>0</v>
      </c>
      <c r="Y32" s="42" t="n">
        <v>0</v>
      </c>
      <c r="Z32" s="42" t="n">
        <v>0</v>
      </c>
      <c r="AA32" s="42" t="n">
        <v>0</v>
      </c>
      <c r="AB32" s="42" t="n">
        <v>0</v>
      </c>
      <c r="AC32" s="42" t="n">
        <v>0</v>
      </c>
      <c r="AD32" s="43" t="n">
        <f aca="false">SUMPRODUCT(S32:AC32,INDEX(Diets!$I$5:$S$14,MATCH(Planner!$C$36,Diets!$A$5:$A$14,0),0))</f>
        <v>0</v>
      </c>
      <c r="AE32" s="44" t="n">
        <f aca="false">IF(OR(UPPER(Q32)="Y",AD32&gt;0,AND(Planner!$C$40="Core 71 foods",AY32=0)),0,1)</f>
        <v>1</v>
      </c>
      <c r="AF32" s="45" t="n">
        <v>0</v>
      </c>
      <c r="AG32" s="45" t="n">
        <v>0.5</v>
      </c>
      <c r="AH32" s="45" t="n">
        <v>0.5</v>
      </c>
      <c r="AI32" s="45" t="n">
        <v>0</v>
      </c>
      <c r="AJ32" s="8"/>
      <c r="AK32" s="4" t="s">
        <v>313</v>
      </c>
      <c r="AL32" s="31" t="n">
        <v>81</v>
      </c>
      <c r="AM32" s="31" t="n">
        <v>5.22</v>
      </c>
      <c r="AN32" s="31" t="n">
        <v>14.83</v>
      </c>
      <c r="AO32" s="31" t="n">
        <v>0.36</v>
      </c>
      <c r="AP32" s="31" t="n">
        <v>4.3</v>
      </c>
      <c r="AQ32" s="31" t="n">
        <v>1.85</v>
      </c>
      <c r="AR32" s="31" t="n">
        <v>29</v>
      </c>
      <c r="AS32" s="31" t="n">
        <v>1.25</v>
      </c>
      <c r="AT32" s="31" t="n">
        <v>260</v>
      </c>
      <c r="AU32" s="31" t="n">
        <v>256</v>
      </c>
      <c r="AV32" s="31" t="n">
        <v>0.8</v>
      </c>
      <c r="AW32" s="31" t="n">
        <v>0.125</v>
      </c>
      <c r="AX32" s="4" t="s">
        <v>320</v>
      </c>
      <c r="AY32" s="43" t="n">
        <v>0</v>
      </c>
      <c r="AZ32" s="23" t="n">
        <f aca="false">AM32/M32</f>
        <v>17.8836253776435</v>
      </c>
      <c r="BA32" s="18" t="n">
        <f aca="false">AL32/M32</f>
        <v>277.504531722054</v>
      </c>
      <c r="BB32" s="4" t="s">
        <v>346</v>
      </c>
      <c r="BC32" s="4" t="s">
        <v>347</v>
      </c>
      <c r="BD32" s="4" t="s">
        <v>348</v>
      </c>
    </row>
    <row r="33" customFormat="false" ht="15" hidden="false" customHeight="false" outlineLevel="0" collapsed="false">
      <c r="A33" s="4" t="n">
        <v>28</v>
      </c>
      <c r="B33" s="35" t="s">
        <v>213</v>
      </c>
      <c r="C33" s="36" t="s">
        <v>309</v>
      </c>
      <c r="D33" s="14" t="s">
        <v>349</v>
      </c>
      <c r="E33" s="4" t="s">
        <v>318</v>
      </c>
      <c r="F33" s="37" t="n">
        <v>2.155</v>
      </c>
      <c r="G33" s="34" t="n">
        <v>453.6</v>
      </c>
      <c r="H33" s="30" t="n">
        <v>1</v>
      </c>
      <c r="I33" s="38" t="n">
        <f aca="false">F33/(G33*H33)*100</f>
        <v>0.475088183421517</v>
      </c>
      <c r="J33" s="4"/>
      <c r="K33" s="4"/>
      <c r="L33" s="4"/>
      <c r="M33" s="40" t="n">
        <f aca="false">IF(AND(IF(Planner!$C$39="BLS U.S. average (Sep 2026)",1,0)=1,L33&lt;&gt;""),L33,I33)</f>
        <v>0.475088183421517</v>
      </c>
      <c r="N33" s="13" t="n">
        <v>48</v>
      </c>
      <c r="O33" s="4" t="s">
        <v>319</v>
      </c>
      <c r="P33" s="8" t="n">
        <v>3</v>
      </c>
      <c r="Q33" s="41"/>
      <c r="R33" s="13"/>
      <c r="S33" s="42" t="n">
        <v>0</v>
      </c>
      <c r="T33" s="42" t="n">
        <v>0</v>
      </c>
      <c r="U33" s="42" t="n">
        <v>0</v>
      </c>
      <c r="V33" s="42" t="n">
        <v>0</v>
      </c>
      <c r="W33" s="42" t="n">
        <v>0</v>
      </c>
      <c r="X33" s="42" t="n">
        <v>0</v>
      </c>
      <c r="Y33" s="42" t="n">
        <v>0</v>
      </c>
      <c r="Z33" s="42" t="n">
        <v>0</v>
      </c>
      <c r="AA33" s="42" t="n">
        <v>0</v>
      </c>
      <c r="AB33" s="42" t="n">
        <v>0</v>
      </c>
      <c r="AC33" s="42" t="n">
        <v>0</v>
      </c>
      <c r="AD33" s="43" t="n">
        <f aca="false">SUMPRODUCT(S33:AC33,INDEX(Diets!$I$5:$S$14,MATCH(Planner!$C$36,Diets!$A$5:$A$14,0),0))</f>
        <v>0</v>
      </c>
      <c r="AE33" s="44" t="n">
        <f aca="false">IF(OR(UPPER(Q33)="Y",AD33&gt;0,AND(Planner!$C$40="Core 71 foods",AY33=0)),0,1)</f>
        <v>1</v>
      </c>
      <c r="AF33" s="45" t="n">
        <v>0</v>
      </c>
      <c r="AG33" s="45" t="n">
        <v>0.5</v>
      </c>
      <c r="AH33" s="45" t="n">
        <v>0.5</v>
      </c>
      <c r="AI33" s="45" t="n">
        <v>0</v>
      </c>
      <c r="AJ33" s="8"/>
      <c r="AK33" s="4" t="s">
        <v>313</v>
      </c>
      <c r="AL33" s="31" t="n">
        <v>333</v>
      </c>
      <c r="AM33" s="31" t="n">
        <v>23.58</v>
      </c>
      <c r="AN33" s="31" t="n">
        <v>60.01</v>
      </c>
      <c r="AO33" s="31" t="n">
        <v>0.83</v>
      </c>
      <c r="AP33" s="31" t="n">
        <v>24.9</v>
      </c>
      <c r="AQ33" s="31" t="n">
        <v>2.23</v>
      </c>
      <c r="AR33" s="31" t="n">
        <v>143</v>
      </c>
      <c r="AS33" s="31" t="n">
        <v>8.2</v>
      </c>
      <c r="AT33" s="31" t="n">
        <v>1406</v>
      </c>
      <c r="AU33" s="31" t="n">
        <v>24</v>
      </c>
      <c r="AV33" s="31" t="n">
        <v>4.5</v>
      </c>
      <c r="AW33" s="31" t="n">
        <v>0.12</v>
      </c>
      <c r="AX33" s="4" t="s">
        <v>320</v>
      </c>
      <c r="AY33" s="43" t="n">
        <v>0</v>
      </c>
      <c r="AZ33" s="23" t="n">
        <f aca="false">AM33/M33</f>
        <v>49.6328909512761</v>
      </c>
      <c r="BA33" s="18" t="n">
        <f aca="false">AL33/M33</f>
        <v>700.922505800464</v>
      </c>
      <c r="BB33" s="4" t="s">
        <v>350</v>
      </c>
      <c r="BC33" s="4" t="s">
        <v>351</v>
      </c>
      <c r="BD33" s="4" t="s">
        <v>352</v>
      </c>
    </row>
    <row r="34" customFormat="false" ht="15" hidden="false" customHeight="false" outlineLevel="0" collapsed="false">
      <c r="A34" s="4" t="n">
        <v>29</v>
      </c>
      <c r="B34" s="35" t="s">
        <v>213</v>
      </c>
      <c r="C34" s="36" t="s">
        <v>309</v>
      </c>
      <c r="D34" s="14" t="s">
        <v>353</v>
      </c>
      <c r="E34" s="4" t="s">
        <v>354</v>
      </c>
      <c r="F34" s="37" t="n">
        <v>1.92</v>
      </c>
      <c r="G34" s="34" t="n">
        <v>453.6</v>
      </c>
      <c r="H34" s="30" t="n">
        <v>1</v>
      </c>
      <c r="I34" s="38" t="n">
        <f aca="false">F34/(G34*H34)*100</f>
        <v>0.423280423280423</v>
      </c>
      <c r="J34" s="4"/>
      <c r="K34" s="4"/>
      <c r="L34" s="4"/>
      <c r="M34" s="40" t="n">
        <f aca="false">IF(AND(IF(Planner!$C$39="BLS U.S. average (Sep 2026)",1,0)=1,L34&lt;&gt;""),L34,I34)</f>
        <v>0.423280423280423</v>
      </c>
      <c r="N34" s="13" t="n">
        <v>48</v>
      </c>
      <c r="O34" s="4" t="s">
        <v>319</v>
      </c>
      <c r="P34" s="8" t="n">
        <v>3</v>
      </c>
      <c r="Q34" s="41"/>
      <c r="R34" s="13"/>
      <c r="S34" s="42" t="n">
        <v>0</v>
      </c>
      <c r="T34" s="42" t="n">
        <v>0</v>
      </c>
      <c r="U34" s="42" t="n">
        <v>0</v>
      </c>
      <c r="V34" s="42" t="n">
        <v>0</v>
      </c>
      <c r="W34" s="42" t="n">
        <v>0</v>
      </c>
      <c r="X34" s="42" t="n">
        <v>0</v>
      </c>
      <c r="Y34" s="42" t="n">
        <v>0</v>
      </c>
      <c r="Z34" s="42" t="n">
        <v>0</v>
      </c>
      <c r="AA34" s="42" t="n">
        <v>0</v>
      </c>
      <c r="AB34" s="42" t="n">
        <v>0</v>
      </c>
      <c r="AC34" s="42" t="n">
        <v>0</v>
      </c>
      <c r="AD34" s="43" t="n">
        <f aca="false">SUMPRODUCT(S34:AC34,INDEX(Diets!$I$5:$S$14,MATCH(Planner!$C$36,Diets!$A$5:$A$14,0),0))</f>
        <v>0</v>
      </c>
      <c r="AE34" s="44" t="n">
        <f aca="false">IF(OR(UPPER(Q34)="Y",AD34&gt;0,AND(Planner!$C$40="Core 71 foods",AY34=0)),0,1)</f>
        <v>1</v>
      </c>
      <c r="AF34" s="45" t="n">
        <v>0</v>
      </c>
      <c r="AG34" s="45" t="n">
        <v>0.5</v>
      </c>
      <c r="AH34" s="45" t="n">
        <v>0.5</v>
      </c>
      <c r="AI34" s="45" t="n">
        <v>0</v>
      </c>
      <c r="AJ34" s="8"/>
      <c r="AK34" s="4" t="s">
        <v>313</v>
      </c>
      <c r="AL34" s="31" t="n">
        <v>352</v>
      </c>
      <c r="AM34" s="31" t="n">
        <v>24.63</v>
      </c>
      <c r="AN34" s="31" t="n">
        <v>63.35</v>
      </c>
      <c r="AO34" s="31" t="n">
        <v>1.06</v>
      </c>
      <c r="AP34" s="31" t="n">
        <v>10.7</v>
      </c>
      <c r="AQ34" s="31" t="n">
        <v>2.03</v>
      </c>
      <c r="AR34" s="31" t="n">
        <v>35</v>
      </c>
      <c r="AS34" s="31" t="n">
        <v>6.51</v>
      </c>
      <c r="AT34" s="31" t="n">
        <v>677</v>
      </c>
      <c r="AU34" s="31" t="n">
        <v>6</v>
      </c>
      <c r="AV34" s="31" t="n">
        <v>4.5</v>
      </c>
      <c r="AW34" s="31" t="n">
        <v>0.154</v>
      </c>
      <c r="AX34" s="4" t="s">
        <v>218</v>
      </c>
      <c r="AY34" s="43" t="n">
        <v>1</v>
      </c>
      <c r="AZ34" s="23" t="n">
        <f aca="false">AM34/M34</f>
        <v>58.188375</v>
      </c>
      <c r="BA34" s="18" t="n">
        <f aca="false">AL34/M34</f>
        <v>831.6</v>
      </c>
      <c r="BB34" s="4" t="s">
        <v>355</v>
      </c>
      <c r="BC34" s="4" t="s">
        <v>356</v>
      </c>
      <c r="BD34" s="4"/>
    </row>
    <row r="35" customFormat="false" ht="15" hidden="false" customHeight="false" outlineLevel="0" collapsed="false">
      <c r="A35" s="4" t="n">
        <v>30</v>
      </c>
      <c r="B35" s="35" t="s">
        <v>213</v>
      </c>
      <c r="C35" s="36" t="s">
        <v>309</v>
      </c>
      <c r="D35" s="14" t="s">
        <v>357</v>
      </c>
      <c r="E35" s="4" t="s">
        <v>318</v>
      </c>
      <c r="F35" s="37" t="n">
        <v>2.865</v>
      </c>
      <c r="G35" s="34" t="n">
        <v>453.6</v>
      </c>
      <c r="H35" s="30" t="n">
        <v>1</v>
      </c>
      <c r="I35" s="38" t="n">
        <f aca="false">F35/(G35*H35)*100</f>
        <v>0.631613756613757</v>
      </c>
      <c r="J35" s="4"/>
      <c r="K35" s="4"/>
      <c r="L35" s="4"/>
      <c r="M35" s="40" t="n">
        <f aca="false">IF(AND(IF(Planner!$C$39="BLS U.S. average (Sep 2026)",1,0)=1,L35&lt;&gt;""),L35,I35)</f>
        <v>0.631613756613757</v>
      </c>
      <c r="N35" s="13" t="n">
        <v>48</v>
      </c>
      <c r="O35" s="4" t="s">
        <v>319</v>
      </c>
      <c r="P35" s="8" t="n">
        <v>3</v>
      </c>
      <c r="Q35" s="41"/>
      <c r="R35" s="13"/>
      <c r="S35" s="42" t="n">
        <v>0</v>
      </c>
      <c r="T35" s="42" t="n">
        <v>0</v>
      </c>
      <c r="U35" s="42" t="n">
        <v>0</v>
      </c>
      <c r="V35" s="42" t="n">
        <v>0</v>
      </c>
      <c r="W35" s="42" t="n">
        <v>0</v>
      </c>
      <c r="X35" s="42" t="n">
        <v>0</v>
      </c>
      <c r="Y35" s="42" t="n">
        <v>0</v>
      </c>
      <c r="Z35" s="42" t="n">
        <v>0</v>
      </c>
      <c r="AA35" s="42" t="n">
        <v>0</v>
      </c>
      <c r="AB35" s="42" t="n">
        <v>0</v>
      </c>
      <c r="AC35" s="42" t="n">
        <v>0</v>
      </c>
      <c r="AD35" s="43" t="n">
        <f aca="false">SUMPRODUCT(S35:AC35,INDEX(Diets!$I$5:$S$14,MATCH(Planner!$C$36,Diets!$A$5:$A$14,0),0))</f>
        <v>0</v>
      </c>
      <c r="AE35" s="44" t="n">
        <f aca="false">IF(OR(UPPER(Q35)="Y",AD35&gt;0,AND(Planner!$C$40="Core 71 foods",AY35=0)),0,1)</f>
        <v>1</v>
      </c>
      <c r="AF35" s="45" t="n">
        <v>0</v>
      </c>
      <c r="AG35" s="45" t="n">
        <v>0.5</v>
      </c>
      <c r="AH35" s="45" t="n">
        <v>0.5</v>
      </c>
      <c r="AI35" s="45" t="n">
        <v>0</v>
      </c>
      <c r="AJ35" s="8"/>
      <c r="AK35" s="4" t="s">
        <v>313</v>
      </c>
      <c r="AL35" s="31" t="n">
        <v>338</v>
      </c>
      <c r="AM35" s="31" t="n">
        <v>21.46</v>
      </c>
      <c r="AN35" s="31" t="n">
        <v>63.38</v>
      </c>
      <c r="AO35" s="31" t="n">
        <v>0.69</v>
      </c>
      <c r="AP35" s="31" t="n">
        <v>19</v>
      </c>
      <c r="AQ35" s="31" t="n">
        <v>8.5</v>
      </c>
      <c r="AR35" s="31" t="n">
        <v>81</v>
      </c>
      <c r="AS35" s="31" t="n">
        <v>7.51</v>
      </c>
      <c r="AT35" s="31" t="n">
        <v>1724</v>
      </c>
      <c r="AU35" s="31" t="n">
        <v>18</v>
      </c>
      <c r="AV35" s="31" t="n">
        <v>0</v>
      </c>
      <c r="AW35" s="31" t="n">
        <v>0.161</v>
      </c>
      <c r="AX35" s="4" t="s">
        <v>320</v>
      </c>
      <c r="AY35" s="43" t="n">
        <v>0</v>
      </c>
      <c r="AZ35" s="23" t="n">
        <f aca="false">AM35/M35</f>
        <v>33.9764607329843</v>
      </c>
      <c r="BA35" s="18" t="n">
        <f aca="false">AL35/M35</f>
        <v>535.137172774869</v>
      </c>
      <c r="BB35" s="4" t="s">
        <v>358</v>
      </c>
      <c r="BC35" s="4" t="s">
        <v>359</v>
      </c>
      <c r="BD35" s="4" t="s">
        <v>360</v>
      </c>
    </row>
    <row r="36" customFormat="false" ht="15" hidden="false" customHeight="false" outlineLevel="0" collapsed="false">
      <c r="A36" s="4" t="n">
        <v>31</v>
      </c>
      <c r="B36" s="35" t="s">
        <v>213</v>
      </c>
      <c r="C36" s="36" t="s">
        <v>309</v>
      </c>
      <c r="D36" s="14" t="s">
        <v>361</v>
      </c>
      <c r="E36" s="4" t="s">
        <v>325</v>
      </c>
      <c r="F36" s="37" t="n">
        <v>1.362</v>
      </c>
      <c r="G36" s="34" t="n">
        <v>453.6</v>
      </c>
      <c r="H36" s="30" t="n">
        <v>1</v>
      </c>
      <c r="I36" s="38" t="n">
        <f aca="false">F36/(G36*H36)*100</f>
        <v>0.30026455026455</v>
      </c>
      <c r="J36" s="4"/>
      <c r="K36" s="4"/>
      <c r="L36" s="4"/>
      <c r="M36" s="40" t="n">
        <f aca="false">IF(AND(IF(Planner!$C$39="BLS U.S. average (Sep 2026)",1,0)=1,L36&lt;&gt;""),L36,I36)</f>
        <v>0.30026455026455</v>
      </c>
      <c r="N36" s="13" t="n">
        <v>120</v>
      </c>
      <c r="O36" s="4" t="s">
        <v>312</v>
      </c>
      <c r="P36" s="8" t="n">
        <v>3</v>
      </c>
      <c r="Q36" s="41"/>
      <c r="R36" s="13"/>
      <c r="S36" s="42" t="n">
        <v>0</v>
      </c>
      <c r="T36" s="42" t="n">
        <v>0</v>
      </c>
      <c r="U36" s="42" t="n">
        <v>0</v>
      </c>
      <c r="V36" s="42" t="n">
        <v>0</v>
      </c>
      <c r="W36" s="42" t="n">
        <v>0</v>
      </c>
      <c r="X36" s="42" t="n">
        <v>0</v>
      </c>
      <c r="Y36" s="42" t="n">
        <v>0</v>
      </c>
      <c r="Z36" s="42" t="n">
        <v>0</v>
      </c>
      <c r="AA36" s="42" t="n">
        <v>0</v>
      </c>
      <c r="AB36" s="42" t="n">
        <v>0</v>
      </c>
      <c r="AC36" s="42" t="n">
        <v>0</v>
      </c>
      <c r="AD36" s="43" t="n">
        <f aca="false">SUMPRODUCT(S36:AC36,INDEX(Diets!$I$5:$S$14,MATCH(Planner!$C$36,Diets!$A$5:$A$14,0),0))</f>
        <v>0</v>
      </c>
      <c r="AE36" s="44" t="n">
        <f aca="false">IF(OR(UPPER(Q36)="Y",AD36&gt;0,AND(Planner!$C$40="Core 71 foods",AY36=0)),0,1)</f>
        <v>1</v>
      </c>
      <c r="AF36" s="45" t="n">
        <v>0</v>
      </c>
      <c r="AG36" s="45" t="n">
        <v>0.5</v>
      </c>
      <c r="AH36" s="45" t="n">
        <v>0.5</v>
      </c>
      <c r="AI36" s="45" t="n">
        <v>0</v>
      </c>
      <c r="AJ36" s="8"/>
      <c r="AK36" s="4" t="s">
        <v>313</v>
      </c>
      <c r="AL36" s="31" t="n">
        <v>113</v>
      </c>
      <c r="AM36" s="31" t="n">
        <v>7.53</v>
      </c>
      <c r="AN36" s="31" t="n">
        <v>20.45</v>
      </c>
      <c r="AO36" s="31" t="n">
        <v>0.43</v>
      </c>
      <c r="AP36" s="31" t="n">
        <v>5.1</v>
      </c>
      <c r="AQ36" s="31" t="n">
        <v>0.28</v>
      </c>
      <c r="AR36" s="31" t="n">
        <v>47</v>
      </c>
      <c r="AS36" s="31" t="n">
        <v>1.85</v>
      </c>
      <c r="AT36" s="31" t="n">
        <v>288</v>
      </c>
      <c r="AU36" s="31" t="n">
        <v>336</v>
      </c>
      <c r="AV36" s="31" t="n">
        <v>0.7</v>
      </c>
      <c r="AW36" s="31" t="n">
        <v>0.112</v>
      </c>
      <c r="AX36" s="4" t="s">
        <v>320</v>
      </c>
      <c r="AY36" s="43" t="n">
        <v>0</v>
      </c>
      <c r="AZ36" s="23" t="n">
        <f aca="false">AM36/M36</f>
        <v>25.0778854625551</v>
      </c>
      <c r="BA36" s="18" t="n">
        <f aca="false">AL36/M36</f>
        <v>376.334801762115</v>
      </c>
      <c r="BB36" s="4" t="s">
        <v>362</v>
      </c>
      <c r="BC36" s="4" t="s">
        <v>363</v>
      </c>
      <c r="BD36" s="4" t="s">
        <v>364</v>
      </c>
    </row>
    <row r="37" customFormat="false" ht="15" hidden="false" customHeight="false" outlineLevel="0" collapsed="false">
      <c r="A37" s="4" t="n">
        <v>32</v>
      </c>
      <c r="B37" s="35" t="s">
        <v>213</v>
      </c>
      <c r="C37" s="36" t="s">
        <v>309</v>
      </c>
      <c r="D37" s="14" t="s">
        <v>365</v>
      </c>
      <c r="E37" s="4" t="s">
        <v>318</v>
      </c>
      <c r="F37" s="37" t="n">
        <v>1.841</v>
      </c>
      <c r="G37" s="34" t="n">
        <v>453.6</v>
      </c>
      <c r="H37" s="30" t="n">
        <v>1</v>
      </c>
      <c r="I37" s="38" t="n">
        <f aca="false">F37/(G37*H37)*100</f>
        <v>0.405864197530864</v>
      </c>
      <c r="J37" s="4"/>
      <c r="K37" s="4"/>
      <c r="L37" s="4"/>
      <c r="M37" s="40" t="n">
        <f aca="false">IF(AND(IF(Planner!$C$39="BLS U.S. average (Sep 2026)",1,0)=1,L37&lt;&gt;""),L37,I37)</f>
        <v>0.405864197530864</v>
      </c>
      <c r="N37" s="13" t="n">
        <v>48</v>
      </c>
      <c r="O37" s="4" t="s">
        <v>319</v>
      </c>
      <c r="P37" s="8" t="n">
        <v>3</v>
      </c>
      <c r="Q37" s="41"/>
      <c r="R37" s="13"/>
      <c r="S37" s="42" t="n">
        <v>0</v>
      </c>
      <c r="T37" s="42" t="n">
        <v>0</v>
      </c>
      <c r="U37" s="42" t="n">
        <v>0</v>
      </c>
      <c r="V37" s="42" t="n">
        <v>0</v>
      </c>
      <c r="W37" s="42" t="n">
        <v>0</v>
      </c>
      <c r="X37" s="42" t="n">
        <v>0</v>
      </c>
      <c r="Y37" s="42" t="n">
        <v>0</v>
      </c>
      <c r="Z37" s="42" t="n">
        <v>0</v>
      </c>
      <c r="AA37" s="42" t="n">
        <v>0</v>
      </c>
      <c r="AB37" s="42" t="n">
        <v>0</v>
      </c>
      <c r="AC37" s="42" t="n">
        <v>0</v>
      </c>
      <c r="AD37" s="43" t="n">
        <f aca="false">SUMPRODUCT(S37:AC37,INDEX(Diets!$I$5:$S$14,MATCH(Planner!$C$36,Diets!$A$5:$A$14,0),0))</f>
        <v>0</v>
      </c>
      <c r="AE37" s="44" t="n">
        <f aca="false">IF(OR(UPPER(Q37)="Y",AD37&gt;0,AND(Planner!$C$40="Core 71 foods",AY37=0)),0,1)</f>
        <v>1</v>
      </c>
      <c r="AF37" s="45" t="n">
        <v>0</v>
      </c>
      <c r="AG37" s="45" t="n">
        <v>0.5</v>
      </c>
      <c r="AH37" s="45" t="n">
        <v>0.5</v>
      </c>
      <c r="AI37" s="45" t="n">
        <v>0</v>
      </c>
      <c r="AJ37" s="8"/>
      <c r="AK37" s="4" t="s">
        <v>313</v>
      </c>
      <c r="AL37" s="31" t="n">
        <v>337</v>
      </c>
      <c r="AM37" s="31" t="n">
        <v>22.33</v>
      </c>
      <c r="AN37" s="31" t="n">
        <v>60.75</v>
      </c>
      <c r="AO37" s="31" t="n">
        <v>1.5</v>
      </c>
      <c r="AP37" s="31" t="n">
        <v>15.3</v>
      </c>
      <c r="AQ37" s="31" t="n">
        <v>3.88</v>
      </c>
      <c r="AR37" s="31" t="n">
        <v>147</v>
      </c>
      <c r="AS37" s="31" t="n">
        <v>5.49</v>
      </c>
      <c r="AT37" s="31" t="n">
        <v>1185</v>
      </c>
      <c r="AU37" s="31" t="n">
        <v>5</v>
      </c>
      <c r="AV37" s="31" t="n">
        <v>0</v>
      </c>
      <c r="AW37" s="31" t="n">
        <v>0.17</v>
      </c>
      <c r="AX37" s="4" t="s">
        <v>320</v>
      </c>
      <c r="AY37" s="43" t="n">
        <v>0</v>
      </c>
      <c r="AZ37" s="23" t="n">
        <f aca="false">AM37/M37</f>
        <v>55.0184030418251</v>
      </c>
      <c r="BA37" s="18" t="n">
        <f aca="false">AL37/M37</f>
        <v>830.326996197719</v>
      </c>
      <c r="BB37" s="4" t="s">
        <v>366</v>
      </c>
      <c r="BC37" s="4" t="s">
        <v>367</v>
      </c>
      <c r="BD37" s="4" t="s">
        <v>368</v>
      </c>
    </row>
    <row r="38" customFormat="false" ht="15" hidden="false" customHeight="false" outlineLevel="0" collapsed="false">
      <c r="A38" s="4" t="n">
        <v>33</v>
      </c>
      <c r="B38" s="35" t="s">
        <v>213</v>
      </c>
      <c r="C38" s="36" t="s">
        <v>309</v>
      </c>
      <c r="D38" s="14" t="s">
        <v>369</v>
      </c>
      <c r="E38" s="4" t="s">
        <v>370</v>
      </c>
      <c r="F38" s="37" t="n">
        <v>3.98</v>
      </c>
      <c r="G38" s="34" t="n">
        <v>1134</v>
      </c>
      <c r="H38" s="30" t="n">
        <v>1</v>
      </c>
      <c r="I38" s="38" t="n">
        <f aca="false">F38/(G38*H38)*100</f>
        <v>0.350970017636684</v>
      </c>
      <c r="J38" s="4"/>
      <c r="K38" s="4"/>
      <c r="L38" s="4"/>
      <c r="M38" s="40" t="n">
        <f aca="false">IF(AND(IF(Planner!$C$39="BLS U.S. average (Sep 2026)",1,0)=1,L38&lt;&gt;""),L38,I38)</f>
        <v>0.350970017636684</v>
      </c>
      <c r="N38" s="13" t="n">
        <v>32</v>
      </c>
      <c r="O38" s="4" t="s">
        <v>371</v>
      </c>
      <c r="P38" s="8" t="n">
        <v>2</v>
      </c>
      <c r="Q38" s="41"/>
      <c r="R38" s="13"/>
      <c r="S38" s="42" t="n">
        <v>0</v>
      </c>
      <c r="T38" s="42" t="n">
        <v>0</v>
      </c>
      <c r="U38" s="42" t="n">
        <v>0</v>
      </c>
      <c r="V38" s="42" t="n">
        <v>0</v>
      </c>
      <c r="W38" s="42" t="n">
        <v>0</v>
      </c>
      <c r="X38" s="42" t="n">
        <v>0</v>
      </c>
      <c r="Y38" s="42" t="n">
        <v>0</v>
      </c>
      <c r="Z38" s="42" t="n">
        <v>0</v>
      </c>
      <c r="AA38" s="42" t="n">
        <v>1</v>
      </c>
      <c r="AB38" s="42" t="n">
        <v>0</v>
      </c>
      <c r="AC38" s="42" t="n">
        <v>0</v>
      </c>
      <c r="AD38" s="43" t="n">
        <f aca="false">SUMPRODUCT(S38:AC38,INDEX(Diets!$I$5:$S$14,MATCH(Planner!$C$36,Diets!$A$5:$A$14,0),0))</f>
        <v>0</v>
      </c>
      <c r="AE38" s="44" t="n">
        <f aca="false">IF(OR(UPPER(Q38)="Y",AD38&gt;0,AND(Planner!$C$40="Core 71 foods",AY38=0)),0,1)</f>
        <v>1</v>
      </c>
      <c r="AF38" s="45" t="n">
        <v>0.5</v>
      </c>
      <c r="AG38" s="45" t="n">
        <v>0</v>
      </c>
      <c r="AH38" s="45" t="n">
        <v>0</v>
      </c>
      <c r="AI38" s="45" t="n">
        <v>0.5</v>
      </c>
      <c r="AJ38" s="8"/>
      <c r="AK38" s="4"/>
      <c r="AL38" s="31" t="n">
        <v>598</v>
      </c>
      <c r="AM38" s="31" t="n">
        <v>22.21</v>
      </c>
      <c r="AN38" s="31" t="n">
        <v>22.31</v>
      </c>
      <c r="AO38" s="31" t="n">
        <v>51.36</v>
      </c>
      <c r="AP38" s="31" t="n">
        <v>5</v>
      </c>
      <c r="AQ38" s="31" t="n">
        <v>10.49</v>
      </c>
      <c r="AR38" s="31" t="n">
        <v>49</v>
      </c>
      <c r="AS38" s="31" t="n">
        <v>1.74</v>
      </c>
      <c r="AT38" s="31" t="n">
        <v>558</v>
      </c>
      <c r="AU38" s="31" t="n">
        <v>426</v>
      </c>
      <c r="AV38" s="31" t="n">
        <v>0</v>
      </c>
      <c r="AW38" s="31" t="n">
        <v>10.325</v>
      </c>
      <c r="AX38" s="4" t="s">
        <v>218</v>
      </c>
      <c r="AY38" s="43" t="n">
        <v>1</v>
      </c>
      <c r="AZ38" s="23" t="n">
        <f aca="false">AM38/M38</f>
        <v>63.2817587939698</v>
      </c>
      <c r="BA38" s="18" t="n">
        <f aca="false">AL38/M38</f>
        <v>1703.84924623116</v>
      </c>
      <c r="BB38" s="4" t="s">
        <v>372</v>
      </c>
      <c r="BC38" s="4" t="s">
        <v>373</v>
      </c>
      <c r="BD38" s="4"/>
    </row>
    <row r="39" customFormat="false" ht="15" hidden="false" customHeight="false" outlineLevel="0" collapsed="false">
      <c r="A39" s="4" t="n">
        <v>34</v>
      </c>
      <c r="B39" s="35" t="s">
        <v>213</v>
      </c>
      <c r="C39" s="36" t="s">
        <v>309</v>
      </c>
      <c r="D39" s="14" t="s">
        <v>374</v>
      </c>
      <c r="E39" s="4" t="s">
        <v>325</v>
      </c>
      <c r="F39" s="37" t="n">
        <v>1.337</v>
      </c>
      <c r="G39" s="34" t="n">
        <v>453.6</v>
      </c>
      <c r="H39" s="30" t="n">
        <v>1</v>
      </c>
      <c r="I39" s="38" t="n">
        <f aca="false">F39/(G39*H39)*100</f>
        <v>0.294753086419753</v>
      </c>
      <c r="J39" s="4"/>
      <c r="K39" s="4"/>
      <c r="L39" s="4"/>
      <c r="M39" s="40" t="n">
        <f aca="false">IF(AND(IF(Planner!$C$39="BLS U.S. average (Sep 2026)",1,0)=1,L39&lt;&gt;""),L39,I39)</f>
        <v>0.294753086419753</v>
      </c>
      <c r="N39" s="13" t="n">
        <v>120</v>
      </c>
      <c r="O39" s="4" t="s">
        <v>312</v>
      </c>
      <c r="P39" s="8" t="n">
        <v>3</v>
      </c>
      <c r="Q39" s="41"/>
      <c r="R39" s="13"/>
      <c r="S39" s="42" t="n">
        <v>0</v>
      </c>
      <c r="T39" s="42" t="n">
        <v>0</v>
      </c>
      <c r="U39" s="42" t="n">
        <v>0</v>
      </c>
      <c r="V39" s="42" t="n">
        <v>0</v>
      </c>
      <c r="W39" s="42" t="n">
        <v>0</v>
      </c>
      <c r="X39" s="42" t="n">
        <v>0</v>
      </c>
      <c r="Y39" s="42" t="n">
        <v>0</v>
      </c>
      <c r="Z39" s="42" t="n">
        <v>0</v>
      </c>
      <c r="AA39" s="42" t="n">
        <v>0</v>
      </c>
      <c r="AB39" s="42" t="n">
        <v>0</v>
      </c>
      <c r="AC39" s="42" t="n">
        <v>0</v>
      </c>
      <c r="AD39" s="43" t="n">
        <f aca="false">SUMPRODUCT(S39:AC39,INDEX(Diets!$I$5:$S$14,MATCH(Planner!$C$36,Diets!$A$5:$A$14,0),0))</f>
        <v>0</v>
      </c>
      <c r="AE39" s="44" t="n">
        <f aca="false">IF(OR(UPPER(Q39)="Y",AD39&gt;0,AND(Planner!$C$40="Core 71 foods",AY39=0)),0,1)</f>
        <v>1</v>
      </c>
      <c r="AF39" s="45" t="n">
        <v>0</v>
      </c>
      <c r="AG39" s="45" t="n">
        <v>0.5</v>
      </c>
      <c r="AH39" s="45" t="n">
        <v>0.5</v>
      </c>
      <c r="AI39" s="45" t="n">
        <v>0</v>
      </c>
      <c r="AJ39" s="8"/>
      <c r="AK39" s="4" t="s">
        <v>313</v>
      </c>
      <c r="AL39" s="31" t="n">
        <v>82</v>
      </c>
      <c r="AM39" s="31" t="n">
        <v>4.6</v>
      </c>
      <c r="AN39" s="31" t="n">
        <v>15.18</v>
      </c>
      <c r="AO39" s="31" t="n">
        <v>0.56</v>
      </c>
      <c r="AP39" s="31" t="n">
        <v>4.6</v>
      </c>
      <c r="AQ39" s="31" t="n">
        <v>1.02</v>
      </c>
      <c r="AR39" s="31" t="n">
        <v>47</v>
      </c>
      <c r="AS39" s="31" t="n">
        <v>1.47</v>
      </c>
      <c r="AT39" s="31" t="n">
        <v>276</v>
      </c>
      <c r="AU39" s="31" t="n">
        <v>268</v>
      </c>
      <c r="AV39" s="31" t="n">
        <v>0.7</v>
      </c>
      <c r="AW39" s="31" t="n">
        <v>0.123</v>
      </c>
      <c r="AX39" s="4" t="s">
        <v>320</v>
      </c>
      <c r="AY39" s="43" t="n">
        <v>0</v>
      </c>
      <c r="AZ39" s="23" t="n">
        <f aca="false">AM39/M39</f>
        <v>15.6062827225131</v>
      </c>
      <c r="BA39" s="18" t="n">
        <f aca="false">AL39/M39</f>
        <v>278.198952879581</v>
      </c>
      <c r="BB39" s="4" t="s">
        <v>375</v>
      </c>
      <c r="BC39" s="4" t="s">
        <v>376</v>
      </c>
      <c r="BD39" s="4" t="s">
        <v>377</v>
      </c>
    </row>
    <row r="40" customFormat="false" ht="15" hidden="false" customHeight="false" outlineLevel="0" collapsed="false">
      <c r="A40" s="4" t="n">
        <v>35</v>
      </c>
      <c r="B40" s="35" t="s">
        <v>213</v>
      </c>
      <c r="C40" s="36" t="s">
        <v>309</v>
      </c>
      <c r="D40" s="14" t="s">
        <v>378</v>
      </c>
      <c r="E40" s="4" t="s">
        <v>379</v>
      </c>
      <c r="F40" s="37" t="n">
        <v>1.98</v>
      </c>
      <c r="G40" s="34" t="n">
        <v>907.2</v>
      </c>
      <c r="H40" s="30" t="n">
        <v>1</v>
      </c>
      <c r="I40" s="38" t="n">
        <f aca="false">F40/(G40*H40)*100</f>
        <v>0.218253968253968</v>
      </c>
      <c r="J40" s="39" t="n">
        <v>1.669</v>
      </c>
      <c r="K40" s="34" t="n">
        <v>453.6</v>
      </c>
      <c r="L40" s="38" t="n">
        <f aca="false">J40/(K40*H40)*100</f>
        <v>0.36794532627866</v>
      </c>
      <c r="M40" s="40" t="n">
        <f aca="false">IF(AND(IF(Planner!$C$39="BLS U.S. average (Sep 2026)",1,0)=1,L40&lt;&gt;""),L40,I40)</f>
        <v>0.218253968253968</v>
      </c>
      <c r="N40" s="13" t="n">
        <v>48</v>
      </c>
      <c r="O40" s="4" t="s">
        <v>319</v>
      </c>
      <c r="P40" s="8" t="n">
        <v>3</v>
      </c>
      <c r="Q40" s="41"/>
      <c r="R40" s="13"/>
      <c r="S40" s="42" t="n">
        <v>0</v>
      </c>
      <c r="T40" s="42" t="n">
        <v>0</v>
      </c>
      <c r="U40" s="42" t="n">
        <v>0</v>
      </c>
      <c r="V40" s="42" t="n">
        <v>0</v>
      </c>
      <c r="W40" s="42" t="n">
        <v>0</v>
      </c>
      <c r="X40" s="42" t="n">
        <v>0</v>
      </c>
      <c r="Y40" s="42" t="n">
        <v>0</v>
      </c>
      <c r="Z40" s="42" t="n">
        <v>0</v>
      </c>
      <c r="AA40" s="42" t="n">
        <v>0</v>
      </c>
      <c r="AB40" s="42" t="n">
        <v>0</v>
      </c>
      <c r="AC40" s="42" t="n">
        <v>0</v>
      </c>
      <c r="AD40" s="43" t="n">
        <f aca="false">SUMPRODUCT(S40:AC40,INDEX(Diets!$I$5:$S$14,MATCH(Planner!$C$36,Diets!$A$5:$A$14,0),0))</f>
        <v>0</v>
      </c>
      <c r="AE40" s="44" t="n">
        <f aca="false">IF(OR(UPPER(Q40)="Y",AD40&gt;0,AND(Planner!$C$40="Core 71 foods",AY40=0)),0,1)</f>
        <v>1</v>
      </c>
      <c r="AF40" s="45" t="n">
        <v>0</v>
      </c>
      <c r="AG40" s="45" t="n">
        <v>0.5</v>
      </c>
      <c r="AH40" s="45" t="n">
        <v>0.5</v>
      </c>
      <c r="AI40" s="45" t="n">
        <v>0</v>
      </c>
      <c r="AJ40" s="8"/>
      <c r="AK40" s="4" t="s">
        <v>313</v>
      </c>
      <c r="AL40" s="31" t="n">
        <v>347</v>
      </c>
      <c r="AM40" s="31" t="n">
        <v>21.42</v>
      </c>
      <c r="AN40" s="31" t="n">
        <v>62.55</v>
      </c>
      <c r="AO40" s="31" t="n">
        <v>1.23</v>
      </c>
      <c r="AP40" s="31" t="n">
        <v>15.5</v>
      </c>
      <c r="AQ40" s="31" t="n">
        <v>2.11</v>
      </c>
      <c r="AR40" s="31" t="n">
        <v>113</v>
      </c>
      <c r="AS40" s="31" t="n">
        <v>5.07</v>
      </c>
      <c r="AT40" s="31" t="n">
        <v>1393</v>
      </c>
      <c r="AU40" s="31" t="n">
        <v>12</v>
      </c>
      <c r="AV40" s="31" t="n">
        <v>6.3</v>
      </c>
      <c r="AW40" s="31" t="n">
        <v>0.235</v>
      </c>
      <c r="AX40" s="4" t="s">
        <v>218</v>
      </c>
      <c r="AY40" s="43" t="n">
        <v>1</v>
      </c>
      <c r="AZ40" s="23" t="n">
        <f aca="false">AM40/M40</f>
        <v>98.1425454545455</v>
      </c>
      <c r="BA40" s="18" t="n">
        <f aca="false">AL40/M40</f>
        <v>1589.89090909091</v>
      </c>
      <c r="BB40" s="4" t="s">
        <v>380</v>
      </c>
      <c r="BC40" s="4" t="s">
        <v>381</v>
      </c>
      <c r="BD40" s="4"/>
    </row>
    <row r="41" customFormat="false" ht="15" hidden="false" customHeight="false" outlineLevel="0" collapsed="false">
      <c r="A41" s="4" t="n">
        <v>36</v>
      </c>
      <c r="B41" s="35" t="s">
        <v>213</v>
      </c>
      <c r="C41" s="36" t="s">
        <v>309</v>
      </c>
      <c r="D41" s="14" t="s">
        <v>382</v>
      </c>
      <c r="E41" s="4" t="s">
        <v>383</v>
      </c>
      <c r="F41" s="46" t="n">
        <v>2.97</v>
      </c>
      <c r="G41" s="34" t="n">
        <v>396.9</v>
      </c>
      <c r="H41" s="30" t="n">
        <v>1</v>
      </c>
      <c r="I41" s="38" t="n">
        <f aca="false">F41/(G41*H41)*100</f>
        <v>0.748299319727891</v>
      </c>
      <c r="J41" s="4"/>
      <c r="K41" s="4"/>
      <c r="L41" s="4"/>
      <c r="M41" s="40" t="n">
        <f aca="false">IF(AND(IF(Planner!$C$39="BLS U.S. average (Sep 2026)",1,0)=1,L41&lt;&gt;""),L41,I41)</f>
        <v>0.748299319727891</v>
      </c>
      <c r="N41" s="13" t="n">
        <v>85</v>
      </c>
      <c r="O41" s="4" t="s">
        <v>384</v>
      </c>
      <c r="P41" s="8" t="n">
        <v>3</v>
      </c>
      <c r="Q41" s="41"/>
      <c r="R41" s="13"/>
      <c r="S41" s="42" t="n">
        <v>0</v>
      </c>
      <c r="T41" s="42" t="n">
        <v>0</v>
      </c>
      <c r="U41" s="42" t="n">
        <v>0</v>
      </c>
      <c r="V41" s="42" t="n">
        <v>0</v>
      </c>
      <c r="W41" s="42" t="n">
        <v>0</v>
      </c>
      <c r="X41" s="42" t="n">
        <v>0</v>
      </c>
      <c r="Y41" s="42" t="n">
        <v>0</v>
      </c>
      <c r="Z41" s="42" t="n">
        <v>0</v>
      </c>
      <c r="AA41" s="42" t="n">
        <v>0</v>
      </c>
      <c r="AB41" s="42" t="n">
        <v>0</v>
      </c>
      <c r="AC41" s="42" t="n">
        <v>1</v>
      </c>
      <c r="AD41" s="43" t="n">
        <f aca="false">SUMPRODUCT(S41:AC41,INDEX(Diets!$I$5:$S$14,MATCH(Planner!$C$36,Diets!$A$5:$A$14,0),0))</f>
        <v>0</v>
      </c>
      <c r="AE41" s="44" t="n">
        <f aca="false">IF(OR(UPPER(Q41)="Y",AD41&gt;0,AND(Planner!$C$40="Core 71 foods",AY41=0)),0,1)</f>
        <v>1</v>
      </c>
      <c r="AF41" s="45" t="n">
        <v>0</v>
      </c>
      <c r="AG41" s="45" t="n">
        <v>0.5</v>
      </c>
      <c r="AH41" s="45" t="n">
        <v>0.5</v>
      </c>
      <c r="AI41" s="45" t="n">
        <v>0</v>
      </c>
      <c r="AJ41" s="8"/>
      <c r="AK41" s="4"/>
      <c r="AL41" s="31" t="n">
        <v>98</v>
      </c>
      <c r="AM41" s="31" t="n">
        <v>10.1</v>
      </c>
      <c r="AN41" s="31" t="n">
        <v>2.6</v>
      </c>
      <c r="AO41" s="31" t="n">
        <v>5.2</v>
      </c>
      <c r="AP41" s="31" t="n">
        <v>1.3</v>
      </c>
      <c r="AQ41" s="31" t="n">
        <v>0.4</v>
      </c>
      <c r="AR41" s="31" t="n">
        <v>77</v>
      </c>
      <c r="AS41" s="31" t="n">
        <v>1.6</v>
      </c>
      <c r="AT41" s="31" t="n">
        <v>0</v>
      </c>
      <c r="AU41" s="31" t="n">
        <v>4</v>
      </c>
      <c r="AV41" s="31" t="n">
        <v>0</v>
      </c>
      <c r="AW41" s="31" t="n">
        <v>0.7</v>
      </c>
      <c r="AX41" s="4" t="s">
        <v>218</v>
      </c>
      <c r="AY41" s="43" t="n">
        <v>1</v>
      </c>
      <c r="AZ41" s="23" t="n">
        <f aca="false">AM41/M41</f>
        <v>13.4972727272727</v>
      </c>
      <c r="BA41" s="18" t="n">
        <f aca="false">AL41/M41</f>
        <v>130.963636363636</v>
      </c>
      <c r="BB41" s="4" t="s">
        <v>385</v>
      </c>
      <c r="BC41" s="4" t="s">
        <v>386</v>
      </c>
      <c r="BD41" s="4" t="s">
        <v>387</v>
      </c>
    </row>
    <row r="42" customFormat="false" ht="15" hidden="false" customHeight="false" outlineLevel="0" collapsed="false">
      <c r="A42" s="4" t="n">
        <v>37</v>
      </c>
      <c r="B42" s="47" t="s">
        <v>388</v>
      </c>
      <c r="C42" s="48" t="s">
        <v>389</v>
      </c>
      <c r="D42" s="14" t="s">
        <v>390</v>
      </c>
      <c r="E42" s="4" t="s">
        <v>391</v>
      </c>
      <c r="F42" s="37" t="n">
        <v>3.31</v>
      </c>
      <c r="G42" s="34" t="n">
        <v>3904</v>
      </c>
      <c r="H42" s="30" t="n">
        <v>1</v>
      </c>
      <c r="I42" s="38" t="n">
        <f aca="false">F42/(G42*H42)*100</f>
        <v>0.0847848360655738</v>
      </c>
      <c r="J42" s="4"/>
      <c r="K42" s="4"/>
      <c r="L42" s="4"/>
      <c r="M42" s="40" t="n">
        <f aca="false">IF(AND(IF(Planner!$C$39="BLS U.S. average (Sep 2026)",1,0)=1,L42&lt;&gt;""),L42,I42)</f>
        <v>0.0847848360655738</v>
      </c>
      <c r="N42" s="13" t="n">
        <v>244</v>
      </c>
      <c r="O42" s="4" t="s">
        <v>392</v>
      </c>
      <c r="P42" s="8" t="n">
        <v>3</v>
      </c>
      <c r="Q42" s="41"/>
      <c r="R42" s="13"/>
      <c r="S42" s="42" t="n">
        <v>0</v>
      </c>
      <c r="T42" s="42" t="n">
        <v>0</v>
      </c>
      <c r="U42" s="42" t="n">
        <v>0</v>
      </c>
      <c r="V42" s="42" t="n">
        <v>0</v>
      </c>
      <c r="W42" s="42" t="n">
        <v>0</v>
      </c>
      <c r="X42" s="42" t="n">
        <v>1</v>
      </c>
      <c r="Y42" s="42" t="n">
        <v>0</v>
      </c>
      <c r="Z42" s="42" t="n">
        <v>0</v>
      </c>
      <c r="AA42" s="42" t="n">
        <v>0</v>
      </c>
      <c r="AB42" s="42" t="n">
        <v>0</v>
      </c>
      <c r="AC42" s="42" t="n">
        <v>0</v>
      </c>
      <c r="AD42" s="43" t="n">
        <f aca="false">SUMPRODUCT(S42:AC42,INDEX(Diets!$I$5:$S$14,MATCH(Planner!$C$36,Diets!$A$5:$A$14,0),0))</f>
        <v>0</v>
      </c>
      <c r="AE42" s="44" t="n">
        <f aca="false">IF(OR(UPPER(Q42)="Y",AD42&gt;0,AND(Planner!$C$40="Core 71 foods",AY42=0)),0,1)</f>
        <v>1</v>
      </c>
      <c r="AF42" s="45" t="n">
        <v>0.5</v>
      </c>
      <c r="AG42" s="45" t="n">
        <v>0</v>
      </c>
      <c r="AH42" s="45" t="n">
        <v>0</v>
      </c>
      <c r="AI42" s="45" t="n">
        <v>0.5</v>
      </c>
      <c r="AJ42" s="8"/>
      <c r="AK42" s="4"/>
      <c r="AL42" s="31" t="n">
        <v>50</v>
      </c>
      <c r="AM42" s="31" t="n">
        <v>3.3</v>
      </c>
      <c r="AN42" s="31" t="n">
        <v>4.8</v>
      </c>
      <c r="AO42" s="31" t="n">
        <v>1.98</v>
      </c>
      <c r="AP42" s="31" t="n">
        <v>0</v>
      </c>
      <c r="AQ42" s="31" t="n">
        <v>5.06</v>
      </c>
      <c r="AR42" s="31" t="n">
        <v>120</v>
      </c>
      <c r="AS42" s="31" t="n">
        <v>0.02</v>
      </c>
      <c r="AT42" s="31" t="n">
        <v>140</v>
      </c>
      <c r="AU42" s="31" t="n">
        <v>47</v>
      </c>
      <c r="AV42" s="31" t="n">
        <v>0.2</v>
      </c>
      <c r="AW42" s="31" t="n">
        <v>1.257</v>
      </c>
      <c r="AX42" s="4" t="s">
        <v>218</v>
      </c>
      <c r="AY42" s="43" t="n">
        <v>1</v>
      </c>
      <c r="AZ42" s="23" t="n">
        <f aca="false">AM42/M42</f>
        <v>38.9220543806647</v>
      </c>
      <c r="BA42" s="18" t="n">
        <f aca="false">AL42/M42</f>
        <v>589.728096676737</v>
      </c>
      <c r="BB42" s="4" t="s">
        <v>393</v>
      </c>
      <c r="BC42" s="4" t="s">
        <v>394</v>
      </c>
      <c r="BD42" s="4" t="s">
        <v>395</v>
      </c>
    </row>
    <row r="43" customFormat="false" ht="15" hidden="false" customHeight="false" outlineLevel="0" collapsed="false">
      <c r="A43" s="4" t="n">
        <v>38</v>
      </c>
      <c r="B43" s="47" t="s">
        <v>388</v>
      </c>
      <c r="C43" s="48" t="s">
        <v>389</v>
      </c>
      <c r="D43" s="14" t="s">
        <v>396</v>
      </c>
      <c r="E43" s="4" t="s">
        <v>397</v>
      </c>
      <c r="F43" s="37" t="n">
        <v>3.28</v>
      </c>
      <c r="G43" s="34" t="n">
        <v>907.2</v>
      </c>
      <c r="H43" s="30" t="n">
        <v>1</v>
      </c>
      <c r="I43" s="38" t="n">
        <f aca="false">F43/(G43*H43)*100</f>
        <v>0.361552028218695</v>
      </c>
      <c r="J43" s="4"/>
      <c r="K43" s="4"/>
      <c r="L43" s="4"/>
      <c r="M43" s="40" t="n">
        <f aca="false">IF(AND(IF(Planner!$C$39="BLS U.S. average (Sep 2026)",1,0)=1,L43&lt;&gt;""),L43,I43)</f>
        <v>0.361552028218695</v>
      </c>
      <c r="N43" s="13" t="n">
        <v>170</v>
      </c>
      <c r="O43" s="4" t="s">
        <v>398</v>
      </c>
      <c r="P43" s="8" t="n">
        <v>2</v>
      </c>
      <c r="Q43" s="41"/>
      <c r="R43" s="13"/>
      <c r="S43" s="42" t="n">
        <v>0</v>
      </c>
      <c r="T43" s="42" t="n">
        <v>0</v>
      </c>
      <c r="U43" s="42" t="n">
        <v>0</v>
      </c>
      <c r="V43" s="42" t="n">
        <v>0</v>
      </c>
      <c r="W43" s="42" t="n">
        <v>0</v>
      </c>
      <c r="X43" s="42" t="n">
        <v>1</v>
      </c>
      <c r="Y43" s="42" t="n">
        <v>0</v>
      </c>
      <c r="Z43" s="42" t="n">
        <v>0</v>
      </c>
      <c r="AA43" s="42" t="n">
        <v>0</v>
      </c>
      <c r="AB43" s="42" t="n">
        <v>0</v>
      </c>
      <c r="AC43" s="42" t="n">
        <v>0</v>
      </c>
      <c r="AD43" s="43" t="n">
        <f aca="false">SUMPRODUCT(S43:AC43,INDEX(Diets!$I$5:$S$14,MATCH(Planner!$C$36,Diets!$A$5:$A$14,0),0))</f>
        <v>0</v>
      </c>
      <c r="AE43" s="44" t="n">
        <f aca="false">IF(OR(UPPER(Q43)="Y",AD43&gt;0,AND(Planner!$C$40="Core 71 foods",AY43=0)),0,1)</f>
        <v>1</v>
      </c>
      <c r="AF43" s="45" t="n">
        <v>0.5</v>
      </c>
      <c r="AG43" s="45" t="n">
        <v>0</v>
      </c>
      <c r="AH43" s="45" t="n">
        <v>0</v>
      </c>
      <c r="AI43" s="45" t="n">
        <v>0.5</v>
      </c>
      <c r="AJ43" s="8"/>
      <c r="AK43" s="4"/>
      <c r="AL43" s="31" t="n">
        <v>59</v>
      </c>
      <c r="AM43" s="31" t="n">
        <v>10.19</v>
      </c>
      <c r="AN43" s="31" t="n">
        <v>3.6</v>
      </c>
      <c r="AO43" s="31" t="n">
        <v>0.39</v>
      </c>
      <c r="AP43" s="31" t="n">
        <v>0</v>
      </c>
      <c r="AQ43" s="31" t="n">
        <v>3.24</v>
      </c>
      <c r="AR43" s="31" t="n">
        <v>110</v>
      </c>
      <c r="AS43" s="31" t="n">
        <v>0.07</v>
      </c>
      <c r="AT43" s="31" t="n">
        <v>141</v>
      </c>
      <c r="AU43" s="31" t="n">
        <v>36</v>
      </c>
      <c r="AV43" s="31" t="n">
        <v>0</v>
      </c>
      <c r="AW43" s="31" t="n">
        <v>0.117</v>
      </c>
      <c r="AX43" s="4" t="s">
        <v>218</v>
      </c>
      <c r="AY43" s="43" t="n">
        <v>1</v>
      </c>
      <c r="AZ43" s="23" t="n">
        <f aca="false">AM43/M43</f>
        <v>28.1840487804878</v>
      </c>
      <c r="BA43" s="18" t="n">
        <f aca="false">AL43/M43</f>
        <v>163.185365853659</v>
      </c>
      <c r="BB43" s="4" t="s">
        <v>399</v>
      </c>
      <c r="BC43" s="4" t="s">
        <v>400</v>
      </c>
      <c r="BD43" s="4"/>
    </row>
    <row r="44" customFormat="false" ht="15" hidden="false" customHeight="false" outlineLevel="0" collapsed="false">
      <c r="A44" s="4" t="n">
        <v>39</v>
      </c>
      <c r="B44" s="47" t="s">
        <v>388</v>
      </c>
      <c r="C44" s="48" t="s">
        <v>389</v>
      </c>
      <c r="D44" s="14" t="s">
        <v>401</v>
      </c>
      <c r="E44" s="4" t="s">
        <v>402</v>
      </c>
      <c r="F44" s="37" t="n">
        <v>4.57</v>
      </c>
      <c r="G44" s="34" t="n">
        <v>1944</v>
      </c>
      <c r="H44" s="30" t="n">
        <v>1</v>
      </c>
      <c r="I44" s="38" t="n">
        <f aca="false">F44/(G44*H44)*100</f>
        <v>0.235082304526749</v>
      </c>
      <c r="J44" s="4"/>
      <c r="K44" s="4"/>
      <c r="L44" s="4"/>
      <c r="M44" s="40" t="n">
        <f aca="false">IF(AND(IF(Planner!$C$39="BLS U.S. average (Sep 2026)",1,0)=1,L44&lt;&gt;""),L44,I44)</f>
        <v>0.235082304526749</v>
      </c>
      <c r="N44" s="13" t="n">
        <v>243</v>
      </c>
      <c r="O44" s="4" t="s">
        <v>392</v>
      </c>
      <c r="P44" s="8" t="n">
        <v>3</v>
      </c>
      <c r="Q44" s="41"/>
      <c r="R44" s="13"/>
      <c r="S44" s="42" t="n">
        <v>0</v>
      </c>
      <c r="T44" s="42" t="n">
        <v>0</v>
      </c>
      <c r="U44" s="42" t="n">
        <v>0</v>
      </c>
      <c r="V44" s="42" t="n">
        <v>0</v>
      </c>
      <c r="W44" s="42" t="n">
        <v>0</v>
      </c>
      <c r="X44" s="42" t="n">
        <v>0</v>
      </c>
      <c r="Y44" s="42" t="n">
        <v>0</v>
      </c>
      <c r="Z44" s="42" t="n">
        <v>0</v>
      </c>
      <c r="AA44" s="42" t="n">
        <v>0</v>
      </c>
      <c r="AB44" s="42" t="n">
        <v>0</v>
      </c>
      <c r="AC44" s="42" t="n">
        <v>1</v>
      </c>
      <c r="AD44" s="43" t="n">
        <f aca="false">SUMPRODUCT(S44:AC44,INDEX(Diets!$I$5:$S$14,MATCH(Planner!$C$36,Diets!$A$5:$A$14,0),0))</f>
        <v>0</v>
      </c>
      <c r="AE44" s="44" t="n">
        <f aca="false">IF(OR(UPPER(Q44)="Y",AD44&gt;0,AND(Planner!$C$40="Core 71 foods",AY44=0)),0,1)</f>
        <v>1</v>
      </c>
      <c r="AF44" s="45" t="n">
        <v>0.5</v>
      </c>
      <c r="AG44" s="45" t="n">
        <v>0</v>
      </c>
      <c r="AH44" s="45" t="n">
        <v>0</v>
      </c>
      <c r="AI44" s="45" t="n">
        <v>0.5</v>
      </c>
      <c r="AJ44" s="8"/>
      <c r="AK44" s="4"/>
      <c r="AL44" s="31" t="n">
        <v>43</v>
      </c>
      <c r="AM44" s="31" t="n">
        <v>2.6</v>
      </c>
      <c r="AN44" s="31" t="n">
        <v>4.92</v>
      </c>
      <c r="AO44" s="31" t="n">
        <v>1.47</v>
      </c>
      <c r="AP44" s="31" t="n">
        <v>0.2</v>
      </c>
      <c r="AQ44" s="31" t="n">
        <v>3.65</v>
      </c>
      <c r="AR44" s="31" t="n">
        <v>123</v>
      </c>
      <c r="AS44" s="31" t="n">
        <v>0.42</v>
      </c>
      <c r="AT44" s="31" t="n">
        <v>122</v>
      </c>
      <c r="AU44" s="31" t="n">
        <v>47</v>
      </c>
      <c r="AV44" s="31" t="n">
        <v>0</v>
      </c>
      <c r="AW44" s="31" t="n">
        <v>0.205</v>
      </c>
      <c r="AX44" s="4" t="s">
        <v>218</v>
      </c>
      <c r="AY44" s="43" t="n">
        <v>1</v>
      </c>
      <c r="AZ44" s="23" t="n">
        <f aca="false">AM44/M44</f>
        <v>11.0599562363239</v>
      </c>
      <c r="BA44" s="18" t="n">
        <f aca="false">AL44/M44</f>
        <v>182.91466083151</v>
      </c>
      <c r="BB44" s="4" t="s">
        <v>403</v>
      </c>
      <c r="BC44" s="4" t="s">
        <v>404</v>
      </c>
      <c r="BD44" s="4" t="s">
        <v>405</v>
      </c>
    </row>
    <row r="45" customFormat="false" ht="15" hidden="false" customHeight="false" outlineLevel="0" collapsed="false">
      <c r="A45" s="4" t="n">
        <v>40</v>
      </c>
      <c r="B45" s="47" t="s">
        <v>388</v>
      </c>
      <c r="C45" s="48" t="s">
        <v>389</v>
      </c>
      <c r="D45" s="14" t="s">
        <v>406</v>
      </c>
      <c r="E45" s="4" t="s">
        <v>391</v>
      </c>
      <c r="F45" s="37" t="n">
        <v>3.48</v>
      </c>
      <c r="G45" s="34" t="n">
        <v>3904</v>
      </c>
      <c r="H45" s="30" t="n">
        <v>1</v>
      </c>
      <c r="I45" s="38" t="n">
        <f aca="false">F45/(G45*H45)*100</f>
        <v>0.0891393442622951</v>
      </c>
      <c r="J45" s="39" t="n">
        <v>4.106</v>
      </c>
      <c r="K45" s="34" t="n">
        <v>3904</v>
      </c>
      <c r="L45" s="38" t="n">
        <f aca="false">J45/(K45*H45)*100</f>
        <v>0.105174180327869</v>
      </c>
      <c r="M45" s="40" t="n">
        <f aca="false">IF(AND(IF(Planner!$C$39="BLS U.S. average (Sep 2026)",1,0)=1,L45&lt;&gt;""),L45,I45)</f>
        <v>0.0891393442622951</v>
      </c>
      <c r="N45" s="13" t="n">
        <v>244</v>
      </c>
      <c r="O45" s="4" t="s">
        <v>392</v>
      </c>
      <c r="P45" s="8" t="n">
        <v>3</v>
      </c>
      <c r="Q45" s="41"/>
      <c r="R45" s="13"/>
      <c r="S45" s="42" t="n">
        <v>0</v>
      </c>
      <c r="T45" s="42" t="n">
        <v>0</v>
      </c>
      <c r="U45" s="42" t="n">
        <v>0</v>
      </c>
      <c r="V45" s="42" t="n">
        <v>0</v>
      </c>
      <c r="W45" s="42" t="n">
        <v>0</v>
      </c>
      <c r="X45" s="42" t="n">
        <v>1</v>
      </c>
      <c r="Y45" s="42" t="n">
        <v>0</v>
      </c>
      <c r="Z45" s="42" t="n">
        <v>0</v>
      </c>
      <c r="AA45" s="42" t="n">
        <v>0</v>
      </c>
      <c r="AB45" s="42" t="n">
        <v>0</v>
      </c>
      <c r="AC45" s="42" t="n">
        <v>0</v>
      </c>
      <c r="AD45" s="43" t="n">
        <f aca="false">SUMPRODUCT(S45:AC45,INDEX(Diets!$I$5:$S$14,MATCH(Planner!$C$36,Diets!$A$5:$A$14,0),0))</f>
        <v>0</v>
      </c>
      <c r="AE45" s="44" t="n">
        <f aca="false">IF(OR(UPPER(Q45)="Y",AD45&gt;0,AND(Planner!$C$40="Core 71 foods",AY45=0)),0,1)</f>
        <v>1</v>
      </c>
      <c r="AF45" s="45" t="n">
        <v>0.5</v>
      </c>
      <c r="AG45" s="45" t="n">
        <v>0</v>
      </c>
      <c r="AH45" s="45" t="n">
        <v>0</v>
      </c>
      <c r="AI45" s="45" t="n">
        <v>0.5</v>
      </c>
      <c r="AJ45" s="8"/>
      <c r="AK45" s="4"/>
      <c r="AL45" s="31" t="n">
        <v>61</v>
      </c>
      <c r="AM45" s="31" t="n">
        <v>3.15</v>
      </c>
      <c r="AN45" s="31" t="n">
        <v>4.8</v>
      </c>
      <c r="AO45" s="31" t="n">
        <v>3.25</v>
      </c>
      <c r="AP45" s="31" t="n">
        <v>0</v>
      </c>
      <c r="AQ45" s="31" t="n">
        <v>5.05</v>
      </c>
      <c r="AR45" s="31" t="n">
        <v>113</v>
      </c>
      <c r="AS45" s="31" t="n">
        <v>0.03</v>
      </c>
      <c r="AT45" s="31" t="n">
        <v>132</v>
      </c>
      <c r="AU45" s="31" t="n">
        <v>43</v>
      </c>
      <c r="AV45" s="31" t="n">
        <v>0</v>
      </c>
      <c r="AW45" s="31" t="n">
        <v>1.865</v>
      </c>
      <c r="AX45" s="4" t="s">
        <v>218</v>
      </c>
      <c r="AY45" s="43" t="n">
        <v>1</v>
      </c>
      <c r="AZ45" s="23" t="n">
        <f aca="false">AM45/M45</f>
        <v>35.3379310344828</v>
      </c>
      <c r="BA45" s="18" t="n">
        <f aca="false">AL45/M45</f>
        <v>684.32183908046</v>
      </c>
      <c r="BB45" s="4" t="s">
        <v>407</v>
      </c>
      <c r="BC45" s="4" t="s">
        <v>408</v>
      </c>
      <c r="BD45" s="4" t="s">
        <v>395</v>
      </c>
    </row>
    <row r="46" customFormat="false" ht="15" hidden="false" customHeight="false" outlineLevel="0" collapsed="false">
      <c r="A46" s="4" t="n">
        <v>41</v>
      </c>
      <c r="B46" s="47" t="s">
        <v>388</v>
      </c>
      <c r="C46" s="48" t="s">
        <v>409</v>
      </c>
      <c r="D46" s="14" t="s">
        <v>410</v>
      </c>
      <c r="E46" s="4" t="s">
        <v>411</v>
      </c>
      <c r="F46" s="37" t="n">
        <v>2.48</v>
      </c>
      <c r="G46" s="34" t="n">
        <v>453.6</v>
      </c>
      <c r="H46" s="30" t="n">
        <v>1</v>
      </c>
      <c r="I46" s="38" t="n">
        <f aca="false">F46/(G46*H46)*100</f>
        <v>0.54673721340388</v>
      </c>
      <c r="J46" s="39" t="n">
        <v>4.737</v>
      </c>
      <c r="K46" s="34" t="n">
        <v>453.6</v>
      </c>
      <c r="L46" s="38" t="n">
        <f aca="false">J46/(K46*H46)*100</f>
        <v>1.04431216931217</v>
      </c>
      <c r="M46" s="40" t="n">
        <f aca="false">IF(AND(IF(Planner!$C$39="BLS U.S. average (Sep 2026)",1,0)=1,L46&lt;&gt;""),L46,I46)</f>
        <v>0.54673721340388</v>
      </c>
      <c r="N46" s="13" t="n">
        <v>19</v>
      </c>
      <c r="O46" s="4" t="s">
        <v>412</v>
      </c>
      <c r="P46" s="8" t="n">
        <v>3</v>
      </c>
      <c r="Q46" s="41"/>
      <c r="R46" s="13"/>
      <c r="S46" s="42" t="n">
        <v>0</v>
      </c>
      <c r="T46" s="42" t="n">
        <v>0</v>
      </c>
      <c r="U46" s="42" t="n">
        <v>0</v>
      </c>
      <c r="V46" s="42" t="n">
        <v>0</v>
      </c>
      <c r="W46" s="42" t="n">
        <v>0</v>
      </c>
      <c r="X46" s="42" t="n">
        <v>1</v>
      </c>
      <c r="Y46" s="42" t="n">
        <v>0</v>
      </c>
      <c r="Z46" s="42" t="n">
        <v>0</v>
      </c>
      <c r="AA46" s="42" t="n">
        <v>0</v>
      </c>
      <c r="AB46" s="42" t="n">
        <v>0</v>
      </c>
      <c r="AC46" s="42" t="n">
        <v>0</v>
      </c>
      <c r="AD46" s="43" t="n">
        <f aca="false">SUMPRODUCT(S46:AC46,INDEX(Diets!$I$5:$S$14,MATCH(Planner!$C$36,Diets!$A$5:$A$14,0),0))</f>
        <v>0</v>
      </c>
      <c r="AE46" s="44" t="n">
        <f aca="false">IF(OR(UPPER(Q46)="Y",AD46&gt;0,AND(Planner!$C$40="Core 71 foods",AY46=0)),0,1)</f>
        <v>1</v>
      </c>
      <c r="AF46" s="45" t="n">
        <v>0</v>
      </c>
      <c r="AG46" s="45" t="n">
        <v>1</v>
      </c>
      <c r="AH46" s="45" t="n">
        <v>0</v>
      </c>
      <c r="AI46" s="45" t="n">
        <v>0</v>
      </c>
      <c r="AJ46" s="8"/>
      <c r="AK46" s="4" t="s">
        <v>409</v>
      </c>
      <c r="AL46" s="31" t="n">
        <v>366</v>
      </c>
      <c r="AM46" s="31" t="n">
        <v>18.13</v>
      </c>
      <c r="AN46" s="31" t="n">
        <v>4.78</v>
      </c>
      <c r="AO46" s="31" t="n">
        <v>30.71</v>
      </c>
      <c r="AP46" s="31" t="n">
        <v>0</v>
      </c>
      <c r="AQ46" s="31" t="n">
        <v>2.26</v>
      </c>
      <c r="AR46" s="31" t="n">
        <v>1045</v>
      </c>
      <c r="AS46" s="31" t="n">
        <v>0.63</v>
      </c>
      <c r="AT46" s="31" t="n">
        <v>132</v>
      </c>
      <c r="AU46" s="31" t="n">
        <v>1671</v>
      </c>
      <c r="AV46" s="31" t="n">
        <v>0</v>
      </c>
      <c r="AW46" s="31" t="n">
        <v>18.057</v>
      </c>
      <c r="AX46" s="4" t="s">
        <v>218</v>
      </c>
      <c r="AY46" s="43" t="n">
        <v>1</v>
      </c>
      <c r="AZ46" s="23" t="n">
        <f aca="false">AM46/M46</f>
        <v>33.1603548387097</v>
      </c>
      <c r="BA46" s="18" t="n">
        <f aca="false">AL46/M46</f>
        <v>669.425806451613</v>
      </c>
      <c r="BB46" s="4" t="s">
        <v>413</v>
      </c>
      <c r="BC46" s="4" t="s">
        <v>414</v>
      </c>
      <c r="BD46" s="4"/>
    </row>
    <row r="47" customFormat="false" ht="15" hidden="false" customHeight="false" outlineLevel="0" collapsed="false">
      <c r="A47" s="4" t="n">
        <v>42</v>
      </c>
      <c r="B47" s="47" t="s">
        <v>388</v>
      </c>
      <c r="C47" s="48" t="s">
        <v>409</v>
      </c>
      <c r="D47" s="14" t="s">
        <v>415</v>
      </c>
      <c r="E47" s="4" t="s">
        <v>416</v>
      </c>
      <c r="F47" s="37" t="n">
        <v>1.87</v>
      </c>
      <c r="G47" s="34" t="n">
        <v>226.8</v>
      </c>
      <c r="H47" s="30" t="n">
        <v>1</v>
      </c>
      <c r="I47" s="38" t="n">
        <f aca="false">F47/(G47*H47)*100</f>
        <v>0.824514991181658</v>
      </c>
      <c r="J47" s="39" t="n">
        <v>6.133</v>
      </c>
      <c r="K47" s="34" t="n">
        <v>453.6</v>
      </c>
      <c r="L47" s="38" t="n">
        <f aca="false">J47/(K47*H47)*100</f>
        <v>1.35207231040564</v>
      </c>
      <c r="M47" s="40" t="n">
        <f aca="false">IF(AND(IF(Planner!$C$39="BLS U.S. average (Sep 2026)",1,0)=1,L47&lt;&gt;""),L47,I47)</f>
        <v>0.824514991181658</v>
      </c>
      <c r="N47" s="13" t="n">
        <v>28</v>
      </c>
      <c r="O47" s="4" t="s">
        <v>417</v>
      </c>
      <c r="P47" s="8" t="n">
        <v>2</v>
      </c>
      <c r="Q47" s="41"/>
      <c r="R47" s="13"/>
      <c r="S47" s="42" t="n">
        <v>0</v>
      </c>
      <c r="T47" s="42" t="n">
        <v>0</v>
      </c>
      <c r="U47" s="42" t="n">
        <v>0</v>
      </c>
      <c r="V47" s="42" t="n">
        <v>0</v>
      </c>
      <c r="W47" s="42" t="n">
        <v>0</v>
      </c>
      <c r="X47" s="42" t="n">
        <v>1</v>
      </c>
      <c r="Y47" s="42" t="n">
        <v>0</v>
      </c>
      <c r="Z47" s="42" t="n">
        <v>0</v>
      </c>
      <c r="AA47" s="42" t="n">
        <v>0</v>
      </c>
      <c r="AB47" s="42" t="n">
        <v>0</v>
      </c>
      <c r="AC47" s="42" t="n">
        <v>0</v>
      </c>
      <c r="AD47" s="43" t="n">
        <f aca="false">SUMPRODUCT(S47:AC47,INDEX(Diets!$I$5:$S$14,MATCH(Planner!$C$36,Diets!$A$5:$A$14,0),0))</f>
        <v>0</v>
      </c>
      <c r="AE47" s="44" t="n">
        <f aca="false">IF(OR(UPPER(Q47)="Y",AD47&gt;0,AND(Planner!$C$40="Core 71 foods",AY47=0)),0,1)</f>
        <v>1</v>
      </c>
      <c r="AF47" s="45" t="n">
        <v>0</v>
      </c>
      <c r="AG47" s="45" t="n">
        <v>0.5</v>
      </c>
      <c r="AH47" s="45" t="n">
        <v>0.5</v>
      </c>
      <c r="AI47" s="45" t="n">
        <v>0</v>
      </c>
      <c r="AJ47" s="8"/>
      <c r="AK47" s="4" t="s">
        <v>409</v>
      </c>
      <c r="AL47" s="31" t="n">
        <v>404</v>
      </c>
      <c r="AM47" s="31" t="n">
        <v>22.87</v>
      </c>
      <c r="AN47" s="31" t="n">
        <v>3.09</v>
      </c>
      <c r="AO47" s="31" t="n">
        <v>33.31</v>
      </c>
      <c r="AP47" s="31" t="n">
        <v>0</v>
      </c>
      <c r="AQ47" s="31" t="n">
        <v>0.48</v>
      </c>
      <c r="AR47" s="31" t="n">
        <v>710</v>
      </c>
      <c r="AS47" s="31" t="n">
        <v>0.14</v>
      </c>
      <c r="AT47" s="31" t="n">
        <v>76</v>
      </c>
      <c r="AU47" s="31" t="n">
        <v>653</v>
      </c>
      <c r="AV47" s="31" t="n">
        <v>0</v>
      </c>
      <c r="AW47" s="31" t="n">
        <v>18.867</v>
      </c>
      <c r="AX47" s="4" t="s">
        <v>218</v>
      </c>
      <c r="AY47" s="43" t="n">
        <v>1</v>
      </c>
      <c r="AZ47" s="23" t="n">
        <f aca="false">AM47/M47</f>
        <v>27.7375187165775</v>
      </c>
      <c r="BA47" s="18" t="n">
        <f aca="false">AL47/M47</f>
        <v>489.985026737968</v>
      </c>
      <c r="BB47" s="4" t="s">
        <v>418</v>
      </c>
      <c r="BC47" s="4" t="s">
        <v>419</v>
      </c>
      <c r="BD47" s="4"/>
    </row>
    <row r="48" customFormat="false" ht="15" hidden="false" customHeight="false" outlineLevel="0" collapsed="false">
      <c r="A48" s="4" t="n">
        <v>43</v>
      </c>
      <c r="B48" s="47" t="s">
        <v>388</v>
      </c>
      <c r="C48" s="48" t="s">
        <v>409</v>
      </c>
      <c r="D48" s="14" t="s">
        <v>420</v>
      </c>
      <c r="E48" s="4" t="s">
        <v>421</v>
      </c>
      <c r="F48" s="37" t="n">
        <v>2.87</v>
      </c>
      <c r="G48" s="34" t="n">
        <v>680.4</v>
      </c>
      <c r="H48" s="30" t="n">
        <v>1</v>
      </c>
      <c r="I48" s="38" t="n">
        <f aca="false">F48/(G48*H48)*100</f>
        <v>0.421810699588477</v>
      </c>
      <c r="J48" s="4"/>
      <c r="K48" s="4"/>
      <c r="L48" s="4"/>
      <c r="M48" s="40" t="n">
        <f aca="false">IF(AND(IF(Planner!$C$39="BLS U.S. average (Sep 2026)",1,0)=1,L48&lt;&gt;""),L48,I48)</f>
        <v>0.421810699588477</v>
      </c>
      <c r="N48" s="13" t="n">
        <v>113</v>
      </c>
      <c r="O48" s="4" t="s">
        <v>312</v>
      </c>
      <c r="P48" s="8" t="n">
        <v>2</v>
      </c>
      <c r="Q48" s="41"/>
      <c r="R48" s="13"/>
      <c r="S48" s="42" t="n">
        <v>0</v>
      </c>
      <c r="T48" s="42" t="n">
        <v>0</v>
      </c>
      <c r="U48" s="42" t="n">
        <v>0</v>
      </c>
      <c r="V48" s="42" t="n">
        <v>0</v>
      </c>
      <c r="W48" s="42" t="n">
        <v>0</v>
      </c>
      <c r="X48" s="42" t="n">
        <v>1</v>
      </c>
      <c r="Y48" s="42" t="n">
        <v>0</v>
      </c>
      <c r="Z48" s="42" t="n">
        <v>0</v>
      </c>
      <c r="AA48" s="42" t="n">
        <v>0</v>
      </c>
      <c r="AB48" s="42" t="n">
        <v>0</v>
      </c>
      <c r="AC48" s="42" t="n">
        <v>0</v>
      </c>
      <c r="AD48" s="43" t="n">
        <f aca="false">SUMPRODUCT(S48:AC48,INDEX(Diets!$I$5:$S$14,MATCH(Planner!$C$36,Diets!$A$5:$A$14,0),0))</f>
        <v>0</v>
      </c>
      <c r="AE48" s="44" t="n">
        <f aca="false">IF(OR(UPPER(Q48)="Y",AD48&gt;0,AND(Planner!$C$40="Core 71 foods",AY48=0)),0,1)</f>
        <v>1</v>
      </c>
      <c r="AF48" s="45" t="n">
        <v>0</v>
      </c>
      <c r="AG48" s="45" t="n">
        <v>0.5</v>
      </c>
      <c r="AH48" s="45" t="n">
        <v>0</v>
      </c>
      <c r="AI48" s="45" t="n">
        <v>0.5</v>
      </c>
      <c r="AJ48" s="8"/>
      <c r="AK48" s="4" t="s">
        <v>409</v>
      </c>
      <c r="AL48" s="31" t="n">
        <v>81</v>
      </c>
      <c r="AM48" s="31" t="n">
        <v>10.45</v>
      </c>
      <c r="AN48" s="31" t="n">
        <v>4.76</v>
      </c>
      <c r="AO48" s="31" t="n">
        <v>2.27</v>
      </c>
      <c r="AP48" s="31" t="n">
        <v>0</v>
      </c>
      <c r="AQ48" s="31" t="n">
        <v>4</v>
      </c>
      <c r="AR48" s="31" t="n">
        <v>111</v>
      </c>
      <c r="AS48" s="31" t="n">
        <v>0.13</v>
      </c>
      <c r="AT48" s="31" t="n">
        <v>125</v>
      </c>
      <c r="AU48" s="31" t="n">
        <v>308</v>
      </c>
      <c r="AV48" s="31" t="n">
        <v>0</v>
      </c>
      <c r="AW48" s="31" t="n">
        <v>1.235</v>
      </c>
      <c r="AX48" s="4" t="s">
        <v>218</v>
      </c>
      <c r="AY48" s="43" t="n">
        <v>1</v>
      </c>
      <c r="AZ48" s="23" t="n">
        <f aca="false">AM48/M48</f>
        <v>24.7741463414634</v>
      </c>
      <c r="BA48" s="18" t="n">
        <f aca="false">AL48/M48</f>
        <v>192.029268292683</v>
      </c>
      <c r="BB48" s="4" t="s">
        <v>422</v>
      </c>
      <c r="BC48" s="4" t="s">
        <v>423</v>
      </c>
      <c r="BD48" s="4"/>
    </row>
    <row r="49" customFormat="false" ht="15" hidden="false" customHeight="false" outlineLevel="0" collapsed="false">
      <c r="A49" s="4" t="n">
        <v>44</v>
      </c>
      <c r="B49" s="47" t="s">
        <v>388</v>
      </c>
      <c r="C49" s="48" t="s">
        <v>409</v>
      </c>
      <c r="D49" s="14" t="s">
        <v>424</v>
      </c>
      <c r="E49" s="4" t="s">
        <v>425</v>
      </c>
      <c r="F49" s="46" t="n">
        <v>3.28</v>
      </c>
      <c r="G49" s="34" t="n">
        <v>340.2</v>
      </c>
      <c r="H49" s="30" t="n">
        <v>1</v>
      </c>
      <c r="I49" s="38" t="n">
        <f aca="false">F49/(G49*H49)*100</f>
        <v>0.96413874191652</v>
      </c>
      <c r="J49" s="4"/>
      <c r="K49" s="4"/>
      <c r="L49" s="4"/>
      <c r="M49" s="40" t="n">
        <f aca="false">IF(AND(IF(Planner!$C$39="BLS U.S. average (Sep 2026)",1,0)=1,L49&lt;&gt;""),L49,I49)</f>
        <v>0.96413874191652</v>
      </c>
      <c r="N49" s="13" t="n">
        <v>28</v>
      </c>
      <c r="O49" s="4" t="s">
        <v>426</v>
      </c>
      <c r="P49" s="8" t="n">
        <v>2</v>
      </c>
      <c r="Q49" s="41"/>
      <c r="R49" s="13"/>
      <c r="S49" s="42" t="n">
        <v>0</v>
      </c>
      <c r="T49" s="42" t="n">
        <v>0</v>
      </c>
      <c r="U49" s="42" t="n">
        <v>0</v>
      </c>
      <c r="V49" s="42" t="n">
        <v>0</v>
      </c>
      <c r="W49" s="42" t="n">
        <v>0</v>
      </c>
      <c r="X49" s="42" t="n">
        <v>1</v>
      </c>
      <c r="Y49" s="42" t="n">
        <v>0</v>
      </c>
      <c r="Z49" s="42" t="n">
        <v>0</v>
      </c>
      <c r="AA49" s="42" t="n">
        <v>0</v>
      </c>
      <c r="AB49" s="42" t="n">
        <v>0</v>
      </c>
      <c r="AC49" s="42" t="n">
        <v>0</v>
      </c>
      <c r="AD49" s="43" t="n">
        <f aca="false">SUMPRODUCT(S49:AC49,INDEX(Diets!$I$5:$S$14,MATCH(Planner!$C$36,Diets!$A$5:$A$14,0),0))</f>
        <v>0</v>
      </c>
      <c r="AE49" s="44" t="n">
        <f aca="false">IF(OR(UPPER(Q49)="Y",AD49&gt;0,AND(Planner!$C$40="Core 71 foods",AY49=0)),0,1)</f>
        <v>1</v>
      </c>
      <c r="AF49" s="45" t="n">
        <v>0</v>
      </c>
      <c r="AG49" s="45" t="n">
        <v>0</v>
      </c>
      <c r="AH49" s="45" t="n">
        <v>0</v>
      </c>
      <c r="AI49" s="45" t="n">
        <v>1</v>
      </c>
      <c r="AJ49" s="8"/>
      <c r="AK49" s="4" t="s">
        <v>409</v>
      </c>
      <c r="AL49" s="31" t="n">
        <v>295</v>
      </c>
      <c r="AM49" s="31" t="n">
        <v>23.75</v>
      </c>
      <c r="AN49" s="31" t="n">
        <v>5.58</v>
      </c>
      <c r="AO49" s="31" t="n">
        <v>19.78</v>
      </c>
      <c r="AP49" s="31" t="n">
        <v>0</v>
      </c>
      <c r="AQ49" s="31" t="n">
        <v>1.9</v>
      </c>
      <c r="AR49" s="31" t="n">
        <v>697</v>
      </c>
      <c r="AS49" s="31" t="n">
        <v>0.22</v>
      </c>
      <c r="AT49" s="31" t="n">
        <v>188</v>
      </c>
      <c r="AU49" s="31" t="n">
        <v>666</v>
      </c>
      <c r="AV49" s="31" t="n">
        <v>0</v>
      </c>
      <c r="AW49" s="31" t="n">
        <v>11.295</v>
      </c>
      <c r="AX49" s="4" t="s">
        <v>218</v>
      </c>
      <c r="AY49" s="43" t="n">
        <v>1</v>
      </c>
      <c r="AZ49" s="23" t="n">
        <f aca="false">AM49/M49</f>
        <v>24.6333841463415</v>
      </c>
      <c r="BA49" s="18" t="n">
        <f aca="false">AL49/M49</f>
        <v>305.97256097561</v>
      </c>
      <c r="BB49" s="4" t="s">
        <v>427</v>
      </c>
      <c r="BC49" s="4" t="s">
        <v>428</v>
      </c>
      <c r="BD49" s="4" t="s">
        <v>429</v>
      </c>
    </row>
    <row r="50" customFormat="false" ht="15" hidden="false" customHeight="false" outlineLevel="0" collapsed="false">
      <c r="A50" s="4" t="n">
        <v>45</v>
      </c>
      <c r="B50" s="49" t="s">
        <v>430</v>
      </c>
      <c r="C50" s="50" t="s">
        <v>431</v>
      </c>
      <c r="D50" s="14" t="s">
        <v>432</v>
      </c>
      <c r="E50" s="4" t="s">
        <v>433</v>
      </c>
      <c r="F50" s="37" t="n">
        <v>2.14</v>
      </c>
      <c r="G50" s="34" t="n">
        <v>567</v>
      </c>
      <c r="H50" s="30" t="n">
        <v>1</v>
      </c>
      <c r="I50" s="38" t="n">
        <f aca="false">F50/(G50*H50)*100</f>
        <v>0.377425044091711</v>
      </c>
      <c r="J50" s="4"/>
      <c r="K50" s="4"/>
      <c r="L50" s="4"/>
      <c r="M50" s="40" t="n">
        <f aca="false">IF(AND(IF(Planner!$C$39="BLS U.S. average (Sep 2026)",1,0)=1,L50&lt;&gt;""),L50,I50)</f>
        <v>0.377425044091711</v>
      </c>
      <c r="N50" s="13" t="n">
        <v>94</v>
      </c>
      <c r="O50" s="4" t="s">
        <v>434</v>
      </c>
      <c r="P50" s="8" t="n">
        <v>1</v>
      </c>
      <c r="Q50" s="41"/>
      <c r="R50" s="13"/>
      <c r="S50" s="42" t="n">
        <v>0</v>
      </c>
      <c r="T50" s="42" t="n">
        <v>0</v>
      </c>
      <c r="U50" s="42" t="n">
        <v>0</v>
      </c>
      <c r="V50" s="42" t="n">
        <v>0</v>
      </c>
      <c r="W50" s="42" t="n">
        <v>0</v>
      </c>
      <c r="X50" s="42" t="n">
        <v>0</v>
      </c>
      <c r="Y50" s="42" t="n">
        <v>1</v>
      </c>
      <c r="Z50" s="42" t="n">
        <v>0</v>
      </c>
      <c r="AA50" s="42" t="n">
        <v>0</v>
      </c>
      <c r="AB50" s="42" t="n">
        <v>0</v>
      </c>
      <c r="AC50" s="42" t="n">
        <v>0</v>
      </c>
      <c r="AD50" s="43" t="n">
        <f aca="false">SUMPRODUCT(S50:AC50,INDEX(Diets!$I$5:$S$14,MATCH(Planner!$C$36,Diets!$A$5:$A$14,0),0))</f>
        <v>0</v>
      </c>
      <c r="AE50" s="44" t="n">
        <f aca="false">IF(OR(UPPER(Q50)="Y",AD50&gt;0,AND(Planner!$C$40="Core 71 foods",AY50=0)),0,1)</f>
        <v>1</v>
      </c>
      <c r="AF50" s="45" t="n">
        <v>1</v>
      </c>
      <c r="AG50" s="45" t="n">
        <v>0</v>
      </c>
      <c r="AH50" s="45" t="n">
        <v>0</v>
      </c>
      <c r="AI50" s="45" t="n">
        <v>0</v>
      </c>
      <c r="AJ50" s="8"/>
      <c r="AK50" s="4" t="s">
        <v>435</v>
      </c>
      <c r="AL50" s="31" t="n">
        <v>264</v>
      </c>
      <c r="AM50" s="31" t="n">
        <v>10.56</v>
      </c>
      <c r="AN50" s="31" t="n">
        <v>52.38</v>
      </c>
      <c r="AO50" s="31" t="n">
        <v>1.32</v>
      </c>
      <c r="AP50" s="31" t="n">
        <v>1.6</v>
      </c>
      <c r="AQ50" s="31" t="n">
        <v>8.43</v>
      </c>
      <c r="AR50" s="31" t="n">
        <v>219</v>
      </c>
      <c r="AS50" s="31" t="n">
        <v>3.57</v>
      </c>
      <c r="AT50" s="31" t="n">
        <v>107</v>
      </c>
      <c r="AU50" s="31" t="n">
        <v>422</v>
      </c>
      <c r="AV50" s="31" t="n">
        <v>0</v>
      </c>
      <c r="AW50" s="31" t="n">
        <v>0.36</v>
      </c>
      <c r="AX50" s="4" t="s">
        <v>218</v>
      </c>
      <c r="AY50" s="43" t="n">
        <v>1</v>
      </c>
      <c r="AZ50" s="23" t="n">
        <f aca="false">AM50/M50</f>
        <v>27.9790654205607</v>
      </c>
      <c r="BA50" s="18" t="n">
        <f aca="false">AL50/M50</f>
        <v>699.476635514019</v>
      </c>
      <c r="BB50" s="4" t="s">
        <v>436</v>
      </c>
      <c r="BC50" s="4" t="s">
        <v>437</v>
      </c>
      <c r="BD50" s="4"/>
    </row>
    <row r="51" customFormat="false" ht="15" hidden="false" customHeight="false" outlineLevel="0" collapsed="false">
      <c r="A51" s="4" t="n">
        <v>46</v>
      </c>
      <c r="B51" s="49" t="s">
        <v>430</v>
      </c>
      <c r="C51" s="50" t="s">
        <v>431</v>
      </c>
      <c r="D51" s="14" t="s">
        <v>438</v>
      </c>
      <c r="E51" s="4" t="s">
        <v>439</v>
      </c>
      <c r="F51" s="37" t="n">
        <v>1.72</v>
      </c>
      <c r="G51" s="34" t="n">
        <v>907.2</v>
      </c>
      <c r="H51" s="30" t="n">
        <v>1</v>
      </c>
      <c r="I51" s="38" t="n">
        <f aca="false">F51/(G51*H51)*100</f>
        <v>0.189594356261023</v>
      </c>
      <c r="J51" s="4"/>
      <c r="K51" s="4"/>
      <c r="L51" s="4"/>
      <c r="M51" s="40" t="n">
        <f aca="false">IF(AND(IF(Planner!$C$39="BLS U.S. average (Sep 2026)",1,0)=1,L51&lt;&gt;""),L51,I51)</f>
        <v>0.189594356261023</v>
      </c>
      <c r="N51" s="13" t="n">
        <v>46</v>
      </c>
      <c r="O51" s="4" t="s">
        <v>319</v>
      </c>
      <c r="P51" s="8" t="n">
        <v>4</v>
      </c>
      <c r="Q51" s="41"/>
      <c r="R51" s="13"/>
      <c r="S51" s="42" t="n">
        <v>0</v>
      </c>
      <c r="T51" s="42" t="n">
        <v>0</v>
      </c>
      <c r="U51" s="42" t="n">
        <v>0</v>
      </c>
      <c r="V51" s="42" t="n">
        <v>0</v>
      </c>
      <c r="W51" s="42" t="n">
        <v>0</v>
      </c>
      <c r="X51" s="42" t="n">
        <v>0</v>
      </c>
      <c r="Y51" s="42" t="n">
        <v>0</v>
      </c>
      <c r="Z51" s="42" t="n">
        <v>0</v>
      </c>
      <c r="AA51" s="42" t="n">
        <v>0</v>
      </c>
      <c r="AB51" s="42" t="n">
        <v>0</v>
      </c>
      <c r="AC51" s="42" t="n">
        <v>0</v>
      </c>
      <c r="AD51" s="43" t="n">
        <f aca="false">SUMPRODUCT(S51:AC51,INDEX(Diets!$I$5:$S$14,MATCH(Planner!$C$36,Diets!$A$5:$A$14,0),0))</f>
        <v>0</v>
      </c>
      <c r="AE51" s="44" t="n">
        <f aca="false">IF(OR(UPPER(Q51)="Y",AD51&gt;0,AND(Planner!$C$40="Core 71 foods",AY51=0)),0,1)</f>
        <v>1</v>
      </c>
      <c r="AF51" s="45" t="n">
        <v>0</v>
      </c>
      <c r="AG51" s="45" t="n">
        <v>0.5</v>
      </c>
      <c r="AH51" s="45" t="n">
        <v>0.5</v>
      </c>
      <c r="AI51" s="45" t="n">
        <v>0</v>
      </c>
      <c r="AJ51" s="8"/>
      <c r="AK51" s="4" t="s">
        <v>435</v>
      </c>
      <c r="AL51" s="31" t="n">
        <v>367</v>
      </c>
      <c r="AM51" s="31" t="n">
        <v>7.54</v>
      </c>
      <c r="AN51" s="31" t="n">
        <v>76.25</v>
      </c>
      <c r="AO51" s="31" t="n">
        <v>3.2</v>
      </c>
      <c r="AP51" s="31" t="n">
        <v>3.6</v>
      </c>
      <c r="AQ51" s="31" t="n">
        <v>0.66</v>
      </c>
      <c r="AR51" s="31" t="n">
        <v>9</v>
      </c>
      <c r="AS51" s="31" t="n">
        <v>1.29</v>
      </c>
      <c r="AT51" s="31" t="n">
        <v>250</v>
      </c>
      <c r="AU51" s="31" t="n">
        <v>5</v>
      </c>
      <c r="AV51" s="31" t="n">
        <v>0</v>
      </c>
      <c r="AW51" s="31" t="n">
        <v>0.591</v>
      </c>
      <c r="AX51" s="4" t="s">
        <v>218</v>
      </c>
      <c r="AY51" s="43" t="n">
        <v>1</v>
      </c>
      <c r="AZ51" s="23" t="n">
        <f aca="false">AM51/M51</f>
        <v>39.7691162790698</v>
      </c>
      <c r="BA51" s="18" t="n">
        <f aca="false">AL51/M51</f>
        <v>1935.71162790698</v>
      </c>
      <c r="BB51" s="4" t="s">
        <v>440</v>
      </c>
      <c r="BC51" s="4" t="s">
        <v>441</v>
      </c>
      <c r="BD51" s="4"/>
    </row>
    <row r="52" customFormat="false" ht="15" hidden="false" customHeight="false" outlineLevel="0" collapsed="false">
      <c r="A52" s="4" t="n">
        <v>47</v>
      </c>
      <c r="B52" s="49" t="s">
        <v>430</v>
      </c>
      <c r="C52" s="50" t="s">
        <v>431</v>
      </c>
      <c r="D52" s="14" t="s">
        <v>442</v>
      </c>
      <c r="E52" s="4" t="s">
        <v>443</v>
      </c>
      <c r="F52" s="37" t="n">
        <v>4.97</v>
      </c>
      <c r="G52" s="34" t="n">
        <v>510.3</v>
      </c>
      <c r="H52" s="30" t="n">
        <v>1</v>
      </c>
      <c r="I52" s="38" t="n">
        <f aca="false">F52/(G52*H52)*100</f>
        <v>0.973936899862826</v>
      </c>
      <c r="J52" s="4"/>
      <c r="K52" s="4"/>
      <c r="L52" s="4"/>
      <c r="M52" s="40" t="n">
        <f aca="false">IF(AND(IF(Planner!$C$39="BLS U.S. average (Sep 2026)",1,0)=1,L52&lt;&gt;""),L52,I52)</f>
        <v>0.973936899862826</v>
      </c>
      <c r="N52" s="13" t="n">
        <v>28</v>
      </c>
      <c r="O52" s="4" t="s">
        <v>392</v>
      </c>
      <c r="P52" s="8" t="n">
        <v>2</v>
      </c>
      <c r="Q52" s="41"/>
      <c r="R52" s="13"/>
      <c r="S52" s="42" t="n">
        <v>0</v>
      </c>
      <c r="T52" s="42" t="n">
        <v>0</v>
      </c>
      <c r="U52" s="42" t="n">
        <v>0</v>
      </c>
      <c r="V52" s="42" t="n">
        <v>0</v>
      </c>
      <c r="W52" s="42" t="n">
        <v>0</v>
      </c>
      <c r="X52" s="42" t="n">
        <v>0</v>
      </c>
      <c r="Y52" s="42" t="n">
        <v>0</v>
      </c>
      <c r="Z52" s="42" t="n">
        <v>0</v>
      </c>
      <c r="AA52" s="42" t="n">
        <v>0</v>
      </c>
      <c r="AB52" s="42" t="n">
        <v>0</v>
      </c>
      <c r="AC52" s="42" t="n">
        <v>0</v>
      </c>
      <c r="AD52" s="43" t="n">
        <f aca="false">SUMPRODUCT(S52:AC52,INDEX(Diets!$I$5:$S$14,MATCH(Planner!$C$36,Diets!$A$5:$A$14,0),0))</f>
        <v>0</v>
      </c>
      <c r="AE52" s="44" t="n">
        <f aca="false">IF(OR(UPPER(Q52)="Y",AD52&gt;0,AND(Planner!$C$40="Core 71 foods",AY52=0)),0,1)</f>
        <v>1</v>
      </c>
      <c r="AF52" s="45" t="n">
        <v>1</v>
      </c>
      <c r="AG52" s="45" t="n">
        <v>0</v>
      </c>
      <c r="AH52" s="45" t="n">
        <v>0</v>
      </c>
      <c r="AI52" s="45" t="n">
        <v>0</v>
      </c>
      <c r="AJ52" s="8"/>
      <c r="AK52" s="4" t="s">
        <v>435</v>
      </c>
      <c r="AL52" s="31" t="n">
        <v>376</v>
      </c>
      <c r="AM52" s="31" t="n">
        <v>12.09</v>
      </c>
      <c r="AN52" s="31" t="n">
        <v>73.23</v>
      </c>
      <c r="AO52" s="31" t="n">
        <v>6.73</v>
      </c>
      <c r="AP52" s="31" t="n">
        <v>9.4</v>
      </c>
      <c r="AQ52" s="31" t="n">
        <v>4.36</v>
      </c>
      <c r="AR52" s="31" t="n">
        <v>401</v>
      </c>
      <c r="AS52" s="31" t="n">
        <v>33.17</v>
      </c>
      <c r="AT52" s="31" t="n">
        <v>641</v>
      </c>
      <c r="AU52" s="31" t="n">
        <v>497</v>
      </c>
      <c r="AV52" s="31" t="n">
        <v>21.6</v>
      </c>
      <c r="AW52" s="31" t="n">
        <v>1.5</v>
      </c>
      <c r="AX52" s="4" t="s">
        <v>218</v>
      </c>
      <c r="AY52" s="43" t="n">
        <v>1</v>
      </c>
      <c r="AZ52" s="23" t="n">
        <f aca="false">AM52/M52</f>
        <v>12.4135352112676</v>
      </c>
      <c r="BA52" s="18" t="n">
        <f aca="false">AL52/M52</f>
        <v>386.061971830986</v>
      </c>
      <c r="BB52" s="4" t="s">
        <v>444</v>
      </c>
      <c r="BC52" s="4" t="s">
        <v>445</v>
      </c>
      <c r="BD52" s="4" t="s">
        <v>446</v>
      </c>
    </row>
    <row r="53" customFormat="false" ht="15" hidden="false" customHeight="false" outlineLevel="0" collapsed="false">
      <c r="A53" s="4" t="n">
        <v>48</v>
      </c>
      <c r="B53" s="49" t="s">
        <v>430</v>
      </c>
      <c r="C53" s="50" t="s">
        <v>431</v>
      </c>
      <c r="D53" s="14" t="s">
        <v>447</v>
      </c>
      <c r="E53" s="4" t="s">
        <v>448</v>
      </c>
      <c r="F53" s="37" t="n">
        <v>2.48</v>
      </c>
      <c r="G53" s="34" t="n">
        <v>791</v>
      </c>
      <c r="H53" s="30" t="n">
        <v>1</v>
      </c>
      <c r="I53" s="38" t="n">
        <f aca="false">F53/(G53*H53)*100</f>
        <v>0.313527180783818</v>
      </c>
      <c r="J53" s="4"/>
      <c r="K53" s="4"/>
      <c r="L53" s="4"/>
      <c r="M53" s="40" t="n">
        <f aca="false">IF(AND(IF(Planner!$C$39="BLS U.S. average (Sep 2026)",1,0)=1,L53&lt;&gt;""),L53,I53)</f>
        <v>0.313527180783818</v>
      </c>
      <c r="N53" s="13" t="n">
        <v>26</v>
      </c>
      <c r="O53" s="4" t="s">
        <v>449</v>
      </c>
      <c r="P53" s="8" t="n">
        <v>6</v>
      </c>
      <c r="Q53" s="41"/>
      <c r="R53" s="13"/>
      <c r="S53" s="42" t="n">
        <v>0</v>
      </c>
      <c r="T53" s="42" t="n">
        <v>0</v>
      </c>
      <c r="U53" s="42" t="n">
        <v>0</v>
      </c>
      <c r="V53" s="42" t="n">
        <v>0</v>
      </c>
      <c r="W53" s="42" t="n">
        <v>0</v>
      </c>
      <c r="X53" s="42" t="n">
        <v>0</v>
      </c>
      <c r="Y53" s="42" t="n">
        <v>0</v>
      </c>
      <c r="Z53" s="42" t="n">
        <v>0</v>
      </c>
      <c r="AA53" s="42" t="n">
        <v>0</v>
      </c>
      <c r="AB53" s="42" t="n">
        <v>0</v>
      </c>
      <c r="AC53" s="42" t="n">
        <v>0</v>
      </c>
      <c r="AD53" s="43" t="n">
        <f aca="false">SUMPRODUCT(S53:AC53,INDEX(Diets!$I$5:$S$14,MATCH(Planner!$C$36,Diets!$A$5:$A$14,0),0))</f>
        <v>0</v>
      </c>
      <c r="AE53" s="44" t="n">
        <f aca="false">IF(OR(UPPER(Q53)="Y",AD53&gt;0,AND(Planner!$C$40="Core 71 foods",AY53=0)),0,1)</f>
        <v>1</v>
      </c>
      <c r="AF53" s="45" t="n">
        <v>0</v>
      </c>
      <c r="AG53" s="45" t="n">
        <v>0.5</v>
      </c>
      <c r="AH53" s="45" t="n">
        <v>0.5</v>
      </c>
      <c r="AI53" s="45" t="n">
        <v>0</v>
      </c>
      <c r="AJ53" s="8"/>
      <c r="AK53" s="4" t="s">
        <v>435</v>
      </c>
      <c r="AL53" s="31" t="n">
        <v>218</v>
      </c>
      <c r="AM53" s="31" t="n">
        <v>5.7</v>
      </c>
      <c r="AN53" s="31" t="n">
        <v>44.64</v>
      </c>
      <c r="AO53" s="31" t="n">
        <v>2.85</v>
      </c>
      <c r="AP53" s="31" t="n">
        <v>6.3</v>
      </c>
      <c r="AQ53" s="31" t="n">
        <v>0.88</v>
      </c>
      <c r="AR53" s="31" t="n">
        <v>81</v>
      </c>
      <c r="AS53" s="31" t="n">
        <v>1.23</v>
      </c>
      <c r="AT53" s="31" t="n">
        <v>186</v>
      </c>
      <c r="AU53" s="31" t="n">
        <v>45</v>
      </c>
      <c r="AV53" s="31" t="n">
        <v>0</v>
      </c>
      <c r="AW53" s="31" t="n">
        <v>0.453</v>
      </c>
      <c r="AX53" s="4" t="s">
        <v>218</v>
      </c>
      <c r="AY53" s="43" t="n">
        <v>1</v>
      </c>
      <c r="AZ53" s="23" t="n">
        <f aca="false">AM53/M53</f>
        <v>18.1802419354839</v>
      </c>
      <c r="BA53" s="18" t="n">
        <f aca="false">AL53/M53</f>
        <v>695.314516129032</v>
      </c>
      <c r="BB53" s="4" t="s">
        <v>450</v>
      </c>
      <c r="BC53" s="4" t="s">
        <v>451</v>
      </c>
      <c r="BD53" s="4" t="s">
        <v>452</v>
      </c>
    </row>
    <row r="54" customFormat="false" ht="15" hidden="false" customHeight="false" outlineLevel="0" collapsed="false">
      <c r="A54" s="4" t="n">
        <v>49</v>
      </c>
      <c r="B54" s="49" t="s">
        <v>430</v>
      </c>
      <c r="C54" s="50" t="s">
        <v>431</v>
      </c>
      <c r="D54" s="14" t="s">
        <v>453</v>
      </c>
      <c r="E54" s="4" t="s">
        <v>454</v>
      </c>
      <c r="F54" s="37" t="n">
        <v>1.98</v>
      </c>
      <c r="G54" s="34" t="n">
        <v>453.6</v>
      </c>
      <c r="H54" s="30" t="n">
        <v>1</v>
      </c>
      <c r="I54" s="38" t="n">
        <f aca="false">F54/(G54*H54)*100</f>
        <v>0.436507936507937</v>
      </c>
      <c r="J54" s="4"/>
      <c r="K54" s="4"/>
      <c r="L54" s="4"/>
      <c r="M54" s="40" t="n">
        <f aca="false">IF(AND(IF(Planner!$C$39="BLS U.S. average (Sep 2026)",1,0)=1,L54&lt;&gt;""),L54,I54)</f>
        <v>0.436507936507937</v>
      </c>
      <c r="N54" s="13" t="n">
        <v>45</v>
      </c>
      <c r="O54" s="4" t="s">
        <v>449</v>
      </c>
      <c r="P54" s="8" t="n">
        <v>3</v>
      </c>
      <c r="Q54" s="41"/>
      <c r="R54" s="13"/>
      <c r="S54" s="42" t="n">
        <v>0</v>
      </c>
      <c r="T54" s="42" t="n">
        <v>0</v>
      </c>
      <c r="U54" s="42" t="n">
        <v>0</v>
      </c>
      <c r="V54" s="42" t="n">
        <v>0</v>
      </c>
      <c r="W54" s="42" t="n">
        <v>0</v>
      </c>
      <c r="X54" s="42" t="n">
        <v>0</v>
      </c>
      <c r="Y54" s="42" t="n">
        <v>1</v>
      </c>
      <c r="Z54" s="42" t="n">
        <v>0</v>
      </c>
      <c r="AA54" s="42" t="n">
        <v>0</v>
      </c>
      <c r="AB54" s="42" t="n">
        <v>0</v>
      </c>
      <c r="AC54" s="42" t="n">
        <v>0</v>
      </c>
      <c r="AD54" s="43" t="n">
        <f aca="false">SUMPRODUCT(S54:AC54,INDEX(Diets!$I$5:$S$14,MATCH(Planner!$C$36,Diets!$A$5:$A$14,0),0))</f>
        <v>0</v>
      </c>
      <c r="AE54" s="44" t="n">
        <f aca="false">IF(OR(UPPER(Q54)="Y",AD54&gt;0,AND(Planner!$C$40="Core 71 foods",AY54=0)),0,1)</f>
        <v>1</v>
      </c>
      <c r="AF54" s="45" t="n">
        <v>0</v>
      </c>
      <c r="AG54" s="45" t="n">
        <v>0.5</v>
      </c>
      <c r="AH54" s="45" t="n">
        <v>0.5</v>
      </c>
      <c r="AI54" s="45" t="n">
        <v>0</v>
      </c>
      <c r="AJ54" s="8"/>
      <c r="AK54" s="4" t="s">
        <v>435</v>
      </c>
      <c r="AL54" s="31" t="n">
        <v>297</v>
      </c>
      <c r="AM54" s="31" t="n">
        <v>8.01</v>
      </c>
      <c r="AN54" s="31" t="n">
        <v>49.27</v>
      </c>
      <c r="AO54" s="31" t="n">
        <v>7.58</v>
      </c>
      <c r="AP54" s="31" t="n">
        <v>2.4</v>
      </c>
      <c r="AQ54" s="31" t="n">
        <v>2.66</v>
      </c>
      <c r="AR54" s="31" t="n">
        <v>163</v>
      </c>
      <c r="AS54" s="31" t="n">
        <v>3.32</v>
      </c>
      <c r="AT54" s="31" t="n">
        <v>133</v>
      </c>
      <c r="AU54" s="31" t="n">
        <v>742</v>
      </c>
      <c r="AV54" s="31" t="n">
        <v>0</v>
      </c>
      <c r="AW54" s="31" t="n">
        <v>1.225</v>
      </c>
      <c r="AX54" s="4" t="s">
        <v>218</v>
      </c>
      <c r="AY54" s="43" t="n">
        <v>1</v>
      </c>
      <c r="AZ54" s="23" t="n">
        <f aca="false">AM54/M54</f>
        <v>18.3501818181818</v>
      </c>
      <c r="BA54" s="18" t="n">
        <f aca="false">AL54/M54</f>
        <v>680.4</v>
      </c>
      <c r="BB54" s="4" t="s">
        <v>455</v>
      </c>
      <c r="BC54" s="4" t="s">
        <v>456</v>
      </c>
      <c r="BD54" s="4"/>
    </row>
    <row r="55" customFormat="false" ht="15" hidden="false" customHeight="false" outlineLevel="0" collapsed="false">
      <c r="A55" s="4" t="n">
        <v>50</v>
      </c>
      <c r="B55" s="49" t="s">
        <v>430</v>
      </c>
      <c r="C55" s="50" t="s">
        <v>431</v>
      </c>
      <c r="D55" s="14" t="s">
        <v>457</v>
      </c>
      <c r="E55" s="4" t="s">
        <v>458</v>
      </c>
      <c r="F55" s="37" t="n">
        <v>3.44</v>
      </c>
      <c r="G55" s="34" t="n">
        <v>453.6</v>
      </c>
      <c r="H55" s="30" t="n">
        <v>1</v>
      </c>
      <c r="I55" s="38" t="n">
        <f aca="false">F55/(G55*H55)*100</f>
        <v>0.758377425044092</v>
      </c>
      <c r="J55" s="4"/>
      <c r="K55" s="4"/>
      <c r="L55" s="4"/>
      <c r="M55" s="40" t="n">
        <f aca="false">IF(AND(IF(Planner!$C$39="BLS U.S. average (Sep 2026)",1,0)=1,L55&lt;&gt;""),L55,I55)</f>
        <v>0.758377425044092</v>
      </c>
      <c r="N55" s="13" t="n">
        <v>43</v>
      </c>
      <c r="O55" s="4" t="s">
        <v>319</v>
      </c>
      <c r="P55" s="8" t="n">
        <v>3</v>
      </c>
      <c r="Q55" s="41"/>
      <c r="R55" s="13"/>
      <c r="S55" s="42" t="n">
        <v>0</v>
      </c>
      <c r="T55" s="42" t="n">
        <v>0</v>
      </c>
      <c r="U55" s="42" t="n">
        <v>0</v>
      </c>
      <c r="V55" s="42" t="n">
        <v>0</v>
      </c>
      <c r="W55" s="42" t="n">
        <v>0</v>
      </c>
      <c r="X55" s="42" t="n">
        <v>0</v>
      </c>
      <c r="Y55" s="42" t="n">
        <v>0</v>
      </c>
      <c r="Z55" s="42" t="n">
        <v>0</v>
      </c>
      <c r="AA55" s="42" t="n">
        <v>0</v>
      </c>
      <c r="AB55" s="42" t="n">
        <v>0</v>
      </c>
      <c r="AC55" s="42" t="n">
        <v>0</v>
      </c>
      <c r="AD55" s="43" t="n">
        <f aca="false">SUMPRODUCT(S55:AC55,INDEX(Diets!$I$5:$S$14,MATCH(Planner!$C$36,Diets!$A$5:$A$14,0),0))</f>
        <v>0</v>
      </c>
      <c r="AE55" s="44" t="n">
        <f aca="false">IF(OR(UPPER(Q55)="Y",AD55&gt;0,AND(Planner!$C$40="Core 71 foods",AY55=0)),0,1)</f>
        <v>1</v>
      </c>
      <c r="AF55" s="45" t="n">
        <v>0</v>
      </c>
      <c r="AG55" s="45" t="n">
        <v>0.5</v>
      </c>
      <c r="AH55" s="45" t="n">
        <v>0.5</v>
      </c>
      <c r="AI55" s="45" t="n">
        <v>0</v>
      </c>
      <c r="AJ55" s="8"/>
      <c r="AK55" s="4" t="s">
        <v>435</v>
      </c>
      <c r="AL55" s="31" t="n">
        <v>368</v>
      </c>
      <c r="AM55" s="31" t="n">
        <v>14.12</v>
      </c>
      <c r="AN55" s="31" t="n">
        <v>64.16</v>
      </c>
      <c r="AO55" s="31" t="n">
        <v>6.07</v>
      </c>
      <c r="AP55" s="31" t="n">
        <v>7</v>
      </c>
      <c r="AQ55" s="31" t="n">
        <v>0</v>
      </c>
      <c r="AR55" s="31" t="n">
        <v>47</v>
      </c>
      <c r="AS55" s="31" t="n">
        <v>4.57</v>
      </c>
      <c r="AT55" s="31" t="n">
        <v>563</v>
      </c>
      <c r="AU55" s="31" t="n">
        <v>5</v>
      </c>
      <c r="AV55" s="31" t="n">
        <v>0</v>
      </c>
      <c r="AW55" s="31" t="n">
        <v>0.706</v>
      </c>
      <c r="AX55" s="4" t="s">
        <v>218</v>
      </c>
      <c r="AY55" s="43" t="n">
        <v>1</v>
      </c>
      <c r="AZ55" s="23" t="n">
        <f aca="false">AM55/M55</f>
        <v>18.6186976744186</v>
      </c>
      <c r="BA55" s="18" t="n">
        <f aca="false">AL55/M55</f>
        <v>485.246511627907</v>
      </c>
      <c r="BB55" s="4" t="s">
        <v>459</v>
      </c>
      <c r="BC55" s="4" t="s">
        <v>460</v>
      </c>
      <c r="BD55" s="4"/>
    </row>
    <row r="56" customFormat="false" ht="15" hidden="false" customHeight="false" outlineLevel="0" collapsed="false">
      <c r="A56" s="4" t="n">
        <v>51</v>
      </c>
      <c r="B56" s="49" t="s">
        <v>430</v>
      </c>
      <c r="C56" s="50" t="s">
        <v>431</v>
      </c>
      <c r="D56" s="14" t="s">
        <v>461</v>
      </c>
      <c r="E56" s="4" t="s">
        <v>462</v>
      </c>
      <c r="F56" s="37" t="n">
        <v>4.38</v>
      </c>
      <c r="G56" s="34" t="n">
        <v>1190.7</v>
      </c>
      <c r="H56" s="30" t="n">
        <v>1</v>
      </c>
      <c r="I56" s="38" t="n">
        <f aca="false">F56/(G56*H56)*100</f>
        <v>0.36785084404132</v>
      </c>
      <c r="J56" s="4"/>
      <c r="K56" s="4"/>
      <c r="L56" s="4"/>
      <c r="M56" s="40" t="n">
        <f aca="false">IF(AND(IF(Planner!$C$39="BLS U.S. average (Sep 2026)",1,0)=1,L56&lt;&gt;""),L56,I56)</f>
        <v>0.36785084404132</v>
      </c>
      <c r="N56" s="13" t="n">
        <v>40</v>
      </c>
      <c r="O56" s="4" t="s">
        <v>463</v>
      </c>
      <c r="P56" s="8" t="n">
        <v>2</v>
      </c>
      <c r="Q56" s="41"/>
      <c r="R56" s="13"/>
      <c r="S56" s="42" t="n">
        <v>0</v>
      </c>
      <c r="T56" s="42" t="n">
        <v>0</v>
      </c>
      <c r="U56" s="42" t="n">
        <v>0</v>
      </c>
      <c r="V56" s="42" t="n">
        <v>0</v>
      </c>
      <c r="W56" s="42" t="n">
        <v>0</v>
      </c>
      <c r="X56" s="42" t="n">
        <v>0</v>
      </c>
      <c r="Y56" s="42" t="n">
        <v>1</v>
      </c>
      <c r="Z56" s="42" t="n">
        <v>0</v>
      </c>
      <c r="AA56" s="42" t="n">
        <v>0</v>
      </c>
      <c r="AB56" s="42" t="n">
        <v>0</v>
      </c>
      <c r="AC56" s="42" t="n">
        <v>0</v>
      </c>
      <c r="AD56" s="43" t="n">
        <f aca="false">SUMPRODUCT(S56:AC56,INDEX(Diets!$I$5:$S$14,MATCH(Planner!$C$36,Diets!$A$5:$A$14,0),0))</f>
        <v>0</v>
      </c>
      <c r="AE56" s="44" t="n">
        <f aca="false">IF(OR(UPPER(Q56)="Y",AD56&gt;0,AND(Planner!$C$40="Core 71 foods",AY56=0)),0,1)</f>
        <v>1</v>
      </c>
      <c r="AF56" s="45" t="n">
        <v>1</v>
      </c>
      <c r="AG56" s="45" t="n">
        <v>0</v>
      </c>
      <c r="AH56" s="45" t="n">
        <v>0</v>
      </c>
      <c r="AI56" s="45" t="n">
        <v>0</v>
      </c>
      <c r="AJ56" s="8"/>
      <c r="AK56" s="4" t="s">
        <v>435</v>
      </c>
      <c r="AL56" s="31" t="n">
        <v>379</v>
      </c>
      <c r="AM56" s="31" t="n">
        <v>13.15</v>
      </c>
      <c r="AN56" s="31" t="n">
        <v>67.7</v>
      </c>
      <c r="AO56" s="31" t="n">
        <v>6.52</v>
      </c>
      <c r="AP56" s="31" t="n">
        <v>10.1</v>
      </c>
      <c r="AQ56" s="31" t="n">
        <v>0.99</v>
      </c>
      <c r="AR56" s="31" t="n">
        <v>52</v>
      </c>
      <c r="AS56" s="31" t="n">
        <v>4.25</v>
      </c>
      <c r="AT56" s="31" t="n">
        <v>362</v>
      </c>
      <c r="AU56" s="31" t="n">
        <v>6</v>
      </c>
      <c r="AV56" s="31" t="n">
        <v>0</v>
      </c>
      <c r="AW56" s="31" t="n">
        <v>1.11</v>
      </c>
      <c r="AX56" s="4" t="s">
        <v>218</v>
      </c>
      <c r="AY56" s="43" t="n">
        <v>1</v>
      </c>
      <c r="AZ56" s="23" t="n">
        <f aca="false">AM56/M56</f>
        <v>35.7481849315069</v>
      </c>
      <c r="BA56" s="18" t="n">
        <f aca="false">AL56/M56</f>
        <v>1030.30890410959</v>
      </c>
      <c r="BB56" s="4" t="s">
        <v>464</v>
      </c>
      <c r="BC56" s="4" t="s">
        <v>465</v>
      </c>
      <c r="BD56" s="4" t="s">
        <v>466</v>
      </c>
    </row>
    <row r="57" customFormat="false" ht="15" hidden="false" customHeight="false" outlineLevel="0" collapsed="false">
      <c r="A57" s="4" t="n">
        <v>52</v>
      </c>
      <c r="B57" s="49" t="s">
        <v>430</v>
      </c>
      <c r="C57" s="50" t="s">
        <v>431</v>
      </c>
      <c r="D57" s="14" t="s">
        <v>467</v>
      </c>
      <c r="E57" s="4" t="s">
        <v>468</v>
      </c>
      <c r="F57" s="37" t="n">
        <v>1.36</v>
      </c>
      <c r="G57" s="34" t="n">
        <v>453.6</v>
      </c>
      <c r="H57" s="30" t="n">
        <v>1</v>
      </c>
      <c r="I57" s="38" t="n">
        <f aca="false">F57/(G57*H57)*100</f>
        <v>0.299823633156967</v>
      </c>
      <c r="J57" s="39" t="n">
        <v>1.375</v>
      </c>
      <c r="K57" s="34" t="n">
        <v>453.6</v>
      </c>
      <c r="L57" s="38" t="n">
        <f aca="false">J57/(K57*H57)*100</f>
        <v>0.303130511463845</v>
      </c>
      <c r="M57" s="40" t="n">
        <f aca="false">IF(AND(IF(Planner!$C$39="BLS U.S. average (Sep 2026)",1,0)=1,L57&lt;&gt;""),L57,I57)</f>
        <v>0.299823633156967</v>
      </c>
      <c r="N57" s="13" t="n">
        <v>57</v>
      </c>
      <c r="O57" s="4" t="s">
        <v>469</v>
      </c>
      <c r="P57" s="8" t="n">
        <v>3</v>
      </c>
      <c r="Q57" s="41"/>
      <c r="R57" s="13"/>
      <c r="S57" s="42" t="n">
        <v>0</v>
      </c>
      <c r="T57" s="42" t="n">
        <v>0</v>
      </c>
      <c r="U57" s="42" t="n">
        <v>0</v>
      </c>
      <c r="V57" s="42" t="n">
        <v>0</v>
      </c>
      <c r="W57" s="42" t="n">
        <v>0</v>
      </c>
      <c r="X57" s="42" t="n">
        <v>0</v>
      </c>
      <c r="Y57" s="42" t="n">
        <v>1</v>
      </c>
      <c r="Z57" s="42" t="n">
        <v>0</v>
      </c>
      <c r="AA57" s="42" t="n">
        <v>0</v>
      </c>
      <c r="AB57" s="42" t="n">
        <v>0</v>
      </c>
      <c r="AC57" s="42" t="n">
        <v>0</v>
      </c>
      <c r="AD57" s="43" t="n">
        <f aca="false">SUMPRODUCT(S57:AC57,INDEX(Diets!$I$5:$S$14,MATCH(Planner!$C$36,Diets!$A$5:$A$14,0),0))</f>
        <v>0</v>
      </c>
      <c r="AE57" s="44" t="n">
        <f aca="false">IF(OR(UPPER(Q57)="Y",AD57&gt;0,AND(Planner!$C$40="Core 71 foods",AY57=0)),0,1)</f>
        <v>1</v>
      </c>
      <c r="AF57" s="45" t="n">
        <v>0</v>
      </c>
      <c r="AG57" s="45" t="n">
        <v>0.5</v>
      </c>
      <c r="AH57" s="45" t="n">
        <v>0.5</v>
      </c>
      <c r="AI57" s="45" t="n">
        <v>0</v>
      </c>
      <c r="AJ57" s="8"/>
      <c r="AK57" s="4" t="s">
        <v>435</v>
      </c>
      <c r="AL57" s="31" t="n">
        <v>371</v>
      </c>
      <c r="AM57" s="31" t="n">
        <v>13.04</v>
      </c>
      <c r="AN57" s="31" t="n">
        <v>74.67</v>
      </c>
      <c r="AO57" s="31" t="n">
        <v>1.51</v>
      </c>
      <c r="AP57" s="31" t="n">
        <v>3.2</v>
      </c>
      <c r="AQ57" s="31" t="n">
        <v>2.67</v>
      </c>
      <c r="AR57" s="31" t="n">
        <v>21</v>
      </c>
      <c r="AS57" s="31" t="n">
        <v>3.3</v>
      </c>
      <c r="AT57" s="31" t="n">
        <v>223</v>
      </c>
      <c r="AU57" s="31" t="n">
        <v>6</v>
      </c>
      <c r="AV57" s="31" t="n">
        <v>0</v>
      </c>
      <c r="AW57" s="31" t="n">
        <v>0.277</v>
      </c>
      <c r="AX57" s="4" t="s">
        <v>218</v>
      </c>
      <c r="AY57" s="43" t="n">
        <v>1</v>
      </c>
      <c r="AZ57" s="23" t="n">
        <f aca="false">AM57/M57</f>
        <v>43.4922352941177</v>
      </c>
      <c r="BA57" s="18" t="n">
        <f aca="false">AL57/M57</f>
        <v>1237.39411764706</v>
      </c>
      <c r="BB57" s="4" t="s">
        <v>470</v>
      </c>
      <c r="BC57" s="4" t="s">
        <v>471</v>
      </c>
      <c r="BD57" s="4"/>
    </row>
    <row r="58" customFormat="false" ht="15" hidden="false" customHeight="false" outlineLevel="0" collapsed="false">
      <c r="A58" s="4" t="n">
        <v>53</v>
      </c>
      <c r="B58" s="49" t="s">
        <v>430</v>
      </c>
      <c r="C58" s="50" t="s">
        <v>431</v>
      </c>
      <c r="D58" s="14" t="s">
        <v>472</v>
      </c>
      <c r="E58" s="4" t="s">
        <v>473</v>
      </c>
      <c r="F58" s="37" t="n">
        <v>1.52</v>
      </c>
      <c r="G58" s="34" t="n">
        <v>567</v>
      </c>
      <c r="H58" s="30" t="n">
        <v>1</v>
      </c>
      <c r="I58" s="38" t="n">
        <f aca="false">F58/(G58*H58)*100</f>
        <v>0.268077601410935</v>
      </c>
      <c r="J58" s="39" t="n">
        <v>1.83</v>
      </c>
      <c r="K58" s="34" t="n">
        <v>453.6</v>
      </c>
      <c r="L58" s="38" t="n">
        <f aca="false">J58/(K58*H58)*100</f>
        <v>0.403439153439153</v>
      </c>
      <c r="M58" s="40" t="n">
        <f aca="false">IF(AND(IF(Planner!$C$39="BLS U.S. average (Sep 2026)",1,0)=1,L58&lt;&gt;""),L58,I58)</f>
        <v>0.268077601410935</v>
      </c>
      <c r="N58" s="13" t="n">
        <v>28</v>
      </c>
      <c r="O58" s="4" t="s">
        <v>412</v>
      </c>
      <c r="P58" s="8" t="n">
        <v>4</v>
      </c>
      <c r="Q58" s="41"/>
      <c r="R58" s="13"/>
      <c r="S58" s="42" t="n">
        <v>0</v>
      </c>
      <c r="T58" s="42" t="n">
        <v>0</v>
      </c>
      <c r="U58" s="42" t="n">
        <v>0</v>
      </c>
      <c r="V58" s="42" t="n">
        <v>0</v>
      </c>
      <c r="W58" s="42" t="n">
        <v>0</v>
      </c>
      <c r="X58" s="42" t="n">
        <v>0</v>
      </c>
      <c r="Y58" s="42" t="n">
        <v>1</v>
      </c>
      <c r="Z58" s="42" t="n">
        <v>0</v>
      </c>
      <c r="AA58" s="42" t="n">
        <v>0</v>
      </c>
      <c r="AB58" s="42" t="n">
        <v>0</v>
      </c>
      <c r="AC58" s="42" t="n">
        <v>0</v>
      </c>
      <c r="AD58" s="43" t="n">
        <f aca="false">SUMPRODUCT(S58:AC58,INDEX(Diets!$I$5:$S$14,MATCH(Planner!$C$36,Diets!$A$5:$A$14,0),0))</f>
        <v>0</v>
      </c>
      <c r="AE58" s="44" t="n">
        <f aca="false">IF(OR(UPPER(Q58)="Y",AD58&gt;0,AND(Planner!$C$40="Core 71 foods",AY58=0)),0,1)</f>
        <v>1</v>
      </c>
      <c r="AF58" s="45" t="n">
        <v>0.5</v>
      </c>
      <c r="AG58" s="45" t="n">
        <v>0.5</v>
      </c>
      <c r="AH58" s="45" t="n">
        <v>0</v>
      </c>
      <c r="AI58" s="45" t="n">
        <v>0</v>
      </c>
      <c r="AJ58" s="8"/>
      <c r="AK58" s="4" t="s">
        <v>435</v>
      </c>
      <c r="AL58" s="31" t="n">
        <v>266</v>
      </c>
      <c r="AM58" s="31" t="n">
        <v>8.85</v>
      </c>
      <c r="AN58" s="31" t="n">
        <v>49.42</v>
      </c>
      <c r="AO58" s="31" t="n">
        <v>3.33</v>
      </c>
      <c r="AP58" s="31" t="n">
        <v>2.7</v>
      </c>
      <c r="AQ58" s="31" t="n">
        <v>5.67</v>
      </c>
      <c r="AR58" s="31" t="n">
        <v>144</v>
      </c>
      <c r="AS58" s="31" t="n">
        <v>3.61</v>
      </c>
      <c r="AT58" s="31" t="n">
        <v>126</v>
      </c>
      <c r="AU58" s="31" t="n">
        <v>490</v>
      </c>
      <c r="AV58" s="31" t="n">
        <v>0</v>
      </c>
      <c r="AW58" s="31" t="n">
        <v>0.698</v>
      </c>
      <c r="AX58" s="4" t="s">
        <v>218</v>
      </c>
      <c r="AY58" s="43" t="n">
        <v>1</v>
      </c>
      <c r="AZ58" s="23" t="n">
        <f aca="false">AM58/M58</f>
        <v>33.0128289473684</v>
      </c>
      <c r="BA58" s="18" t="n">
        <f aca="false">AL58/M58</f>
        <v>992.25</v>
      </c>
      <c r="BB58" s="4" t="s">
        <v>474</v>
      </c>
      <c r="BC58" s="4" t="s">
        <v>475</v>
      </c>
      <c r="BD58" s="4"/>
    </row>
    <row r="59" customFormat="false" ht="15" hidden="false" customHeight="false" outlineLevel="0" collapsed="false">
      <c r="A59" s="4" t="n">
        <v>54</v>
      </c>
      <c r="B59" s="49" t="s">
        <v>430</v>
      </c>
      <c r="C59" s="50" t="s">
        <v>431</v>
      </c>
      <c r="D59" s="14" t="s">
        <v>476</v>
      </c>
      <c r="E59" s="4" t="s">
        <v>477</v>
      </c>
      <c r="F59" s="46" t="n">
        <v>2.48</v>
      </c>
      <c r="G59" s="34" t="n">
        <v>2268</v>
      </c>
      <c r="H59" s="30" t="n">
        <v>1</v>
      </c>
      <c r="I59" s="38" t="n">
        <f aca="false">F59/(G59*H59)*100</f>
        <v>0.109347442680776</v>
      </c>
      <c r="J59" s="39" t="n">
        <v>1.118</v>
      </c>
      <c r="K59" s="34" t="n">
        <v>453.6</v>
      </c>
      <c r="L59" s="38" t="n">
        <f aca="false">J59/(K59*H59)*100</f>
        <v>0.24647266313933</v>
      </c>
      <c r="M59" s="40" t="n">
        <f aca="false">IF(AND(IF(Planner!$C$39="BLS U.S. average (Sep 2026)",1,0)=1,L59&lt;&gt;""),L59,I59)</f>
        <v>0.109347442680776</v>
      </c>
      <c r="N59" s="13" t="n">
        <v>46</v>
      </c>
      <c r="O59" s="4" t="s">
        <v>319</v>
      </c>
      <c r="P59" s="8" t="n">
        <v>4</v>
      </c>
      <c r="Q59" s="41"/>
      <c r="R59" s="13"/>
      <c r="S59" s="42" t="n">
        <v>0</v>
      </c>
      <c r="T59" s="42" t="n">
        <v>0</v>
      </c>
      <c r="U59" s="42" t="n">
        <v>0</v>
      </c>
      <c r="V59" s="42" t="n">
        <v>0</v>
      </c>
      <c r="W59" s="42" t="n">
        <v>0</v>
      </c>
      <c r="X59" s="42" t="n">
        <v>0</v>
      </c>
      <c r="Y59" s="42" t="n">
        <v>0</v>
      </c>
      <c r="Z59" s="42" t="n">
        <v>0</v>
      </c>
      <c r="AA59" s="42" t="n">
        <v>0</v>
      </c>
      <c r="AB59" s="42" t="n">
        <v>0</v>
      </c>
      <c r="AC59" s="42" t="n">
        <v>0</v>
      </c>
      <c r="AD59" s="43" t="n">
        <f aca="false">SUMPRODUCT(S59:AC59,INDEX(Diets!$I$5:$S$14,MATCH(Planner!$C$36,Diets!$A$5:$A$14,0),0))</f>
        <v>0</v>
      </c>
      <c r="AE59" s="44" t="n">
        <f aca="false">IF(OR(UPPER(Q59)="Y",AD59&gt;0,AND(Planner!$C$40="Core 71 foods",AY59=0)),0,1)</f>
        <v>1</v>
      </c>
      <c r="AF59" s="45" t="n">
        <v>0</v>
      </c>
      <c r="AG59" s="45" t="n">
        <v>0.5</v>
      </c>
      <c r="AH59" s="45" t="n">
        <v>0.5</v>
      </c>
      <c r="AI59" s="45" t="n">
        <v>0</v>
      </c>
      <c r="AJ59" s="8"/>
      <c r="AK59" s="4" t="s">
        <v>435</v>
      </c>
      <c r="AL59" s="31" t="n">
        <v>365</v>
      </c>
      <c r="AM59" s="31" t="n">
        <v>7.13</v>
      </c>
      <c r="AN59" s="31" t="n">
        <v>79.95</v>
      </c>
      <c r="AO59" s="31" t="n">
        <v>0.66</v>
      </c>
      <c r="AP59" s="31" t="n">
        <v>1.3</v>
      </c>
      <c r="AQ59" s="31" t="n">
        <v>0.12</v>
      </c>
      <c r="AR59" s="31" t="n">
        <v>28</v>
      </c>
      <c r="AS59" s="31" t="n">
        <v>4.31</v>
      </c>
      <c r="AT59" s="31" t="n">
        <v>115</v>
      </c>
      <c r="AU59" s="31" t="n">
        <v>5</v>
      </c>
      <c r="AV59" s="31" t="n">
        <v>0</v>
      </c>
      <c r="AW59" s="31" t="n">
        <v>0.18</v>
      </c>
      <c r="AX59" s="4" t="s">
        <v>218</v>
      </c>
      <c r="AY59" s="43" t="n">
        <v>1</v>
      </c>
      <c r="AZ59" s="23" t="n">
        <f aca="false">AM59/M59</f>
        <v>65.205</v>
      </c>
      <c r="BA59" s="18" t="n">
        <f aca="false">AL59/M59</f>
        <v>3337.98387096774</v>
      </c>
      <c r="BB59" s="4" t="s">
        <v>478</v>
      </c>
      <c r="BC59" s="4" t="s">
        <v>479</v>
      </c>
      <c r="BD59" s="4" t="s">
        <v>387</v>
      </c>
    </row>
    <row r="60" customFormat="false" ht="15" hidden="false" customHeight="false" outlineLevel="0" collapsed="false">
      <c r="A60" s="4" t="n">
        <v>55</v>
      </c>
      <c r="B60" s="49" t="s">
        <v>430</v>
      </c>
      <c r="C60" s="50" t="s">
        <v>431</v>
      </c>
      <c r="D60" s="14" t="s">
        <v>480</v>
      </c>
      <c r="E60" s="4" t="s">
        <v>481</v>
      </c>
      <c r="F60" s="37" t="n">
        <v>2.02</v>
      </c>
      <c r="G60" s="34" t="n">
        <v>567</v>
      </c>
      <c r="H60" s="30" t="n">
        <v>1</v>
      </c>
      <c r="I60" s="38" t="n">
        <f aca="false">F60/(G60*H60)*100</f>
        <v>0.35626102292769</v>
      </c>
      <c r="J60" s="4"/>
      <c r="K60" s="4"/>
      <c r="L60" s="4"/>
      <c r="M60" s="40" t="n">
        <f aca="false">IF(AND(IF(Planner!$C$39="BLS U.S. average (Sep 2026)",1,0)=1,L60&lt;&gt;""),L60,I60)</f>
        <v>0.35626102292769</v>
      </c>
      <c r="N60" s="13" t="n">
        <v>32</v>
      </c>
      <c r="O60" s="4" t="s">
        <v>412</v>
      </c>
      <c r="P60" s="8" t="n">
        <v>4</v>
      </c>
      <c r="Q60" s="41"/>
      <c r="R60" s="13"/>
      <c r="S60" s="42" t="n">
        <v>0</v>
      </c>
      <c r="T60" s="42" t="n">
        <v>0</v>
      </c>
      <c r="U60" s="42" t="n">
        <v>0</v>
      </c>
      <c r="V60" s="42" t="n">
        <v>0</v>
      </c>
      <c r="W60" s="42" t="n">
        <v>0</v>
      </c>
      <c r="X60" s="42" t="n">
        <v>0</v>
      </c>
      <c r="Y60" s="42" t="n">
        <v>1</v>
      </c>
      <c r="Z60" s="42" t="n">
        <v>0</v>
      </c>
      <c r="AA60" s="42" t="n">
        <v>0</v>
      </c>
      <c r="AB60" s="42" t="n">
        <v>0</v>
      </c>
      <c r="AC60" s="42" t="n">
        <v>0</v>
      </c>
      <c r="AD60" s="43" t="n">
        <f aca="false">SUMPRODUCT(S60:AC60,INDEX(Diets!$I$5:$S$14,MATCH(Planner!$C$36,Diets!$A$5:$A$14,0),0))</f>
        <v>0</v>
      </c>
      <c r="AE60" s="44" t="n">
        <f aca="false">IF(OR(UPPER(Q60)="Y",AD60&gt;0,AND(Planner!$C$40="Core 71 foods",AY60=0)),0,1)</f>
        <v>1</v>
      </c>
      <c r="AF60" s="45" t="n">
        <v>0.5</v>
      </c>
      <c r="AG60" s="45" t="n">
        <v>0.5</v>
      </c>
      <c r="AH60" s="45" t="n">
        <v>0</v>
      </c>
      <c r="AI60" s="45" t="n">
        <v>0</v>
      </c>
      <c r="AJ60" s="8"/>
      <c r="AK60" s="4" t="s">
        <v>435</v>
      </c>
      <c r="AL60" s="31" t="n">
        <v>252</v>
      </c>
      <c r="AM60" s="31" t="n">
        <v>12.45</v>
      </c>
      <c r="AN60" s="31" t="n">
        <v>42.71</v>
      </c>
      <c r="AO60" s="31" t="n">
        <v>3.5</v>
      </c>
      <c r="AP60" s="31" t="n">
        <v>6</v>
      </c>
      <c r="AQ60" s="31" t="n">
        <v>4.34</v>
      </c>
      <c r="AR60" s="31" t="n">
        <v>161</v>
      </c>
      <c r="AS60" s="31" t="n">
        <v>2.47</v>
      </c>
      <c r="AT60" s="31" t="n">
        <v>254</v>
      </c>
      <c r="AU60" s="31" t="n">
        <v>455</v>
      </c>
      <c r="AV60" s="31" t="n">
        <v>0</v>
      </c>
      <c r="AW60" s="31" t="n">
        <v>0.722</v>
      </c>
      <c r="AX60" s="4" t="s">
        <v>218</v>
      </c>
      <c r="AY60" s="43" t="n">
        <v>1</v>
      </c>
      <c r="AZ60" s="23" t="n">
        <f aca="false">AM60/M60</f>
        <v>34.9462871287129</v>
      </c>
      <c r="BA60" s="18" t="n">
        <f aca="false">AL60/M60</f>
        <v>707.346534653465</v>
      </c>
      <c r="BB60" s="4" t="s">
        <v>482</v>
      </c>
      <c r="BC60" s="4" t="s">
        <v>483</v>
      </c>
      <c r="BD60" s="4"/>
    </row>
    <row r="61" customFormat="false" ht="15" hidden="false" customHeight="false" outlineLevel="0" collapsed="false">
      <c r="A61" s="4" t="n">
        <v>56</v>
      </c>
      <c r="B61" s="49" t="s">
        <v>430</v>
      </c>
      <c r="C61" s="50" t="s">
        <v>431</v>
      </c>
      <c r="D61" s="14" t="s">
        <v>484</v>
      </c>
      <c r="E61" s="4" t="s">
        <v>468</v>
      </c>
      <c r="F61" s="46" t="n">
        <v>1.74</v>
      </c>
      <c r="G61" s="34" t="n">
        <v>453.6</v>
      </c>
      <c r="H61" s="30" t="n">
        <v>1</v>
      </c>
      <c r="I61" s="38" t="n">
        <f aca="false">F61/(G61*H61)*100</f>
        <v>0.383597883597884</v>
      </c>
      <c r="J61" s="4"/>
      <c r="K61" s="4"/>
      <c r="L61" s="4"/>
      <c r="M61" s="40" t="n">
        <f aca="false">IF(AND(IF(Planner!$C$39="BLS U.S. average (Sep 2026)",1,0)=1,L61&lt;&gt;""),L61,I61)</f>
        <v>0.383597883597884</v>
      </c>
      <c r="N61" s="13" t="n">
        <v>57</v>
      </c>
      <c r="O61" s="4" t="s">
        <v>469</v>
      </c>
      <c r="P61" s="8" t="n">
        <v>3</v>
      </c>
      <c r="Q61" s="41"/>
      <c r="R61" s="13"/>
      <c r="S61" s="42" t="n">
        <v>0</v>
      </c>
      <c r="T61" s="42" t="n">
        <v>0</v>
      </c>
      <c r="U61" s="42" t="n">
        <v>0</v>
      </c>
      <c r="V61" s="42" t="n">
        <v>0</v>
      </c>
      <c r="W61" s="42" t="n">
        <v>0</v>
      </c>
      <c r="X61" s="42" t="n">
        <v>0</v>
      </c>
      <c r="Y61" s="42" t="n">
        <v>1</v>
      </c>
      <c r="Z61" s="42" t="n">
        <v>0</v>
      </c>
      <c r="AA61" s="42" t="n">
        <v>0</v>
      </c>
      <c r="AB61" s="42" t="n">
        <v>0</v>
      </c>
      <c r="AC61" s="42" t="n">
        <v>0</v>
      </c>
      <c r="AD61" s="43" t="n">
        <f aca="false">SUMPRODUCT(S61:AC61,INDEX(Diets!$I$5:$S$14,MATCH(Planner!$C$36,Diets!$A$5:$A$14,0),0))</f>
        <v>0</v>
      </c>
      <c r="AE61" s="44" t="n">
        <f aca="false">IF(OR(UPPER(Q61)="Y",AD61&gt;0,AND(Planner!$C$40="Core 71 foods",AY61=0)),0,1)</f>
        <v>1</v>
      </c>
      <c r="AF61" s="45" t="n">
        <v>0</v>
      </c>
      <c r="AG61" s="45" t="n">
        <v>0.5</v>
      </c>
      <c r="AH61" s="45" t="n">
        <v>0.5</v>
      </c>
      <c r="AI61" s="45" t="n">
        <v>0</v>
      </c>
      <c r="AJ61" s="8"/>
      <c r="AK61" s="4" t="s">
        <v>435</v>
      </c>
      <c r="AL61" s="31" t="n">
        <v>352</v>
      </c>
      <c r="AM61" s="31" t="n">
        <v>13.87</v>
      </c>
      <c r="AN61" s="31" t="n">
        <v>73.37</v>
      </c>
      <c r="AO61" s="31" t="n">
        <v>2.93</v>
      </c>
      <c r="AP61" s="31" t="n">
        <v>9.2</v>
      </c>
      <c r="AQ61" s="31" t="n">
        <v>2.74</v>
      </c>
      <c r="AR61" s="31" t="n">
        <v>29</v>
      </c>
      <c r="AS61" s="31" t="n">
        <v>3.62</v>
      </c>
      <c r="AT61" s="31" t="n">
        <v>434</v>
      </c>
      <c r="AU61" s="31" t="n">
        <v>6</v>
      </c>
      <c r="AV61" s="31" t="n">
        <v>0</v>
      </c>
      <c r="AW61" s="31" t="n">
        <v>0.428</v>
      </c>
      <c r="AX61" s="4" t="s">
        <v>218</v>
      </c>
      <c r="AY61" s="43" t="n">
        <v>1</v>
      </c>
      <c r="AZ61" s="23" t="n">
        <f aca="false">AM61/M61</f>
        <v>36.1576551724138</v>
      </c>
      <c r="BA61" s="18" t="n">
        <f aca="false">AL61/M61</f>
        <v>917.627586206897</v>
      </c>
      <c r="BB61" s="4" t="s">
        <v>485</v>
      </c>
      <c r="BC61" s="4" t="s">
        <v>486</v>
      </c>
      <c r="BD61" s="4" t="s">
        <v>429</v>
      </c>
    </row>
    <row r="62" customFormat="false" ht="15" hidden="false" customHeight="false" outlineLevel="0" collapsed="false">
      <c r="A62" s="4" t="n">
        <v>57</v>
      </c>
      <c r="B62" s="49" t="s">
        <v>430</v>
      </c>
      <c r="C62" s="50" t="s">
        <v>487</v>
      </c>
      <c r="D62" s="14" t="s">
        <v>488</v>
      </c>
      <c r="E62" s="4" t="s">
        <v>489</v>
      </c>
      <c r="F62" s="37" t="n">
        <v>2.891</v>
      </c>
      <c r="G62" s="34" t="n">
        <v>453.6</v>
      </c>
      <c r="H62" s="30" t="n">
        <v>1</v>
      </c>
      <c r="I62" s="38" t="n">
        <f aca="false">F62/(G62*H62)*100</f>
        <v>0.637345679012346</v>
      </c>
      <c r="J62" s="4"/>
      <c r="K62" s="4"/>
      <c r="L62" s="4"/>
      <c r="M62" s="40" t="n">
        <f aca="false">IF(AND(IF(Planner!$C$39="BLS U.S. average (Sep 2026)",1,0)=1,L62&lt;&gt;""),L62,I62)</f>
        <v>0.637345679012346</v>
      </c>
      <c r="N62" s="13" t="n">
        <v>82</v>
      </c>
      <c r="O62" s="4" t="s">
        <v>312</v>
      </c>
      <c r="P62" s="8" t="n">
        <v>2</v>
      </c>
      <c r="Q62" s="41"/>
      <c r="R62" s="13"/>
      <c r="S62" s="42" t="n">
        <v>0</v>
      </c>
      <c r="T62" s="42" t="n">
        <v>0</v>
      </c>
      <c r="U62" s="42" t="n">
        <v>0</v>
      </c>
      <c r="V62" s="42" t="n">
        <v>0</v>
      </c>
      <c r="W62" s="42" t="n">
        <v>0</v>
      </c>
      <c r="X62" s="42" t="n">
        <v>0</v>
      </c>
      <c r="Y62" s="42" t="n">
        <v>0</v>
      </c>
      <c r="Z62" s="42" t="n">
        <v>0</v>
      </c>
      <c r="AA62" s="42" t="n">
        <v>0</v>
      </c>
      <c r="AB62" s="42" t="n">
        <v>0</v>
      </c>
      <c r="AC62" s="42" t="n">
        <v>0</v>
      </c>
      <c r="AD62" s="43" t="n">
        <f aca="false">SUMPRODUCT(S62:AC62,INDEX(Diets!$I$5:$S$14,MATCH(Planner!$C$36,Diets!$A$5:$A$14,0),0))</f>
        <v>0</v>
      </c>
      <c r="AE62" s="44" t="n">
        <f aca="false">IF(OR(UPPER(Q62)="Y",AD62&gt;0,AND(Planner!$C$40="Core 71 foods",AY62=0)),0,1)</f>
        <v>1</v>
      </c>
      <c r="AF62" s="45" t="n">
        <v>0</v>
      </c>
      <c r="AG62" s="45" t="n">
        <v>0.5</v>
      </c>
      <c r="AH62" s="45" t="n">
        <v>0.5</v>
      </c>
      <c r="AI62" s="45" t="n">
        <v>0</v>
      </c>
      <c r="AJ62" s="8"/>
      <c r="AK62" s="4"/>
      <c r="AL62" s="31" t="n">
        <v>132</v>
      </c>
      <c r="AM62" s="31" t="n">
        <v>7.59</v>
      </c>
      <c r="AN62" s="31" t="n">
        <v>25.14</v>
      </c>
      <c r="AO62" s="31" t="n">
        <v>0.44</v>
      </c>
      <c r="AP62" s="31" t="n">
        <v>6</v>
      </c>
      <c r="AQ62" s="31" t="n">
        <v>0</v>
      </c>
      <c r="AR62" s="31" t="n">
        <v>35</v>
      </c>
      <c r="AS62" s="31" t="n">
        <v>2.21</v>
      </c>
      <c r="AT62" s="31" t="n">
        <v>452</v>
      </c>
      <c r="AU62" s="31" t="n">
        <v>52</v>
      </c>
      <c r="AV62" s="31" t="n">
        <v>8.3</v>
      </c>
      <c r="AW62" s="31" t="n">
        <v>0.102</v>
      </c>
      <c r="AX62" s="4" t="s">
        <v>320</v>
      </c>
      <c r="AY62" s="43" t="n">
        <v>0</v>
      </c>
      <c r="AZ62" s="23" t="n">
        <f aca="false">AM62/M62</f>
        <v>11.9087651331719</v>
      </c>
      <c r="BA62" s="18" t="n">
        <f aca="false">AL62/M62</f>
        <v>207.108958837772</v>
      </c>
      <c r="BB62" s="4" t="s">
        <v>490</v>
      </c>
      <c r="BC62" s="4" t="s">
        <v>491</v>
      </c>
      <c r="BD62" s="4" t="s">
        <v>492</v>
      </c>
    </row>
    <row r="63" customFormat="false" ht="15" hidden="false" customHeight="false" outlineLevel="0" collapsed="false">
      <c r="A63" s="4" t="n">
        <v>58</v>
      </c>
      <c r="B63" s="49" t="s">
        <v>430</v>
      </c>
      <c r="C63" s="50" t="s">
        <v>487</v>
      </c>
      <c r="D63" s="14" t="s">
        <v>493</v>
      </c>
      <c r="E63" s="4" t="s">
        <v>325</v>
      </c>
      <c r="F63" s="37" t="n">
        <v>1.345</v>
      </c>
      <c r="G63" s="34" t="n">
        <v>453.6</v>
      </c>
      <c r="H63" s="30" t="n">
        <v>1</v>
      </c>
      <c r="I63" s="38" t="n">
        <f aca="false">F63/(G63*H63)*100</f>
        <v>0.296516754850088</v>
      </c>
      <c r="J63" s="4"/>
      <c r="K63" s="4"/>
      <c r="L63" s="4"/>
      <c r="M63" s="40" t="n">
        <f aca="false">IF(AND(IF(Planner!$C$39="BLS U.S. average (Sep 2026)",1,0)=1,L63&lt;&gt;""),L63,I63)</f>
        <v>0.296516754850088</v>
      </c>
      <c r="N63" s="13" t="n">
        <v>128</v>
      </c>
      <c r="O63" s="4" t="s">
        <v>312</v>
      </c>
      <c r="P63" s="8" t="n">
        <v>2</v>
      </c>
      <c r="Q63" s="41"/>
      <c r="R63" s="13"/>
      <c r="S63" s="42" t="n">
        <v>0</v>
      </c>
      <c r="T63" s="42" t="n">
        <v>0</v>
      </c>
      <c r="U63" s="42" t="n">
        <v>0</v>
      </c>
      <c r="V63" s="42" t="n">
        <v>0</v>
      </c>
      <c r="W63" s="42" t="n">
        <v>0</v>
      </c>
      <c r="X63" s="42" t="n">
        <v>0</v>
      </c>
      <c r="Y63" s="42" t="n">
        <v>0</v>
      </c>
      <c r="Z63" s="42" t="n">
        <v>0</v>
      </c>
      <c r="AA63" s="42" t="n">
        <v>0</v>
      </c>
      <c r="AB63" s="42" t="n">
        <v>0</v>
      </c>
      <c r="AC63" s="42" t="n">
        <v>0</v>
      </c>
      <c r="AD63" s="43" t="n">
        <f aca="false">SUMPRODUCT(S63:AC63,INDEX(Diets!$I$5:$S$14,MATCH(Planner!$C$36,Diets!$A$5:$A$14,0),0))</f>
        <v>0</v>
      </c>
      <c r="AE63" s="44" t="n">
        <f aca="false">IF(OR(UPPER(Q63)="Y",AD63&gt;0,AND(Planner!$C$40="Core 71 foods",AY63=0)),0,1)</f>
        <v>1</v>
      </c>
      <c r="AF63" s="45" t="n">
        <v>0</v>
      </c>
      <c r="AG63" s="45" t="n">
        <v>0.5</v>
      </c>
      <c r="AH63" s="45" t="n">
        <v>0.5</v>
      </c>
      <c r="AI63" s="45" t="n">
        <v>0</v>
      </c>
      <c r="AJ63" s="8"/>
      <c r="AK63" s="4"/>
      <c r="AL63" s="31" t="n">
        <v>61</v>
      </c>
      <c r="AM63" s="31" t="n">
        <v>1.95</v>
      </c>
      <c r="AN63" s="31" t="n">
        <v>13.86</v>
      </c>
      <c r="AO63" s="31" t="n">
        <v>0.77</v>
      </c>
      <c r="AP63" s="31" t="n">
        <v>1.7</v>
      </c>
      <c r="AQ63" s="31" t="n">
        <v>4.15</v>
      </c>
      <c r="AR63" s="31" t="n">
        <v>4</v>
      </c>
      <c r="AS63" s="31" t="n">
        <v>0.36</v>
      </c>
      <c r="AT63" s="31" t="n">
        <v>136</v>
      </c>
      <c r="AU63" s="31" t="n">
        <v>195</v>
      </c>
      <c r="AV63" s="31" t="n">
        <v>2.6</v>
      </c>
      <c r="AW63" s="31" t="n">
        <v>0.077</v>
      </c>
      <c r="AX63" s="4" t="s">
        <v>320</v>
      </c>
      <c r="AY63" s="43" t="n">
        <v>0</v>
      </c>
      <c r="AZ63" s="23" t="n">
        <f aca="false">AM63/M63</f>
        <v>6.57635687732342</v>
      </c>
      <c r="BA63" s="18" t="n">
        <f aca="false">AL63/M63</f>
        <v>205.721933085502</v>
      </c>
      <c r="BB63" s="4" t="s">
        <v>494</v>
      </c>
      <c r="BC63" s="4" t="s">
        <v>495</v>
      </c>
      <c r="BD63" s="4" t="s">
        <v>496</v>
      </c>
    </row>
    <row r="64" customFormat="false" ht="15" hidden="false" customHeight="false" outlineLevel="0" collapsed="false">
      <c r="A64" s="4" t="n">
        <v>59</v>
      </c>
      <c r="B64" s="49" t="s">
        <v>430</v>
      </c>
      <c r="C64" s="50" t="s">
        <v>487</v>
      </c>
      <c r="D64" s="14" t="s">
        <v>497</v>
      </c>
      <c r="E64" s="4" t="s">
        <v>498</v>
      </c>
      <c r="F64" s="46" t="n">
        <v>0.98</v>
      </c>
      <c r="G64" s="34" t="n">
        <v>340.2</v>
      </c>
      <c r="H64" s="30" t="n">
        <v>1</v>
      </c>
      <c r="I64" s="38" t="n">
        <f aca="false">F64/(G64*H64)*100</f>
        <v>0.288065843621399</v>
      </c>
      <c r="J64" s="4"/>
      <c r="K64" s="4"/>
      <c r="L64" s="4"/>
      <c r="M64" s="40" t="n">
        <f aca="false">IF(AND(IF(Planner!$C$39="BLS U.S. average (Sep 2026)",1,0)=1,L64&lt;&gt;""),L64,I64)</f>
        <v>0.288065843621399</v>
      </c>
      <c r="N64" s="13" t="n">
        <v>68</v>
      </c>
      <c r="O64" s="4" t="s">
        <v>312</v>
      </c>
      <c r="P64" s="8" t="n">
        <v>3</v>
      </c>
      <c r="Q64" s="41"/>
      <c r="R64" s="13"/>
      <c r="S64" s="42" t="n">
        <v>0</v>
      </c>
      <c r="T64" s="42" t="n">
        <v>0</v>
      </c>
      <c r="U64" s="42" t="n">
        <v>0</v>
      </c>
      <c r="V64" s="42" t="n">
        <v>0</v>
      </c>
      <c r="W64" s="42" t="n">
        <v>0</v>
      </c>
      <c r="X64" s="42" t="n">
        <v>0</v>
      </c>
      <c r="Y64" s="42" t="n">
        <v>0</v>
      </c>
      <c r="Z64" s="42" t="n">
        <v>0</v>
      </c>
      <c r="AA64" s="42" t="n">
        <v>0</v>
      </c>
      <c r="AB64" s="42" t="n">
        <v>0</v>
      </c>
      <c r="AC64" s="42" t="n">
        <v>0</v>
      </c>
      <c r="AD64" s="43" t="n">
        <f aca="false">SUMPRODUCT(S64:AC64,INDEX(Diets!$I$5:$S$14,MATCH(Planner!$C$36,Diets!$A$5:$A$14,0),0))</f>
        <v>0</v>
      </c>
      <c r="AE64" s="44" t="n">
        <f aca="false">IF(OR(UPPER(Q64)="Y",AD64&gt;0,AND(Planner!$C$40="Core 71 foods",AY64=0)),0,1)</f>
        <v>1</v>
      </c>
      <c r="AF64" s="45" t="n">
        <v>0</v>
      </c>
      <c r="AG64" s="45" t="n">
        <v>0.5</v>
      </c>
      <c r="AH64" s="45" t="n">
        <v>0.5</v>
      </c>
      <c r="AI64" s="45" t="n">
        <v>0</v>
      </c>
      <c r="AJ64" s="8"/>
      <c r="AK64" s="4"/>
      <c r="AL64" s="31" t="n">
        <v>88</v>
      </c>
      <c r="AM64" s="31" t="n">
        <v>3.02</v>
      </c>
      <c r="AN64" s="31" t="n">
        <v>20.71</v>
      </c>
      <c r="AO64" s="31" t="n">
        <v>0.78</v>
      </c>
      <c r="AP64" s="31" t="n">
        <v>2.1</v>
      </c>
      <c r="AQ64" s="31" t="n">
        <v>2.5</v>
      </c>
      <c r="AR64" s="31" t="n">
        <v>4</v>
      </c>
      <c r="AS64" s="31" t="n">
        <v>0.42</v>
      </c>
      <c r="AT64" s="31" t="n">
        <v>213</v>
      </c>
      <c r="AU64" s="31" t="n">
        <v>3</v>
      </c>
      <c r="AV64" s="31" t="n">
        <v>6.4</v>
      </c>
      <c r="AW64" s="31" t="n">
        <v>0.119</v>
      </c>
      <c r="AX64" s="4" t="s">
        <v>218</v>
      </c>
      <c r="AY64" s="43" t="n">
        <v>1</v>
      </c>
      <c r="AZ64" s="23" t="n">
        <f aca="false">AM64/M64</f>
        <v>10.4837142857143</v>
      </c>
      <c r="BA64" s="18" t="n">
        <f aca="false">AL64/M64</f>
        <v>305.485714285714</v>
      </c>
      <c r="BB64" s="4" t="s">
        <v>499</v>
      </c>
      <c r="BC64" s="4" t="s">
        <v>500</v>
      </c>
      <c r="BD64" s="4" t="s">
        <v>429</v>
      </c>
    </row>
    <row r="65" customFormat="false" ht="15" hidden="false" customHeight="false" outlineLevel="0" collapsed="false">
      <c r="A65" s="4" t="n">
        <v>60</v>
      </c>
      <c r="B65" s="49" t="s">
        <v>430</v>
      </c>
      <c r="C65" s="50" t="s">
        <v>487</v>
      </c>
      <c r="D65" s="14" t="s">
        <v>501</v>
      </c>
      <c r="E65" s="4" t="s">
        <v>489</v>
      </c>
      <c r="F65" s="37" t="n">
        <v>2.571</v>
      </c>
      <c r="G65" s="34" t="n">
        <v>453.6</v>
      </c>
      <c r="H65" s="30" t="n">
        <v>1</v>
      </c>
      <c r="I65" s="38" t="n">
        <f aca="false">F65/(G65*H65)*100</f>
        <v>0.566798941798942</v>
      </c>
      <c r="J65" s="4"/>
      <c r="K65" s="4"/>
      <c r="L65" s="4"/>
      <c r="M65" s="40" t="n">
        <f aca="false">IF(AND(IF(Planner!$C$39="BLS U.S. average (Sep 2026)",1,0)=1,L65&lt;&gt;""),L65,I65)</f>
        <v>0.566798941798942</v>
      </c>
      <c r="N65" s="13" t="n">
        <v>85</v>
      </c>
      <c r="O65" s="4" t="s">
        <v>502</v>
      </c>
      <c r="P65" s="8" t="n">
        <v>1</v>
      </c>
      <c r="Q65" s="41"/>
      <c r="R65" s="13"/>
      <c r="S65" s="42" t="n">
        <v>0</v>
      </c>
      <c r="T65" s="42" t="n">
        <v>0</v>
      </c>
      <c r="U65" s="42" t="n">
        <v>0</v>
      </c>
      <c r="V65" s="42" t="n">
        <v>0</v>
      </c>
      <c r="W65" s="42" t="n">
        <v>0</v>
      </c>
      <c r="X65" s="42" t="n">
        <v>0</v>
      </c>
      <c r="Y65" s="42" t="n">
        <v>0</v>
      </c>
      <c r="Z65" s="42" t="n">
        <v>0</v>
      </c>
      <c r="AA65" s="42" t="n">
        <v>0</v>
      </c>
      <c r="AB65" s="42" t="n">
        <v>0</v>
      </c>
      <c r="AC65" s="42" t="n">
        <v>0</v>
      </c>
      <c r="AD65" s="43" t="n">
        <f aca="false">SUMPRODUCT(S65:AC65,INDEX(Diets!$I$5:$S$14,MATCH(Planner!$C$36,Diets!$A$5:$A$14,0),0))</f>
        <v>0</v>
      </c>
      <c r="AE65" s="44" t="n">
        <f aca="false">IF(OR(UPPER(Q65)="Y",AD65&gt;0,AND(Planner!$C$40="Core 71 foods",AY65=0)),0,1)</f>
        <v>1</v>
      </c>
      <c r="AF65" s="45" t="n">
        <v>0</v>
      </c>
      <c r="AG65" s="45" t="n">
        <v>0.5</v>
      </c>
      <c r="AH65" s="45" t="n">
        <v>0.5</v>
      </c>
      <c r="AI65" s="45" t="n">
        <v>0</v>
      </c>
      <c r="AJ65" s="8"/>
      <c r="AK65" s="4"/>
      <c r="AL65" s="31" t="n">
        <v>150</v>
      </c>
      <c r="AM65" s="31" t="n">
        <v>2.24</v>
      </c>
      <c r="AN65" s="31" t="n">
        <v>24.81</v>
      </c>
      <c r="AO65" s="31" t="n">
        <v>4.66</v>
      </c>
      <c r="AP65" s="31" t="n">
        <v>1.9</v>
      </c>
      <c r="AQ65" s="31" t="n">
        <v>0.2</v>
      </c>
      <c r="AR65" s="31" t="n">
        <v>9</v>
      </c>
      <c r="AS65" s="31" t="n">
        <v>0.62</v>
      </c>
      <c r="AT65" s="31" t="n">
        <v>408</v>
      </c>
      <c r="AU65" s="31" t="n">
        <v>23</v>
      </c>
      <c r="AV65" s="31" t="n">
        <v>17.3</v>
      </c>
      <c r="AW65" s="31" t="n">
        <v>0.94</v>
      </c>
      <c r="AX65" s="4" t="s">
        <v>320</v>
      </c>
      <c r="AY65" s="43" t="n">
        <v>0</v>
      </c>
      <c r="AZ65" s="23" t="n">
        <f aca="false">AM65/M65</f>
        <v>3.9520186697783</v>
      </c>
      <c r="BA65" s="18" t="n">
        <f aca="false">AL65/M65</f>
        <v>264.644107351225</v>
      </c>
      <c r="BB65" s="4" t="s">
        <v>503</v>
      </c>
      <c r="BC65" s="4" t="s">
        <v>504</v>
      </c>
      <c r="BD65" s="4" t="s">
        <v>505</v>
      </c>
    </row>
    <row r="66" customFormat="false" ht="15" hidden="false" customHeight="false" outlineLevel="0" collapsed="false">
      <c r="A66" s="4" t="n">
        <v>61</v>
      </c>
      <c r="B66" s="49" t="s">
        <v>430</v>
      </c>
      <c r="C66" s="50" t="s">
        <v>487</v>
      </c>
      <c r="D66" s="14" t="s">
        <v>506</v>
      </c>
      <c r="E66" s="4" t="s">
        <v>325</v>
      </c>
      <c r="F66" s="37" t="n">
        <v>1.569</v>
      </c>
      <c r="G66" s="34" t="n">
        <v>453.6</v>
      </c>
      <c r="H66" s="30" t="n">
        <v>1</v>
      </c>
      <c r="I66" s="38" t="n">
        <f aca="false">F66/(G66*H66)*100</f>
        <v>0.345899470899471</v>
      </c>
      <c r="J66" s="4"/>
      <c r="K66" s="4"/>
      <c r="L66" s="4"/>
      <c r="M66" s="40" t="n">
        <f aca="false">IF(AND(IF(Planner!$C$39="BLS U.S. average (Sep 2026)",1,0)=1,L66&lt;&gt;""),L66,I66)</f>
        <v>0.345899470899471</v>
      </c>
      <c r="N66" s="13" t="n">
        <v>124</v>
      </c>
      <c r="O66" s="4" t="s">
        <v>312</v>
      </c>
      <c r="P66" s="8" t="n">
        <v>2</v>
      </c>
      <c r="Q66" s="41"/>
      <c r="R66" s="13"/>
      <c r="S66" s="42" t="n">
        <v>0</v>
      </c>
      <c r="T66" s="42" t="n">
        <v>0</v>
      </c>
      <c r="U66" s="42" t="n">
        <v>0</v>
      </c>
      <c r="V66" s="42" t="n">
        <v>0</v>
      </c>
      <c r="W66" s="42" t="n">
        <v>0</v>
      </c>
      <c r="X66" s="42" t="n">
        <v>0</v>
      </c>
      <c r="Y66" s="42" t="n">
        <v>0</v>
      </c>
      <c r="Z66" s="42" t="n">
        <v>0</v>
      </c>
      <c r="AA66" s="42" t="n">
        <v>0</v>
      </c>
      <c r="AB66" s="42" t="n">
        <v>0</v>
      </c>
      <c r="AC66" s="42" t="n">
        <v>0</v>
      </c>
      <c r="AD66" s="43" t="n">
        <f aca="false">SUMPRODUCT(S66:AC66,INDEX(Diets!$I$5:$S$14,MATCH(Planner!$C$36,Diets!$A$5:$A$14,0),0))</f>
        <v>0</v>
      </c>
      <c r="AE66" s="44" t="n">
        <f aca="false">IF(OR(UPPER(Q66)="Y",AD66&gt;0,AND(Planner!$C$40="Core 71 foods",AY66=0)),0,1)</f>
        <v>1</v>
      </c>
      <c r="AF66" s="45" t="n">
        <v>0</v>
      </c>
      <c r="AG66" s="45" t="n">
        <v>0.5</v>
      </c>
      <c r="AH66" s="45" t="n">
        <v>0.5</v>
      </c>
      <c r="AI66" s="45" t="n">
        <v>0</v>
      </c>
      <c r="AJ66" s="8"/>
      <c r="AK66" s="4"/>
      <c r="AL66" s="31" t="n">
        <v>58</v>
      </c>
      <c r="AM66" s="31" t="n">
        <v>3.01</v>
      </c>
      <c r="AN66" s="31" t="n">
        <v>10.6</v>
      </c>
      <c r="AO66" s="31" t="n">
        <v>0.48</v>
      </c>
      <c r="AP66" s="31" t="n">
        <v>3.3</v>
      </c>
      <c r="AQ66" s="31" t="n">
        <v>3.2</v>
      </c>
      <c r="AR66" s="31" t="n">
        <v>20</v>
      </c>
      <c r="AS66" s="31" t="n">
        <v>1.29</v>
      </c>
      <c r="AT66" s="31" t="n">
        <v>106</v>
      </c>
      <c r="AU66" s="31" t="n">
        <v>185</v>
      </c>
      <c r="AV66" s="31" t="n">
        <v>7.8</v>
      </c>
      <c r="AW66" s="31" t="n">
        <v>0.086</v>
      </c>
      <c r="AX66" s="4" t="s">
        <v>320</v>
      </c>
      <c r="AY66" s="43" t="n">
        <v>0</v>
      </c>
      <c r="AZ66" s="23" t="n">
        <f aca="false">AM66/M66</f>
        <v>8.70195028680688</v>
      </c>
      <c r="BA66" s="18" t="n">
        <f aca="false">AL66/M66</f>
        <v>167.678776290631</v>
      </c>
      <c r="BB66" s="4" t="s">
        <v>507</v>
      </c>
      <c r="BC66" s="4" t="s">
        <v>508</v>
      </c>
      <c r="BD66" s="4" t="s">
        <v>509</v>
      </c>
    </row>
    <row r="67" customFormat="false" ht="15" hidden="false" customHeight="false" outlineLevel="0" collapsed="false">
      <c r="A67" s="4" t="n">
        <v>62</v>
      </c>
      <c r="B67" s="49" t="s">
        <v>430</v>
      </c>
      <c r="C67" s="50" t="s">
        <v>487</v>
      </c>
      <c r="D67" s="14" t="s">
        <v>510</v>
      </c>
      <c r="E67" s="4" t="s">
        <v>489</v>
      </c>
      <c r="F67" s="37" t="n">
        <v>2.235</v>
      </c>
      <c r="G67" s="34" t="n">
        <v>453.6</v>
      </c>
      <c r="H67" s="30" t="n">
        <v>1</v>
      </c>
      <c r="I67" s="38" t="n">
        <f aca="false">F67/(G67*H67)*100</f>
        <v>0.492724867724868</v>
      </c>
      <c r="J67" s="4"/>
      <c r="K67" s="4"/>
      <c r="L67" s="4"/>
      <c r="M67" s="40" t="n">
        <f aca="false">IF(AND(IF(Planner!$C$39="BLS U.S. average (Sep 2026)",1,0)=1,L67&lt;&gt;""),L67,I67)</f>
        <v>0.492724867724868</v>
      </c>
      <c r="N67" s="13" t="n">
        <v>67</v>
      </c>
      <c r="O67" s="4" t="s">
        <v>312</v>
      </c>
      <c r="P67" s="8" t="n">
        <v>3</v>
      </c>
      <c r="Q67" s="41"/>
      <c r="R67" s="13"/>
      <c r="S67" s="42" t="n">
        <v>0</v>
      </c>
      <c r="T67" s="42" t="n">
        <v>0</v>
      </c>
      <c r="U67" s="42" t="n">
        <v>0</v>
      </c>
      <c r="V67" s="42" t="n">
        <v>0</v>
      </c>
      <c r="W67" s="42" t="n">
        <v>0</v>
      </c>
      <c r="X67" s="42" t="n">
        <v>0</v>
      </c>
      <c r="Y67" s="42" t="n">
        <v>0</v>
      </c>
      <c r="Z67" s="42" t="n">
        <v>0</v>
      </c>
      <c r="AA67" s="42" t="n">
        <v>0</v>
      </c>
      <c r="AB67" s="42" t="n">
        <v>0</v>
      </c>
      <c r="AC67" s="42" t="n">
        <v>0</v>
      </c>
      <c r="AD67" s="43" t="n">
        <f aca="false">SUMPRODUCT(S67:AC67,INDEX(Diets!$I$5:$S$14,MATCH(Planner!$C$36,Diets!$A$5:$A$14,0),0))</f>
        <v>0</v>
      </c>
      <c r="AE67" s="44" t="n">
        <f aca="false">IF(OR(UPPER(Q67)="Y",AD67&gt;0,AND(Planner!$C$40="Core 71 foods",AY67=0)),0,1)</f>
        <v>1</v>
      </c>
      <c r="AF67" s="45" t="n">
        <v>0</v>
      </c>
      <c r="AG67" s="45" t="n">
        <v>0.5</v>
      </c>
      <c r="AH67" s="45" t="n">
        <v>0.5</v>
      </c>
      <c r="AI67" s="45" t="n">
        <v>0</v>
      </c>
      <c r="AJ67" s="8"/>
      <c r="AK67" s="4"/>
      <c r="AL67" s="31" t="n">
        <v>77</v>
      </c>
      <c r="AM67" s="31" t="n">
        <v>5.22</v>
      </c>
      <c r="AN67" s="31" t="n">
        <v>13.62</v>
      </c>
      <c r="AO67" s="31" t="n">
        <v>0.4</v>
      </c>
      <c r="AP67" s="31" t="n">
        <v>4.5</v>
      </c>
      <c r="AQ67" s="31" t="n">
        <v>5</v>
      </c>
      <c r="AR67" s="31" t="n">
        <v>22</v>
      </c>
      <c r="AS67" s="31" t="n">
        <v>1.53</v>
      </c>
      <c r="AT67" s="31" t="n">
        <v>153</v>
      </c>
      <c r="AU67" s="31" t="n">
        <v>108</v>
      </c>
      <c r="AV67" s="31" t="n">
        <v>18</v>
      </c>
      <c r="AW67" s="31" t="n">
        <v>0.066</v>
      </c>
      <c r="AX67" s="4" t="s">
        <v>320</v>
      </c>
      <c r="AY67" s="43" t="n">
        <v>0</v>
      </c>
      <c r="AZ67" s="23" t="n">
        <f aca="false">AM67/M67</f>
        <v>10.5941476510067</v>
      </c>
      <c r="BA67" s="18" t="n">
        <f aca="false">AL67/M67</f>
        <v>156.273825503356</v>
      </c>
      <c r="BB67" s="4" t="s">
        <v>511</v>
      </c>
      <c r="BC67" s="4" t="s">
        <v>512</v>
      </c>
      <c r="BD67" s="4" t="s">
        <v>513</v>
      </c>
    </row>
    <row r="68" customFormat="false" ht="15" hidden="false" customHeight="false" outlineLevel="0" collapsed="false">
      <c r="A68" s="4" t="n">
        <v>63</v>
      </c>
      <c r="B68" s="49" t="s">
        <v>430</v>
      </c>
      <c r="C68" s="50" t="s">
        <v>487</v>
      </c>
      <c r="D68" s="14" t="s">
        <v>514</v>
      </c>
      <c r="E68" s="4" t="s">
        <v>515</v>
      </c>
      <c r="F68" s="37" t="n">
        <v>4.86</v>
      </c>
      <c r="G68" s="34" t="n">
        <v>2268</v>
      </c>
      <c r="H68" s="30" t="n">
        <v>0.75</v>
      </c>
      <c r="I68" s="38" t="n">
        <f aca="false">F68/(G68*H68)*100</f>
        <v>0.285714285714286</v>
      </c>
      <c r="J68" s="39" t="n">
        <v>0.989</v>
      </c>
      <c r="K68" s="34" t="n">
        <v>453.6</v>
      </c>
      <c r="L68" s="38" t="n">
        <f aca="false">J68/(K68*H68)*100</f>
        <v>0.290711346266902</v>
      </c>
      <c r="M68" s="40" t="n">
        <f aca="false">IF(AND(IF(Planner!$C$39="BLS U.S. average (Sep 2026)",1,0)=1,L68&lt;&gt;""),L68,I68)</f>
        <v>0.285714285714286</v>
      </c>
      <c r="N68" s="13" t="n">
        <v>150</v>
      </c>
      <c r="O68" s="4" t="s">
        <v>516</v>
      </c>
      <c r="P68" s="8" t="n">
        <v>2</v>
      </c>
      <c r="Q68" s="41"/>
      <c r="R68" s="13"/>
      <c r="S68" s="42" t="n">
        <v>0</v>
      </c>
      <c r="T68" s="42" t="n">
        <v>0</v>
      </c>
      <c r="U68" s="42" t="n">
        <v>0</v>
      </c>
      <c r="V68" s="42" t="n">
        <v>0</v>
      </c>
      <c r="W68" s="42" t="n">
        <v>0</v>
      </c>
      <c r="X68" s="42" t="n">
        <v>0</v>
      </c>
      <c r="Y68" s="42" t="n">
        <v>0</v>
      </c>
      <c r="Z68" s="42" t="n">
        <v>0</v>
      </c>
      <c r="AA68" s="42" t="n">
        <v>0</v>
      </c>
      <c r="AB68" s="42" t="n">
        <v>0</v>
      </c>
      <c r="AC68" s="42" t="n">
        <v>0</v>
      </c>
      <c r="AD68" s="43" t="n">
        <f aca="false">SUMPRODUCT(S68:AC68,INDEX(Diets!$I$5:$S$14,MATCH(Planner!$C$36,Diets!$A$5:$A$14,0),0))</f>
        <v>0</v>
      </c>
      <c r="AE68" s="44" t="n">
        <f aca="false">IF(OR(UPPER(Q68)="Y",AD68&gt;0,AND(Planner!$C$40="Core 71 foods",AY68=0)),0,1)</f>
        <v>1</v>
      </c>
      <c r="AF68" s="45" t="n">
        <v>0</v>
      </c>
      <c r="AG68" s="45" t="n">
        <v>0.5</v>
      </c>
      <c r="AH68" s="45" t="n">
        <v>0.5</v>
      </c>
      <c r="AI68" s="45" t="n">
        <v>0</v>
      </c>
      <c r="AJ68" s="8"/>
      <c r="AK68" s="4"/>
      <c r="AL68" s="31" t="n">
        <v>77</v>
      </c>
      <c r="AM68" s="31" t="n">
        <v>2.05</v>
      </c>
      <c r="AN68" s="31" t="n">
        <v>17.49</v>
      </c>
      <c r="AO68" s="31" t="n">
        <v>0.09</v>
      </c>
      <c r="AP68" s="31" t="n">
        <v>2.1</v>
      </c>
      <c r="AQ68" s="31" t="n">
        <v>0.82</v>
      </c>
      <c r="AR68" s="31" t="n">
        <v>12</v>
      </c>
      <c r="AS68" s="31" t="n">
        <v>0.81</v>
      </c>
      <c r="AT68" s="31" t="n">
        <v>425</v>
      </c>
      <c r="AU68" s="31" t="n">
        <v>6</v>
      </c>
      <c r="AV68" s="31" t="n">
        <v>19.7</v>
      </c>
      <c r="AW68" s="31" t="n">
        <v>0.025</v>
      </c>
      <c r="AX68" s="4" t="s">
        <v>218</v>
      </c>
      <c r="AY68" s="43" t="n">
        <v>1</v>
      </c>
      <c r="AZ68" s="23" t="n">
        <f aca="false">AM68/M68</f>
        <v>7.175</v>
      </c>
      <c r="BA68" s="18" t="n">
        <f aca="false">AL68/M68</f>
        <v>269.5</v>
      </c>
      <c r="BB68" s="4" t="s">
        <v>517</v>
      </c>
      <c r="BC68" s="4" t="s">
        <v>518</v>
      </c>
      <c r="BD68" s="4" t="s">
        <v>519</v>
      </c>
    </row>
    <row r="69" customFormat="false" ht="15" hidden="false" customHeight="false" outlineLevel="0" collapsed="false">
      <c r="A69" s="4" t="n">
        <v>64</v>
      </c>
      <c r="B69" s="49" t="s">
        <v>430</v>
      </c>
      <c r="C69" s="50" t="s">
        <v>487</v>
      </c>
      <c r="D69" s="14" t="s">
        <v>520</v>
      </c>
      <c r="E69" s="4" t="s">
        <v>521</v>
      </c>
      <c r="F69" s="46" t="n">
        <v>3.62</v>
      </c>
      <c r="G69" s="34" t="n">
        <v>1360.8</v>
      </c>
      <c r="H69" s="30" t="n">
        <v>0.72</v>
      </c>
      <c r="I69" s="38" t="n">
        <f aca="false">F69/(G69*H69)*100</f>
        <v>0.369472205891959</v>
      </c>
      <c r="J69" s="4"/>
      <c r="K69" s="4"/>
      <c r="L69" s="4"/>
      <c r="M69" s="40" t="n">
        <f aca="false">IF(AND(IF(Planner!$C$39="BLS U.S. average (Sep 2026)",1,0)=1,L69&lt;&gt;""),L69,I69)</f>
        <v>0.369472205891959</v>
      </c>
      <c r="N69" s="13" t="n">
        <v>133</v>
      </c>
      <c r="O69" s="4" t="s">
        <v>522</v>
      </c>
      <c r="P69" s="8" t="n">
        <v>2</v>
      </c>
      <c r="Q69" s="41"/>
      <c r="R69" s="13"/>
      <c r="S69" s="42" t="n">
        <v>0</v>
      </c>
      <c r="T69" s="42" t="n">
        <v>0</v>
      </c>
      <c r="U69" s="42" t="n">
        <v>0</v>
      </c>
      <c r="V69" s="42" t="n">
        <v>0</v>
      </c>
      <c r="W69" s="42" t="n">
        <v>0</v>
      </c>
      <c r="X69" s="42" t="n">
        <v>0</v>
      </c>
      <c r="Y69" s="42" t="n">
        <v>0</v>
      </c>
      <c r="Z69" s="42" t="n">
        <v>0</v>
      </c>
      <c r="AA69" s="42" t="n">
        <v>0</v>
      </c>
      <c r="AB69" s="42" t="n">
        <v>0</v>
      </c>
      <c r="AC69" s="42" t="n">
        <v>0</v>
      </c>
      <c r="AD69" s="43" t="n">
        <f aca="false">SUMPRODUCT(S69:AC69,INDEX(Diets!$I$5:$S$14,MATCH(Planner!$C$36,Diets!$A$5:$A$14,0),0))</f>
        <v>0</v>
      </c>
      <c r="AE69" s="44" t="n">
        <f aca="false">IF(OR(UPPER(Q69)="Y",AD69&gt;0,AND(Planner!$C$40="Core 71 foods",AY69=0)),0,1)</f>
        <v>1</v>
      </c>
      <c r="AF69" s="45" t="n">
        <v>0</v>
      </c>
      <c r="AG69" s="45" t="n">
        <v>0.5</v>
      </c>
      <c r="AH69" s="45" t="n">
        <v>0.5</v>
      </c>
      <c r="AI69" s="45" t="n">
        <v>0</v>
      </c>
      <c r="AJ69" s="8"/>
      <c r="AK69" s="4"/>
      <c r="AL69" s="31" t="n">
        <v>86</v>
      </c>
      <c r="AM69" s="31" t="n">
        <v>1.57</v>
      </c>
      <c r="AN69" s="31" t="n">
        <v>20.12</v>
      </c>
      <c r="AO69" s="31" t="n">
        <v>0.05</v>
      </c>
      <c r="AP69" s="31" t="n">
        <v>3</v>
      </c>
      <c r="AQ69" s="31" t="n">
        <v>4.18</v>
      </c>
      <c r="AR69" s="31" t="n">
        <v>30</v>
      </c>
      <c r="AS69" s="31" t="n">
        <v>0.61</v>
      </c>
      <c r="AT69" s="31" t="n">
        <v>337</v>
      </c>
      <c r="AU69" s="31" t="n">
        <v>55</v>
      </c>
      <c r="AV69" s="31" t="n">
        <v>2.4</v>
      </c>
      <c r="AW69" s="31" t="n">
        <v>0.018</v>
      </c>
      <c r="AX69" s="4" t="s">
        <v>218</v>
      </c>
      <c r="AY69" s="43" t="n">
        <v>1</v>
      </c>
      <c r="AZ69" s="23" t="n">
        <f aca="false">AM69/M69</f>
        <v>4.24930475138122</v>
      </c>
      <c r="BA69" s="18" t="n">
        <f aca="false">AL69/M69</f>
        <v>232.764464088398</v>
      </c>
      <c r="BB69" s="4" t="s">
        <v>523</v>
      </c>
      <c r="BC69" s="4" t="s">
        <v>524</v>
      </c>
      <c r="BD69" s="4" t="s">
        <v>429</v>
      </c>
    </row>
    <row r="70" customFormat="false" ht="15" hidden="false" customHeight="false" outlineLevel="0" collapsed="false">
      <c r="A70" s="4" t="n">
        <v>65</v>
      </c>
      <c r="B70" s="51" t="s">
        <v>525</v>
      </c>
      <c r="C70" s="52" t="s">
        <v>526</v>
      </c>
      <c r="D70" s="14" t="s">
        <v>527</v>
      </c>
      <c r="E70" s="4" t="s">
        <v>528</v>
      </c>
      <c r="F70" s="46" t="n">
        <v>3.92</v>
      </c>
      <c r="G70" s="34" t="n">
        <v>1360.8</v>
      </c>
      <c r="H70" s="30" t="n">
        <v>0.9</v>
      </c>
      <c r="I70" s="38" t="n">
        <f aca="false">F70/(G70*H70)*100</f>
        <v>0.320073159579332</v>
      </c>
      <c r="J70" s="4"/>
      <c r="K70" s="4"/>
      <c r="L70" s="4"/>
      <c r="M70" s="40" t="n">
        <f aca="false">IF(AND(IF(Planner!$C$39="BLS U.S. average (Sep 2026)",1,0)=1,L70&lt;&gt;""),L70,I70)</f>
        <v>0.320073159579332</v>
      </c>
      <c r="N70" s="13" t="n">
        <v>125</v>
      </c>
      <c r="O70" s="4" t="s">
        <v>529</v>
      </c>
      <c r="P70" s="8" t="n">
        <v>2</v>
      </c>
      <c r="Q70" s="41"/>
      <c r="R70" s="13"/>
      <c r="S70" s="42" t="n">
        <v>0</v>
      </c>
      <c r="T70" s="42" t="n">
        <v>0</v>
      </c>
      <c r="U70" s="42" t="n">
        <v>0</v>
      </c>
      <c r="V70" s="42" t="n">
        <v>0</v>
      </c>
      <c r="W70" s="42" t="n">
        <v>0</v>
      </c>
      <c r="X70" s="42" t="n">
        <v>0</v>
      </c>
      <c r="Y70" s="42" t="n">
        <v>0</v>
      </c>
      <c r="Z70" s="42" t="n">
        <v>0</v>
      </c>
      <c r="AA70" s="42" t="n">
        <v>0</v>
      </c>
      <c r="AB70" s="42" t="n">
        <v>0</v>
      </c>
      <c r="AC70" s="42" t="n">
        <v>0</v>
      </c>
      <c r="AD70" s="43" t="n">
        <f aca="false">SUMPRODUCT(S70:AC70,INDEX(Diets!$I$5:$S$14,MATCH(Planner!$C$36,Diets!$A$5:$A$14,0),0))</f>
        <v>0</v>
      </c>
      <c r="AE70" s="44" t="n">
        <f aca="false">IF(OR(UPPER(Q70)="Y",AD70&gt;0,AND(Planner!$C$40="Core 71 foods",AY70=0)),0,1)</f>
        <v>1</v>
      </c>
      <c r="AF70" s="45" t="n">
        <v>0</v>
      </c>
      <c r="AG70" s="45" t="n">
        <v>0.5</v>
      </c>
      <c r="AH70" s="45" t="n">
        <v>0</v>
      </c>
      <c r="AI70" s="45" t="n">
        <v>0.5</v>
      </c>
      <c r="AJ70" s="8" t="n">
        <v>125</v>
      </c>
      <c r="AK70" s="4"/>
      <c r="AL70" s="31" t="n">
        <v>52</v>
      </c>
      <c r="AM70" s="31" t="n">
        <v>0.26</v>
      </c>
      <c r="AN70" s="31" t="n">
        <v>13.81</v>
      </c>
      <c r="AO70" s="31" t="n">
        <v>0.17</v>
      </c>
      <c r="AP70" s="31" t="n">
        <v>2.4</v>
      </c>
      <c r="AQ70" s="31" t="n">
        <v>10.39</v>
      </c>
      <c r="AR70" s="31" t="n">
        <v>6</v>
      </c>
      <c r="AS70" s="31" t="n">
        <v>0.12</v>
      </c>
      <c r="AT70" s="31" t="n">
        <v>107</v>
      </c>
      <c r="AU70" s="31" t="n">
        <v>1</v>
      </c>
      <c r="AV70" s="31" t="n">
        <v>4.6</v>
      </c>
      <c r="AW70" s="31" t="n">
        <v>0.028</v>
      </c>
      <c r="AX70" s="4" t="s">
        <v>218</v>
      </c>
      <c r="AY70" s="43" t="n">
        <v>1</v>
      </c>
      <c r="AZ70" s="23" t="n">
        <f aca="false">AM70/M70</f>
        <v>0.812314285714286</v>
      </c>
      <c r="BA70" s="18" t="n">
        <f aca="false">AL70/M70</f>
        <v>162.462857142857</v>
      </c>
      <c r="BB70" s="4" t="s">
        <v>530</v>
      </c>
      <c r="BC70" s="4" t="s">
        <v>531</v>
      </c>
      <c r="BD70" s="4" t="s">
        <v>532</v>
      </c>
    </row>
    <row r="71" customFormat="false" ht="15" hidden="false" customHeight="false" outlineLevel="0" collapsed="false">
      <c r="A71" s="4" t="n">
        <v>66</v>
      </c>
      <c r="B71" s="51" t="s">
        <v>525</v>
      </c>
      <c r="C71" s="52" t="s">
        <v>526</v>
      </c>
      <c r="D71" s="14" t="s">
        <v>533</v>
      </c>
      <c r="E71" s="4" t="s">
        <v>325</v>
      </c>
      <c r="F71" s="37" t="n">
        <v>1.333</v>
      </c>
      <c r="G71" s="34" t="n">
        <v>453.6</v>
      </c>
      <c r="H71" s="30" t="n">
        <v>1</v>
      </c>
      <c r="I71" s="38" t="n">
        <f aca="false">F71/(G71*H71)*100</f>
        <v>0.293871252204586</v>
      </c>
      <c r="J71" s="4"/>
      <c r="K71" s="4"/>
      <c r="L71" s="4"/>
      <c r="M71" s="40" t="n">
        <f aca="false">IF(AND(IF(Planner!$C$39="BLS U.S. average (Sep 2026)",1,0)=1,L71&lt;&gt;""),L71,I71)</f>
        <v>0.293871252204586</v>
      </c>
      <c r="N71" s="13" t="n">
        <v>122</v>
      </c>
      <c r="O71" s="4" t="s">
        <v>312</v>
      </c>
      <c r="P71" s="8" t="n">
        <v>2</v>
      </c>
      <c r="Q71" s="41"/>
      <c r="R71" s="13"/>
      <c r="S71" s="42" t="n">
        <v>0</v>
      </c>
      <c r="T71" s="42" t="n">
        <v>0</v>
      </c>
      <c r="U71" s="42" t="n">
        <v>0</v>
      </c>
      <c r="V71" s="42" t="n">
        <v>0</v>
      </c>
      <c r="W71" s="42" t="n">
        <v>0</v>
      </c>
      <c r="X71" s="42" t="n">
        <v>0</v>
      </c>
      <c r="Y71" s="42" t="n">
        <v>0</v>
      </c>
      <c r="Z71" s="42" t="n">
        <v>0</v>
      </c>
      <c r="AA71" s="42" t="n">
        <v>0</v>
      </c>
      <c r="AB71" s="42" t="n">
        <v>0</v>
      </c>
      <c r="AC71" s="42" t="n">
        <v>0</v>
      </c>
      <c r="AD71" s="43" t="n">
        <f aca="false">SUMPRODUCT(S71:AC71,INDEX(Diets!$I$5:$S$14,MATCH(Planner!$C$36,Diets!$A$5:$A$14,0),0))</f>
        <v>0</v>
      </c>
      <c r="AE71" s="44" t="n">
        <f aca="false">IF(OR(UPPER(Q71)="Y",AD71&gt;0,AND(Planner!$C$40="Core 71 foods",AY71=0)),0,1)</f>
        <v>1</v>
      </c>
      <c r="AF71" s="45" t="n">
        <v>0.5</v>
      </c>
      <c r="AG71" s="45" t="n">
        <v>0</v>
      </c>
      <c r="AH71" s="45" t="n">
        <v>0</v>
      </c>
      <c r="AI71" s="45" t="n">
        <v>0.5</v>
      </c>
      <c r="AJ71" s="8" t="n">
        <v>244</v>
      </c>
      <c r="AK71" s="4"/>
      <c r="AL71" s="31" t="n">
        <v>42</v>
      </c>
      <c r="AM71" s="31" t="n">
        <v>0.17</v>
      </c>
      <c r="AN71" s="31" t="n">
        <v>11.27</v>
      </c>
      <c r="AO71" s="31" t="n">
        <v>0.1</v>
      </c>
      <c r="AP71" s="31" t="n">
        <v>1.1</v>
      </c>
      <c r="AQ71" s="31" t="n">
        <v>9.39</v>
      </c>
      <c r="AR71" s="31" t="n">
        <v>4</v>
      </c>
      <c r="AS71" s="31" t="n">
        <v>0.23</v>
      </c>
      <c r="AT71" s="31" t="n">
        <v>74</v>
      </c>
      <c r="AU71" s="31" t="n">
        <v>2</v>
      </c>
      <c r="AV71" s="31" t="n">
        <v>1</v>
      </c>
      <c r="AW71" s="31" t="n">
        <v>0.008</v>
      </c>
      <c r="AX71" s="4" t="s">
        <v>320</v>
      </c>
      <c r="AY71" s="43" t="n">
        <v>0</v>
      </c>
      <c r="AZ71" s="23" t="n">
        <f aca="false">AM71/M71</f>
        <v>0.578484621155289</v>
      </c>
      <c r="BA71" s="18" t="n">
        <f aca="false">AL71/M71</f>
        <v>142.919729932483</v>
      </c>
      <c r="BB71" s="4" t="s">
        <v>534</v>
      </c>
      <c r="BC71" s="4" t="s">
        <v>535</v>
      </c>
      <c r="BD71" s="4" t="s">
        <v>536</v>
      </c>
    </row>
    <row r="72" customFormat="false" ht="15" hidden="false" customHeight="false" outlineLevel="0" collapsed="false">
      <c r="A72" s="4" t="n">
        <v>67</v>
      </c>
      <c r="B72" s="51" t="s">
        <v>525</v>
      </c>
      <c r="C72" s="52" t="s">
        <v>526</v>
      </c>
      <c r="D72" s="14" t="s">
        <v>537</v>
      </c>
      <c r="E72" s="4" t="s">
        <v>538</v>
      </c>
      <c r="F72" s="37" t="n">
        <v>0.5</v>
      </c>
      <c r="G72" s="34" t="n">
        <v>453.6</v>
      </c>
      <c r="H72" s="30" t="n">
        <v>0.64</v>
      </c>
      <c r="I72" s="38" t="n">
        <f aca="false">F72/(G72*H72)*100</f>
        <v>0.172233245149912</v>
      </c>
      <c r="J72" s="39" t="n">
        <v>0.656</v>
      </c>
      <c r="K72" s="34" t="n">
        <v>453.6</v>
      </c>
      <c r="L72" s="38" t="n">
        <f aca="false">J72/(K72*H72)*100</f>
        <v>0.225970017636684</v>
      </c>
      <c r="M72" s="40" t="n">
        <f aca="false">IF(AND(IF(Planner!$C$39="BLS U.S. average (Sep 2026)",1,0)=1,L72&lt;&gt;""),L72,I72)</f>
        <v>0.172233245149912</v>
      </c>
      <c r="N72" s="13" t="n">
        <v>118</v>
      </c>
      <c r="O72" s="4" t="s">
        <v>539</v>
      </c>
      <c r="P72" s="8" t="n">
        <v>2</v>
      </c>
      <c r="Q72" s="41"/>
      <c r="R72" s="13"/>
      <c r="S72" s="42" t="n">
        <v>0</v>
      </c>
      <c r="T72" s="42" t="n">
        <v>0</v>
      </c>
      <c r="U72" s="42" t="n">
        <v>0</v>
      </c>
      <c r="V72" s="42" t="n">
        <v>0</v>
      </c>
      <c r="W72" s="42" t="n">
        <v>0</v>
      </c>
      <c r="X72" s="42" t="n">
        <v>0</v>
      </c>
      <c r="Y72" s="42" t="n">
        <v>0</v>
      </c>
      <c r="Z72" s="42" t="n">
        <v>0</v>
      </c>
      <c r="AA72" s="42" t="n">
        <v>0</v>
      </c>
      <c r="AB72" s="42" t="n">
        <v>0</v>
      </c>
      <c r="AC72" s="42" t="n">
        <v>0</v>
      </c>
      <c r="AD72" s="43" t="n">
        <f aca="false">SUMPRODUCT(S72:AC72,INDEX(Diets!$I$5:$S$14,MATCH(Planner!$C$36,Diets!$A$5:$A$14,0),0))</f>
        <v>0</v>
      </c>
      <c r="AE72" s="44" t="n">
        <f aca="false">IF(OR(UPPER(Q72)="Y",AD72&gt;0,AND(Planner!$C$40="Core 71 foods",AY72=0)),0,1)</f>
        <v>1</v>
      </c>
      <c r="AF72" s="45" t="n">
        <v>0.5</v>
      </c>
      <c r="AG72" s="45" t="n">
        <v>0</v>
      </c>
      <c r="AH72" s="45" t="n">
        <v>0</v>
      </c>
      <c r="AI72" s="45" t="n">
        <v>0.5</v>
      </c>
      <c r="AJ72" s="8" t="n">
        <v>118</v>
      </c>
      <c r="AK72" s="4"/>
      <c r="AL72" s="31" t="n">
        <v>89</v>
      </c>
      <c r="AM72" s="31" t="n">
        <v>1.09</v>
      </c>
      <c r="AN72" s="31" t="n">
        <v>22.84</v>
      </c>
      <c r="AO72" s="31" t="n">
        <v>0.33</v>
      </c>
      <c r="AP72" s="31" t="n">
        <v>2.6</v>
      </c>
      <c r="AQ72" s="31" t="n">
        <v>12.23</v>
      </c>
      <c r="AR72" s="31" t="n">
        <v>5</v>
      </c>
      <c r="AS72" s="31" t="n">
        <v>0.26</v>
      </c>
      <c r="AT72" s="31" t="n">
        <v>358</v>
      </c>
      <c r="AU72" s="31" t="n">
        <v>1</v>
      </c>
      <c r="AV72" s="31" t="n">
        <v>8.7</v>
      </c>
      <c r="AW72" s="31" t="n">
        <v>0.112</v>
      </c>
      <c r="AX72" s="4" t="s">
        <v>218</v>
      </c>
      <c r="AY72" s="43" t="n">
        <v>1</v>
      </c>
      <c r="AZ72" s="23" t="n">
        <f aca="false">AM72/M72</f>
        <v>6.3286272</v>
      </c>
      <c r="BA72" s="18" t="n">
        <f aca="false">AL72/M72</f>
        <v>516.74112</v>
      </c>
      <c r="BB72" s="4" t="s">
        <v>540</v>
      </c>
      <c r="BC72" s="4" t="s">
        <v>541</v>
      </c>
      <c r="BD72" s="4"/>
    </row>
    <row r="73" customFormat="false" ht="15" hidden="false" customHeight="false" outlineLevel="0" collapsed="false">
      <c r="A73" s="4" t="n">
        <v>68</v>
      </c>
      <c r="B73" s="51" t="s">
        <v>525</v>
      </c>
      <c r="C73" s="52" t="s">
        <v>526</v>
      </c>
      <c r="D73" s="14" t="s">
        <v>542</v>
      </c>
      <c r="E73" s="4" t="s">
        <v>543</v>
      </c>
      <c r="F73" s="37" t="n">
        <v>7.249</v>
      </c>
      <c r="G73" s="34" t="n">
        <v>453.6</v>
      </c>
      <c r="H73" s="30" t="n">
        <v>0.96</v>
      </c>
      <c r="I73" s="38" t="n">
        <f aca="false">F73/(G73*H73)*100</f>
        <v>1.66469172545561</v>
      </c>
      <c r="J73" s="4"/>
      <c r="K73" s="4"/>
      <c r="L73" s="4"/>
      <c r="M73" s="40" t="n">
        <f aca="false">IF(AND(IF(Planner!$C$39="BLS U.S. average (Sep 2026)",1,0)=1,L73&lt;&gt;""),L73,I73)</f>
        <v>1.66469172545561</v>
      </c>
      <c r="N73" s="13" t="n">
        <v>144</v>
      </c>
      <c r="O73" s="4" t="s">
        <v>392</v>
      </c>
      <c r="P73" s="8" t="n">
        <v>1</v>
      </c>
      <c r="Q73" s="41"/>
      <c r="R73" s="13"/>
      <c r="S73" s="42" t="n">
        <v>0</v>
      </c>
      <c r="T73" s="42" t="n">
        <v>0</v>
      </c>
      <c r="U73" s="42" t="n">
        <v>0</v>
      </c>
      <c r="V73" s="42" t="n">
        <v>0</v>
      </c>
      <c r="W73" s="42" t="n">
        <v>0</v>
      </c>
      <c r="X73" s="42" t="n">
        <v>0</v>
      </c>
      <c r="Y73" s="42" t="n">
        <v>0</v>
      </c>
      <c r="Z73" s="42" t="n">
        <v>0</v>
      </c>
      <c r="AA73" s="42" t="n">
        <v>0</v>
      </c>
      <c r="AB73" s="42" t="n">
        <v>0</v>
      </c>
      <c r="AC73" s="42" t="n">
        <v>0</v>
      </c>
      <c r="AD73" s="43" t="n">
        <f aca="false">SUMPRODUCT(S73:AC73,INDEX(Diets!$I$5:$S$14,MATCH(Planner!$C$36,Diets!$A$5:$A$14,0),0))</f>
        <v>0</v>
      </c>
      <c r="AE73" s="44" t="n">
        <f aca="false">IF(OR(UPPER(Q73)="Y",AD73&gt;0,AND(Planner!$C$40="Core 71 foods",AY73=0)),0,1)</f>
        <v>1</v>
      </c>
      <c r="AF73" s="45" t="n">
        <v>0.5</v>
      </c>
      <c r="AG73" s="45" t="n">
        <v>0</v>
      </c>
      <c r="AH73" s="45" t="n">
        <v>0</v>
      </c>
      <c r="AI73" s="45" t="n">
        <v>0.5</v>
      </c>
      <c r="AJ73" s="8" t="n">
        <v>144</v>
      </c>
      <c r="AK73" s="4"/>
      <c r="AL73" s="31" t="n">
        <v>43</v>
      </c>
      <c r="AM73" s="31" t="n">
        <v>1.39</v>
      </c>
      <c r="AN73" s="31" t="n">
        <v>9.61</v>
      </c>
      <c r="AO73" s="31" t="n">
        <v>0.49</v>
      </c>
      <c r="AP73" s="31" t="n">
        <v>5.3</v>
      </c>
      <c r="AQ73" s="31" t="n">
        <v>4.88</v>
      </c>
      <c r="AR73" s="31" t="n">
        <v>29</v>
      </c>
      <c r="AS73" s="31" t="n">
        <v>0.62</v>
      </c>
      <c r="AT73" s="31" t="n">
        <v>162</v>
      </c>
      <c r="AU73" s="31" t="n">
        <v>1</v>
      </c>
      <c r="AV73" s="31" t="n">
        <v>21</v>
      </c>
      <c r="AW73" s="31" t="n">
        <v>0.014</v>
      </c>
      <c r="AX73" s="4" t="s">
        <v>320</v>
      </c>
      <c r="AY73" s="43" t="n">
        <v>0</v>
      </c>
      <c r="AZ73" s="23" t="n">
        <f aca="false">AM73/M73</f>
        <v>0.834989433025245</v>
      </c>
      <c r="BA73" s="18" t="n">
        <f aca="false">AL73/M73</f>
        <v>25.8306083597738</v>
      </c>
      <c r="BB73" s="4" t="s">
        <v>544</v>
      </c>
      <c r="BC73" s="4" t="s">
        <v>545</v>
      </c>
      <c r="BD73" s="4" t="s">
        <v>546</v>
      </c>
    </row>
    <row r="74" customFormat="false" ht="15" hidden="false" customHeight="false" outlineLevel="0" collapsed="false">
      <c r="A74" s="4" t="n">
        <v>69</v>
      </c>
      <c r="B74" s="51" t="s">
        <v>525</v>
      </c>
      <c r="C74" s="52" t="s">
        <v>526</v>
      </c>
      <c r="D74" s="14" t="s">
        <v>547</v>
      </c>
      <c r="E74" s="4" t="s">
        <v>548</v>
      </c>
      <c r="F74" s="37" t="n">
        <v>7.97</v>
      </c>
      <c r="G74" s="34" t="n">
        <v>1360.8</v>
      </c>
      <c r="H74" s="30" t="n">
        <v>1</v>
      </c>
      <c r="I74" s="38" t="n">
        <f aca="false">F74/(G74*H74)*100</f>
        <v>0.585684891240447</v>
      </c>
      <c r="J74" s="4"/>
      <c r="K74" s="4"/>
      <c r="L74" s="4"/>
      <c r="M74" s="40" t="n">
        <f aca="false">IF(AND(IF(Planner!$C$39="BLS U.S. average (Sep 2026)",1,0)=1,L74&lt;&gt;""),L74,I74)</f>
        <v>0.585684891240447</v>
      </c>
      <c r="N74" s="13" t="n">
        <v>155</v>
      </c>
      <c r="O74" s="4" t="s">
        <v>392</v>
      </c>
      <c r="P74" s="8" t="n">
        <v>1</v>
      </c>
      <c r="Q74" s="41"/>
      <c r="R74" s="13"/>
      <c r="S74" s="42" t="n">
        <v>0</v>
      </c>
      <c r="T74" s="42" t="n">
        <v>0</v>
      </c>
      <c r="U74" s="42" t="n">
        <v>0</v>
      </c>
      <c r="V74" s="42" t="n">
        <v>0</v>
      </c>
      <c r="W74" s="42" t="n">
        <v>0</v>
      </c>
      <c r="X74" s="42" t="n">
        <v>0</v>
      </c>
      <c r="Y74" s="42" t="n">
        <v>0</v>
      </c>
      <c r="Z74" s="42" t="n">
        <v>0</v>
      </c>
      <c r="AA74" s="42" t="n">
        <v>0</v>
      </c>
      <c r="AB74" s="42" t="n">
        <v>0</v>
      </c>
      <c r="AC74" s="42" t="n">
        <v>0</v>
      </c>
      <c r="AD74" s="43" t="n">
        <f aca="false">SUMPRODUCT(S74:AC74,INDEX(Diets!$I$5:$S$14,MATCH(Planner!$C$36,Diets!$A$5:$A$14,0),0))</f>
        <v>0</v>
      </c>
      <c r="AE74" s="44" t="n">
        <f aca="false">IF(OR(UPPER(Q74)="Y",AD74&gt;0,AND(Planner!$C$40="Core 71 foods",AY74=0)),0,1)</f>
        <v>1</v>
      </c>
      <c r="AF74" s="45" t="n">
        <v>1</v>
      </c>
      <c r="AG74" s="45" t="n">
        <v>0</v>
      </c>
      <c r="AH74" s="45" t="n">
        <v>0</v>
      </c>
      <c r="AI74" s="45" t="n">
        <v>0</v>
      </c>
      <c r="AJ74" s="8" t="n">
        <v>155</v>
      </c>
      <c r="AK74" s="4"/>
      <c r="AL74" s="31" t="n">
        <v>51</v>
      </c>
      <c r="AM74" s="31" t="n">
        <v>0.42</v>
      </c>
      <c r="AN74" s="31" t="n">
        <v>12.17</v>
      </c>
      <c r="AO74" s="31" t="n">
        <v>0.64</v>
      </c>
      <c r="AP74" s="31" t="n">
        <v>2.7</v>
      </c>
      <c r="AQ74" s="31" t="n">
        <v>8.45</v>
      </c>
      <c r="AR74" s="31" t="n">
        <v>8</v>
      </c>
      <c r="AS74" s="31" t="n">
        <v>0.18</v>
      </c>
      <c r="AT74" s="31" t="n">
        <v>54</v>
      </c>
      <c r="AU74" s="31" t="n">
        <v>1</v>
      </c>
      <c r="AV74" s="31" t="n">
        <v>2.5</v>
      </c>
      <c r="AW74" s="31" t="n">
        <v>0.053</v>
      </c>
      <c r="AX74" s="4" t="s">
        <v>218</v>
      </c>
      <c r="AY74" s="43" t="n">
        <v>1</v>
      </c>
      <c r="AZ74" s="23" t="n">
        <f aca="false">AM74/M74</f>
        <v>0.717109159347553</v>
      </c>
      <c r="BA74" s="18" t="n">
        <f aca="false">AL74/M74</f>
        <v>87.0775407779172</v>
      </c>
      <c r="BB74" s="4" t="s">
        <v>549</v>
      </c>
      <c r="BC74" s="4" t="s">
        <v>550</v>
      </c>
      <c r="BD74" s="4"/>
    </row>
    <row r="75" customFormat="false" ht="15" hidden="false" customHeight="false" outlineLevel="0" collapsed="false">
      <c r="A75" s="4" t="n">
        <v>70</v>
      </c>
      <c r="B75" s="51" t="s">
        <v>525</v>
      </c>
      <c r="C75" s="52" t="s">
        <v>526</v>
      </c>
      <c r="D75" s="14" t="s">
        <v>551</v>
      </c>
      <c r="E75" s="4" t="s">
        <v>543</v>
      </c>
      <c r="F75" s="37" t="n">
        <v>0.84</v>
      </c>
      <c r="G75" s="34" t="n">
        <v>453.6</v>
      </c>
      <c r="H75" s="30" t="n">
        <v>0.51</v>
      </c>
      <c r="I75" s="38" t="n">
        <f aca="false">F75/(G75*H75)*100</f>
        <v>0.363108206245461</v>
      </c>
      <c r="J75" s="4"/>
      <c r="K75" s="4"/>
      <c r="L75" s="4"/>
      <c r="M75" s="40" t="n">
        <f aca="false">IF(AND(IF(Planner!$C$39="BLS U.S. average (Sep 2026)",1,0)=1,L75&lt;&gt;""),L75,I75)</f>
        <v>0.363108206245461</v>
      </c>
      <c r="N75" s="13" t="n">
        <v>160</v>
      </c>
      <c r="O75" s="4" t="s">
        <v>552</v>
      </c>
      <c r="P75" s="8" t="n">
        <v>2</v>
      </c>
      <c r="Q75" s="41"/>
      <c r="R75" s="13"/>
      <c r="S75" s="42" t="n">
        <v>0</v>
      </c>
      <c r="T75" s="42" t="n">
        <v>0</v>
      </c>
      <c r="U75" s="42" t="n">
        <v>0</v>
      </c>
      <c r="V75" s="42" t="n">
        <v>0</v>
      </c>
      <c r="W75" s="42" t="n">
        <v>0</v>
      </c>
      <c r="X75" s="42" t="n">
        <v>0</v>
      </c>
      <c r="Y75" s="42" t="n">
        <v>0</v>
      </c>
      <c r="Z75" s="42" t="n">
        <v>0</v>
      </c>
      <c r="AA75" s="42" t="n">
        <v>0</v>
      </c>
      <c r="AB75" s="42" t="n">
        <v>0</v>
      </c>
      <c r="AC75" s="42" t="n">
        <v>0</v>
      </c>
      <c r="AD75" s="43" t="n">
        <f aca="false">SUMPRODUCT(S75:AC75,INDEX(Diets!$I$5:$S$14,MATCH(Planner!$C$36,Diets!$A$5:$A$14,0),0))</f>
        <v>0</v>
      </c>
      <c r="AE75" s="44" t="n">
        <f aca="false">IF(OR(UPPER(Q75)="Y",AD75&gt;0,AND(Planner!$C$40="Core 71 foods",AY75=0)),0,1)</f>
        <v>1</v>
      </c>
      <c r="AF75" s="45" t="n">
        <v>0.5</v>
      </c>
      <c r="AG75" s="45" t="n">
        <v>0</v>
      </c>
      <c r="AH75" s="45" t="n">
        <v>0</v>
      </c>
      <c r="AI75" s="45" t="n">
        <v>0.5</v>
      </c>
      <c r="AJ75" s="8" t="n">
        <v>160</v>
      </c>
      <c r="AK75" s="4"/>
      <c r="AL75" s="31" t="n">
        <v>34</v>
      </c>
      <c r="AM75" s="31" t="n">
        <v>0.84</v>
      </c>
      <c r="AN75" s="31" t="n">
        <v>8.16</v>
      </c>
      <c r="AO75" s="31" t="n">
        <v>0.19</v>
      </c>
      <c r="AP75" s="31" t="n">
        <v>0.9</v>
      </c>
      <c r="AQ75" s="31" t="n">
        <v>7.86</v>
      </c>
      <c r="AR75" s="31" t="n">
        <v>9</v>
      </c>
      <c r="AS75" s="31" t="n">
        <v>0.21</v>
      </c>
      <c r="AT75" s="31" t="n">
        <v>267</v>
      </c>
      <c r="AU75" s="31" t="n">
        <v>16</v>
      </c>
      <c r="AV75" s="31" t="n">
        <v>36.7</v>
      </c>
      <c r="AW75" s="31" t="n">
        <v>0.051</v>
      </c>
      <c r="AX75" s="4" t="s">
        <v>320</v>
      </c>
      <c r="AY75" s="43" t="n">
        <v>0</v>
      </c>
      <c r="AZ75" s="23" t="n">
        <f aca="false">AM75/M75</f>
        <v>2.31336</v>
      </c>
      <c r="BA75" s="18" t="n">
        <f aca="false">AL75/M75</f>
        <v>93.636</v>
      </c>
      <c r="BB75" s="4" t="s">
        <v>553</v>
      </c>
      <c r="BC75" s="4" t="s">
        <v>554</v>
      </c>
      <c r="BD75" s="4" t="s">
        <v>555</v>
      </c>
    </row>
    <row r="76" customFormat="false" ht="15" hidden="false" customHeight="false" outlineLevel="0" collapsed="false">
      <c r="A76" s="4" t="n">
        <v>71</v>
      </c>
      <c r="B76" s="51" t="s">
        <v>525</v>
      </c>
      <c r="C76" s="52" t="s">
        <v>526</v>
      </c>
      <c r="D76" s="14" t="s">
        <v>556</v>
      </c>
      <c r="E76" s="4" t="s">
        <v>543</v>
      </c>
      <c r="F76" s="37" t="n">
        <v>3.882</v>
      </c>
      <c r="G76" s="34" t="n">
        <v>453.6</v>
      </c>
      <c r="H76" s="30" t="n">
        <v>0.92</v>
      </c>
      <c r="I76" s="38" t="n">
        <f aca="false">F76/(G76*H76)*100</f>
        <v>0.930239245456637</v>
      </c>
      <c r="J76" s="4"/>
      <c r="K76" s="4"/>
      <c r="L76" s="4"/>
      <c r="M76" s="40" t="n">
        <f aca="false">IF(AND(IF(Planner!$C$39="BLS U.S. average (Sep 2026)",1,0)=1,L76&lt;&gt;""),L76,I76)</f>
        <v>0.930239245456637</v>
      </c>
      <c r="N76" s="13" t="n">
        <v>154</v>
      </c>
      <c r="O76" s="4" t="s">
        <v>557</v>
      </c>
      <c r="P76" s="8" t="n">
        <v>1</v>
      </c>
      <c r="Q76" s="41"/>
      <c r="R76" s="13"/>
      <c r="S76" s="42" t="n">
        <v>0</v>
      </c>
      <c r="T76" s="42" t="n">
        <v>0</v>
      </c>
      <c r="U76" s="42" t="n">
        <v>0</v>
      </c>
      <c r="V76" s="42" t="n">
        <v>0</v>
      </c>
      <c r="W76" s="42" t="n">
        <v>0</v>
      </c>
      <c r="X76" s="42" t="n">
        <v>0</v>
      </c>
      <c r="Y76" s="42" t="n">
        <v>0</v>
      </c>
      <c r="Z76" s="42" t="n">
        <v>0</v>
      </c>
      <c r="AA76" s="42" t="n">
        <v>0</v>
      </c>
      <c r="AB76" s="42" t="n">
        <v>0</v>
      </c>
      <c r="AC76" s="42" t="n">
        <v>0</v>
      </c>
      <c r="AD76" s="43" t="n">
        <f aca="false">SUMPRODUCT(S76:AC76,INDEX(Diets!$I$5:$S$14,MATCH(Planner!$C$36,Diets!$A$5:$A$14,0),0))</f>
        <v>0</v>
      </c>
      <c r="AE76" s="44" t="n">
        <f aca="false">IF(OR(UPPER(Q76)="Y",AD76&gt;0,AND(Planner!$C$40="Core 71 foods",AY76=0)),0,1)</f>
        <v>1</v>
      </c>
      <c r="AF76" s="45" t="n">
        <v>0</v>
      </c>
      <c r="AG76" s="45" t="n">
        <v>0</v>
      </c>
      <c r="AH76" s="45" t="n">
        <v>0</v>
      </c>
      <c r="AI76" s="45" t="n">
        <v>1</v>
      </c>
      <c r="AJ76" s="8" t="n">
        <v>154</v>
      </c>
      <c r="AK76" s="4"/>
      <c r="AL76" s="31" t="n">
        <v>63</v>
      </c>
      <c r="AM76" s="31" t="n">
        <v>1.06</v>
      </c>
      <c r="AN76" s="31" t="n">
        <v>16.01</v>
      </c>
      <c r="AO76" s="31" t="n">
        <v>0.2</v>
      </c>
      <c r="AP76" s="31" t="n">
        <v>2.1</v>
      </c>
      <c r="AQ76" s="31" t="n">
        <v>12.82</v>
      </c>
      <c r="AR76" s="31" t="n">
        <v>13</v>
      </c>
      <c r="AS76" s="31" t="n">
        <v>0.36</v>
      </c>
      <c r="AT76" s="31" t="n">
        <v>222</v>
      </c>
      <c r="AU76" s="31" t="n">
        <v>0</v>
      </c>
      <c r="AV76" s="31" t="n">
        <v>7</v>
      </c>
      <c r="AW76" s="31" t="n">
        <v>0.038</v>
      </c>
      <c r="AX76" s="4" t="s">
        <v>320</v>
      </c>
      <c r="AY76" s="43" t="n">
        <v>0</v>
      </c>
      <c r="AZ76" s="23" t="n">
        <f aca="false">AM76/M76</f>
        <v>1.13949180834621</v>
      </c>
      <c r="BA76" s="18" t="n">
        <f aca="false">AL76/M76</f>
        <v>67.724513137558</v>
      </c>
      <c r="BB76" s="4" t="s">
        <v>558</v>
      </c>
      <c r="BC76" s="4" t="s">
        <v>559</v>
      </c>
      <c r="BD76" s="4" t="s">
        <v>560</v>
      </c>
    </row>
    <row r="77" customFormat="false" ht="15" hidden="false" customHeight="false" outlineLevel="0" collapsed="false">
      <c r="A77" s="4" t="n">
        <v>72</v>
      </c>
      <c r="B77" s="51" t="s">
        <v>525</v>
      </c>
      <c r="C77" s="52" t="s">
        <v>526</v>
      </c>
      <c r="D77" s="14" t="s">
        <v>561</v>
      </c>
      <c r="E77" s="4" t="s">
        <v>543</v>
      </c>
      <c r="F77" s="37" t="n">
        <v>1.682</v>
      </c>
      <c r="G77" s="34" t="n">
        <v>453.6</v>
      </c>
      <c r="H77" s="30" t="n">
        <v>0.77</v>
      </c>
      <c r="I77" s="38" t="n">
        <f aca="false">F77/(G77*H77)*100</f>
        <v>0.48157310062072</v>
      </c>
      <c r="J77" s="4"/>
      <c r="K77" s="4"/>
      <c r="L77" s="4"/>
      <c r="M77" s="40" t="n">
        <f aca="false">IF(AND(IF(Planner!$C$39="BLS U.S. average (Sep 2026)",1,0)=1,L77&lt;&gt;""),L77,I77)</f>
        <v>0.48157310062072</v>
      </c>
      <c r="N77" s="13" t="n">
        <v>210</v>
      </c>
      <c r="O77" s="4" t="s">
        <v>562</v>
      </c>
      <c r="P77" s="8" t="n">
        <v>2</v>
      </c>
      <c r="Q77" s="41"/>
      <c r="R77" s="13"/>
      <c r="S77" s="42" t="n">
        <v>0</v>
      </c>
      <c r="T77" s="42" t="n">
        <v>0</v>
      </c>
      <c r="U77" s="42" t="n">
        <v>0</v>
      </c>
      <c r="V77" s="42" t="n">
        <v>0</v>
      </c>
      <c r="W77" s="42" t="n">
        <v>0</v>
      </c>
      <c r="X77" s="42" t="n">
        <v>0</v>
      </c>
      <c r="Y77" s="42" t="n">
        <v>0</v>
      </c>
      <c r="Z77" s="42" t="n">
        <v>0</v>
      </c>
      <c r="AA77" s="42" t="n">
        <v>0</v>
      </c>
      <c r="AB77" s="42" t="n">
        <v>0</v>
      </c>
      <c r="AC77" s="42" t="n">
        <v>0</v>
      </c>
      <c r="AD77" s="43" t="n">
        <f aca="false">SUMPRODUCT(S77:AC77,INDEX(Diets!$I$5:$S$14,MATCH(Planner!$C$36,Diets!$A$5:$A$14,0),0))</f>
        <v>0</v>
      </c>
      <c r="AE77" s="44" t="n">
        <f aca="false">IF(OR(UPPER(Q77)="Y",AD77&gt;0,AND(Planner!$C$40="Core 71 foods",AY77=0)),0,1)</f>
        <v>1</v>
      </c>
      <c r="AF77" s="45" t="n">
        <v>0</v>
      </c>
      <c r="AG77" s="45" t="n">
        <v>0</v>
      </c>
      <c r="AH77" s="45" t="n">
        <v>0</v>
      </c>
      <c r="AI77" s="45" t="n">
        <v>1</v>
      </c>
      <c r="AJ77" s="8" t="n">
        <v>210</v>
      </c>
      <c r="AK77" s="4"/>
      <c r="AL77" s="31" t="n">
        <v>47</v>
      </c>
      <c r="AM77" s="31" t="n">
        <v>0.85</v>
      </c>
      <c r="AN77" s="31" t="n">
        <v>12.02</v>
      </c>
      <c r="AO77" s="31" t="n">
        <v>0.15</v>
      </c>
      <c r="AP77" s="31" t="n">
        <v>1.7</v>
      </c>
      <c r="AQ77" s="31" t="n">
        <v>9.18</v>
      </c>
      <c r="AR77" s="31" t="n">
        <v>30</v>
      </c>
      <c r="AS77" s="31" t="n">
        <v>0.14</v>
      </c>
      <c r="AT77" s="31" t="n">
        <v>177</v>
      </c>
      <c r="AU77" s="31" t="n">
        <v>1</v>
      </c>
      <c r="AV77" s="31" t="n">
        <v>48.8</v>
      </c>
      <c r="AW77" s="31" t="n">
        <v>0</v>
      </c>
      <c r="AX77" s="4" t="s">
        <v>320</v>
      </c>
      <c r="AY77" s="43" t="n">
        <v>0</v>
      </c>
      <c r="AZ77" s="23" t="n">
        <f aca="false">AM77/M77</f>
        <v>1.76504875148633</v>
      </c>
      <c r="BA77" s="18" t="n">
        <f aca="false">AL77/M77</f>
        <v>97.5968133174792</v>
      </c>
      <c r="BB77" s="4" t="s">
        <v>563</v>
      </c>
      <c r="BC77" s="4" t="s">
        <v>564</v>
      </c>
      <c r="BD77" s="4" t="s">
        <v>565</v>
      </c>
    </row>
    <row r="78" customFormat="false" ht="15" hidden="false" customHeight="false" outlineLevel="0" collapsed="false">
      <c r="A78" s="4" t="n">
        <v>73</v>
      </c>
      <c r="B78" s="51" t="s">
        <v>525</v>
      </c>
      <c r="C78" s="52" t="s">
        <v>526</v>
      </c>
      <c r="D78" s="14" t="s">
        <v>566</v>
      </c>
      <c r="E78" s="4" t="s">
        <v>318</v>
      </c>
      <c r="F78" s="37" t="n">
        <v>6.356</v>
      </c>
      <c r="G78" s="34" t="n">
        <v>453.6</v>
      </c>
      <c r="H78" s="30" t="n">
        <v>1</v>
      </c>
      <c r="I78" s="38" t="n">
        <f aca="false">F78/(G78*H78)*100</f>
        <v>1.40123456790123</v>
      </c>
      <c r="J78" s="4"/>
      <c r="K78" s="4"/>
      <c r="L78" s="4"/>
      <c r="M78" s="40" t="n">
        <f aca="false">IF(AND(IF(Planner!$C$39="BLS U.S. average (Sep 2026)",1,0)=1,L78&lt;&gt;""),L78,I78)</f>
        <v>1.40123456790123</v>
      </c>
      <c r="N78" s="13" t="n">
        <v>37</v>
      </c>
      <c r="O78" s="4" t="s">
        <v>567</v>
      </c>
      <c r="P78" s="8" t="n">
        <v>1</v>
      </c>
      <c r="Q78" s="41"/>
      <c r="R78" s="13"/>
      <c r="S78" s="42" t="n">
        <v>0</v>
      </c>
      <c r="T78" s="42" t="n">
        <v>0</v>
      </c>
      <c r="U78" s="42" t="n">
        <v>0</v>
      </c>
      <c r="V78" s="42" t="n">
        <v>0</v>
      </c>
      <c r="W78" s="42" t="n">
        <v>0</v>
      </c>
      <c r="X78" s="42" t="n">
        <v>0</v>
      </c>
      <c r="Y78" s="42" t="n">
        <v>0</v>
      </c>
      <c r="Z78" s="42" t="n">
        <v>0</v>
      </c>
      <c r="AA78" s="42" t="n">
        <v>0</v>
      </c>
      <c r="AB78" s="42" t="n">
        <v>0</v>
      </c>
      <c r="AC78" s="42" t="n">
        <v>0</v>
      </c>
      <c r="AD78" s="43" t="n">
        <f aca="false">SUMPRODUCT(S78:AC78,INDEX(Diets!$I$5:$S$14,MATCH(Planner!$C$36,Diets!$A$5:$A$14,0),0))</f>
        <v>0</v>
      </c>
      <c r="AE78" s="44" t="n">
        <f aca="false">IF(OR(UPPER(Q78)="Y",AD78&gt;0,AND(Planner!$C$40="Core 71 foods",AY78=0)),0,1)</f>
        <v>1</v>
      </c>
      <c r="AF78" s="45" t="n">
        <v>0</v>
      </c>
      <c r="AG78" s="45" t="n">
        <v>0</v>
      </c>
      <c r="AH78" s="45" t="n">
        <v>0</v>
      </c>
      <c r="AI78" s="45" t="n">
        <v>1</v>
      </c>
      <c r="AJ78" s="8" t="n">
        <v>73.5</v>
      </c>
      <c r="AK78" s="4"/>
      <c r="AL78" s="31" t="n">
        <v>282</v>
      </c>
      <c r="AM78" s="31" t="n">
        <v>2.45</v>
      </c>
      <c r="AN78" s="31" t="n">
        <v>75.03</v>
      </c>
      <c r="AO78" s="31" t="n">
        <v>0.39</v>
      </c>
      <c r="AP78" s="31" t="n">
        <v>8</v>
      </c>
      <c r="AQ78" s="31" t="n">
        <v>63.35</v>
      </c>
      <c r="AR78" s="31" t="n">
        <v>39</v>
      </c>
      <c r="AS78" s="31" t="n">
        <v>1.02</v>
      </c>
      <c r="AT78" s="31" t="n">
        <v>656</v>
      </c>
      <c r="AU78" s="31" t="n">
        <v>2</v>
      </c>
      <c r="AV78" s="31" t="n">
        <v>0.4</v>
      </c>
      <c r="AW78" s="31" t="n">
        <v>0.032</v>
      </c>
      <c r="AX78" s="4" t="s">
        <v>320</v>
      </c>
      <c r="AY78" s="43" t="n">
        <v>0</v>
      </c>
      <c r="AZ78" s="23" t="n">
        <f aca="false">AM78/M78</f>
        <v>1.74845814977974</v>
      </c>
      <c r="BA78" s="18" t="n">
        <f aca="false">AL78/M78</f>
        <v>201.251101321586</v>
      </c>
      <c r="BB78" s="4" t="s">
        <v>568</v>
      </c>
      <c r="BC78" s="4" t="s">
        <v>569</v>
      </c>
      <c r="BD78" s="4" t="s">
        <v>570</v>
      </c>
    </row>
    <row r="79" customFormat="false" ht="15" hidden="false" customHeight="false" outlineLevel="0" collapsed="false">
      <c r="A79" s="4" t="n">
        <v>74</v>
      </c>
      <c r="B79" s="51" t="s">
        <v>525</v>
      </c>
      <c r="C79" s="52" t="s">
        <v>526</v>
      </c>
      <c r="D79" s="14" t="s">
        <v>571</v>
      </c>
      <c r="E79" s="4" t="s">
        <v>318</v>
      </c>
      <c r="F79" s="37" t="n">
        <v>9.32</v>
      </c>
      <c r="G79" s="34" t="n">
        <v>453.6</v>
      </c>
      <c r="H79" s="30" t="n">
        <v>1</v>
      </c>
      <c r="I79" s="38" t="n">
        <f aca="false">F79/(G79*H79)*100</f>
        <v>2.05467372134039</v>
      </c>
      <c r="J79" s="4"/>
      <c r="K79" s="4"/>
      <c r="L79" s="4"/>
      <c r="M79" s="40" t="n">
        <f aca="false">IF(AND(IF(Planner!$C$39="BLS U.S. average (Sep 2026)",1,0)=1,L79&lt;&gt;""),L79,I79)</f>
        <v>2.05467372134039</v>
      </c>
      <c r="N79" s="13" t="n">
        <v>33</v>
      </c>
      <c r="O79" s="4" t="s">
        <v>572</v>
      </c>
      <c r="P79" s="8" t="n">
        <v>1</v>
      </c>
      <c r="Q79" s="41"/>
      <c r="R79" s="13"/>
      <c r="S79" s="42" t="n">
        <v>0</v>
      </c>
      <c r="T79" s="42" t="n">
        <v>0</v>
      </c>
      <c r="U79" s="42" t="n">
        <v>0</v>
      </c>
      <c r="V79" s="42" t="n">
        <v>0</v>
      </c>
      <c r="W79" s="42" t="n">
        <v>0</v>
      </c>
      <c r="X79" s="42" t="n">
        <v>0</v>
      </c>
      <c r="Y79" s="42" t="n">
        <v>0</v>
      </c>
      <c r="Z79" s="42" t="n">
        <v>0</v>
      </c>
      <c r="AA79" s="42" t="n">
        <v>0</v>
      </c>
      <c r="AB79" s="42" t="n">
        <v>0</v>
      </c>
      <c r="AC79" s="42" t="n">
        <v>0</v>
      </c>
      <c r="AD79" s="43" t="n">
        <f aca="false">SUMPRODUCT(S79:AC79,INDEX(Diets!$I$5:$S$14,MATCH(Planner!$C$36,Diets!$A$5:$A$14,0),0))</f>
        <v>0</v>
      </c>
      <c r="AE79" s="44" t="n">
        <f aca="false">IF(OR(UPPER(Q79)="Y",AD79&gt;0,AND(Planner!$C$40="Core 71 foods",AY79=0)),0,1)</f>
        <v>1</v>
      </c>
      <c r="AF79" s="45" t="n">
        <v>0</v>
      </c>
      <c r="AG79" s="45" t="n">
        <v>0</v>
      </c>
      <c r="AH79" s="45" t="n">
        <v>0</v>
      </c>
      <c r="AI79" s="45" t="n">
        <v>1</v>
      </c>
      <c r="AJ79" s="8" t="n">
        <v>65</v>
      </c>
      <c r="AK79" s="4"/>
      <c r="AL79" s="31" t="n">
        <v>241</v>
      </c>
      <c r="AM79" s="31" t="n">
        <v>3.39</v>
      </c>
      <c r="AN79" s="31" t="n">
        <v>62.64</v>
      </c>
      <c r="AO79" s="31" t="n">
        <v>0.51</v>
      </c>
      <c r="AP79" s="31" t="n">
        <v>7.3</v>
      </c>
      <c r="AQ79" s="31" t="n">
        <v>53.44</v>
      </c>
      <c r="AR79" s="31" t="n">
        <v>55</v>
      </c>
      <c r="AS79" s="31" t="n">
        <v>2.66</v>
      </c>
      <c r="AT79" s="31" t="n">
        <v>1162</v>
      </c>
      <c r="AU79" s="31" t="n">
        <v>10</v>
      </c>
      <c r="AV79" s="31" t="n">
        <v>1</v>
      </c>
      <c r="AW79" s="31" t="n">
        <v>0.017</v>
      </c>
      <c r="AX79" s="4" t="s">
        <v>320</v>
      </c>
      <c r="AY79" s="43" t="n">
        <v>0</v>
      </c>
      <c r="AZ79" s="23" t="n">
        <f aca="false">AM79/M79</f>
        <v>1.64989699570815</v>
      </c>
      <c r="BA79" s="18" t="n">
        <f aca="false">AL79/M79</f>
        <v>117.29356223176</v>
      </c>
      <c r="BB79" s="4" t="s">
        <v>573</v>
      </c>
      <c r="BC79" s="4" t="s">
        <v>574</v>
      </c>
      <c r="BD79" s="4" t="s">
        <v>575</v>
      </c>
    </row>
    <row r="80" customFormat="false" ht="15" hidden="false" customHeight="false" outlineLevel="0" collapsed="false">
      <c r="A80" s="4" t="n">
        <v>75</v>
      </c>
      <c r="B80" s="51" t="s">
        <v>525</v>
      </c>
      <c r="C80" s="52" t="s">
        <v>526</v>
      </c>
      <c r="D80" s="14" t="s">
        <v>576</v>
      </c>
      <c r="E80" s="4" t="s">
        <v>318</v>
      </c>
      <c r="F80" s="37" t="n">
        <v>5.682</v>
      </c>
      <c r="G80" s="34" t="n">
        <v>453.6</v>
      </c>
      <c r="H80" s="30" t="n">
        <v>1</v>
      </c>
      <c r="I80" s="38" t="n">
        <f aca="false">F80/(G80*H80)*100</f>
        <v>1.2526455026455</v>
      </c>
      <c r="J80" s="4"/>
      <c r="K80" s="4"/>
      <c r="L80" s="4"/>
      <c r="M80" s="40" t="n">
        <f aca="false">IF(AND(IF(Planner!$C$39="BLS U.S. average (Sep 2026)",1,0)=1,L80&lt;&gt;""),L80,I80)</f>
        <v>1.2526455026455</v>
      </c>
      <c r="N80" s="13" t="n">
        <v>40</v>
      </c>
      <c r="O80" s="4" t="s">
        <v>577</v>
      </c>
      <c r="P80" s="8" t="n">
        <v>1</v>
      </c>
      <c r="Q80" s="41"/>
      <c r="R80" s="13"/>
      <c r="S80" s="42" t="n">
        <v>0</v>
      </c>
      <c r="T80" s="42" t="n">
        <v>0</v>
      </c>
      <c r="U80" s="42" t="n">
        <v>0</v>
      </c>
      <c r="V80" s="42" t="n">
        <v>0</v>
      </c>
      <c r="W80" s="42" t="n">
        <v>0</v>
      </c>
      <c r="X80" s="42" t="n">
        <v>0</v>
      </c>
      <c r="Y80" s="42" t="n">
        <v>0</v>
      </c>
      <c r="Z80" s="42" t="n">
        <v>0</v>
      </c>
      <c r="AA80" s="42" t="n">
        <v>0</v>
      </c>
      <c r="AB80" s="42" t="n">
        <v>0</v>
      </c>
      <c r="AC80" s="42" t="n">
        <v>0</v>
      </c>
      <c r="AD80" s="43" t="n">
        <f aca="false">SUMPRODUCT(S80:AC80,INDEX(Diets!$I$5:$S$14,MATCH(Planner!$C$36,Diets!$A$5:$A$14,0),0))</f>
        <v>0</v>
      </c>
      <c r="AE80" s="44" t="n">
        <f aca="false">IF(OR(UPPER(Q80)="Y",AD80&gt;0,AND(Planner!$C$40="Core 71 foods",AY80=0)),0,1)</f>
        <v>1</v>
      </c>
      <c r="AF80" s="45" t="n">
        <v>0</v>
      </c>
      <c r="AG80" s="45" t="n">
        <v>0</v>
      </c>
      <c r="AH80" s="45" t="n">
        <v>0</v>
      </c>
      <c r="AI80" s="45" t="n">
        <v>1</v>
      </c>
      <c r="AJ80" s="8" t="n">
        <v>80</v>
      </c>
      <c r="AK80" s="4"/>
      <c r="AL80" s="31" t="n">
        <v>308</v>
      </c>
      <c r="AM80" s="31" t="n">
        <v>0.17</v>
      </c>
      <c r="AN80" s="31" t="n">
        <v>82.8</v>
      </c>
      <c r="AO80" s="31" t="n">
        <v>1.09</v>
      </c>
      <c r="AP80" s="31" t="n">
        <v>5.3</v>
      </c>
      <c r="AQ80" s="31" t="n">
        <v>72.56</v>
      </c>
      <c r="AR80" s="31" t="n">
        <v>9</v>
      </c>
      <c r="AS80" s="31" t="n">
        <v>0.39</v>
      </c>
      <c r="AT80" s="31" t="n">
        <v>49</v>
      </c>
      <c r="AU80" s="31" t="n">
        <v>5</v>
      </c>
      <c r="AV80" s="31" t="n">
        <v>0.2</v>
      </c>
      <c r="AW80" s="31" t="n">
        <v>0.088</v>
      </c>
      <c r="AX80" s="4" t="s">
        <v>320</v>
      </c>
      <c r="AY80" s="43" t="n">
        <v>0</v>
      </c>
      <c r="AZ80" s="23" t="n">
        <f aca="false">AM80/M80</f>
        <v>0.13571277719113</v>
      </c>
      <c r="BA80" s="18" t="n">
        <f aca="false">AL80/M80</f>
        <v>245.879619852165</v>
      </c>
      <c r="BB80" s="4" t="s">
        <v>578</v>
      </c>
      <c r="BC80" s="4" t="s">
        <v>579</v>
      </c>
      <c r="BD80" s="4" t="s">
        <v>580</v>
      </c>
    </row>
    <row r="81" customFormat="false" ht="15" hidden="false" customHeight="false" outlineLevel="0" collapsed="false">
      <c r="A81" s="4" t="n">
        <v>76</v>
      </c>
      <c r="B81" s="51" t="s">
        <v>525</v>
      </c>
      <c r="C81" s="52" t="s">
        <v>526</v>
      </c>
      <c r="D81" s="14" t="s">
        <v>581</v>
      </c>
      <c r="E81" s="4" t="s">
        <v>325</v>
      </c>
      <c r="F81" s="37" t="n">
        <v>2.925</v>
      </c>
      <c r="G81" s="34" t="n">
        <v>453.6</v>
      </c>
      <c r="H81" s="30" t="n">
        <v>1</v>
      </c>
      <c r="I81" s="38" t="n">
        <f aca="false">F81/(G81*H81)*100</f>
        <v>0.64484126984127</v>
      </c>
      <c r="J81" s="4"/>
      <c r="K81" s="4"/>
      <c r="L81" s="4"/>
      <c r="M81" s="40" t="n">
        <f aca="false">IF(AND(IF(Planner!$C$39="BLS U.S. average (Sep 2026)",1,0)=1,L81&lt;&gt;""),L81,I81)</f>
        <v>0.64484126984127</v>
      </c>
      <c r="N81" s="13" t="n">
        <v>119</v>
      </c>
      <c r="O81" s="4" t="s">
        <v>312</v>
      </c>
      <c r="P81" s="8" t="n">
        <v>2</v>
      </c>
      <c r="Q81" s="41"/>
      <c r="R81" s="13"/>
      <c r="S81" s="42" t="n">
        <v>0</v>
      </c>
      <c r="T81" s="42" t="n">
        <v>0</v>
      </c>
      <c r="U81" s="42" t="n">
        <v>0</v>
      </c>
      <c r="V81" s="42" t="n">
        <v>0</v>
      </c>
      <c r="W81" s="42" t="n">
        <v>0</v>
      </c>
      <c r="X81" s="42" t="n">
        <v>0</v>
      </c>
      <c r="Y81" s="42" t="n">
        <v>0</v>
      </c>
      <c r="Z81" s="42" t="n">
        <v>0</v>
      </c>
      <c r="AA81" s="42" t="n">
        <v>0</v>
      </c>
      <c r="AB81" s="42" t="n">
        <v>0</v>
      </c>
      <c r="AC81" s="42" t="n">
        <v>0</v>
      </c>
      <c r="AD81" s="43" t="n">
        <f aca="false">SUMPRODUCT(S81:AC81,INDEX(Diets!$I$5:$S$14,MATCH(Planner!$C$36,Diets!$A$5:$A$14,0),0))</f>
        <v>0</v>
      </c>
      <c r="AE81" s="44" t="n">
        <f aca="false">IF(OR(UPPER(Q81)="Y",AD81&gt;0,AND(Planner!$C$40="Core 71 foods",AY81=0)),0,1)</f>
        <v>1</v>
      </c>
      <c r="AF81" s="45" t="n">
        <v>0.5</v>
      </c>
      <c r="AG81" s="45" t="n">
        <v>0</v>
      </c>
      <c r="AH81" s="45" t="n">
        <v>0</v>
      </c>
      <c r="AI81" s="45" t="n">
        <v>0.5</v>
      </c>
      <c r="AJ81" s="8" t="n">
        <v>237</v>
      </c>
      <c r="AK81" s="4"/>
      <c r="AL81" s="31" t="n">
        <v>46</v>
      </c>
      <c r="AM81" s="31" t="n">
        <v>0.46</v>
      </c>
      <c r="AN81" s="31" t="n">
        <v>11.86</v>
      </c>
      <c r="AO81" s="31" t="n">
        <v>0.01</v>
      </c>
      <c r="AP81" s="31" t="n">
        <v>1</v>
      </c>
      <c r="AQ81" s="31" t="n">
        <v>10.86</v>
      </c>
      <c r="AR81" s="31" t="n">
        <v>8</v>
      </c>
      <c r="AS81" s="31" t="n">
        <v>0.21</v>
      </c>
      <c r="AT81" s="31" t="n">
        <v>95</v>
      </c>
      <c r="AU81" s="31" t="n">
        <v>4</v>
      </c>
      <c r="AV81" s="31" t="n">
        <v>2.7</v>
      </c>
      <c r="AW81" s="31" t="n">
        <v>0.001</v>
      </c>
      <c r="AX81" s="4" t="s">
        <v>320</v>
      </c>
      <c r="AY81" s="43" t="n">
        <v>0</v>
      </c>
      <c r="AZ81" s="23" t="n">
        <f aca="false">AM81/M81</f>
        <v>0.713353846153846</v>
      </c>
      <c r="BA81" s="18" t="n">
        <f aca="false">AL81/M81</f>
        <v>71.3353846153846</v>
      </c>
      <c r="BB81" s="4" t="s">
        <v>582</v>
      </c>
      <c r="BC81" s="4" t="s">
        <v>583</v>
      </c>
      <c r="BD81" s="4" t="s">
        <v>584</v>
      </c>
    </row>
    <row r="82" customFormat="false" ht="15" hidden="false" customHeight="false" outlineLevel="0" collapsed="false">
      <c r="A82" s="4" t="n">
        <v>77</v>
      </c>
      <c r="B82" s="51" t="s">
        <v>525</v>
      </c>
      <c r="C82" s="52" t="s">
        <v>526</v>
      </c>
      <c r="D82" s="14" t="s">
        <v>585</v>
      </c>
      <c r="E82" s="4" t="s">
        <v>586</v>
      </c>
      <c r="F82" s="37" t="n">
        <v>1.624</v>
      </c>
      <c r="G82" s="34" t="n">
        <v>453.6</v>
      </c>
      <c r="H82" s="30" t="n">
        <v>0.5</v>
      </c>
      <c r="I82" s="38" t="n">
        <f aca="false">F82/(G82*H82)*100</f>
        <v>0.71604938271605</v>
      </c>
      <c r="J82" s="39" t="n">
        <v>1.624</v>
      </c>
      <c r="K82" s="34" t="n">
        <v>453.6</v>
      </c>
      <c r="L82" s="38" t="n">
        <f aca="false">J82/(K82*H82)*100</f>
        <v>0.71604938271605</v>
      </c>
      <c r="M82" s="40" t="n">
        <f aca="false">IF(AND(IF(Planner!$C$39="BLS U.S. average (Sep 2026)",1,0)=1,L82&lt;&gt;""),L82,I82)</f>
        <v>0.71604938271605</v>
      </c>
      <c r="N82" s="13" t="n">
        <v>230</v>
      </c>
      <c r="O82" s="4" t="s">
        <v>587</v>
      </c>
      <c r="P82" s="8" t="n">
        <v>2</v>
      </c>
      <c r="Q82" s="41"/>
      <c r="R82" s="13"/>
      <c r="S82" s="42" t="n">
        <v>0</v>
      </c>
      <c r="T82" s="42" t="n">
        <v>0</v>
      </c>
      <c r="U82" s="42" t="n">
        <v>0</v>
      </c>
      <c r="V82" s="42" t="n">
        <v>0</v>
      </c>
      <c r="W82" s="42" t="n">
        <v>0</v>
      </c>
      <c r="X82" s="42" t="n">
        <v>0</v>
      </c>
      <c r="Y82" s="42" t="n">
        <v>0</v>
      </c>
      <c r="Z82" s="42" t="n">
        <v>0</v>
      </c>
      <c r="AA82" s="42" t="n">
        <v>0</v>
      </c>
      <c r="AB82" s="42" t="n">
        <v>0</v>
      </c>
      <c r="AC82" s="42" t="n">
        <v>0</v>
      </c>
      <c r="AD82" s="43" t="n">
        <f aca="false">SUMPRODUCT(S82:AC82,INDEX(Diets!$I$5:$S$14,MATCH(Planner!$C$36,Diets!$A$5:$A$14,0),0))</f>
        <v>0</v>
      </c>
      <c r="AE82" s="44" t="n">
        <f aca="false">IF(OR(UPPER(Q82)="Y",AD82&gt;0,AND(Planner!$C$40="Core 71 foods",AY82=0)),0,1)</f>
        <v>1</v>
      </c>
      <c r="AF82" s="45" t="n">
        <v>0.5</v>
      </c>
      <c r="AG82" s="45" t="n">
        <v>0</v>
      </c>
      <c r="AH82" s="45" t="n">
        <v>0</v>
      </c>
      <c r="AI82" s="45" t="n">
        <v>0.5</v>
      </c>
      <c r="AJ82" s="8" t="n">
        <v>230</v>
      </c>
      <c r="AK82" s="4"/>
      <c r="AL82" s="31" t="n">
        <v>32</v>
      </c>
      <c r="AM82" s="31" t="n">
        <v>0.63</v>
      </c>
      <c r="AN82" s="31" t="n">
        <v>8.08</v>
      </c>
      <c r="AO82" s="31" t="n">
        <v>0.1</v>
      </c>
      <c r="AP82" s="31" t="n">
        <v>1.1</v>
      </c>
      <c r="AQ82" s="31" t="n">
        <v>6.98</v>
      </c>
      <c r="AR82" s="31" t="n">
        <v>12</v>
      </c>
      <c r="AS82" s="31" t="n">
        <v>0.09</v>
      </c>
      <c r="AT82" s="31" t="n">
        <v>139</v>
      </c>
      <c r="AU82" s="31" t="n">
        <v>0</v>
      </c>
      <c r="AV82" s="31" t="n">
        <v>34.4</v>
      </c>
      <c r="AW82" s="31" t="n">
        <v>0.014</v>
      </c>
      <c r="AX82" s="4" t="s">
        <v>243</v>
      </c>
      <c r="AY82" s="43" t="n">
        <v>0</v>
      </c>
      <c r="AZ82" s="23" t="n">
        <f aca="false">AM82/M82</f>
        <v>0.879827586206897</v>
      </c>
      <c r="BA82" s="18" t="n">
        <f aca="false">AL82/M82</f>
        <v>44.6896551724138</v>
      </c>
      <c r="BB82" s="4" t="s">
        <v>588</v>
      </c>
      <c r="BC82" s="4" t="s">
        <v>589</v>
      </c>
      <c r="BD82" s="4" t="s">
        <v>590</v>
      </c>
    </row>
    <row r="83" customFormat="false" ht="15" hidden="false" customHeight="false" outlineLevel="0" collapsed="false">
      <c r="A83" s="4" t="n">
        <v>78</v>
      </c>
      <c r="B83" s="51" t="s">
        <v>525</v>
      </c>
      <c r="C83" s="52" t="s">
        <v>526</v>
      </c>
      <c r="D83" s="14" t="s">
        <v>591</v>
      </c>
      <c r="E83" s="4" t="s">
        <v>538</v>
      </c>
      <c r="F83" s="37" t="n">
        <v>1.87</v>
      </c>
      <c r="G83" s="34" t="n">
        <v>453.6</v>
      </c>
      <c r="H83" s="30" t="n">
        <v>0.96</v>
      </c>
      <c r="I83" s="38" t="n">
        <f aca="false">F83/(G83*H83)*100</f>
        <v>0.429434891240447</v>
      </c>
      <c r="J83" s="4"/>
      <c r="K83" s="4"/>
      <c r="L83" s="4"/>
      <c r="M83" s="40" t="n">
        <f aca="false">IF(AND(IF(Planner!$C$39="BLS U.S. average (Sep 2026)",1,0)=1,L83&lt;&gt;""),L83,I83)</f>
        <v>0.429434891240447</v>
      </c>
      <c r="N83" s="13" t="n">
        <v>151</v>
      </c>
      <c r="O83" s="4" t="s">
        <v>392</v>
      </c>
      <c r="P83" s="8" t="n">
        <v>2</v>
      </c>
      <c r="Q83" s="41"/>
      <c r="R83" s="13"/>
      <c r="S83" s="42" t="n">
        <v>0</v>
      </c>
      <c r="T83" s="42" t="n">
        <v>0</v>
      </c>
      <c r="U83" s="42" t="n">
        <v>0</v>
      </c>
      <c r="V83" s="42" t="n">
        <v>0</v>
      </c>
      <c r="W83" s="42" t="n">
        <v>0</v>
      </c>
      <c r="X83" s="42" t="n">
        <v>0</v>
      </c>
      <c r="Y83" s="42" t="n">
        <v>0</v>
      </c>
      <c r="Z83" s="42" t="n">
        <v>0</v>
      </c>
      <c r="AA83" s="42" t="n">
        <v>0</v>
      </c>
      <c r="AB83" s="42" t="n">
        <v>0</v>
      </c>
      <c r="AC83" s="42" t="n">
        <v>0</v>
      </c>
      <c r="AD83" s="43" t="n">
        <f aca="false">SUMPRODUCT(S83:AC83,INDEX(Diets!$I$5:$S$14,MATCH(Planner!$C$36,Diets!$A$5:$A$14,0),0))</f>
        <v>0</v>
      </c>
      <c r="AE83" s="44" t="n">
        <f aca="false">IF(OR(UPPER(Q83)="Y",AD83&gt;0,AND(Planner!$C$40="Core 71 foods",AY83=0)),0,1)</f>
        <v>1</v>
      </c>
      <c r="AF83" s="45" t="n">
        <v>0</v>
      </c>
      <c r="AG83" s="45" t="n">
        <v>0</v>
      </c>
      <c r="AH83" s="45" t="n">
        <v>0</v>
      </c>
      <c r="AI83" s="45" t="n">
        <v>1</v>
      </c>
      <c r="AJ83" s="8" t="n">
        <v>151</v>
      </c>
      <c r="AK83" s="4"/>
      <c r="AL83" s="31" t="n">
        <v>69</v>
      </c>
      <c r="AM83" s="31" t="n">
        <v>0.72</v>
      </c>
      <c r="AN83" s="31" t="n">
        <v>18.1</v>
      </c>
      <c r="AO83" s="31" t="n">
        <v>0.16</v>
      </c>
      <c r="AP83" s="31" t="n">
        <v>0.9</v>
      </c>
      <c r="AQ83" s="31" t="n">
        <v>15.48</v>
      </c>
      <c r="AR83" s="31" t="n">
        <v>10</v>
      </c>
      <c r="AS83" s="31" t="n">
        <v>0.36</v>
      </c>
      <c r="AT83" s="31" t="n">
        <v>191</v>
      </c>
      <c r="AU83" s="31" t="n">
        <v>2</v>
      </c>
      <c r="AV83" s="31" t="n">
        <v>3.2</v>
      </c>
      <c r="AW83" s="31" t="n">
        <v>0.054</v>
      </c>
      <c r="AX83" s="4" t="s">
        <v>218</v>
      </c>
      <c r="AY83" s="43" t="n">
        <v>1</v>
      </c>
      <c r="AZ83" s="23" t="n">
        <f aca="false">AM83/M83</f>
        <v>1.67662203208556</v>
      </c>
      <c r="BA83" s="18" t="n">
        <f aca="false">AL83/M83</f>
        <v>160.676278074866</v>
      </c>
      <c r="BB83" s="4" t="s">
        <v>592</v>
      </c>
      <c r="BC83" s="4" t="s">
        <v>593</v>
      </c>
      <c r="BD83" s="4"/>
    </row>
    <row r="84" customFormat="false" ht="15" hidden="false" customHeight="false" outlineLevel="0" collapsed="false">
      <c r="A84" s="4" t="n">
        <v>79</v>
      </c>
      <c r="B84" s="51" t="s">
        <v>525</v>
      </c>
      <c r="C84" s="52" t="s">
        <v>526</v>
      </c>
      <c r="D84" s="14" t="s">
        <v>594</v>
      </c>
      <c r="E84" s="4" t="s">
        <v>543</v>
      </c>
      <c r="F84" s="37" t="n">
        <v>1.326</v>
      </c>
      <c r="G84" s="34" t="n">
        <v>453.6</v>
      </c>
      <c r="H84" s="30" t="n">
        <v>0.46</v>
      </c>
      <c r="I84" s="38" t="n">
        <f aca="false">F84/(G84*H84)*100</f>
        <v>0.635495744191396</v>
      </c>
      <c r="J84" s="4"/>
      <c r="K84" s="4"/>
      <c r="L84" s="4"/>
      <c r="M84" s="40" t="n">
        <f aca="false">IF(AND(IF(Planner!$C$39="BLS U.S. average (Sep 2026)",1,0)=1,L84&lt;&gt;""),L84,I84)</f>
        <v>0.635495744191396</v>
      </c>
      <c r="N84" s="13" t="n">
        <v>170</v>
      </c>
      <c r="O84" s="4" t="s">
        <v>516</v>
      </c>
      <c r="P84" s="8" t="n">
        <v>2</v>
      </c>
      <c r="Q84" s="41"/>
      <c r="R84" s="13"/>
      <c r="S84" s="42" t="n">
        <v>0</v>
      </c>
      <c r="T84" s="42" t="n">
        <v>0</v>
      </c>
      <c r="U84" s="42" t="n">
        <v>0</v>
      </c>
      <c r="V84" s="42" t="n">
        <v>0</v>
      </c>
      <c r="W84" s="42" t="n">
        <v>0</v>
      </c>
      <c r="X84" s="42" t="n">
        <v>0</v>
      </c>
      <c r="Y84" s="42" t="n">
        <v>0</v>
      </c>
      <c r="Z84" s="42" t="n">
        <v>0</v>
      </c>
      <c r="AA84" s="42" t="n">
        <v>0</v>
      </c>
      <c r="AB84" s="42" t="n">
        <v>0</v>
      </c>
      <c r="AC84" s="42" t="n">
        <v>0</v>
      </c>
      <c r="AD84" s="43" t="n">
        <f aca="false">SUMPRODUCT(S84:AC84,INDEX(Diets!$I$5:$S$14,MATCH(Planner!$C$36,Diets!$A$5:$A$14,0),0))</f>
        <v>0</v>
      </c>
      <c r="AE84" s="44" t="n">
        <f aca="false">IF(OR(UPPER(Q84)="Y",AD84&gt;0,AND(Planner!$C$40="Core 71 foods",AY84=0)),0,1)</f>
        <v>1</v>
      </c>
      <c r="AF84" s="45" t="n">
        <v>0.5</v>
      </c>
      <c r="AG84" s="45" t="n">
        <v>0</v>
      </c>
      <c r="AH84" s="45" t="n">
        <v>0</v>
      </c>
      <c r="AI84" s="45" t="n">
        <v>0.5</v>
      </c>
      <c r="AJ84" s="8" t="n">
        <v>170</v>
      </c>
      <c r="AK84" s="4"/>
      <c r="AL84" s="31" t="n">
        <v>36</v>
      </c>
      <c r="AM84" s="31" t="n">
        <v>0.54</v>
      </c>
      <c r="AN84" s="31" t="n">
        <v>9.09</v>
      </c>
      <c r="AO84" s="31" t="n">
        <v>0.14</v>
      </c>
      <c r="AP84" s="31" t="n">
        <v>0.8</v>
      </c>
      <c r="AQ84" s="31" t="n">
        <v>8.12</v>
      </c>
      <c r="AR84" s="31" t="n">
        <v>6</v>
      </c>
      <c r="AS84" s="31" t="n">
        <v>0.17</v>
      </c>
      <c r="AT84" s="31" t="n">
        <v>228</v>
      </c>
      <c r="AU84" s="31" t="n">
        <v>18</v>
      </c>
      <c r="AV84" s="31" t="n">
        <v>18</v>
      </c>
      <c r="AW84" s="31" t="n">
        <v>0.038</v>
      </c>
      <c r="AX84" s="4" t="s">
        <v>320</v>
      </c>
      <c r="AY84" s="43" t="n">
        <v>0</v>
      </c>
      <c r="AZ84" s="23" t="n">
        <f aca="false">AM84/M84</f>
        <v>0.849730316742082</v>
      </c>
      <c r="BA84" s="18" t="n">
        <f aca="false">AL84/M84</f>
        <v>56.6486877828054</v>
      </c>
      <c r="BB84" s="4" t="s">
        <v>595</v>
      </c>
      <c r="BC84" s="4" t="s">
        <v>596</v>
      </c>
      <c r="BD84" s="4" t="s">
        <v>597</v>
      </c>
    </row>
    <row r="85" customFormat="false" ht="15" hidden="false" customHeight="false" outlineLevel="0" collapsed="false">
      <c r="A85" s="4" t="n">
        <v>80</v>
      </c>
      <c r="B85" s="51" t="s">
        <v>525</v>
      </c>
      <c r="C85" s="52" t="s">
        <v>526</v>
      </c>
      <c r="D85" s="14" t="s">
        <v>598</v>
      </c>
      <c r="E85" s="4" t="s">
        <v>543</v>
      </c>
      <c r="F85" s="37" t="n">
        <v>3.006</v>
      </c>
      <c r="G85" s="34" t="n">
        <v>453.6</v>
      </c>
      <c r="H85" s="30" t="n">
        <v>0.76</v>
      </c>
      <c r="I85" s="38" t="n">
        <f aca="false">F85/(G85*H85)*100</f>
        <v>0.871971595655806</v>
      </c>
      <c r="J85" s="4"/>
      <c r="K85" s="4"/>
      <c r="L85" s="4"/>
      <c r="M85" s="40" t="n">
        <f aca="false">IF(AND(IF(Planner!$C$39="BLS U.S. average (Sep 2026)",1,0)=1,L85&lt;&gt;""),L85,I85)</f>
        <v>0.871971595655806</v>
      </c>
      <c r="N85" s="13" t="n">
        <v>180</v>
      </c>
      <c r="O85" s="4" t="s">
        <v>599</v>
      </c>
      <c r="P85" s="8" t="n">
        <v>2</v>
      </c>
      <c r="Q85" s="41"/>
      <c r="R85" s="13"/>
      <c r="S85" s="42" t="n">
        <v>0</v>
      </c>
      <c r="T85" s="42" t="n">
        <v>0</v>
      </c>
      <c r="U85" s="42" t="n">
        <v>0</v>
      </c>
      <c r="V85" s="42" t="n">
        <v>0</v>
      </c>
      <c r="W85" s="42" t="n">
        <v>0</v>
      </c>
      <c r="X85" s="42" t="n">
        <v>0</v>
      </c>
      <c r="Y85" s="42" t="n">
        <v>0</v>
      </c>
      <c r="Z85" s="42" t="n">
        <v>0</v>
      </c>
      <c r="AA85" s="42" t="n">
        <v>0</v>
      </c>
      <c r="AB85" s="42" t="n">
        <v>0</v>
      </c>
      <c r="AC85" s="42" t="n">
        <v>0</v>
      </c>
      <c r="AD85" s="43" t="n">
        <f aca="false">SUMPRODUCT(S85:AC85,INDEX(Diets!$I$5:$S$14,MATCH(Planner!$C$36,Diets!$A$5:$A$14,0),0))</f>
        <v>0</v>
      </c>
      <c r="AE85" s="44" t="n">
        <f aca="false">IF(OR(UPPER(Q85)="Y",AD85&gt;0,AND(Planner!$C$40="Core 71 foods",AY85=0)),0,1)</f>
        <v>1</v>
      </c>
      <c r="AF85" s="45" t="n">
        <v>0.5</v>
      </c>
      <c r="AG85" s="45" t="n">
        <v>0</v>
      </c>
      <c r="AH85" s="45" t="n">
        <v>0</v>
      </c>
      <c r="AI85" s="45" t="n">
        <v>0.5</v>
      </c>
      <c r="AJ85" s="8" t="n">
        <v>180</v>
      </c>
      <c r="AK85" s="4"/>
      <c r="AL85" s="31" t="n">
        <v>61</v>
      </c>
      <c r="AM85" s="31" t="n">
        <v>1.14</v>
      </c>
      <c r="AN85" s="31" t="n">
        <v>14.66</v>
      </c>
      <c r="AO85" s="31" t="n">
        <v>0.52</v>
      </c>
      <c r="AP85" s="31" t="n">
        <v>3</v>
      </c>
      <c r="AQ85" s="31" t="n">
        <v>8.99</v>
      </c>
      <c r="AR85" s="31" t="n">
        <v>34</v>
      </c>
      <c r="AS85" s="31" t="n">
        <v>0.31</v>
      </c>
      <c r="AT85" s="31" t="n">
        <v>312</v>
      </c>
      <c r="AU85" s="31" t="n">
        <v>3</v>
      </c>
      <c r="AV85" s="31" t="n">
        <v>92.7</v>
      </c>
      <c r="AW85" s="31" t="n">
        <v>0.029</v>
      </c>
      <c r="AX85" s="4" t="s">
        <v>320</v>
      </c>
      <c r="AY85" s="43" t="n">
        <v>0</v>
      </c>
      <c r="AZ85" s="23" t="n">
        <f aca="false">AM85/M85</f>
        <v>1.30738203592814</v>
      </c>
      <c r="BA85" s="18" t="n">
        <f aca="false">AL85/M85</f>
        <v>69.9564071856288</v>
      </c>
      <c r="BB85" s="4" t="s">
        <v>600</v>
      </c>
      <c r="BC85" s="4" t="s">
        <v>601</v>
      </c>
      <c r="BD85" s="4" t="s">
        <v>602</v>
      </c>
    </row>
    <row r="86" customFormat="false" ht="15" hidden="false" customHeight="false" outlineLevel="0" collapsed="false">
      <c r="A86" s="4" t="n">
        <v>81</v>
      </c>
      <c r="B86" s="51" t="s">
        <v>525</v>
      </c>
      <c r="C86" s="52" t="s">
        <v>526</v>
      </c>
      <c r="D86" s="14" t="s">
        <v>603</v>
      </c>
      <c r="E86" s="4" t="s">
        <v>543</v>
      </c>
      <c r="F86" s="37" t="n">
        <v>1.547</v>
      </c>
      <c r="G86" s="34" t="n">
        <v>453.6</v>
      </c>
      <c r="H86" s="30" t="n">
        <v>0.71</v>
      </c>
      <c r="I86" s="38" t="n">
        <f aca="false">F86/(G86*H86)*100</f>
        <v>0.480351243262041</v>
      </c>
      <c r="J86" s="4"/>
      <c r="K86" s="4"/>
      <c r="L86" s="4"/>
      <c r="M86" s="40" t="n">
        <f aca="false">IF(AND(IF(Planner!$C$39="BLS U.S. average (Sep 2026)",1,0)=1,L86&lt;&gt;""),L86,I86)</f>
        <v>0.480351243262041</v>
      </c>
      <c r="N86" s="13" t="n">
        <v>165</v>
      </c>
      <c r="O86" s="4" t="s">
        <v>604</v>
      </c>
      <c r="P86" s="8" t="n">
        <v>2</v>
      </c>
      <c r="Q86" s="41"/>
      <c r="R86" s="13"/>
      <c r="S86" s="42" t="n">
        <v>0</v>
      </c>
      <c r="T86" s="42" t="n">
        <v>0</v>
      </c>
      <c r="U86" s="42" t="n">
        <v>0</v>
      </c>
      <c r="V86" s="42" t="n">
        <v>0</v>
      </c>
      <c r="W86" s="42" t="n">
        <v>0</v>
      </c>
      <c r="X86" s="42" t="n">
        <v>0</v>
      </c>
      <c r="Y86" s="42" t="n">
        <v>0</v>
      </c>
      <c r="Z86" s="42" t="n">
        <v>0</v>
      </c>
      <c r="AA86" s="42" t="n">
        <v>0</v>
      </c>
      <c r="AB86" s="42" t="n">
        <v>0</v>
      </c>
      <c r="AC86" s="42" t="n">
        <v>0</v>
      </c>
      <c r="AD86" s="43" t="n">
        <f aca="false">SUMPRODUCT(S86:AC86,INDEX(Diets!$I$5:$S$14,MATCH(Planner!$C$36,Diets!$A$5:$A$14,0),0))</f>
        <v>0</v>
      </c>
      <c r="AE86" s="44" t="n">
        <f aca="false">IF(OR(UPPER(Q86)="Y",AD86&gt;0,AND(Planner!$C$40="Core 71 foods",AY86=0)),0,1)</f>
        <v>1</v>
      </c>
      <c r="AF86" s="45" t="n">
        <v>0.5</v>
      </c>
      <c r="AG86" s="45" t="n">
        <v>0</v>
      </c>
      <c r="AH86" s="45" t="n">
        <v>0</v>
      </c>
      <c r="AI86" s="45" t="n">
        <v>0.5</v>
      </c>
      <c r="AJ86" s="8" t="n">
        <v>165</v>
      </c>
      <c r="AK86" s="4"/>
      <c r="AL86" s="31" t="n">
        <v>60</v>
      </c>
      <c r="AM86" s="31" t="n">
        <v>0.82</v>
      </c>
      <c r="AN86" s="31" t="n">
        <v>14.98</v>
      </c>
      <c r="AO86" s="31" t="n">
        <v>0.38</v>
      </c>
      <c r="AP86" s="31" t="n">
        <v>1.6</v>
      </c>
      <c r="AQ86" s="31" t="n">
        <v>13.66</v>
      </c>
      <c r="AR86" s="31" t="n">
        <v>11</v>
      </c>
      <c r="AS86" s="31" t="n">
        <v>0.16</v>
      </c>
      <c r="AT86" s="31" t="n">
        <v>168</v>
      </c>
      <c r="AU86" s="31" t="n">
        <v>1</v>
      </c>
      <c r="AV86" s="31" t="n">
        <v>36.4</v>
      </c>
      <c r="AW86" s="31" t="n">
        <v>0.092</v>
      </c>
      <c r="AX86" s="4" t="s">
        <v>320</v>
      </c>
      <c r="AY86" s="43" t="n">
        <v>0</v>
      </c>
      <c r="AZ86" s="23" t="n">
        <f aca="false">AM86/M86</f>
        <v>1.70708416289593</v>
      </c>
      <c r="BA86" s="18" t="n">
        <f aca="false">AL86/M86</f>
        <v>124.908597285068</v>
      </c>
      <c r="BB86" s="4" t="s">
        <v>605</v>
      </c>
      <c r="BC86" s="4" t="s">
        <v>606</v>
      </c>
      <c r="BD86" s="4" t="s">
        <v>607</v>
      </c>
    </row>
    <row r="87" customFormat="false" ht="15" hidden="false" customHeight="false" outlineLevel="0" collapsed="false">
      <c r="A87" s="4" t="n">
        <v>82</v>
      </c>
      <c r="B87" s="51" t="s">
        <v>525</v>
      </c>
      <c r="C87" s="52" t="s">
        <v>526</v>
      </c>
      <c r="D87" s="14" t="s">
        <v>608</v>
      </c>
      <c r="E87" s="4" t="s">
        <v>543</v>
      </c>
      <c r="F87" s="37" t="n">
        <v>2.625</v>
      </c>
      <c r="G87" s="34" t="n">
        <v>453.6</v>
      </c>
      <c r="H87" s="30" t="n">
        <v>0.91</v>
      </c>
      <c r="I87" s="38" t="n">
        <f aca="false">F87/(G87*H87)*100</f>
        <v>0.635938135938136</v>
      </c>
      <c r="J87" s="4"/>
      <c r="K87" s="4"/>
      <c r="L87" s="4"/>
      <c r="M87" s="40" t="n">
        <f aca="false">IF(AND(IF(Planner!$C$39="BLS U.S. average (Sep 2026)",1,0)=1,L87&lt;&gt;""),L87,I87)</f>
        <v>0.635938135938136</v>
      </c>
      <c r="N87" s="13" t="n">
        <v>143</v>
      </c>
      <c r="O87" s="4" t="s">
        <v>609</v>
      </c>
      <c r="P87" s="8" t="n">
        <v>2</v>
      </c>
      <c r="Q87" s="41"/>
      <c r="R87" s="13"/>
      <c r="S87" s="42" t="n">
        <v>0</v>
      </c>
      <c r="T87" s="42" t="n">
        <v>0</v>
      </c>
      <c r="U87" s="42" t="n">
        <v>0</v>
      </c>
      <c r="V87" s="42" t="n">
        <v>0</v>
      </c>
      <c r="W87" s="42" t="n">
        <v>0</v>
      </c>
      <c r="X87" s="42" t="n">
        <v>0</v>
      </c>
      <c r="Y87" s="42" t="n">
        <v>0</v>
      </c>
      <c r="Z87" s="42" t="n">
        <v>0</v>
      </c>
      <c r="AA87" s="42" t="n">
        <v>0</v>
      </c>
      <c r="AB87" s="42" t="n">
        <v>0</v>
      </c>
      <c r="AC87" s="42" t="n">
        <v>0</v>
      </c>
      <c r="AD87" s="43" t="n">
        <f aca="false">SUMPRODUCT(S87:AC87,INDEX(Diets!$I$5:$S$14,MATCH(Planner!$C$36,Diets!$A$5:$A$14,0),0))</f>
        <v>0</v>
      </c>
      <c r="AE87" s="44" t="n">
        <f aca="false">IF(OR(UPPER(Q87)="Y",AD87&gt;0,AND(Planner!$C$40="Core 71 foods",AY87=0)),0,1)</f>
        <v>1</v>
      </c>
      <c r="AF87" s="45" t="n">
        <v>0.5</v>
      </c>
      <c r="AG87" s="45" t="n">
        <v>0</v>
      </c>
      <c r="AH87" s="45" t="n">
        <v>0</v>
      </c>
      <c r="AI87" s="45" t="n">
        <v>0.5</v>
      </c>
      <c r="AJ87" s="8" t="n">
        <v>143</v>
      </c>
      <c r="AK87" s="4"/>
      <c r="AL87" s="31" t="n">
        <v>44</v>
      </c>
      <c r="AM87" s="31" t="n">
        <v>1.06</v>
      </c>
      <c r="AN87" s="31" t="n">
        <v>10.55</v>
      </c>
      <c r="AO87" s="31" t="n">
        <v>0.32</v>
      </c>
      <c r="AP87" s="31" t="n">
        <v>1.7</v>
      </c>
      <c r="AQ87" s="31" t="n">
        <v>7.89</v>
      </c>
      <c r="AR87" s="31" t="n">
        <v>6</v>
      </c>
      <c r="AS87" s="31" t="n">
        <v>0.28</v>
      </c>
      <c r="AT87" s="31" t="n">
        <v>201</v>
      </c>
      <c r="AU87" s="31" t="n">
        <v>0</v>
      </c>
      <c r="AV87" s="31" t="n">
        <v>5.4</v>
      </c>
      <c r="AW87" s="31" t="n">
        <v>0.025</v>
      </c>
      <c r="AX87" s="4" t="s">
        <v>320</v>
      </c>
      <c r="AY87" s="43" t="n">
        <v>0</v>
      </c>
      <c r="AZ87" s="23" t="n">
        <f aca="false">AM87/M87</f>
        <v>1.6668288</v>
      </c>
      <c r="BA87" s="18" t="n">
        <f aca="false">AL87/M87</f>
        <v>69.18912</v>
      </c>
      <c r="BB87" s="4" t="s">
        <v>610</v>
      </c>
      <c r="BC87" s="4" t="s">
        <v>611</v>
      </c>
      <c r="BD87" s="4" t="s">
        <v>612</v>
      </c>
    </row>
    <row r="88" customFormat="false" ht="15" hidden="false" customHeight="false" outlineLevel="0" collapsed="false">
      <c r="A88" s="4" t="n">
        <v>83</v>
      </c>
      <c r="B88" s="51" t="s">
        <v>525</v>
      </c>
      <c r="C88" s="52" t="s">
        <v>526</v>
      </c>
      <c r="D88" s="14" t="s">
        <v>613</v>
      </c>
      <c r="E88" s="4" t="s">
        <v>614</v>
      </c>
      <c r="F88" s="37" t="n">
        <v>3.96</v>
      </c>
      <c r="G88" s="34" t="n">
        <v>1618.5</v>
      </c>
      <c r="H88" s="30" t="n">
        <v>1</v>
      </c>
      <c r="I88" s="38" t="n">
        <f aca="false">F88/(G88*H88)*100</f>
        <v>0.244670991658943</v>
      </c>
      <c r="J88" s="4"/>
      <c r="K88" s="4"/>
      <c r="L88" s="4"/>
      <c r="M88" s="40" t="n">
        <f aca="false">IF(AND(IF(Planner!$C$39="BLS U.S. average (Sep 2026)",1,0)=1,L88&lt;&gt;""),L88,I88)</f>
        <v>0.244670991658943</v>
      </c>
      <c r="N88" s="13" t="n">
        <v>249</v>
      </c>
      <c r="O88" s="4" t="s">
        <v>392</v>
      </c>
      <c r="P88" s="8" t="n">
        <v>1</v>
      </c>
      <c r="Q88" s="41"/>
      <c r="R88" s="13"/>
      <c r="S88" s="42" t="n">
        <v>0</v>
      </c>
      <c r="T88" s="42" t="n">
        <v>0</v>
      </c>
      <c r="U88" s="42" t="n">
        <v>0</v>
      </c>
      <c r="V88" s="42" t="n">
        <v>0</v>
      </c>
      <c r="W88" s="42" t="n">
        <v>0</v>
      </c>
      <c r="X88" s="42" t="n">
        <v>0</v>
      </c>
      <c r="Y88" s="42" t="n">
        <v>0</v>
      </c>
      <c r="Z88" s="42" t="n">
        <v>0</v>
      </c>
      <c r="AA88" s="42" t="n">
        <v>0</v>
      </c>
      <c r="AB88" s="42" t="n">
        <v>0</v>
      </c>
      <c r="AC88" s="42" t="n">
        <v>0</v>
      </c>
      <c r="AD88" s="43" t="n">
        <f aca="false">SUMPRODUCT(S88:AC88,INDEX(Diets!$I$5:$S$14,MATCH(Planner!$C$36,Diets!$A$5:$A$14,0),0))</f>
        <v>0</v>
      </c>
      <c r="AE88" s="44" t="n">
        <f aca="false">IF(OR(UPPER(Q88)="Y",AD88&gt;0,AND(Planner!$C$40="Core 71 foods",AY88=0)),0,1)</f>
        <v>1</v>
      </c>
      <c r="AF88" s="45" t="n">
        <v>1</v>
      </c>
      <c r="AG88" s="45" t="n">
        <v>0</v>
      </c>
      <c r="AH88" s="45" t="n">
        <v>0</v>
      </c>
      <c r="AI88" s="45" t="n">
        <v>0</v>
      </c>
      <c r="AJ88" s="8" t="n">
        <v>249</v>
      </c>
      <c r="AK88" s="4"/>
      <c r="AL88" s="31" t="n">
        <v>49</v>
      </c>
      <c r="AM88" s="31" t="n">
        <v>0.68</v>
      </c>
      <c r="AN88" s="31" t="n">
        <v>11.54</v>
      </c>
      <c r="AO88" s="31" t="n">
        <v>0.12</v>
      </c>
      <c r="AP88" s="31" t="n">
        <v>0.3</v>
      </c>
      <c r="AQ88" s="31" t="n">
        <v>8.31</v>
      </c>
      <c r="AR88" s="31" t="n">
        <v>11</v>
      </c>
      <c r="AS88" s="31" t="n">
        <v>0.13</v>
      </c>
      <c r="AT88" s="31" t="n">
        <v>178</v>
      </c>
      <c r="AU88" s="31" t="n">
        <v>2</v>
      </c>
      <c r="AV88" s="31" t="n">
        <v>33.6</v>
      </c>
      <c r="AW88" s="31" t="n">
        <v>0.014</v>
      </c>
      <c r="AX88" s="4" t="s">
        <v>218</v>
      </c>
      <c r="AY88" s="43" t="n">
        <v>1</v>
      </c>
      <c r="AZ88" s="23" t="n">
        <f aca="false">AM88/M88</f>
        <v>2.77924242424242</v>
      </c>
      <c r="BA88" s="18" t="n">
        <f aca="false">AL88/M88</f>
        <v>200.268939393939</v>
      </c>
      <c r="BB88" s="4" t="s">
        <v>615</v>
      </c>
      <c r="BC88" s="4" t="s">
        <v>616</v>
      </c>
      <c r="BD88" s="4" t="s">
        <v>617</v>
      </c>
    </row>
    <row r="89" customFormat="false" ht="15" hidden="false" customHeight="false" outlineLevel="0" collapsed="false">
      <c r="A89" s="4" t="n">
        <v>84</v>
      </c>
      <c r="B89" s="51" t="s">
        <v>525</v>
      </c>
      <c r="C89" s="52" t="s">
        <v>526</v>
      </c>
      <c r="D89" s="14" t="s">
        <v>618</v>
      </c>
      <c r="E89" s="4" t="s">
        <v>619</v>
      </c>
      <c r="F89" s="37" t="n">
        <v>5.97</v>
      </c>
      <c r="G89" s="34" t="n">
        <v>1814.4</v>
      </c>
      <c r="H89" s="30" t="n">
        <v>0.68</v>
      </c>
      <c r="I89" s="38" t="n">
        <f aca="false">F89/(G89*H89)*100</f>
        <v>0.483874105197635</v>
      </c>
      <c r="J89" s="39" t="n">
        <v>1.723</v>
      </c>
      <c r="K89" s="34" t="n">
        <v>453.6</v>
      </c>
      <c r="L89" s="38" t="n">
        <f aca="false">J89/(K89*H89)*100</f>
        <v>0.558603070857973</v>
      </c>
      <c r="M89" s="40" t="n">
        <f aca="false">IF(AND(IF(Planner!$C$39="BLS U.S. average (Sep 2026)",1,0)=1,L89&lt;&gt;""),L89,I89)</f>
        <v>0.483874105197635</v>
      </c>
      <c r="N89" s="13" t="n">
        <v>140</v>
      </c>
      <c r="O89" s="4" t="s">
        <v>620</v>
      </c>
      <c r="P89" s="8" t="n">
        <v>2</v>
      </c>
      <c r="Q89" s="41"/>
      <c r="R89" s="13"/>
      <c r="S89" s="42" t="n">
        <v>0</v>
      </c>
      <c r="T89" s="42" t="n">
        <v>0</v>
      </c>
      <c r="U89" s="42" t="n">
        <v>0</v>
      </c>
      <c r="V89" s="42" t="n">
        <v>0</v>
      </c>
      <c r="W89" s="42" t="n">
        <v>0</v>
      </c>
      <c r="X89" s="42" t="n">
        <v>0</v>
      </c>
      <c r="Y89" s="42" t="n">
        <v>0</v>
      </c>
      <c r="Z89" s="42" t="n">
        <v>0</v>
      </c>
      <c r="AA89" s="42" t="n">
        <v>0</v>
      </c>
      <c r="AB89" s="42" t="n">
        <v>0</v>
      </c>
      <c r="AC89" s="42" t="n">
        <v>0</v>
      </c>
      <c r="AD89" s="43" t="n">
        <f aca="false">SUMPRODUCT(S89:AC89,INDEX(Diets!$I$5:$S$14,MATCH(Planner!$C$36,Diets!$A$5:$A$14,0),0))</f>
        <v>0</v>
      </c>
      <c r="AE89" s="44" t="n">
        <f aca="false">IF(OR(UPPER(Q89)="Y",AD89&gt;0,AND(Planner!$C$40="Core 71 foods",AY89=0)),0,1)</f>
        <v>1</v>
      </c>
      <c r="AF89" s="45" t="n">
        <v>0</v>
      </c>
      <c r="AG89" s="45" t="n">
        <v>0.5</v>
      </c>
      <c r="AH89" s="45" t="n">
        <v>0</v>
      </c>
      <c r="AI89" s="45" t="n">
        <v>0.5</v>
      </c>
      <c r="AJ89" s="8" t="n">
        <v>140</v>
      </c>
      <c r="AK89" s="4"/>
      <c r="AL89" s="31" t="n">
        <v>49</v>
      </c>
      <c r="AM89" s="31" t="n">
        <v>0.91</v>
      </c>
      <c r="AN89" s="31" t="n">
        <v>12.54</v>
      </c>
      <c r="AO89" s="31" t="n">
        <v>0.15</v>
      </c>
      <c r="AP89" s="31" t="n">
        <v>2.2</v>
      </c>
      <c r="AQ89" s="31" t="n">
        <v>8.5</v>
      </c>
      <c r="AR89" s="31" t="n">
        <v>43</v>
      </c>
      <c r="AS89" s="31" t="n">
        <v>0.13</v>
      </c>
      <c r="AT89" s="31" t="n">
        <v>166</v>
      </c>
      <c r="AU89" s="31" t="n">
        <v>1</v>
      </c>
      <c r="AV89" s="31" t="n">
        <v>59.1</v>
      </c>
      <c r="AW89" s="31" t="n">
        <v>0.017</v>
      </c>
      <c r="AX89" s="4" t="s">
        <v>218</v>
      </c>
      <c r="AY89" s="43" t="n">
        <v>1</v>
      </c>
      <c r="AZ89" s="23" t="n">
        <f aca="false">AM89/M89</f>
        <v>1.88065447236181</v>
      </c>
      <c r="BA89" s="18" t="n">
        <f aca="false">AL89/M89</f>
        <v>101.266010050251</v>
      </c>
      <c r="BB89" s="4" t="s">
        <v>621</v>
      </c>
      <c r="BC89" s="4" t="s">
        <v>622</v>
      </c>
      <c r="BD89" s="4"/>
    </row>
    <row r="90" customFormat="false" ht="15" hidden="false" customHeight="false" outlineLevel="0" collapsed="false">
      <c r="A90" s="4" t="n">
        <v>85</v>
      </c>
      <c r="B90" s="51" t="s">
        <v>525</v>
      </c>
      <c r="C90" s="52" t="s">
        <v>526</v>
      </c>
      <c r="D90" s="14" t="s">
        <v>623</v>
      </c>
      <c r="E90" s="4" t="s">
        <v>543</v>
      </c>
      <c r="F90" s="37" t="n">
        <v>1.385</v>
      </c>
      <c r="G90" s="34" t="n">
        <v>453.6</v>
      </c>
      <c r="H90" s="30" t="n">
        <v>0.62</v>
      </c>
      <c r="I90" s="38" t="n">
        <f aca="false">F90/(G90*H90)*100</f>
        <v>0.49247596290607</v>
      </c>
      <c r="J90" s="4"/>
      <c r="K90" s="4"/>
      <c r="L90" s="4"/>
      <c r="M90" s="40" t="n">
        <f aca="false">IF(AND(IF(Planner!$C$39="BLS U.S. average (Sep 2026)",1,0)=1,L90&lt;&gt;""),L90,I90)</f>
        <v>0.49247596290607</v>
      </c>
      <c r="N90" s="13" t="n">
        <v>145</v>
      </c>
      <c r="O90" s="4" t="s">
        <v>604</v>
      </c>
      <c r="P90" s="8" t="n">
        <v>2</v>
      </c>
      <c r="Q90" s="41"/>
      <c r="R90" s="13"/>
      <c r="S90" s="42" t="n">
        <v>0</v>
      </c>
      <c r="T90" s="42" t="n">
        <v>0</v>
      </c>
      <c r="U90" s="42" t="n">
        <v>0</v>
      </c>
      <c r="V90" s="42" t="n">
        <v>0</v>
      </c>
      <c r="W90" s="42" t="n">
        <v>0</v>
      </c>
      <c r="X90" s="42" t="n">
        <v>0</v>
      </c>
      <c r="Y90" s="42" t="n">
        <v>0</v>
      </c>
      <c r="Z90" s="42" t="n">
        <v>0</v>
      </c>
      <c r="AA90" s="42" t="n">
        <v>0</v>
      </c>
      <c r="AB90" s="42" t="n">
        <v>0</v>
      </c>
      <c r="AC90" s="42" t="n">
        <v>0</v>
      </c>
      <c r="AD90" s="43" t="n">
        <f aca="false">SUMPRODUCT(S90:AC90,INDEX(Diets!$I$5:$S$14,MATCH(Planner!$C$36,Diets!$A$5:$A$14,0),0))</f>
        <v>0</v>
      </c>
      <c r="AE90" s="44" t="n">
        <f aca="false">IF(OR(UPPER(Q90)="Y",AD90&gt;0,AND(Planner!$C$40="Core 71 foods",AY90=0)),0,1)</f>
        <v>1</v>
      </c>
      <c r="AF90" s="45" t="n">
        <v>0.5</v>
      </c>
      <c r="AG90" s="45" t="n">
        <v>0</v>
      </c>
      <c r="AH90" s="45" t="n">
        <v>0</v>
      </c>
      <c r="AI90" s="45" t="n">
        <v>0.5</v>
      </c>
      <c r="AJ90" s="8" t="n">
        <v>145</v>
      </c>
      <c r="AK90" s="4"/>
      <c r="AL90" s="31" t="n">
        <v>43</v>
      </c>
      <c r="AM90" s="31" t="n">
        <v>0.47</v>
      </c>
      <c r="AN90" s="31" t="n">
        <v>10.82</v>
      </c>
      <c r="AO90" s="31" t="n">
        <v>0.26</v>
      </c>
      <c r="AP90" s="31" t="n">
        <v>1.7</v>
      </c>
      <c r="AQ90" s="31" t="n">
        <v>7.82</v>
      </c>
      <c r="AR90" s="31" t="n">
        <v>20</v>
      </c>
      <c r="AS90" s="31" t="n">
        <v>0.25</v>
      </c>
      <c r="AT90" s="31" t="n">
        <v>182</v>
      </c>
      <c r="AU90" s="31" t="n">
        <v>8</v>
      </c>
      <c r="AV90" s="31" t="n">
        <v>60.9</v>
      </c>
      <c r="AW90" s="31" t="n">
        <v>0.081</v>
      </c>
      <c r="AX90" s="4" t="s">
        <v>320</v>
      </c>
      <c r="AY90" s="43" t="n">
        <v>0</v>
      </c>
      <c r="AZ90" s="23" t="n">
        <f aca="false">AM90/M90</f>
        <v>0.954361299638989</v>
      </c>
      <c r="BA90" s="18" t="n">
        <f aca="false">AL90/M90</f>
        <v>87.3139061371841</v>
      </c>
      <c r="BB90" s="4" t="s">
        <v>624</v>
      </c>
      <c r="BC90" s="4" t="s">
        <v>625</v>
      </c>
      <c r="BD90" s="4" t="s">
        <v>626</v>
      </c>
    </row>
    <row r="91" customFormat="false" ht="15" hidden="false" customHeight="false" outlineLevel="0" collapsed="false">
      <c r="A91" s="4" t="n">
        <v>86</v>
      </c>
      <c r="B91" s="51" t="s">
        <v>525</v>
      </c>
      <c r="C91" s="52" t="s">
        <v>526</v>
      </c>
      <c r="D91" s="14" t="s">
        <v>627</v>
      </c>
      <c r="E91" s="4" t="s">
        <v>543</v>
      </c>
      <c r="F91" s="37" t="n">
        <v>2.606</v>
      </c>
      <c r="G91" s="34" t="n">
        <v>453.6</v>
      </c>
      <c r="H91" s="30" t="n">
        <v>0.96</v>
      </c>
      <c r="I91" s="38" t="n">
        <f aca="false">F91/(G91*H91)*100</f>
        <v>0.598453115814227</v>
      </c>
      <c r="J91" s="4"/>
      <c r="K91" s="4"/>
      <c r="L91" s="4"/>
      <c r="M91" s="40" t="n">
        <f aca="false">IF(AND(IF(Planner!$C$39="BLS U.S. average (Sep 2026)",1,0)=1,L91&lt;&gt;""),L91,I91)</f>
        <v>0.598453115814227</v>
      </c>
      <c r="N91" s="13" t="n">
        <v>154</v>
      </c>
      <c r="O91" s="4" t="s">
        <v>609</v>
      </c>
      <c r="P91" s="8" t="n">
        <v>2</v>
      </c>
      <c r="Q91" s="41"/>
      <c r="R91" s="13"/>
      <c r="S91" s="42" t="n">
        <v>0</v>
      </c>
      <c r="T91" s="42" t="n">
        <v>0</v>
      </c>
      <c r="U91" s="42" t="n">
        <v>0</v>
      </c>
      <c r="V91" s="42" t="n">
        <v>0</v>
      </c>
      <c r="W91" s="42" t="n">
        <v>0</v>
      </c>
      <c r="X91" s="42" t="n">
        <v>0</v>
      </c>
      <c r="Y91" s="42" t="n">
        <v>0</v>
      </c>
      <c r="Z91" s="42" t="n">
        <v>0</v>
      </c>
      <c r="AA91" s="42" t="n">
        <v>0</v>
      </c>
      <c r="AB91" s="42" t="n">
        <v>0</v>
      </c>
      <c r="AC91" s="42" t="n">
        <v>0</v>
      </c>
      <c r="AD91" s="43" t="n">
        <f aca="false">SUMPRODUCT(S91:AC91,INDEX(Diets!$I$5:$S$14,MATCH(Planner!$C$36,Diets!$A$5:$A$14,0),0))</f>
        <v>0</v>
      </c>
      <c r="AE91" s="44" t="n">
        <f aca="false">IF(OR(UPPER(Q91)="Y",AD91&gt;0,AND(Planner!$C$40="Core 71 foods",AY91=0)),0,1)</f>
        <v>1</v>
      </c>
      <c r="AF91" s="45" t="n">
        <v>0.5</v>
      </c>
      <c r="AG91" s="45" t="n">
        <v>0</v>
      </c>
      <c r="AH91" s="45" t="n">
        <v>0</v>
      </c>
      <c r="AI91" s="45" t="n">
        <v>0.5</v>
      </c>
      <c r="AJ91" s="8" t="n">
        <v>154</v>
      </c>
      <c r="AK91" s="4"/>
      <c r="AL91" s="31" t="n">
        <v>39</v>
      </c>
      <c r="AM91" s="31" t="n">
        <v>0.91</v>
      </c>
      <c r="AN91" s="31" t="n">
        <v>9.54</v>
      </c>
      <c r="AO91" s="31" t="n">
        <v>0.25</v>
      </c>
      <c r="AP91" s="31" t="n">
        <v>1.5</v>
      </c>
      <c r="AQ91" s="31" t="n">
        <v>8.39</v>
      </c>
      <c r="AR91" s="31" t="n">
        <v>6</v>
      </c>
      <c r="AS91" s="31" t="n">
        <v>0.25</v>
      </c>
      <c r="AT91" s="31" t="n">
        <v>190</v>
      </c>
      <c r="AU91" s="31" t="n">
        <v>0</v>
      </c>
      <c r="AV91" s="31" t="n">
        <v>6.6</v>
      </c>
      <c r="AW91" s="31" t="n">
        <v>0.019</v>
      </c>
      <c r="AX91" s="4" t="s">
        <v>320</v>
      </c>
      <c r="AY91" s="43" t="n">
        <v>0</v>
      </c>
      <c r="AZ91" s="23" t="n">
        <f aca="false">AM91/M91</f>
        <v>1.52058695318496</v>
      </c>
      <c r="BA91" s="18" t="n">
        <f aca="false">AL91/M91</f>
        <v>65.1680122793553</v>
      </c>
      <c r="BB91" s="4" t="s">
        <v>628</v>
      </c>
      <c r="BC91" s="4" t="s">
        <v>629</v>
      </c>
      <c r="BD91" s="4" t="s">
        <v>630</v>
      </c>
    </row>
    <row r="92" customFormat="false" ht="15" hidden="false" customHeight="false" outlineLevel="0" collapsed="false">
      <c r="A92" s="4" t="n">
        <v>87</v>
      </c>
      <c r="B92" s="51" t="s">
        <v>525</v>
      </c>
      <c r="C92" s="52" t="s">
        <v>526</v>
      </c>
      <c r="D92" s="14" t="s">
        <v>631</v>
      </c>
      <c r="E92" s="4" t="s">
        <v>325</v>
      </c>
      <c r="F92" s="37" t="n">
        <v>2.744</v>
      </c>
      <c r="G92" s="34" t="n">
        <v>453.6</v>
      </c>
      <c r="H92" s="30" t="n">
        <v>1</v>
      </c>
      <c r="I92" s="38" t="n">
        <f aca="false">F92/(G92*H92)*100</f>
        <v>0.604938271604938</v>
      </c>
      <c r="J92" s="4"/>
      <c r="K92" s="4"/>
      <c r="L92" s="4"/>
      <c r="M92" s="40" t="n">
        <f aca="false">IF(AND(IF(Planner!$C$39="BLS U.S. average (Sep 2026)",1,0)=1,L92&lt;&gt;""),L92,I92)</f>
        <v>0.604938271604938</v>
      </c>
      <c r="N92" s="13" t="n">
        <v>125</v>
      </c>
      <c r="O92" s="4" t="s">
        <v>312</v>
      </c>
      <c r="P92" s="8" t="n">
        <v>2</v>
      </c>
      <c r="Q92" s="41"/>
      <c r="R92" s="13"/>
      <c r="S92" s="42" t="n">
        <v>0</v>
      </c>
      <c r="T92" s="42" t="n">
        <v>0</v>
      </c>
      <c r="U92" s="42" t="n">
        <v>0</v>
      </c>
      <c r="V92" s="42" t="n">
        <v>0</v>
      </c>
      <c r="W92" s="42" t="n">
        <v>0</v>
      </c>
      <c r="X92" s="42" t="n">
        <v>0</v>
      </c>
      <c r="Y92" s="42" t="n">
        <v>0</v>
      </c>
      <c r="Z92" s="42" t="n">
        <v>0</v>
      </c>
      <c r="AA92" s="42" t="n">
        <v>0</v>
      </c>
      <c r="AB92" s="42" t="n">
        <v>0</v>
      </c>
      <c r="AC92" s="42" t="n">
        <v>0</v>
      </c>
      <c r="AD92" s="43" t="n">
        <f aca="false">SUMPRODUCT(S92:AC92,INDEX(Diets!$I$5:$S$14,MATCH(Planner!$C$36,Diets!$A$5:$A$14,0),0))</f>
        <v>0</v>
      </c>
      <c r="AE92" s="44" t="n">
        <f aca="false">IF(OR(UPPER(Q92)="Y",AD92&gt;0,AND(Planner!$C$40="Core 71 foods",AY92=0)),0,1)</f>
        <v>1</v>
      </c>
      <c r="AF92" s="45" t="n">
        <v>0.5</v>
      </c>
      <c r="AG92" s="45" t="n">
        <v>0</v>
      </c>
      <c r="AH92" s="45" t="n">
        <v>0</v>
      </c>
      <c r="AI92" s="45" t="n">
        <v>0.5</v>
      </c>
      <c r="AJ92" s="8" t="n">
        <v>250</v>
      </c>
      <c r="AK92" s="4"/>
      <c r="AL92" s="31" t="n">
        <v>44</v>
      </c>
      <c r="AM92" s="31" t="n">
        <v>0.63</v>
      </c>
      <c r="AN92" s="31" t="n">
        <v>11.57</v>
      </c>
      <c r="AO92" s="31" t="n">
        <v>0.03</v>
      </c>
      <c r="AP92" s="31" t="n">
        <v>1.3</v>
      </c>
      <c r="AQ92" s="31" t="n">
        <v>10.27</v>
      </c>
      <c r="AR92" s="31" t="n">
        <v>6</v>
      </c>
      <c r="AS92" s="31" t="n">
        <v>0.27</v>
      </c>
      <c r="AT92" s="31" t="n">
        <v>128</v>
      </c>
      <c r="AU92" s="31" t="n">
        <v>4</v>
      </c>
      <c r="AV92" s="31" t="n">
        <v>3.6</v>
      </c>
      <c r="AW92" s="31" t="n">
        <v>0.004</v>
      </c>
      <c r="AX92" s="4" t="s">
        <v>320</v>
      </c>
      <c r="AY92" s="43" t="n">
        <v>0</v>
      </c>
      <c r="AZ92" s="23" t="n">
        <f aca="false">AM92/M92</f>
        <v>1.04142857142857</v>
      </c>
      <c r="BA92" s="18" t="n">
        <f aca="false">AL92/M92</f>
        <v>72.734693877551</v>
      </c>
      <c r="BB92" s="4" t="s">
        <v>632</v>
      </c>
      <c r="BC92" s="4" t="s">
        <v>633</v>
      </c>
      <c r="BD92" s="4" t="s">
        <v>634</v>
      </c>
    </row>
    <row r="93" customFormat="false" ht="15" hidden="false" customHeight="false" outlineLevel="0" collapsed="false">
      <c r="A93" s="4" t="n">
        <v>88</v>
      </c>
      <c r="B93" s="51" t="s">
        <v>525</v>
      </c>
      <c r="C93" s="52" t="s">
        <v>526</v>
      </c>
      <c r="D93" s="14" t="s">
        <v>635</v>
      </c>
      <c r="E93" s="4" t="s">
        <v>543</v>
      </c>
      <c r="F93" s="37" t="n">
        <v>2.033</v>
      </c>
      <c r="G93" s="34" t="n">
        <v>453.6</v>
      </c>
      <c r="H93" s="30" t="n">
        <v>0.9</v>
      </c>
      <c r="I93" s="38" t="n">
        <f aca="false">F93/(G93*H93)*100</f>
        <v>0.497991377621007</v>
      </c>
      <c r="J93" s="4"/>
      <c r="K93" s="4"/>
      <c r="L93" s="4"/>
      <c r="M93" s="40" t="n">
        <f aca="false">IF(AND(IF(Planner!$C$39="BLS U.S. average (Sep 2026)",1,0)=1,L93&lt;&gt;""),L93,I93)</f>
        <v>0.497991377621007</v>
      </c>
      <c r="N93" s="13" t="n">
        <v>140</v>
      </c>
      <c r="O93" s="4" t="s">
        <v>609</v>
      </c>
      <c r="P93" s="8" t="n">
        <v>2</v>
      </c>
      <c r="Q93" s="41"/>
      <c r="R93" s="13"/>
      <c r="S93" s="42" t="n">
        <v>0</v>
      </c>
      <c r="T93" s="42" t="n">
        <v>0</v>
      </c>
      <c r="U93" s="42" t="n">
        <v>0</v>
      </c>
      <c r="V93" s="42" t="n">
        <v>0</v>
      </c>
      <c r="W93" s="42" t="n">
        <v>0</v>
      </c>
      <c r="X93" s="42" t="n">
        <v>0</v>
      </c>
      <c r="Y93" s="42" t="n">
        <v>0</v>
      </c>
      <c r="Z93" s="42" t="n">
        <v>0</v>
      </c>
      <c r="AA93" s="42" t="n">
        <v>0</v>
      </c>
      <c r="AB93" s="42" t="n">
        <v>0</v>
      </c>
      <c r="AC93" s="42" t="n">
        <v>0</v>
      </c>
      <c r="AD93" s="43" t="n">
        <f aca="false">SUMPRODUCT(S93:AC93,INDEX(Diets!$I$5:$S$14,MATCH(Planner!$C$36,Diets!$A$5:$A$14,0),0))</f>
        <v>0</v>
      </c>
      <c r="AE93" s="44" t="n">
        <f aca="false">IF(OR(UPPER(Q93)="Y",AD93&gt;0,AND(Planner!$C$40="Core 71 foods",AY93=0)),0,1)</f>
        <v>1</v>
      </c>
      <c r="AF93" s="45" t="n">
        <v>0</v>
      </c>
      <c r="AG93" s="45" t="n">
        <v>0.5</v>
      </c>
      <c r="AH93" s="45" t="n">
        <v>0</v>
      </c>
      <c r="AI93" s="45" t="n">
        <v>0.5</v>
      </c>
      <c r="AJ93" s="8" t="n">
        <v>140</v>
      </c>
      <c r="AK93" s="4"/>
      <c r="AL93" s="31" t="n">
        <v>57</v>
      </c>
      <c r="AM93" s="31" t="n">
        <v>0.36</v>
      </c>
      <c r="AN93" s="31" t="n">
        <v>15.23</v>
      </c>
      <c r="AO93" s="31" t="n">
        <v>0.14</v>
      </c>
      <c r="AP93" s="31" t="n">
        <v>3.1</v>
      </c>
      <c r="AQ93" s="31" t="n">
        <v>9.75</v>
      </c>
      <c r="AR93" s="31" t="n">
        <v>9</v>
      </c>
      <c r="AS93" s="31" t="n">
        <v>0.18</v>
      </c>
      <c r="AT93" s="31" t="n">
        <v>116</v>
      </c>
      <c r="AU93" s="31" t="n">
        <v>1</v>
      </c>
      <c r="AV93" s="31" t="n">
        <v>4.3</v>
      </c>
      <c r="AW93" s="31" t="n">
        <v>0.022</v>
      </c>
      <c r="AX93" s="4" t="s">
        <v>320</v>
      </c>
      <c r="AY93" s="43" t="n">
        <v>0</v>
      </c>
      <c r="AZ93" s="23" t="n">
        <f aca="false">AM93/M93</f>
        <v>0.722904082636498</v>
      </c>
      <c r="BA93" s="18" t="n">
        <f aca="false">AL93/M93</f>
        <v>114.459813084112</v>
      </c>
      <c r="BB93" s="4" t="s">
        <v>636</v>
      </c>
      <c r="BC93" s="4" t="s">
        <v>637</v>
      </c>
      <c r="BD93" s="4" t="s">
        <v>638</v>
      </c>
    </row>
    <row r="94" customFormat="false" ht="15" hidden="false" customHeight="false" outlineLevel="0" collapsed="false">
      <c r="A94" s="4" t="n">
        <v>89</v>
      </c>
      <c r="B94" s="51" t="s">
        <v>525</v>
      </c>
      <c r="C94" s="52" t="s">
        <v>526</v>
      </c>
      <c r="D94" s="14" t="s">
        <v>639</v>
      </c>
      <c r="E94" s="4" t="s">
        <v>325</v>
      </c>
      <c r="F94" s="37" t="n">
        <v>2.57</v>
      </c>
      <c r="G94" s="34" t="n">
        <v>453.6</v>
      </c>
      <c r="H94" s="30" t="n">
        <v>1</v>
      </c>
      <c r="I94" s="38" t="n">
        <f aca="false">F94/(G94*H94)*100</f>
        <v>0.56657848324515</v>
      </c>
      <c r="J94" s="4"/>
      <c r="K94" s="4"/>
      <c r="L94" s="4"/>
      <c r="M94" s="40" t="n">
        <f aca="false">IF(AND(IF(Planner!$C$39="BLS U.S. average (Sep 2026)",1,0)=1,L94&lt;&gt;""),L94,I94)</f>
        <v>0.56657848324515</v>
      </c>
      <c r="N94" s="13" t="n">
        <v>124</v>
      </c>
      <c r="O94" s="4" t="s">
        <v>312</v>
      </c>
      <c r="P94" s="8" t="n">
        <v>2</v>
      </c>
      <c r="Q94" s="41"/>
      <c r="R94" s="13"/>
      <c r="S94" s="42" t="n">
        <v>0</v>
      </c>
      <c r="T94" s="42" t="n">
        <v>0</v>
      </c>
      <c r="U94" s="42" t="n">
        <v>0</v>
      </c>
      <c r="V94" s="42" t="n">
        <v>0</v>
      </c>
      <c r="W94" s="42" t="n">
        <v>0</v>
      </c>
      <c r="X94" s="42" t="n">
        <v>0</v>
      </c>
      <c r="Y94" s="42" t="n">
        <v>0</v>
      </c>
      <c r="Z94" s="42" t="n">
        <v>0</v>
      </c>
      <c r="AA94" s="42" t="n">
        <v>0</v>
      </c>
      <c r="AB94" s="42" t="n">
        <v>0</v>
      </c>
      <c r="AC94" s="42" t="n">
        <v>0</v>
      </c>
      <c r="AD94" s="43" t="n">
        <f aca="false">SUMPRODUCT(S94:AC94,INDEX(Diets!$I$5:$S$14,MATCH(Planner!$C$36,Diets!$A$5:$A$14,0),0))</f>
        <v>0</v>
      </c>
      <c r="AE94" s="44" t="n">
        <f aca="false">IF(OR(UPPER(Q94)="Y",AD94&gt;0,AND(Planner!$C$40="Core 71 foods",AY94=0)),0,1)</f>
        <v>1</v>
      </c>
      <c r="AF94" s="45" t="n">
        <v>0.5</v>
      </c>
      <c r="AG94" s="45" t="n">
        <v>0</v>
      </c>
      <c r="AH94" s="45" t="n">
        <v>0</v>
      </c>
      <c r="AI94" s="45" t="n">
        <v>0.5</v>
      </c>
      <c r="AJ94" s="8" t="n">
        <v>248</v>
      </c>
      <c r="AK94" s="4"/>
      <c r="AL94" s="31" t="n">
        <v>50</v>
      </c>
      <c r="AM94" s="31" t="n">
        <v>0.34</v>
      </c>
      <c r="AN94" s="31" t="n">
        <v>12.94</v>
      </c>
      <c r="AO94" s="31" t="n">
        <v>0.07</v>
      </c>
      <c r="AP94" s="31" t="n">
        <v>1.6</v>
      </c>
      <c r="AQ94" s="31" t="n">
        <v>9.7</v>
      </c>
      <c r="AR94" s="31" t="n">
        <v>9</v>
      </c>
      <c r="AS94" s="31" t="n">
        <v>0.29</v>
      </c>
      <c r="AT94" s="31" t="n">
        <v>96</v>
      </c>
      <c r="AU94" s="31" t="n">
        <v>4</v>
      </c>
      <c r="AV94" s="31" t="n">
        <v>1.6</v>
      </c>
      <c r="AW94" s="31" t="n">
        <v>0.004</v>
      </c>
      <c r="AX94" s="4" t="s">
        <v>320</v>
      </c>
      <c r="AY94" s="43" t="n">
        <v>0</v>
      </c>
      <c r="AZ94" s="23" t="n">
        <f aca="false">AM94/M94</f>
        <v>0.600093385214008</v>
      </c>
      <c r="BA94" s="18" t="n">
        <f aca="false">AL94/M94</f>
        <v>88.2490272373541</v>
      </c>
      <c r="BB94" s="4" t="s">
        <v>640</v>
      </c>
      <c r="BC94" s="4" t="s">
        <v>641</v>
      </c>
      <c r="BD94" s="4" t="s">
        <v>642</v>
      </c>
    </row>
    <row r="95" customFormat="false" ht="15" hidden="false" customHeight="false" outlineLevel="0" collapsed="false">
      <c r="A95" s="4" t="n">
        <v>90</v>
      </c>
      <c r="B95" s="51" t="s">
        <v>525</v>
      </c>
      <c r="C95" s="52" t="s">
        <v>526</v>
      </c>
      <c r="D95" s="14" t="s">
        <v>643</v>
      </c>
      <c r="E95" s="4" t="s">
        <v>543</v>
      </c>
      <c r="F95" s="37" t="n">
        <v>0.709</v>
      </c>
      <c r="G95" s="34" t="n">
        <v>453.6</v>
      </c>
      <c r="H95" s="30" t="n">
        <v>0.51</v>
      </c>
      <c r="I95" s="38" t="n">
        <f aca="false">F95/(G95*H95)*100</f>
        <v>0.306480616938133</v>
      </c>
      <c r="J95" s="4"/>
      <c r="K95" s="4"/>
      <c r="L95" s="4"/>
      <c r="M95" s="40" t="n">
        <f aca="false">IF(AND(IF(Planner!$C$39="BLS U.S. average (Sep 2026)",1,0)=1,L95&lt;&gt;""),L95,I95)</f>
        <v>0.306480616938133</v>
      </c>
      <c r="N95" s="13" t="n">
        <v>165</v>
      </c>
      <c r="O95" s="4" t="s">
        <v>644</v>
      </c>
      <c r="P95" s="8" t="n">
        <v>2</v>
      </c>
      <c r="Q95" s="41"/>
      <c r="R95" s="13"/>
      <c r="S95" s="42" t="n">
        <v>0</v>
      </c>
      <c r="T95" s="42" t="n">
        <v>0</v>
      </c>
      <c r="U95" s="42" t="n">
        <v>0</v>
      </c>
      <c r="V95" s="42" t="n">
        <v>0</v>
      </c>
      <c r="W95" s="42" t="n">
        <v>0</v>
      </c>
      <c r="X95" s="42" t="n">
        <v>0</v>
      </c>
      <c r="Y95" s="42" t="n">
        <v>0</v>
      </c>
      <c r="Z95" s="42" t="n">
        <v>0</v>
      </c>
      <c r="AA95" s="42" t="n">
        <v>0</v>
      </c>
      <c r="AB95" s="42" t="n">
        <v>0</v>
      </c>
      <c r="AC95" s="42" t="n">
        <v>0</v>
      </c>
      <c r="AD95" s="43" t="n">
        <f aca="false">SUMPRODUCT(S95:AC95,INDEX(Diets!$I$5:$S$14,MATCH(Planner!$C$36,Diets!$A$5:$A$14,0),0))</f>
        <v>0</v>
      </c>
      <c r="AE95" s="44" t="n">
        <f aca="false">IF(OR(UPPER(Q95)="Y",AD95&gt;0,AND(Planner!$C$40="Core 71 foods",AY95=0)),0,1)</f>
        <v>1</v>
      </c>
      <c r="AF95" s="45" t="n">
        <v>0.5</v>
      </c>
      <c r="AG95" s="45" t="n">
        <v>0</v>
      </c>
      <c r="AH95" s="45" t="n">
        <v>0</v>
      </c>
      <c r="AI95" s="45" t="n">
        <v>0.5</v>
      </c>
      <c r="AJ95" s="8" t="n">
        <v>165</v>
      </c>
      <c r="AK95" s="4"/>
      <c r="AL95" s="31" t="n">
        <v>50</v>
      </c>
      <c r="AM95" s="31" t="n">
        <v>0.54</v>
      </c>
      <c r="AN95" s="31" t="n">
        <v>13.12</v>
      </c>
      <c r="AO95" s="31" t="n">
        <v>0.12</v>
      </c>
      <c r="AP95" s="31" t="n">
        <v>1.4</v>
      </c>
      <c r="AQ95" s="31" t="n">
        <v>9.85</v>
      </c>
      <c r="AR95" s="31" t="n">
        <v>13</v>
      </c>
      <c r="AS95" s="31" t="n">
        <v>0.29</v>
      </c>
      <c r="AT95" s="31" t="n">
        <v>109</v>
      </c>
      <c r="AU95" s="31" t="n">
        <v>1</v>
      </c>
      <c r="AV95" s="31" t="n">
        <v>47.8</v>
      </c>
      <c r="AW95" s="31" t="n">
        <v>0.009</v>
      </c>
      <c r="AX95" s="4" t="s">
        <v>320</v>
      </c>
      <c r="AY95" s="43" t="n">
        <v>0</v>
      </c>
      <c r="AZ95" s="23" t="n">
        <f aca="false">AM95/M95</f>
        <v>1.76193850493653</v>
      </c>
      <c r="BA95" s="18" t="n">
        <f aca="false">AL95/M95</f>
        <v>163.14245416079</v>
      </c>
      <c r="BB95" s="4" t="s">
        <v>645</v>
      </c>
      <c r="BC95" s="4" t="s">
        <v>646</v>
      </c>
      <c r="BD95" s="4" t="s">
        <v>647</v>
      </c>
    </row>
    <row r="96" customFormat="false" ht="15" hidden="false" customHeight="false" outlineLevel="0" collapsed="false">
      <c r="A96" s="4" t="n">
        <v>91</v>
      </c>
      <c r="B96" s="51" t="s">
        <v>525</v>
      </c>
      <c r="C96" s="52" t="s">
        <v>526</v>
      </c>
      <c r="D96" s="14" t="s">
        <v>648</v>
      </c>
      <c r="E96" s="4" t="s">
        <v>325</v>
      </c>
      <c r="F96" s="37" t="n">
        <v>1.899</v>
      </c>
      <c r="G96" s="34" t="n">
        <v>453.6</v>
      </c>
      <c r="H96" s="30" t="n">
        <v>1</v>
      </c>
      <c r="I96" s="38" t="n">
        <f aca="false">F96/(G96*H96)*100</f>
        <v>0.418650793650794</v>
      </c>
      <c r="J96" s="4"/>
      <c r="K96" s="4"/>
      <c r="L96" s="4"/>
      <c r="M96" s="40" t="n">
        <f aca="false">IF(AND(IF(Planner!$C$39="BLS U.S. average (Sep 2026)",1,0)=1,L96&lt;&gt;""),L96,I96)</f>
        <v>0.418650793650794</v>
      </c>
      <c r="N96" s="13" t="n">
        <v>125</v>
      </c>
      <c r="O96" s="4" t="s">
        <v>312</v>
      </c>
      <c r="P96" s="8" t="n">
        <v>2</v>
      </c>
      <c r="Q96" s="41"/>
      <c r="R96" s="13"/>
      <c r="S96" s="42" t="n">
        <v>0</v>
      </c>
      <c r="T96" s="42" t="n">
        <v>0</v>
      </c>
      <c r="U96" s="42" t="n">
        <v>0</v>
      </c>
      <c r="V96" s="42" t="n">
        <v>0</v>
      </c>
      <c r="W96" s="42" t="n">
        <v>0</v>
      </c>
      <c r="X96" s="42" t="n">
        <v>0</v>
      </c>
      <c r="Y96" s="42" t="n">
        <v>0</v>
      </c>
      <c r="Z96" s="42" t="n">
        <v>0</v>
      </c>
      <c r="AA96" s="42" t="n">
        <v>0</v>
      </c>
      <c r="AB96" s="42" t="n">
        <v>0</v>
      </c>
      <c r="AC96" s="42" t="n">
        <v>0</v>
      </c>
      <c r="AD96" s="43" t="n">
        <f aca="false">SUMPRODUCT(S96:AC96,INDEX(Diets!$I$5:$S$14,MATCH(Planner!$C$36,Diets!$A$5:$A$14,0),0))</f>
        <v>0</v>
      </c>
      <c r="AE96" s="44" t="n">
        <f aca="false">IF(OR(UPPER(Q96)="Y",AD96&gt;0,AND(Planner!$C$40="Core 71 foods",AY96=0)),0,1)</f>
        <v>1</v>
      </c>
      <c r="AF96" s="45" t="n">
        <v>0.5</v>
      </c>
      <c r="AG96" s="45" t="n">
        <v>0</v>
      </c>
      <c r="AH96" s="45" t="n">
        <v>0</v>
      </c>
      <c r="AI96" s="45" t="n">
        <v>0.5</v>
      </c>
      <c r="AJ96" s="8" t="n">
        <v>249</v>
      </c>
      <c r="AK96" s="4"/>
      <c r="AL96" s="31" t="n">
        <v>60</v>
      </c>
      <c r="AM96" s="31" t="n">
        <v>0.42</v>
      </c>
      <c r="AN96" s="31" t="n">
        <v>15.7</v>
      </c>
      <c r="AO96" s="31" t="n">
        <v>0.08</v>
      </c>
      <c r="AP96" s="31" t="n">
        <v>0.8</v>
      </c>
      <c r="AQ96" s="31" t="n">
        <v>14.45</v>
      </c>
      <c r="AR96" s="31" t="n">
        <v>14</v>
      </c>
      <c r="AS96" s="31" t="n">
        <v>0.28</v>
      </c>
      <c r="AT96" s="31" t="n">
        <v>122</v>
      </c>
      <c r="AU96" s="31" t="n">
        <v>1</v>
      </c>
      <c r="AV96" s="31" t="n">
        <v>9.5</v>
      </c>
      <c r="AW96" s="31" t="n">
        <v>0.006</v>
      </c>
      <c r="AX96" s="4" t="s">
        <v>320</v>
      </c>
      <c r="AY96" s="43" t="n">
        <v>0</v>
      </c>
      <c r="AZ96" s="23" t="n">
        <f aca="false">AM96/M96</f>
        <v>1.00322274881517</v>
      </c>
      <c r="BA96" s="18" t="n">
        <f aca="false">AL96/M96</f>
        <v>143.317535545024</v>
      </c>
      <c r="BB96" s="4" t="s">
        <v>649</v>
      </c>
      <c r="BC96" s="4" t="s">
        <v>650</v>
      </c>
      <c r="BD96" s="4" t="s">
        <v>651</v>
      </c>
    </row>
    <row r="97" customFormat="false" ht="15" hidden="false" customHeight="false" outlineLevel="0" collapsed="false">
      <c r="A97" s="4" t="n">
        <v>92</v>
      </c>
      <c r="B97" s="51" t="s">
        <v>525</v>
      </c>
      <c r="C97" s="52" t="s">
        <v>526</v>
      </c>
      <c r="D97" s="14" t="s">
        <v>652</v>
      </c>
      <c r="E97" s="4" t="s">
        <v>543</v>
      </c>
      <c r="F97" s="37" t="n">
        <v>2.819</v>
      </c>
      <c r="G97" s="34" t="n">
        <v>453.6</v>
      </c>
      <c r="H97" s="30" t="n">
        <v>0.94</v>
      </c>
      <c r="I97" s="38" t="n">
        <f aca="false">F97/(G97*H97)*100</f>
        <v>0.661141130999287</v>
      </c>
      <c r="J97" s="4"/>
      <c r="K97" s="4"/>
      <c r="L97" s="4"/>
      <c r="M97" s="40" t="n">
        <f aca="false">IF(AND(IF(Planner!$C$39="BLS U.S. average (Sep 2026)",1,0)=1,L97&lt;&gt;""),L97,I97)</f>
        <v>0.661141130999287</v>
      </c>
      <c r="N97" s="13" t="n">
        <v>165</v>
      </c>
      <c r="O97" s="4" t="s">
        <v>599</v>
      </c>
      <c r="P97" s="8" t="n">
        <v>2</v>
      </c>
      <c r="Q97" s="41"/>
      <c r="R97" s="13"/>
      <c r="S97" s="42" t="n">
        <v>0</v>
      </c>
      <c r="T97" s="42" t="n">
        <v>0</v>
      </c>
      <c r="U97" s="42" t="n">
        <v>0</v>
      </c>
      <c r="V97" s="42" t="n">
        <v>0</v>
      </c>
      <c r="W97" s="42" t="n">
        <v>0</v>
      </c>
      <c r="X97" s="42" t="n">
        <v>0</v>
      </c>
      <c r="Y97" s="42" t="n">
        <v>0</v>
      </c>
      <c r="Z97" s="42" t="n">
        <v>0</v>
      </c>
      <c r="AA97" s="42" t="n">
        <v>0</v>
      </c>
      <c r="AB97" s="42" t="n">
        <v>0</v>
      </c>
      <c r="AC97" s="42" t="n">
        <v>0</v>
      </c>
      <c r="AD97" s="43" t="n">
        <f aca="false">SUMPRODUCT(S97:AC97,INDEX(Diets!$I$5:$S$14,MATCH(Planner!$C$36,Diets!$A$5:$A$14,0),0))</f>
        <v>0</v>
      </c>
      <c r="AE97" s="44" t="n">
        <f aca="false">IF(OR(UPPER(Q97)="Y",AD97&gt;0,AND(Planner!$C$40="Core 71 foods",AY97=0)),0,1)</f>
        <v>1</v>
      </c>
      <c r="AF97" s="45" t="n">
        <v>0</v>
      </c>
      <c r="AG97" s="45" t="n">
        <v>0</v>
      </c>
      <c r="AH97" s="45" t="n">
        <v>0</v>
      </c>
      <c r="AI97" s="45" t="n">
        <v>1</v>
      </c>
      <c r="AJ97" s="8" t="n">
        <v>165</v>
      </c>
      <c r="AK97" s="4"/>
      <c r="AL97" s="31" t="n">
        <v>46</v>
      </c>
      <c r="AM97" s="31" t="n">
        <v>0.7</v>
      </c>
      <c r="AN97" s="31" t="n">
        <v>11.42</v>
      </c>
      <c r="AO97" s="31" t="n">
        <v>0.28</v>
      </c>
      <c r="AP97" s="31" t="n">
        <v>1.4</v>
      </c>
      <c r="AQ97" s="31" t="n">
        <v>9.92</v>
      </c>
      <c r="AR97" s="31" t="n">
        <v>6</v>
      </c>
      <c r="AS97" s="31" t="n">
        <v>0.17</v>
      </c>
      <c r="AT97" s="31" t="n">
        <v>157</v>
      </c>
      <c r="AU97" s="31" t="n">
        <v>0</v>
      </c>
      <c r="AV97" s="31" t="n">
        <v>9.5</v>
      </c>
      <c r="AW97" s="31" t="n">
        <v>0.017</v>
      </c>
      <c r="AX97" s="4" t="s">
        <v>320</v>
      </c>
      <c r="AY97" s="43" t="n">
        <v>0</v>
      </c>
      <c r="AZ97" s="23" t="n">
        <f aca="false">AM97/M97</f>
        <v>1.05877545228805</v>
      </c>
      <c r="BA97" s="18" t="n">
        <f aca="false">AL97/M97</f>
        <v>69.5766725789287</v>
      </c>
      <c r="BB97" s="4" t="s">
        <v>653</v>
      </c>
      <c r="BC97" s="4" t="s">
        <v>654</v>
      </c>
      <c r="BD97" s="4" t="s">
        <v>655</v>
      </c>
    </row>
    <row r="98" customFormat="false" ht="15" hidden="false" customHeight="false" outlineLevel="0" collapsed="false">
      <c r="A98" s="4" t="n">
        <v>93</v>
      </c>
      <c r="B98" s="51" t="s">
        <v>525</v>
      </c>
      <c r="C98" s="52" t="s">
        <v>526</v>
      </c>
      <c r="D98" s="14" t="s">
        <v>656</v>
      </c>
      <c r="E98" s="4" t="s">
        <v>318</v>
      </c>
      <c r="F98" s="37" t="n">
        <v>7.455</v>
      </c>
      <c r="G98" s="34" t="n">
        <v>453.6</v>
      </c>
      <c r="H98" s="30" t="n">
        <v>1</v>
      </c>
      <c r="I98" s="38" t="n">
        <f aca="false">F98/(G98*H98)*100</f>
        <v>1.64351851851852</v>
      </c>
      <c r="J98" s="4"/>
      <c r="K98" s="4"/>
      <c r="L98" s="4"/>
      <c r="M98" s="40" t="n">
        <f aca="false">IF(AND(IF(Planner!$C$39="BLS U.S. average (Sep 2026)",1,0)=1,L98&lt;&gt;""),L98,I98)</f>
        <v>1.64351851851852</v>
      </c>
      <c r="N98" s="13" t="n">
        <v>44</v>
      </c>
      <c r="O98" s="4" t="s">
        <v>577</v>
      </c>
      <c r="P98" s="8" t="n">
        <v>1</v>
      </c>
      <c r="Q98" s="41"/>
      <c r="R98" s="13"/>
      <c r="S98" s="42" t="n">
        <v>0</v>
      </c>
      <c r="T98" s="42" t="n">
        <v>0</v>
      </c>
      <c r="U98" s="42" t="n">
        <v>0</v>
      </c>
      <c r="V98" s="42" t="n">
        <v>0</v>
      </c>
      <c r="W98" s="42" t="n">
        <v>0</v>
      </c>
      <c r="X98" s="42" t="n">
        <v>0</v>
      </c>
      <c r="Y98" s="42" t="n">
        <v>0</v>
      </c>
      <c r="Z98" s="42" t="n">
        <v>0</v>
      </c>
      <c r="AA98" s="42" t="n">
        <v>0</v>
      </c>
      <c r="AB98" s="42" t="n">
        <v>0</v>
      </c>
      <c r="AC98" s="42" t="n">
        <v>0</v>
      </c>
      <c r="AD98" s="43" t="n">
        <f aca="false">SUMPRODUCT(S98:AC98,INDEX(Diets!$I$5:$S$14,MATCH(Planner!$C$36,Diets!$A$5:$A$14,0),0))</f>
        <v>0</v>
      </c>
      <c r="AE98" s="44" t="n">
        <f aca="false">IF(OR(UPPER(Q98)="Y",AD98&gt;0,AND(Planner!$C$40="Core 71 foods",AY98=0)),0,1)</f>
        <v>1</v>
      </c>
      <c r="AF98" s="45" t="n">
        <v>0</v>
      </c>
      <c r="AG98" s="45" t="n">
        <v>0</v>
      </c>
      <c r="AH98" s="45" t="n">
        <v>0</v>
      </c>
      <c r="AI98" s="45" t="n">
        <v>1</v>
      </c>
      <c r="AJ98" s="8" t="n">
        <v>87</v>
      </c>
      <c r="AK98" s="4"/>
      <c r="AL98" s="31" t="n">
        <v>240</v>
      </c>
      <c r="AM98" s="31" t="n">
        <v>2.18</v>
      </c>
      <c r="AN98" s="31" t="n">
        <v>63.88</v>
      </c>
      <c r="AO98" s="31" t="n">
        <v>0.38</v>
      </c>
      <c r="AP98" s="31" t="n">
        <v>7.1</v>
      </c>
      <c r="AQ98" s="31" t="n">
        <v>38.13</v>
      </c>
      <c r="AR98" s="31" t="n">
        <v>43</v>
      </c>
      <c r="AS98" s="31" t="n">
        <v>0.93</v>
      </c>
      <c r="AT98" s="31" t="n">
        <v>732</v>
      </c>
      <c r="AU98" s="31" t="n">
        <v>2</v>
      </c>
      <c r="AV98" s="31" t="n">
        <v>0.6</v>
      </c>
      <c r="AW98" s="31" t="n">
        <v>0.088</v>
      </c>
      <c r="AX98" s="4" t="s">
        <v>320</v>
      </c>
      <c r="AY98" s="43" t="n">
        <v>0</v>
      </c>
      <c r="AZ98" s="23" t="n">
        <f aca="false">AM98/M98</f>
        <v>1.32642253521127</v>
      </c>
      <c r="BA98" s="18" t="n">
        <f aca="false">AL98/M98</f>
        <v>146.028169014085</v>
      </c>
      <c r="BB98" s="4" t="s">
        <v>657</v>
      </c>
      <c r="BC98" s="4" t="s">
        <v>658</v>
      </c>
      <c r="BD98" s="4" t="s">
        <v>659</v>
      </c>
    </row>
    <row r="99" customFormat="false" ht="15" hidden="false" customHeight="false" outlineLevel="0" collapsed="false">
      <c r="A99" s="4" t="n">
        <v>94</v>
      </c>
      <c r="B99" s="51" t="s">
        <v>525</v>
      </c>
      <c r="C99" s="52" t="s">
        <v>526</v>
      </c>
      <c r="D99" s="14" t="s">
        <v>660</v>
      </c>
      <c r="E99" s="4" t="s">
        <v>661</v>
      </c>
      <c r="F99" s="37" t="n">
        <v>4.38</v>
      </c>
      <c r="G99" s="34" t="n">
        <v>567</v>
      </c>
      <c r="H99" s="30" t="n">
        <v>1</v>
      </c>
      <c r="I99" s="38" t="n">
        <f aca="false">F99/(G99*H99)*100</f>
        <v>0.772486772486772</v>
      </c>
      <c r="J99" s="4"/>
      <c r="K99" s="4"/>
      <c r="L99" s="4"/>
      <c r="M99" s="40" t="n">
        <f aca="false">IF(AND(IF(Planner!$C$39="BLS U.S. average (Sep 2026)",1,0)=1,L99&lt;&gt;""),L99,I99)</f>
        <v>0.772486772486772</v>
      </c>
      <c r="N99" s="13" t="n">
        <v>41</v>
      </c>
      <c r="O99" s="4" t="s">
        <v>577</v>
      </c>
      <c r="P99" s="8" t="n">
        <v>1</v>
      </c>
      <c r="Q99" s="41"/>
      <c r="R99" s="13"/>
      <c r="S99" s="42" t="n">
        <v>0</v>
      </c>
      <c r="T99" s="42" t="n">
        <v>0</v>
      </c>
      <c r="U99" s="42" t="n">
        <v>0</v>
      </c>
      <c r="V99" s="42" t="n">
        <v>0</v>
      </c>
      <c r="W99" s="42" t="n">
        <v>0</v>
      </c>
      <c r="X99" s="42" t="n">
        <v>0</v>
      </c>
      <c r="Y99" s="42" t="n">
        <v>0</v>
      </c>
      <c r="Z99" s="42" t="n">
        <v>0</v>
      </c>
      <c r="AA99" s="42" t="n">
        <v>0</v>
      </c>
      <c r="AB99" s="42" t="n">
        <v>0</v>
      </c>
      <c r="AC99" s="42" t="n">
        <v>0</v>
      </c>
      <c r="AD99" s="43" t="n">
        <f aca="false">SUMPRODUCT(S99:AC99,INDEX(Diets!$I$5:$S$14,MATCH(Planner!$C$36,Diets!$A$5:$A$14,0),0))</f>
        <v>0</v>
      </c>
      <c r="AE99" s="44" t="n">
        <f aca="false">IF(OR(UPPER(Q99)="Y",AD99&gt;0,AND(Planner!$C$40="Core 71 foods",AY99=0)),0,1)</f>
        <v>1</v>
      </c>
      <c r="AF99" s="45" t="n">
        <v>0</v>
      </c>
      <c r="AG99" s="45" t="n">
        <v>0</v>
      </c>
      <c r="AH99" s="45" t="n">
        <v>0</v>
      </c>
      <c r="AI99" s="45" t="n">
        <v>1</v>
      </c>
      <c r="AJ99" s="8" t="n">
        <v>82</v>
      </c>
      <c r="AK99" s="4"/>
      <c r="AL99" s="31" t="n">
        <v>299</v>
      </c>
      <c r="AM99" s="31" t="n">
        <v>3.07</v>
      </c>
      <c r="AN99" s="31" t="n">
        <v>79.18</v>
      </c>
      <c r="AO99" s="31" t="n">
        <v>0.46</v>
      </c>
      <c r="AP99" s="31" t="n">
        <v>3.7</v>
      </c>
      <c r="AQ99" s="31" t="n">
        <v>59.19</v>
      </c>
      <c r="AR99" s="31" t="n">
        <v>50</v>
      </c>
      <c r="AS99" s="31" t="n">
        <v>1.88</v>
      </c>
      <c r="AT99" s="31" t="n">
        <v>749</v>
      </c>
      <c r="AU99" s="31" t="n">
        <v>11</v>
      </c>
      <c r="AV99" s="31" t="n">
        <v>2.3</v>
      </c>
      <c r="AW99" s="31" t="n">
        <v>0.058</v>
      </c>
      <c r="AX99" s="4" t="s">
        <v>218</v>
      </c>
      <c r="AY99" s="43" t="n">
        <v>1</v>
      </c>
      <c r="AZ99" s="23" t="n">
        <f aca="false">AM99/M99</f>
        <v>3.97417808219178</v>
      </c>
      <c r="BA99" s="18" t="n">
        <f aca="false">AL99/M99</f>
        <v>387.061643835616</v>
      </c>
      <c r="BB99" s="4" t="s">
        <v>662</v>
      </c>
      <c r="BC99" s="4" t="s">
        <v>663</v>
      </c>
      <c r="BD99" s="4"/>
    </row>
    <row r="100" customFormat="false" ht="15" hidden="false" customHeight="false" outlineLevel="0" collapsed="false">
      <c r="A100" s="4" t="n">
        <v>95</v>
      </c>
      <c r="B100" s="51" t="s">
        <v>525</v>
      </c>
      <c r="C100" s="52" t="s">
        <v>526</v>
      </c>
      <c r="D100" s="14" t="s">
        <v>664</v>
      </c>
      <c r="E100" s="4" t="s">
        <v>543</v>
      </c>
      <c r="F100" s="37" t="n">
        <v>8.45</v>
      </c>
      <c r="G100" s="34" t="n">
        <v>453.6</v>
      </c>
      <c r="H100" s="30" t="n">
        <v>0.96</v>
      </c>
      <c r="I100" s="38" t="n">
        <f aca="false">F100/(G100*H100)*100</f>
        <v>1.94049456202234</v>
      </c>
      <c r="J100" s="4"/>
      <c r="K100" s="4"/>
      <c r="L100" s="4"/>
      <c r="M100" s="40" t="n">
        <f aca="false">IF(AND(IF(Planner!$C$39="BLS U.S. average (Sep 2026)",1,0)=1,L100&lt;&gt;""),L100,I100)</f>
        <v>1.94049456202234</v>
      </c>
      <c r="N100" s="13" t="n">
        <v>123</v>
      </c>
      <c r="O100" s="4" t="s">
        <v>392</v>
      </c>
      <c r="P100" s="8" t="n">
        <v>1</v>
      </c>
      <c r="Q100" s="41"/>
      <c r="R100" s="13"/>
      <c r="S100" s="42" t="n">
        <v>0</v>
      </c>
      <c r="T100" s="42" t="n">
        <v>0</v>
      </c>
      <c r="U100" s="42" t="n">
        <v>0</v>
      </c>
      <c r="V100" s="42" t="n">
        <v>0</v>
      </c>
      <c r="W100" s="42" t="n">
        <v>0</v>
      </c>
      <c r="X100" s="42" t="n">
        <v>0</v>
      </c>
      <c r="Y100" s="42" t="n">
        <v>0</v>
      </c>
      <c r="Z100" s="42" t="n">
        <v>0</v>
      </c>
      <c r="AA100" s="42" t="n">
        <v>0</v>
      </c>
      <c r="AB100" s="42" t="n">
        <v>0</v>
      </c>
      <c r="AC100" s="42" t="n">
        <v>0</v>
      </c>
      <c r="AD100" s="43" t="n">
        <f aca="false">SUMPRODUCT(S100:AC100,INDEX(Diets!$I$5:$S$14,MATCH(Planner!$C$36,Diets!$A$5:$A$14,0),0))</f>
        <v>0</v>
      </c>
      <c r="AE100" s="44" t="n">
        <f aca="false">IF(OR(UPPER(Q100)="Y",AD100&gt;0,AND(Planner!$C$40="Core 71 foods",AY100=0)),0,1)</f>
        <v>1</v>
      </c>
      <c r="AF100" s="45" t="n">
        <v>0.5</v>
      </c>
      <c r="AG100" s="45" t="n">
        <v>0</v>
      </c>
      <c r="AH100" s="45" t="n">
        <v>0</v>
      </c>
      <c r="AI100" s="45" t="n">
        <v>0.5</v>
      </c>
      <c r="AJ100" s="8" t="n">
        <v>123</v>
      </c>
      <c r="AK100" s="4"/>
      <c r="AL100" s="31" t="n">
        <v>52</v>
      </c>
      <c r="AM100" s="31" t="n">
        <v>1.2</v>
      </c>
      <c r="AN100" s="31" t="n">
        <v>11.94</v>
      </c>
      <c r="AO100" s="31" t="n">
        <v>0.65</v>
      </c>
      <c r="AP100" s="31" t="n">
        <v>6.5</v>
      </c>
      <c r="AQ100" s="31" t="n">
        <v>4.42</v>
      </c>
      <c r="AR100" s="31" t="n">
        <v>25</v>
      </c>
      <c r="AS100" s="31" t="n">
        <v>0.69</v>
      </c>
      <c r="AT100" s="31" t="n">
        <v>151</v>
      </c>
      <c r="AU100" s="31" t="n">
        <v>1</v>
      </c>
      <c r="AV100" s="31" t="n">
        <v>26.2</v>
      </c>
      <c r="AW100" s="31" t="n">
        <v>0.019</v>
      </c>
      <c r="AX100" s="4" t="s">
        <v>320</v>
      </c>
      <c r="AY100" s="43" t="n">
        <v>0</v>
      </c>
      <c r="AZ100" s="23" t="n">
        <f aca="false">AM100/M100</f>
        <v>0.618399053254438</v>
      </c>
      <c r="BA100" s="18" t="n">
        <f aca="false">AL100/M100</f>
        <v>26.7972923076923</v>
      </c>
      <c r="BB100" s="4" t="s">
        <v>665</v>
      </c>
      <c r="BC100" s="4" t="s">
        <v>666</v>
      </c>
      <c r="BD100" s="4" t="s">
        <v>667</v>
      </c>
    </row>
    <row r="101" customFormat="false" ht="15" hidden="false" customHeight="false" outlineLevel="0" collapsed="false">
      <c r="A101" s="4" t="n">
        <v>96</v>
      </c>
      <c r="B101" s="51" t="s">
        <v>525</v>
      </c>
      <c r="C101" s="52" t="s">
        <v>526</v>
      </c>
      <c r="D101" s="14" t="s">
        <v>668</v>
      </c>
      <c r="E101" s="4" t="s">
        <v>669</v>
      </c>
      <c r="F101" s="37" t="n">
        <v>2.97</v>
      </c>
      <c r="G101" s="34" t="n">
        <v>453.6</v>
      </c>
      <c r="H101" s="30" t="n">
        <v>0.94</v>
      </c>
      <c r="I101" s="38" t="n">
        <f aca="false">F101/(G101*H101)*100</f>
        <v>0.696555217831814</v>
      </c>
      <c r="J101" s="39" t="n">
        <v>2.84</v>
      </c>
      <c r="K101" s="34" t="n">
        <v>340.2</v>
      </c>
      <c r="L101" s="38" t="n">
        <f aca="false">J101/(K101*H101)*100</f>
        <v>0.888088358537531</v>
      </c>
      <c r="M101" s="40" t="n">
        <f aca="false">IF(AND(IF(Planner!$C$39="BLS U.S. average (Sep 2026)",1,0)=1,L101&lt;&gt;""),L101,I101)</f>
        <v>0.696555217831814</v>
      </c>
      <c r="N101" s="13" t="n">
        <v>152</v>
      </c>
      <c r="O101" s="4" t="s">
        <v>670</v>
      </c>
      <c r="P101" s="8" t="n">
        <v>2</v>
      </c>
      <c r="Q101" s="41"/>
      <c r="R101" s="13"/>
      <c r="S101" s="42" t="n">
        <v>0</v>
      </c>
      <c r="T101" s="42" t="n">
        <v>0</v>
      </c>
      <c r="U101" s="42" t="n">
        <v>0</v>
      </c>
      <c r="V101" s="42" t="n">
        <v>0</v>
      </c>
      <c r="W101" s="42" t="n">
        <v>0</v>
      </c>
      <c r="X101" s="42" t="n">
        <v>0</v>
      </c>
      <c r="Y101" s="42" t="n">
        <v>0</v>
      </c>
      <c r="Z101" s="42" t="n">
        <v>0</v>
      </c>
      <c r="AA101" s="42" t="n">
        <v>0</v>
      </c>
      <c r="AB101" s="42" t="n">
        <v>0</v>
      </c>
      <c r="AC101" s="42" t="n">
        <v>0</v>
      </c>
      <c r="AD101" s="43" t="n">
        <f aca="false">SUMPRODUCT(S101:AC101,INDEX(Diets!$I$5:$S$14,MATCH(Planner!$C$36,Diets!$A$5:$A$14,0),0))</f>
        <v>0</v>
      </c>
      <c r="AE101" s="44" t="n">
        <f aca="false">IF(OR(UPPER(Q101)="Y",AD101&gt;0,AND(Planner!$C$40="Core 71 foods",AY101=0)),0,1)</f>
        <v>1</v>
      </c>
      <c r="AF101" s="45" t="n">
        <v>0.5</v>
      </c>
      <c r="AG101" s="45" t="n">
        <v>0</v>
      </c>
      <c r="AH101" s="45" t="n">
        <v>0</v>
      </c>
      <c r="AI101" s="45" t="n">
        <v>0.5</v>
      </c>
      <c r="AJ101" s="8" t="n">
        <v>152</v>
      </c>
      <c r="AK101" s="4"/>
      <c r="AL101" s="31" t="n">
        <v>32</v>
      </c>
      <c r="AM101" s="31" t="n">
        <v>0.67</v>
      </c>
      <c r="AN101" s="31" t="n">
        <v>7.68</v>
      </c>
      <c r="AO101" s="31" t="n">
        <v>0.3</v>
      </c>
      <c r="AP101" s="31" t="n">
        <v>2</v>
      </c>
      <c r="AQ101" s="31" t="n">
        <v>4.89</v>
      </c>
      <c r="AR101" s="31" t="n">
        <v>16</v>
      </c>
      <c r="AS101" s="31" t="n">
        <v>0.41</v>
      </c>
      <c r="AT101" s="31" t="n">
        <v>153</v>
      </c>
      <c r="AU101" s="31" t="n">
        <v>1</v>
      </c>
      <c r="AV101" s="31" t="n">
        <v>58.8</v>
      </c>
      <c r="AW101" s="31" t="n">
        <v>0.015</v>
      </c>
      <c r="AX101" s="4" t="s">
        <v>218</v>
      </c>
      <c r="AY101" s="43" t="n">
        <v>1</v>
      </c>
      <c r="AZ101" s="23" t="n">
        <f aca="false">AM101/M101</f>
        <v>0.961876363636364</v>
      </c>
      <c r="BA101" s="18" t="n">
        <f aca="false">AL101/M101</f>
        <v>45.9403636363636</v>
      </c>
      <c r="BB101" s="4" t="s">
        <v>671</v>
      </c>
      <c r="BC101" s="4" t="s">
        <v>672</v>
      </c>
      <c r="BD101" s="4"/>
    </row>
    <row r="102" customFormat="false" ht="15" hidden="false" customHeight="false" outlineLevel="0" collapsed="false">
      <c r="A102" s="4" t="n">
        <v>97</v>
      </c>
      <c r="B102" s="51" t="s">
        <v>525</v>
      </c>
      <c r="C102" s="52" t="s">
        <v>526</v>
      </c>
      <c r="D102" s="14" t="s">
        <v>673</v>
      </c>
      <c r="E102" s="4" t="s">
        <v>489</v>
      </c>
      <c r="F102" s="37" t="n">
        <v>3.536</v>
      </c>
      <c r="G102" s="34" t="n">
        <v>453.6</v>
      </c>
      <c r="H102" s="30" t="n">
        <v>1</v>
      </c>
      <c r="I102" s="38" t="n">
        <f aca="false">F102/(G102*H102)*100</f>
        <v>0.779541446208113</v>
      </c>
      <c r="J102" s="4"/>
      <c r="K102" s="4"/>
      <c r="L102" s="4"/>
      <c r="M102" s="40" t="n">
        <f aca="false">IF(AND(IF(Planner!$C$39="BLS U.S. average (Sep 2026)",1,0)=1,L102&lt;&gt;""),L102,I102)</f>
        <v>0.779541446208113</v>
      </c>
      <c r="N102" s="13" t="n">
        <v>149</v>
      </c>
      <c r="O102" s="4" t="s">
        <v>392</v>
      </c>
      <c r="P102" s="8" t="n">
        <v>2</v>
      </c>
      <c r="Q102" s="41"/>
      <c r="R102" s="13"/>
      <c r="S102" s="42" t="n">
        <v>0</v>
      </c>
      <c r="T102" s="42" t="n">
        <v>0</v>
      </c>
      <c r="U102" s="42" t="n">
        <v>0</v>
      </c>
      <c r="V102" s="42" t="n">
        <v>0</v>
      </c>
      <c r="W102" s="42" t="n">
        <v>0</v>
      </c>
      <c r="X102" s="42" t="n">
        <v>0</v>
      </c>
      <c r="Y102" s="42" t="n">
        <v>0</v>
      </c>
      <c r="Z102" s="42" t="n">
        <v>0</v>
      </c>
      <c r="AA102" s="42" t="n">
        <v>0</v>
      </c>
      <c r="AB102" s="42" t="n">
        <v>0</v>
      </c>
      <c r="AC102" s="42" t="n">
        <v>0</v>
      </c>
      <c r="AD102" s="43" t="n">
        <f aca="false">SUMPRODUCT(S102:AC102,INDEX(Diets!$I$5:$S$14,MATCH(Planner!$C$36,Diets!$A$5:$A$14,0),0))</f>
        <v>0</v>
      </c>
      <c r="AE102" s="44" t="n">
        <f aca="false">IF(OR(UPPER(Q102)="Y",AD102&gt;0,AND(Planner!$C$40="Core 71 foods",AY102=0)),0,1)</f>
        <v>1</v>
      </c>
      <c r="AF102" s="45" t="n">
        <v>0.5</v>
      </c>
      <c r="AG102" s="45" t="n">
        <v>0</v>
      </c>
      <c r="AH102" s="45" t="n">
        <v>0</v>
      </c>
      <c r="AI102" s="45" t="n">
        <v>0.5</v>
      </c>
      <c r="AJ102" s="8" t="n">
        <v>149</v>
      </c>
      <c r="AK102" s="4"/>
      <c r="AL102" s="31" t="n">
        <v>35</v>
      </c>
      <c r="AM102" s="31" t="n">
        <v>0.43</v>
      </c>
      <c r="AN102" s="31" t="n">
        <v>9.13</v>
      </c>
      <c r="AO102" s="31" t="n">
        <v>0.11</v>
      </c>
      <c r="AP102" s="31" t="n">
        <v>2.1</v>
      </c>
      <c r="AQ102" s="31" t="n">
        <v>4.56</v>
      </c>
      <c r="AR102" s="31" t="n">
        <v>16</v>
      </c>
      <c r="AS102" s="31" t="n">
        <v>0.75</v>
      </c>
      <c r="AT102" s="31" t="n">
        <v>148</v>
      </c>
      <c r="AU102" s="31" t="n">
        <v>2</v>
      </c>
      <c r="AV102" s="31" t="n">
        <v>41.2</v>
      </c>
      <c r="AW102" s="31" t="n">
        <v>0.006</v>
      </c>
      <c r="AX102" s="4" t="s">
        <v>320</v>
      </c>
      <c r="AY102" s="43" t="n">
        <v>0</v>
      </c>
      <c r="AZ102" s="23" t="n">
        <f aca="false">AM102/M102</f>
        <v>0.551606334841629</v>
      </c>
      <c r="BA102" s="18" t="n">
        <f aca="false">AL102/M102</f>
        <v>44.8981900452489</v>
      </c>
      <c r="BB102" s="4" t="s">
        <v>674</v>
      </c>
      <c r="BC102" s="4" t="s">
        <v>675</v>
      </c>
      <c r="BD102" s="4" t="s">
        <v>676</v>
      </c>
    </row>
    <row r="103" customFormat="false" ht="15" hidden="false" customHeight="false" outlineLevel="0" collapsed="false">
      <c r="A103" s="4" t="n">
        <v>98</v>
      </c>
      <c r="B103" s="51" t="s">
        <v>525</v>
      </c>
      <c r="C103" s="52" t="s">
        <v>526</v>
      </c>
      <c r="D103" s="14" t="s">
        <v>677</v>
      </c>
      <c r="E103" s="4" t="s">
        <v>543</v>
      </c>
      <c r="F103" s="37" t="n">
        <v>0.43</v>
      </c>
      <c r="G103" s="34" t="n">
        <v>453.6</v>
      </c>
      <c r="H103" s="30" t="n">
        <v>0.52</v>
      </c>
      <c r="I103" s="38" t="n">
        <f aca="false">F103/(G103*H103)*100</f>
        <v>0.182302265635599</v>
      </c>
      <c r="J103" s="4"/>
      <c r="K103" s="4"/>
      <c r="L103" s="4"/>
      <c r="M103" s="40" t="n">
        <f aca="false">IF(AND(IF(Planner!$C$39="BLS U.S. average (Sep 2026)",1,0)=1,L103&lt;&gt;""),L103,I103)</f>
        <v>0.182302265635599</v>
      </c>
      <c r="N103" s="13" t="n">
        <v>152</v>
      </c>
      <c r="O103" s="4" t="s">
        <v>516</v>
      </c>
      <c r="P103" s="8" t="n">
        <v>2</v>
      </c>
      <c r="Q103" s="41"/>
      <c r="R103" s="13"/>
      <c r="S103" s="42" t="n">
        <v>0</v>
      </c>
      <c r="T103" s="42" t="n">
        <v>0</v>
      </c>
      <c r="U103" s="42" t="n">
        <v>0</v>
      </c>
      <c r="V103" s="42" t="n">
        <v>0</v>
      </c>
      <c r="W103" s="42" t="n">
        <v>0</v>
      </c>
      <c r="X103" s="42" t="n">
        <v>0</v>
      </c>
      <c r="Y103" s="42" t="n">
        <v>0</v>
      </c>
      <c r="Z103" s="42" t="n">
        <v>0</v>
      </c>
      <c r="AA103" s="42" t="n">
        <v>0</v>
      </c>
      <c r="AB103" s="42" t="n">
        <v>0</v>
      </c>
      <c r="AC103" s="42" t="n">
        <v>0</v>
      </c>
      <c r="AD103" s="43" t="n">
        <f aca="false">SUMPRODUCT(S103:AC103,INDEX(Diets!$I$5:$S$14,MATCH(Planner!$C$36,Diets!$A$5:$A$14,0),0))</f>
        <v>0</v>
      </c>
      <c r="AE103" s="44" t="n">
        <f aca="false">IF(OR(UPPER(Q103)="Y",AD103&gt;0,AND(Planner!$C$40="Core 71 foods",AY103=0)),0,1)</f>
        <v>1</v>
      </c>
      <c r="AF103" s="45" t="n">
        <v>0</v>
      </c>
      <c r="AG103" s="45" t="n">
        <v>0</v>
      </c>
      <c r="AH103" s="45" t="n">
        <v>0</v>
      </c>
      <c r="AI103" s="45" t="n">
        <v>1</v>
      </c>
      <c r="AJ103" s="8" t="n">
        <v>152</v>
      </c>
      <c r="AK103" s="4"/>
      <c r="AL103" s="31" t="n">
        <v>30</v>
      </c>
      <c r="AM103" s="31" t="n">
        <v>0.61</v>
      </c>
      <c r="AN103" s="31" t="n">
        <v>7.55</v>
      </c>
      <c r="AO103" s="31" t="n">
        <v>0.15</v>
      </c>
      <c r="AP103" s="31" t="n">
        <v>0.4</v>
      </c>
      <c r="AQ103" s="31" t="n">
        <v>6.2</v>
      </c>
      <c r="AR103" s="31" t="n">
        <v>7</v>
      </c>
      <c r="AS103" s="31" t="n">
        <v>0.24</v>
      </c>
      <c r="AT103" s="31" t="n">
        <v>112</v>
      </c>
      <c r="AU103" s="31" t="n">
        <v>1</v>
      </c>
      <c r="AV103" s="31" t="n">
        <v>8.1</v>
      </c>
      <c r="AW103" s="31" t="n">
        <v>0.016</v>
      </c>
      <c r="AX103" s="4" t="s">
        <v>320</v>
      </c>
      <c r="AY103" s="43" t="n">
        <v>0</v>
      </c>
      <c r="AZ103" s="23" t="n">
        <f aca="false">AM103/M103</f>
        <v>3.3460911627907</v>
      </c>
      <c r="BA103" s="18" t="n">
        <f aca="false">AL103/M103</f>
        <v>164.561860465116</v>
      </c>
      <c r="BB103" s="4" t="s">
        <v>678</v>
      </c>
      <c r="BC103" s="4" t="s">
        <v>679</v>
      </c>
      <c r="BD103" s="4" t="s">
        <v>680</v>
      </c>
    </row>
    <row r="104" customFormat="false" ht="15" hidden="false" customHeight="false" outlineLevel="0" collapsed="false">
      <c r="A104" s="4" t="n">
        <v>99</v>
      </c>
      <c r="B104" s="53" t="s">
        <v>681</v>
      </c>
      <c r="C104" s="54" t="s">
        <v>681</v>
      </c>
      <c r="D104" s="14" t="s">
        <v>682</v>
      </c>
      <c r="E104" s="4" t="s">
        <v>543</v>
      </c>
      <c r="F104" s="37" t="n">
        <v>1.316</v>
      </c>
      <c r="G104" s="34" t="n">
        <v>453.6</v>
      </c>
      <c r="H104" s="30" t="n">
        <v>0.76</v>
      </c>
      <c r="I104" s="38" t="n">
        <f aca="false">F104/(G104*H104)*100</f>
        <v>0.38174139051332</v>
      </c>
      <c r="J104" s="4"/>
      <c r="K104" s="4"/>
      <c r="L104" s="4"/>
      <c r="M104" s="40" t="n">
        <f aca="false">IF(AND(IF(Planner!$C$39="BLS U.S. average (Sep 2026)",1,0)=1,L104&lt;&gt;""),L104,I104)</f>
        <v>0.38174139051332</v>
      </c>
      <c r="N104" s="13" t="n">
        <v>140</v>
      </c>
      <c r="O104" s="4" t="s">
        <v>552</v>
      </c>
      <c r="P104" s="8" t="n">
        <v>2</v>
      </c>
      <c r="Q104" s="41"/>
      <c r="R104" s="13"/>
      <c r="S104" s="42" t="n">
        <v>0</v>
      </c>
      <c r="T104" s="42" t="n">
        <v>0</v>
      </c>
      <c r="U104" s="42" t="n">
        <v>0</v>
      </c>
      <c r="V104" s="42" t="n">
        <v>0</v>
      </c>
      <c r="W104" s="42" t="n">
        <v>0</v>
      </c>
      <c r="X104" s="42" t="n">
        <v>0</v>
      </c>
      <c r="Y104" s="42" t="n">
        <v>0</v>
      </c>
      <c r="Z104" s="42" t="n">
        <v>0</v>
      </c>
      <c r="AA104" s="42" t="n">
        <v>0</v>
      </c>
      <c r="AB104" s="42" t="n">
        <v>0</v>
      </c>
      <c r="AC104" s="42" t="n">
        <v>0</v>
      </c>
      <c r="AD104" s="43" t="n">
        <f aca="false">SUMPRODUCT(S104:AC104,INDEX(Diets!$I$5:$S$14,MATCH(Planner!$C$36,Diets!$A$5:$A$14,0),0))</f>
        <v>0</v>
      </c>
      <c r="AE104" s="44" t="n">
        <f aca="false">IF(OR(UPPER(Q104)="Y",AD104&gt;0,AND(Planner!$C$40="Core 71 foods",AY104=0)),0,1)</f>
        <v>1</v>
      </c>
      <c r="AF104" s="45" t="n">
        <v>0</v>
      </c>
      <c r="AG104" s="45" t="n">
        <v>0.5</v>
      </c>
      <c r="AH104" s="45" t="n">
        <v>0.5</v>
      </c>
      <c r="AI104" s="45" t="n">
        <v>0</v>
      </c>
      <c r="AJ104" s="8" t="n">
        <v>140</v>
      </c>
      <c r="AK104" s="4"/>
      <c r="AL104" s="31" t="n">
        <v>40</v>
      </c>
      <c r="AM104" s="31" t="n">
        <v>0.8</v>
      </c>
      <c r="AN104" s="31" t="n">
        <v>10.42</v>
      </c>
      <c r="AO104" s="31" t="n">
        <v>0.1</v>
      </c>
      <c r="AP104" s="31" t="n">
        <v>1.5</v>
      </c>
      <c r="AQ104" s="31" t="n">
        <v>0</v>
      </c>
      <c r="AR104" s="31" t="n">
        <v>33</v>
      </c>
      <c r="AS104" s="31" t="n">
        <v>0.7</v>
      </c>
      <c r="AT104" s="31" t="n">
        <v>347</v>
      </c>
      <c r="AU104" s="31" t="n">
        <v>3</v>
      </c>
      <c r="AV104" s="31" t="n">
        <v>11</v>
      </c>
      <c r="AW104" s="31" t="n">
        <v>0.021</v>
      </c>
      <c r="AX104" s="4" t="s">
        <v>320</v>
      </c>
      <c r="AY104" s="43" t="n">
        <v>0</v>
      </c>
      <c r="AZ104" s="23" t="n">
        <f aca="false">AM104/M104</f>
        <v>2.09565957446809</v>
      </c>
      <c r="BA104" s="18" t="n">
        <f aca="false">AL104/M104</f>
        <v>104.782978723404</v>
      </c>
      <c r="BB104" s="4" t="s">
        <v>683</v>
      </c>
      <c r="BC104" s="4" t="s">
        <v>684</v>
      </c>
      <c r="BD104" s="4" t="s">
        <v>685</v>
      </c>
    </row>
    <row r="105" customFormat="false" ht="15" hidden="false" customHeight="false" outlineLevel="0" collapsed="false">
      <c r="A105" s="4" t="n">
        <v>100</v>
      </c>
      <c r="B105" s="53" t="s">
        <v>681</v>
      </c>
      <c r="C105" s="54" t="s">
        <v>681</v>
      </c>
      <c r="D105" s="14" t="s">
        <v>686</v>
      </c>
      <c r="E105" s="4" t="s">
        <v>543</v>
      </c>
      <c r="F105" s="37" t="n">
        <v>3.406</v>
      </c>
      <c r="G105" s="34" t="n">
        <v>453.6</v>
      </c>
      <c r="H105" s="30" t="n">
        <v>0.53</v>
      </c>
      <c r="I105" s="38" t="n">
        <f aca="false">F105/(G105*H105)*100</f>
        <v>1.41675817776447</v>
      </c>
      <c r="J105" s="4"/>
      <c r="K105" s="4"/>
      <c r="L105" s="4"/>
      <c r="M105" s="40" t="n">
        <f aca="false">IF(AND(IF(Planner!$C$39="BLS U.S. average (Sep 2026)",1,0)=1,L105&lt;&gt;""),L105,I105)</f>
        <v>1.41675817776447</v>
      </c>
      <c r="N105" s="13" t="n">
        <v>134</v>
      </c>
      <c r="O105" s="4" t="s">
        <v>392</v>
      </c>
      <c r="P105" s="8" t="n">
        <v>1</v>
      </c>
      <c r="Q105" s="41"/>
      <c r="R105" s="13"/>
      <c r="S105" s="42" t="n">
        <v>0</v>
      </c>
      <c r="T105" s="42" t="n">
        <v>0</v>
      </c>
      <c r="U105" s="42" t="n">
        <v>0</v>
      </c>
      <c r="V105" s="42" t="n">
        <v>0</v>
      </c>
      <c r="W105" s="42" t="n">
        <v>0</v>
      </c>
      <c r="X105" s="42" t="n">
        <v>0</v>
      </c>
      <c r="Y105" s="42" t="n">
        <v>0</v>
      </c>
      <c r="Z105" s="42" t="n">
        <v>0</v>
      </c>
      <c r="AA105" s="42" t="n">
        <v>0</v>
      </c>
      <c r="AB105" s="42" t="n">
        <v>0</v>
      </c>
      <c r="AC105" s="42" t="n">
        <v>0</v>
      </c>
      <c r="AD105" s="43" t="n">
        <f aca="false">SUMPRODUCT(S105:AC105,INDEX(Diets!$I$5:$S$14,MATCH(Planner!$C$36,Diets!$A$5:$A$14,0),0))</f>
        <v>0</v>
      </c>
      <c r="AE105" s="44" t="n">
        <f aca="false">IF(OR(UPPER(Q105)="Y",AD105&gt;0,AND(Planner!$C$40="Core 71 foods",AY105=0)),0,1)</f>
        <v>1</v>
      </c>
      <c r="AF105" s="45" t="n">
        <v>0</v>
      </c>
      <c r="AG105" s="45" t="n">
        <v>0.5</v>
      </c>
      <c r="AH105" s="45" t="n">
        <v>0.5</v>
      </c>
      <c r="AI105" s="45" t="n">
        <v>0</v>
      </c>
      <c r="AJ105" s="8" t="n">
        <v>134</v>
      </c>
      <c r="AK105" s="4"/>
      <c r="AL105" s="31" t="n">
        <v>20</v>
      </c>
      <c r="AM105" s="31" t="n">
        <v>2.2</v>
      </c>
      <c r="AN105" s="31" t="n">
        <v>3.88</v>
      </c>
      <c r="AO105" s="31" t="n">
        <v>0.12</v>
      </c>
      <c r="AP105" s="31" t="n">
        <v>2.1</v>
      </c>
      <c r="AQ105" s="31" t="n">
        <v>1.88</v>
      </c>
      <c r="AR105" s="31" t="n">
        <v>24</v>
      </c>
      <c r="AS105" s="31" t="n">
        <v>2.14</v>
      </c>
      <c r="AT105" s="31" t="n">
        <v>202</v>
      </c>
      <c r="AU105" s="31" t="n">
        <v>2</v>
      </c>
      <c r="AV105" s="31" t="n">
        <v>5.6</v>
      </c>
      <c r="AW105" s="31" t="n">
        <v>0.04</v>
      </c>
      <c r="AX105" s="4" t="s">
        <v>320</v>
      </c>
      <c r="AY105" s="43" t="n">
        <v>0</v>
      </c>
      <c r="AZ105" s="23" t="n">
        <f aca="false">AM105/M105</f>
        <v>1.55284086905461</v>
      </c>
      <c r="BA105" s="18" t="n">
        <f aca="false">AL105/M105</f>
        <v>14.1167351732237</v>
      </c>
      <c r="BB105" s="4" t="s">
        <v>687</v>
      </c>
      <c r="BC105" s="4" t="s">
        <v>688</v>
      </c>
      <c r="BD105" s="4" t="s">
        <v>689</v>
      </c>
    </row>
    <row r="106" customFormat="false" ht="15" hidden="false" customHeight="false" outlineLevel="0" collapsed="false">
      <c r="A106" s="4" t="n">
        <v>101</v>
      </c>
      <c r="B106" s="53" t="s">
        <v>681</v>
      </c>
      <c r="C106" s="54" t="s">
        <v>681</v>
      </c>
      <c r="D106" s="14" t="s">
        <v>690</v>
      </c>
      <c r="E106" s="4" t="s">
        <v>543</v>
      </c>
      <c r="F106" s="37" t="n">
        <v>1.551</v>
      </c>
      <c r="G106" s="34" t="n">
        <v>453.6</v>
      </c>
      <c r="H106" s="30" t="n">
        <v>1</v>
      </c>
      <c r="I106" s="38" t="n">
        <f aca="false">F106/(G106*H106)*100</f>
        <v>0.341931216931217</v>
      </c>
      <c r="J106" s="4"/>
      <c r="K106" s="4"/>
      <c r="L106" s="4"/>
      <c r="M106" s="40" t="n">
        <f aca="false">IF(AND(IF(Planner!$C$39="BLS U.S. average (Sep 2026)",1,0)=1,L106&lt;&gt;""),L106,I106)</f>
        <v>0.341931216931217</v>
      </c>
      <c r="N106" s="13" t="n">
        <v>125</v>
      </c>
      <c r="O106" s="4" t="s">
        <v>691</v>
      </c>
      <c r="P106" s="8" t="n">
        <v>2</v>
      </c>
      <c r="Q106" s="41"/>
      <c r="R106" s="13"/>
      <c r="S106" s="42" t="n">
        <v>0</v>
      </c>
      <c r="T106" s="42" t="n">
        <v>0</v>
      </c>
      <c r="U106" s="42" t="n">
        <v>0</v>
      </c>
      <c r="V106" s="42" t="n">
        <v>0</v>
      </c>
      <c r="W106" s="42" t="n">
        <v>0</v>
      </c>
      <c r="X106" s="42" t="n">
        <v>0</v>
      </c>
      <c r="Y106" s="42" t="n">
        <v>0</v>
      </c>
      <c r="Z106" s="42" t="n">
        <v>0</v>
      </c>
      <c r="AA106" s="42" t="n">
        <v>0</v>
      </c>
      <c r="AB106" s="42" t="n">
        <v>0</v>
      </c>
      <c r="AC106" s="42" t="n">
        <v>0</v>
      </c>
      <c r="AD106" s="43" t="n">
        <f aca="false">SUMPRODUCT(S106:AC106,INDEX(Diets!$I$5:$S$14,MATCH(Planner!$C$36,Diets!$A$5:$A$14,0),0))</f>
        <v>0</v>
      </c>
      <c r="AE106" s="44" t="n">
        <f aca="false">IF(OR(UPPER(Q106)="Y",AD106&gt;0,AND(Planner!$C$40="Core 71 foods",AY106=0)),0,1)</f>
        <v>1</v>
      </c>
      <c r="AF106" s="45" t="n">
        <v>0</v>
      </c>
      <c r="AG106" s="45" t="n">
        <v>0.5</v>
      </c>
      <c r="AH106" s="45" t="n">
        <v>0</v>
      </c>
      <c r="AI106" s="45" t="n">
        <v>0.5</v>
      </c>
      <c r="AJ106" s="8" t="n">
        <v>125</v>
      </c>
      <c r="AK106" s="4"/>
      <c r="AL106" s="31" t="n">
        <v>35</v>
      </c>
      <c r="AM106" s="31" t="n">
        <v>0.64</v>
      </c>
      <c r="AN106" s="31" t="n">
        <v>8.24</v>
      </c>
      <c r="AO106" s="31" t="n">
        <v>0.13</v>
      </c>
      <c r="AP106" s="31" t="n">
        <v>2.9</v>
      </c>
      <c r="AQ106" s="31" t="n">
        <v>4.76</v>
      </c>
      <c r="AR106" s="31" t="n">
        <v>32</v>
      </c>
      <c r="AS106" s="31" t="n">
        <v>0.89</v>
      </c>
      <c r="AT106" s="31" t="n">
        <v>237</v>
      </c>
      <c r="AU106" s="31" t="n">
        <v>78</v>
      </c>
      <c r="AV106" s="31" t="n">
        <v>2.6</v>
      </c>
      <c r="AW106" s="31" t="n">
        <v>0.023</v>
      </c>
      <c r="AX106" s="4" t="s">
        <v>320</v>
      </c>
      <c r="AY106" s="43" t="n">
        <v>0</v>
      </c>
      <c r="AZ106" s="23" t="n">
        <f aca="false">AM106/M106</f>
        <v>1.87172147001934</v>
      </c>
      <c r="BA106" s="18" t="n">
        <f aca="false">AL106/M106</f>
        <v>102.359767891683</v>
      </c>
      <c r="BB106" s="4" t="s">
        <v>692</v>
      </c>
      <c r="BC106" s="4" t="s">
        <v>693</v>
      </c>
      <c r="BD106" s="4" t="s">
        <v>694</v>
      </c>
    </row>
    <row r="107" customFormat="false" ht="15" hidden="false" customHeight="false" outlineLevel="0" collapsed="false">
      <c r="A107" s="4" t="n">
        <v>102</v>
      </c>
      <c r="B107" s="53" t="s">
        <v>681</v>
      </c>
      <c r="C107" s="54" t="s">
        <v>681</v>
      </c>
      <c r="D107" s="14" t="s">
        <v>695</v>
      </c>
      <c r="E107" s="4" t="s">
        <v>325</v>
      </c>
      <c r="F107" s="37" t="n">
        <v>1.388</v>
      </c>
      <c r="G107" s="34" t="n">
        <v>453.6</v>
      </c>
      <c r="H107" s="30" t="n">
        <v>1</v>
      </c>
      <c r="I107" s="38" t="n">
        <f aca="false">F107/(G107*H107)*100</f>
        <v>0.305996472663139</v>
      </c>
      <c r="J107" s="4"/>
      <c r="K107" s="4"/>
      <c r="L107" s="4"/>
      <c r="M107" s="40" t="n">
        <f aca="false">IF(AND(IF(Planner!$C$39="BLS U.S. average (Sep 2026)",1,0)=1,L107&lt;&gt;""),L107,I107)</f>
        <v>0.305996472663139</v>
      </c>
      <c r="N107" s="13" t="n">
        <v>246</v>
      </c>
      <c r="O107" s="4" t="s">
        <v>392</v>
      </c>
      <c r="P107" s="8" t="n">
        <v>1</v>
      </c>
      <c r="Q107" s="41"/>
      <c r="R107" s="13"/>
      <c r="S107" s="42" t="n">
        <v>0</v>
      </c>
      <c r="T107" s="42" t="n">
        <v>0</v>
      </c>
      <c r="U107" s="42" t="n">
        <v>0</v>
      </c>
      <c r="V107" s="42" t="n">
        <v>0</v>
      </c>
      <c r="W107" s="42" t="n">
        <v>0</v>
      </c>
      <c r="X107" s="42" t="n">
        <v>0</v>
      </c>
      <c r="Y107" s="42" t="n">
        <v>0</v>
      </c>
      <c r="Z107" s="42" t="n">
        <v>0</v>
      </c>
      <c r="AA107" s="42" t="n">
        <v>0</v>
      </c>
      <c r="AB107" s="42" t="n">
        <v>0</v>
      </c>
      <c r="AC107" s="42" t="n">
        <v>0</v>
      </c>
      <c r="AD107" s="43" t="n">
        <f aca="false">SUMPRODUCT(S107:AC107,INDEX(Diets!$I$5:$S$14,MATCH(Planner!$C$36,Diets!$A$5:$A$14,0),0))</f>
        <v>0</v>
      </c>
      <c r="AE107" s="44" t="n">
        <f aca="false">IF(OR(UPPER(Q107)="Y",AD107&gt;0,AND(Planner!$C$40="Core 71 foods",AY107=0)),0,1)</f>
        <v>1</v>
      </c>
      <c r="AF107" s="45" t="n">
        <v>0</v>
      </c>
      <c r="AG107" s="45" t="n">
        <v>0.5</v>
      </c>
      <c r="AH107" s="45" t="n">
        <v>0.5</v>
      </c>
      <c r="AI107" s="45" t="n">
        <v>0</v>
      </c>
      <c r="AJ107" s="8" t="n">
        <v>246</v>
      </c>
      <c r="AK107" s="4"/>
      <c r="AL107" s="31" t="n">
        <v>30</v>
      </c>
      <c r="AM107" s="31" t="n">
        <v>0.73</v>
      </c>
      <c r="AN107" s="31" t="n">
        <v>7.14</v>
      </c>
      <c r="AO107" s="31" t="n">
        <v>0.09</v>
      </c>
      <c r="AP107" s="31" t="n">
        <v>1.2</v>
      </c>
      <c r="AQ107" s="31" t="n">
        <v>6.53</v>
      </c>
      <c r="AR107" s="31" t="n">
        <v>18</v>
      </c>
      <c r="AS107" s="31" t="n">
        <v>0.73</v>
      </c>
      <c r="AT107" s="31" t="n">
        <v>159</v>
      </c>
      <c r="AU107" s="31" t="n">
        <v>143</v>
      </c>
      <c r="AV107" s="31" t="n">
        <v>2.8</v>
      </c>
      <c r="AW107" s="31" t="n">
        <v>0.011</v>
      </c>
      <c r="AX107" s="4" t="s">
        <v>320</v>
      </c>
      <c r="AY107" s="43" t="n">
        <v>0</v>
      </c>
      <c r="AZ107" s="23" t="n">
        <f aca="false">AM107/M107</f>
        <v>2.38564841498559</v>
      </c>
      <c r="BA107" s="18" t="n">
        <f aca="false">AL107/M107</f>
        <v>98.0403458213257</v>
      </c>
      <c r="BB107" s="4" t="s">
        <v>696</v>
      </c>
      <c r="BC107" s="4" t="s">
        <v>697</v>
      </c>
      <c r="BD107" s="4" t="s">
        <v>698</v>
      </c>
    </row>
    <row r="108" customFormat="false" ht="15" hidden="false" customHeight="false" outlineLevel="0" collapsed="false">
      <c r="A108" s="4" t="n">
        <v>103</v>
      </c>
      <c r="B108" s="53" t="s">
        <v>681</v>
      </c>
      <c r="C108" s="54" t="s">
        <v>681</v>
      </c>
      <c r="D108" s="14" t="s">
        <v>699</v>
      </c>
      <c r="E108" s="4" t="s">
        <v>700</v>
      </c>
      <c r="F108" s="37" t="n">
        <v>1.16</v>
      </c>
      <c r="G108" s="34" t="n">
        <v>340.2</v>
      </c>
      <c r="H108" s="30" t="n">
        <v>1</v>
      </c>
      <c r="I108" s="38" t="n">
        <f aca="false">F108/(G108*H108)*100</f>
        <v>0.340975896531452</v>
      </c>
      <c r="J108" s="4"/>
      <c r="K108" s="4"/>
      <c r="L108" s="4"/>
      <c r="M108" s="40" t="n">
        <f aca="false">IF(AND(IF(Planner!$C$39="BLS U.S. average (Sep 2026)",1,0)=1,L108&lt;&gt;""),L108,I108)</f>
        <v>0.340975896531452</v>
      </c>
      <c r="N108" s="13" t="n">
        <v>95</v>
      </c>
      <c r="O108" s="4" t="s">
        <v>392</v>
      </c>
      <c r="P108" s="8" t="n">
        <v>2</v>
      </c>
      <c r="Q108" s="41"/>
      <c r="R108" s="13"/>
      <c r="S108" s="42" t="n">
        <v>0</v>
      </c>
      <c r="T108" s="42" t="n">
        <v>0</v>
      </c>
      <c r="U108" s="42" t="n">
        <v>0</v>
      </c>
      <c r="V108" s="42" t="n">
        <v>0</v>
      </c>
      <c r="W108" s="42" t="n">
        <v>0</v>
      </c>
      <c r="X108" s="42" t="n">
        <v>0</v>
      </c>
      <c r="Y108" s="42" t="n">
        <v>0</v>
      </c>
      <c r="Z108" s="42" t="n">
        <v>0</v>
      </c>
      <c r="AA108" s="42" t="n">
        <v>0</v>
      </c>
      <c r="AB108" s="42" t="n">
        <v>0</v>
      </c>
      <c r="AC108" s="42" t="n">
        <v>0</v>
      </c>
      <c r="AD108" s="43" t="n">
        <f aca="false">SUMPRODUCT(S108:AC108,INDEX(Diets!$I$5:$S$14,MATCH(Planner!$C$36,Diets!$A$5:$A$14,0),0))</f>
        <v>0</v>
      </c>
      <c r="AE108" s="44" t="n">
        <f aca="false">IF(OR(UPPER(Q108)="Y",AD108&gt;0,AND(Planner!$C$40="Core 71 foods",AY108=0)),0,1)</f>
        <v>1</v>
      </c>
      <c r="AF108" s="45" t="n">
        <v>0</v>
      </c>
      <c r="AG108" s="45" t="n">
        <v>0.5</v>
      </c>
      <c r="AH108" s="45" t="n">
        <v>0.5</v>
      </c>
      <c r="AI108" s="45" t="n">
        <v>0</v>
      </c>
      <c r="AJ108" s="8" t="n">
        <v>91</v>
      </c>
      <c r="AK108" s="4"/>
      <c r="AL108" s="31" t="n">
        <v>29</v>
      </c>
      <c r="AM108" s="31" t="n">
        <v>3.06</v>
      </c>
      <c r="AN108" s="31" t="n">
        <v>5.35</v>
      </c>
      <c r="AO108" s="31" t="n">
        <v>0.34</v>
      </c>
      <c r="AP108" s="31" t="n">
        <v>3</v>
      </c>
      <c r="AQ108" s="31" t="n">
        <v>1.47</v>
      </c>
      <c r="AR108" s="31" t="n">
        <v>41</v>
      </c>
      <c r="AS108" s="31" t="n">
        <v>0.72</v>
      </c>
      <c r="AT108" s="31" t="n">
        <v>250</v>
      </c>
      <c r="AU108" s="31" t="n">
        <v>17</v>
      </c>
      <c r="AV108" s="31" t="n">
        <v>68.3</v>
      </c>
      <c r="AW108" s="31" t="n">
        <v>0.052</v>
      </c>
      <c r="AX108" s="4" t="s">
        <v>218</v>
      </c>
      <c r="AY108" s="43" t="n">
        <v>1</v>
      </c>
      <c r="AZ108" s="23" t="n">
        <f aca="false">AM108/M108</f>
        <v>8.97424137931035</v>
      </c>
      <c r="BA108" s="18" t="n">
        <f aca="false">AL108/M108</f>
        <v>85.05</v>
      </c>
      <c r="BB108" s="4" t="s">
        <v>701</v>
      </c>
      <c r="BC108" s="4" t="s">
        <v>702</v>
      </c>
      <c r="BD108" s="4"/>
    </row>
    <row r="109" customFormat="false" ht="15" hidden="false" customHeight="false" outlineLevel="0" collapsed="false">
      <c r="A109" s="4" t="n">
        <v>104</v>
      </c>
      <c r="B109" s="53" t="s">
        <v>681</v>
      </c>
      <c r="C109" s="54" t="s">
        <v>681</v>
      </c>
      <c r="D109" s="14" t="s">
        <v>703</v>
      </c>
      <c r="E109" s="4" t="s">
        <v>489</v>
      </c>
      <c r="F109" s="37" t="n">
        <v>2.942</v>
      </c>
      <c r="G109" s="34" t="n">
        <v>453.6</v>
      </c>
      <c r="H109" s="30" t="n">
        <v>1</v>
      </c>
      <c r="I109" s="38" t="n">
        <f aca="false">F109/(G109*H109)*100</f>
        <v>0.648589065255732</v>
      </c>
      <c r="J109" s="4"/>
      <c r="K109" s="4"/>
      <c r="L109" s="4"/>
      <c r="M109" s="40" t="n">
        <f aca="false">IF(AND(IF(Planner!$C$39="BLS U.S. average (Sep 2026)",1,0)=1,L109&lt;&gt;""),L109,I109)</f>
        <v>0.648589065255732</v>
      </c>
      <c r="N109" s="13" t="n">
        <v>162</v>
      </c>
      <c r="O109" s="4" t="s">
        <v>704</v>
      </c>
      <c r="P109" s="8" t="n">
        <v>2</v>
      </c>
      <c r="Q109" s="41"/>
      <c r="R109" s="13"/>
      <c r="S109" s="42" t="n">
        <v>0</v>
      </c>
      <c r="T109" s="42" t="n">
        <v>0</v>
      </c>
      <c r="U109" s="42" t="n">
        <v>0</v>
      </c>
      <c r="V109" s="42" t="n">
        <v>0</v>
      </c>
      <c r="W109" s="42" t="n">
        <v>0</v>
      </c>
      <c r="X109" s="42" t="n">
        <v>0</v>
      </c>
      <c r="Y109" s="42" t="n">
        <v>0</v>
      </c>
      <c r="Z109" s="42" t="n">
        <v>0</v>
      </c>
      <c r="AA109" s="42" t="n">
        <v>0</v>
      </c>
      <c r="AB109" s="42" t="n">
        <v>0</v>
      </c>
      <c r="AC109" s="42" t="n">
        <v>0</v>
      </c>
      <c r="AD109" s="43" t="n">
        <f aca="false">SUMPRODUCT(S109:AC109,INDEX(Diets!$I$5:$S$14,MATCH(Planner!$C$36,Diets!$A$5:$A$14,0),0))</f>
        <v>0</v>
      </c>
      <c r="AE109" s="44" t="n">
        <f aca="false">IF(OR(UPPER(Q109)="Y",AD109&gt;0,AND(Planner!$C$40="Core 71 foods",AY109=0)),0,1)</f>
        <v>1</v>
      </c>
      <c r="AF109" s="45" t="n">
        <v>0</v>
      </c>
      <c r="AG109" s="45" t="n">
        <v>0.5</v>
      </c>
      <c r="AH109" s="45" t="n">
        <v>0.5</v>
      </c>
      <c r="AI109" s="45" t="n">
        <v>0</v>
      </c>
      <c r="AJ109" s="8" t="n">
        <v>162</v>
      </c>
      <c r="AK109" s="4"/>
      <c r="AL109" s="31" t="n">
        <v>41</v>
      </c>
      <c r="AM109" s="31" t="n">
        <v>3.78</v>
      </c>
      <c r="AN109" s="31" t="n">
        <v>7.86</v>
      </c>
      <c r="AO109" s="31" t="n">
        <v>0.41</v>
      </c>
      <c r="AP109" s="31" t="n">
        <v>3.8</v>
      </c>
      <c r="AQ109" s="31" t="n">
        <v>0</v>
      </c>
      <c r="AR109" s="31" t="n">
        <v>26</v>
      </c>
      <c r="AS109" s="31" t="n">
        <v>0.93</v>
      </c>
      <c r="AT109" s="31" t="n">
        <v>370</v>
      </c>
      <c r="AU109" s="31" t="n">
        <v>10</v>
      </c>
      <c r="AV109" s="31" t="n">
        <v>74.1</v>
      </c>
      <c r="AW109" s="31" t="n">
        <v>0.084</v>
      </c>
      <c r="AX109" s="4" t="s">
        <v>320</v>
      </c>
      <c r="AY109" s="43" t="n">
        <v>0</v>
      </c>
      <c r="AZ109" s="23" t="n">
        <f aca="false">AM109/M109</f>
        <v>5.82803535010197</v>
      </c>
      <c r="BA109" s="18" t="n">
        <f aca="false">AL109/M109</f>
        <v>63.2141400407886</v>
      </c>
      <c r="BB109" s="4" t="s">
        <v>705</v>
      </c>
      <c r="BC109" s="4" t="s">
        <v>706</v>
      </c>
      <c r="BD109" s="4" t="s">
        <v>707</v>
      </c>
    </row>
    <row r="110" customFormat="false" ht="15" hidden="false" customHeight="false" outlineLevel="0" collapsed="false">
      <c r="A110" s="4" t="n">
        <v>105</v>
      </c>
      <c r="B110" s="53" t="s">
        <v>681</v>
      </c>
      <c r="C110" s="54" t="s">
        <v>681</v>
      </c>
      <c r="D110" s="14" t="s">
        <v>708</v>
      </c>
      <c r="E110" s="4" t="s">
        <v>543</v>
      </c>
      <c r="F110" s="37" t="n">
        <v>1.348</v>
      </c>
      <c r="G110" s="34" t="n">
        <v>453.6</v>
      </c>
      <c r="H110" s="30" t="n">
        <v>0.84</v>
      </c>
      <c r="I110" s="38" t="n">
        <f aca="false">F110/(G110*H110)*100</f>
        <v>0.353783488704124</v>
      </c>
      <c r="J110" s="4"/>
      <c r="K110" s="4"/>
      <c r="L110" s="4"/>
      <c r="M110" s="40" t="n">
        <f aca="false">IF(AND(IF(Planner!$C$39="BLS U.S. average (Sep 2026)",1,0)=1,L110&lt;&gt;""),L110,I110)</f>
        <v>0.353783488704124</v>
      </c>
      <c r="N110" s="13" t="n">
        <v>140</v>
      </c>
      <c r="O110" s="4" t="s">
        <v>552</v>
      </c>
      <c r="P110" s="8" t="n">
        <v>2</v>
      </c>
      <c r="Q110" s="41"/>
      <c r="R110" s="13"/>
      <c r="S110" s="42" t="n">
        <v>0</v>
      </c>
      <c r="T110" s="42" t="n">
        <v>0</v>
      </c>
      <c r="U110" s="42" t="n">
        <v>0</v>
      </c>
      <c r="V110" s="42" t="n">
        <v>0</v>
      </c>
      <c r="W110" s="42" t="n">
        <v>0</v>
      </c>
      <c r="X110" s="42" t="n">
        <v>0</v>
      </c>
      <c r="Y110" s="42" t="n">
        <v>0</v>
      </c>
      <c r="Z110" s="42" t="n">
        <v>0</v>
      </c>
      <c r="AA110" s="42" t="n">
        <v>0</v>
      </c>
      <c r="AB110" s="42" t="n">
        <v>0</v>
      </c>
      <c r="AC110" s="42" t="n">
        <v>0</v>
      </c>
      <c r="AD110" s="43" t="n">
        <f aca="false">SUMPRODUCT(S110:AC110,INDEX(Diets!$I$5:$S$14,MATCH(Planner!$C$36,Diets!$A$5:$A$14,0),0))</f>
        <v>0</v>
      </c>
      <c r="AE110" s="44" t="n">
        <f aca="false">IF(OR(UPPER(Q110)="Y",AD110&gt;0,AND(Planner!$C$40="Core 71 foods",AY110=0)),0,1)</f>
        <v>1</v>
      </c>
      <c r="AF110" s="45" t="n">
        <v>0</v>
      </c>
      <c r="AG110" s="45" t="n">
        <v>0.5</v>
      </c>
      <c r="AH110" s="45" t="n">
        <v>0.5</v>
      </c>
      <c r="AI110" s="45" t="n">
        <v>0</v>
      </c>
      <c r="AJ110" s="8" t="n">
        <v>140</v>
      </c>
      <c r="AK110" s="4"/>
      <c r="AL110" s="31" t="n">
        <v>45</v>
      </c>
      <c r="AM110" s="31" t="n">
        <v>1</v>
      </c>
      <c r="AN110" s="31" t="n">
        <v>11.69</v>
      </c>
      <c r="AO110" s="31" t="n">
        <v>0.1</v>
      </c>
      <c r="AP110" s="31" t="n">
        <v>2</v>
      </c>
      <c r="AQ110" s="31" t="n">
        <v>2.2</v>
      </c>
      <c r="AR110" s="31" t="n">
        <v>48</v>
      </c>
      <c r="AS110" s="31" t="n">
        <v>0.7</v>
      </c>
      <c r="AT110" s="31" t="n">
        <v>352</v>
      </c>
      <c r="AU110" s="31" t="n">
        <v>4</v>
      </c>
      <c r="AV110" s="31" t="n">
        <v>21</v>
      </c>
      <c r="AW110" s="31" t="n">
        <v>0.021</v>
      </c>
      <c r="AX110" s="4" t="s">
        <v>320</v>
      </c>
      <c r="AY110" s="43" t="n">
        <v>0</v>
      </c>
      <c r="AZ110" s="23" t="n">
        <f aca="false">AM110/M110</f>
        <v>2.82658753709199</v>
      </c>
      <c r="BA110" s="18" t="n">
        <f aca="false">AL110/M110</f>
        <v>127.196439169139</v>
      </c>
      <c r="BB110" s="4" t="s">
        <v>709</v>
      </c>
      <c r="BC110" s="4" t="s">
        <v>710</v>
      </c>
      <c r="BD110" s="4" t="s">
        <v>711</v>
      </c>
    </row>
    <row r="111" customFormat="false" ht="15" hidden="false" customHeight="false" outlineLevel="0" collapsed="false">
      <c r="A111" s="4" t="n">
        <v>106</v>
      </c>
      <c r="B111" s="53" t="s">
        <v>681</v>
      </c>
      <c r="C111" s="54" t="s">
        <v>681</v>
      </c>
      <c r="D111" s="14" t="s">
        <v>712</v>
      </c>
      <c r="E111" s="4" t="s">
        <v>543</v>
      </c>
      <c r="F111" s="37" t="n">
        <v>0.876</v>
      </c>
      <c r="G111" s="34" t="n">
        <v>453.6</v>
      </c>
      <c r="H111" s="30" t="n">
        <v>0.8</v>
      </c>
      <c r="I111" s="38" t="n">
        <f aca="false">F111/(G111*H111)*100</f>
        <v>0.241402116402116</v>
      </c>
      <c r="J111" s="4"/>
      <c r="K111" s="4"/>
      <c r="L111" s="4"/>
      <c r="M111" s="40" t="n">
        <f aca="false">IF(AND(IF(Planner!$C$39="BLS U.S. average (Sep 2026)",1,0)=1,L111&lt;&gt;""),L111,I111)</f>
        <v>0.241402116402116</v>
      </c>
      <c r="N111" s="13" t="n">
        <v>89</v>
      </c>
      <c r="O111" s="4" t="s">
        <v>713</v>
      </c>
      <c r="P111" s="8" t="n">
        <v>2</v>
      </c>
      <c r="Q111" s="41"/>
      <c r="R111" s="13"/>
      <c r="S111" s="42" t="n">
        <v>0</v>
      </c>
      <c r="T111" s="42" t="n">
        <v>0</v>
      </c>
      <c r="U111" s="42" t="n">
        <v>0</v>
      </c>
      <c r="V111" s="42" t="n">
        <v>0</v>
      </c>
      <c r="W111" s="42" t="n">
        <v>0</v>
      </c>
      <c r="X111" s="42" t="n">
        <v>0</v>
      </c>
      <c r="Y111" s="42" t="n">
        <v>0</v>
      </c>
      <c r="Z111" s="42" t="n">
        <v>0</v>
      </c>
      <c r="AA111" s="42" t="n">
        <v>0</v>
      </c>
      <c r="AB111" s="42" t="n">
        <v>0</v>
      </c>
      <c r="AC111" s="42" t="n">
        <v>0</v>
      </c>
      <c r="AD111" s="43" t="n">
        <f aca="false">SUMPRODUCT(S111:AC111,INDEX(Diets!$I$5:$S$14,MATCH(Planner!$C$36,Diets!$A$5:$A$14,0),0))</f>
        <v>0</v>
      </c>
      <c r="AE111" s="44" t="n">
        <f aca="false">IF(OR(UPPER(Q111)="Y",AD111&gt;0,AND(Planner!$C$40="Core 71 foods",AY111=0)),0,1)</f>
        <v>1</v>
      </c>
      <c r="AF111" s="45" t="n">
        <v>0</v>
      </c>
      <c r="AG111" s="45" t="n">
        <v>0.5</v>
      </c>
      <c r="AH111" s="45" t="n">
        <v>0.5</v>
      </c>
      <c r="AI111" s="45" t="n">
        <v>0</v>
      </c>
      <c r="AJ111" s="8" t="n">
        <v>89</v>
      </c>
      <c r="AK111" s="4"/>
      <c r="AL111" s="31" t="n">
        <v>25</v>
      </c>
      <c r="AM111" s="31" t="n">
        <v>1.28</v>
      </c>
      <c r="AN111" s="31" t="n">
        <v>5.8</v>
      </c>
      <c r="AO111" s="31" t="n">
        <v>0.1</v>
      </c>
      <c r="AP111" s="31" t="n">
        <v>2.5</v>
      </c>
      <c r="AQ111" s="31" t="n">
        <v>3.2</v>
      </c>
      <c r="AR111" s="31" t="n">
        <v>40</v>
      </c>
      <c r="AS111" s="31" t="n">
        <v>0.47</v>
      </c>
      <c r="AT111" s="31" t="n">
        <v>170</v>
      </c>
      <c r="AU111" s="31" t="n">
        <v>18</v>
      </c>
      <c r="AV111" s="31" t="n">
        <v>36.6</v>
      </c>
      <c r="AW111" s="31" t="n">
        <v>0.034</v>
      </c>
      <c r="AX111" s="4" t="s">
        <v>320</v>
      </c>
      <c r="AY111" s="43" t="n">
        <v>0</v>
      </c>
      <c r="AZ111" s="23" t="n">
        <f aca="false">AM111/M111</f>
        <v>5.30235616438356</v>
      </c>
      <c r="BA111" s="18" t="n">
        <f aca="false">AL111/M111</f>
        <v>103.561643835616</v>
      </c>
      <c r="BB111" s="4" t="s">
        <v>714</v>
      </c>
      <c r="BC111" s="4" t="s">
        <v>715</v>
      </c>
      <c r="BD111" s="4" t="s">
        <v>716</v>
      </c>
    </row>
    <row r="112" customFormat="false" ht="15" hidden="false" customHeight="false" outlineLevel="0" collapsed="false">
      <c r="A112" s="4" t="n">
        <v>107</v>
      </c>
      <c r="B112" s="53" t="s">
        <v>681</v>
      </c>
      <c r="C112" s="54" t="s">
        <v>681</v>
      </c>
      <c r="D112" s="14" t="s">
        <v>717</v>
      </c>
      <c r="E112" s="4" t="s">
        <v>543</v>
      </c>
      <c r="F112" s="37" t="n">
        <v>1.337</v>
      </c>
      <c r="G112" s="34" t="n">
        <v>453.6</v>
      </c>
      <c r="H112" s="30" t="n">
        <v>0.8</v>
      </c>
      <c r="I112" s="38" t="n">
        <f aca="false">F112/(G112*H112)*100</f>
        <v>0.368441358024691</v>
      </c>
      <c r="J112" s="4"/>
      <c r="K112" s="4"/>
      <c r="L112" s="4"/>
      <c r="M112" s="40" t="n">
        <f aca="false">IF(AND(IF(Planner!$C$39="BLS U.S. average (Sep 2026)",1,0)=1,L112&lt;&gt;""),L112,I112)</f>
        <v>0.368441358024691</v>
      </c>
      <c r="N112" s="13" t="n">
        <v>89</v>
      </c>
      <c r="O112" s="4" t="s">
        <v>713</v>
      </c>
      <c r="P112" s="8" t="n">
        <v>2</v>
      </c>
      <c r="Q112" s="41"/>
      <c r="R112" s="13"/>
      <c r="S112" s="42" t="n">
        <v>0</v>
      </c>
      <c r="T112" s="42" t="n">
        <v>0</v>
      </c>
      <c r="U112" s="42" t="n">
        <v>0</v>
      </c>
      <c r="V112" s="42" t="n">
        <v>0</v>
      </c>
      <c r="W112" s="42" t="n">
        <v>0</v>
      </c>
      <c r="X112" s="42" t="n">
        <v>0</v>
      </c>
      <c r="Y112" s="42" t="n">
        <v>0</v>
      </c>
      <c r="Z112" s="42" t="n">
        <v>0</v>
      </c>
      <c r="AA112" s="42" t="n">
        <v>0</v>
      </c>
      <c r="AB112" s="42" t="n">
        <v>0</v>
      </c>
      <c r="AC112" s="42" t="n">
        <v>0</v>
      </c>
      <c r="AD112" s="43" t="n">
        <f aca="false">SUMPRODUCT(S112:AC112,INDEX(Diets!$I$5:$S$14,MATCH(Planner!$C$36,Diets!$A$5:$A$14,0),0))</f>
        <v>0</v>
      </c>
      <c r="AE112" s="44" t="n">
        <f aca="false">IF(OR(UPPER(Q112)="Y",AD112&gt;0,AND(Planner!$C$40="Core 71 foods",AY112=0)),0,1)</f>
        <v>1</v>
      </c>
      <c r="AF112" s="45" t="n">
        <v>0</v>
      </c>
      <c r="AG112" s="45" t="n">
        <v>0.5</v>
      </c>
      <c r="AH112" s="45" t="n">
        <v>0.5</v>
      </c>
      <c r="AI112" s="45" t="n">
        <v>0</v>
      </c>
      <c r="AJ112" s="8" t="n">
        <v>89</v>
      </c>
      <c r="AK112" s="4"/>
      <c r="AL112" s="31" t="n">
        <v>31</v>
      </c>
      <c r="AM112" s="31" t="n">
        <v>1.43</v>
      </c>
      <c r="AN112" s="31" t="n">
        <v>7.37</v>
      </c>
      <c r="AO112" s="31" t="n">
        <v>0.16</v>
      </c>
      <c r="AP112" s="31" t="n">
        <v>2.1</v>
      </c>
      <c r="AQ112" s="31" t="n">
        <v>3.83</v>
      </c>
      <c r="AR112" s="31" t="n">
        <v>45</v>
      </c>
      <c r="AS112" s="31" t="n">
        <v>0.8</v>
      </c>
      <c r="AT112" s="31" t="n">
        <v>243</v>
      </c>
      <c r="AU112" s="31" t="n">
        <v>27</v>
      </c>
      <c r="AV112" s="31" t="n">
        <v>57</v>
      </c>
      <c r="AW112" s="31" t="n">
        <v>0.021</v>
      </c>
      <c r="AX112" s="4" t="s">
        <v>320</v>
      </c>
      <c r="AY112" s="43" t="n">
        <v>0</v>
      </c>
      <c r="AZ112" s="23" t="n">
        <f aca="false">AM112/M112</f>
        <v>3.88121465968586</v>
      </c>
      <c r="BA112" s="18" t="n">
        <f aca="false">AL112/M112</f>
        <v>84.138219895288</v>
      </c>
      <c r="BB112" s="4" t="s">
        <v>718</v>
      </c>
      <c r="BC112" s="4" t="s">
        <v>719</v>
      </c>
      <c r="BD112" s="4" t="s">
        <v>720</v>
      </c>
    </row>
    <row r="113" customFormat="false" ht="15" hidden="false" customHeight="false" outlineLevel="0" collapsed="false">
      <c r="A113" s="4" t="n">
        <v>108</v>
      </c>
      <c r="B113" s="53" t="s">
        <v>681</v>
      </c>
      <c r="C113" s="54" t="s">
        <v>681</v>
      </c>
      <c r="D113" s="14" t="s">
        <v>721</v>
      </c>
      <c r="E113" s="4" t="s">
        <v>722</v>
      </c>
      <c r="F113" s="37" t="n">
        <v>2.26</v>
      </c>
      <c r="G113" s="34" t="n">
        <v>907.2</v>
      </c>
      <c r="H113" s="30" t="n">
        <v>0.89</v>
      </c>
      <c r="I113" s="38" t="n">
        <f aca="false">F113/(G113*H113)*100</f>
        <v>0.279908051443632</v>
      </c>
      <c r="J113" s="4"/>
      <c r="K113" s="4"/>
      <c r="L113" s="4"/>
      <c r="M113" s="40" t="n">
        <f aca="false">IF(AND(IF(Planner!$C$39="BLS U.S. average (Sep 2026)",1,0)=1,L113&lt;&gt;""),L113,I113)</f>
        <v>0.279908051443632</v>
      </c>
      <c r="N113" s="13" t="n">
        <v>128</v>
      </c>
      <c r="O113" s="4" t="s">
        <v>713</v>
      </c>
      <c r="P113" s="8" t="n">
        <v>2</v>
      </c>
      <c r="Q113" s="41"/>
      <c r="R113" s="13"/>
      <c r="S113" s="42" t="n">
        <v>0</v>
      </c>
      <c r="T113" s="42" t="n">
        <v>0</v>
      </c>
      <c r="U113" s="42" t="n">
        <v>0</v>
      </c>
      <c r="V113" s="42" t="n">
        <v>0</v>
      </c>
      <c r="W113" s="42" t="n">
        <v>0</v>
      </c>
      <c r="X113" s="42" t="n">
        <v>0</v>
      </c>
      <c r="Y113" s="42" t="n">
        <v>0</v>
      </c>
      <c r="Z113" s="42" t="n">
        <v>0</v>
      </c>
      <c r="AA113" s="42" t="n">
        <v>0</v>
      </c>
      <c r="AB113" s="42" t="n">
        <v>0</v>
      </c>
      <c r="AC113" s="42" t="n">
        <v>0</v>
      </c>
      <c r="AD113" s="43" t="n">
        <f aca="false">SUMPRODUCT(S113:AC113,INDEX(Diets!$I$5:$S$14,MATCH(Planner!$C$36,Diets!$A$5:$A$14,0),0))</f>
        <v>0</v>
      </c>
      <c r="AE113" s="44" t="n">
        <f aca="false">IF(OR(UPPER(Q113)="Y",AD113&gt;0,AND(Planner!$C$40="Core 71 foods",AY113=0)),0,1)</f>
        <v>1</v>
      </c>
      <c r="AF113" s="45" t="n">
        <v>0</v>
      </c>
      <c r="AG113" s="45" t="n">
        <v>0.5</v>
      </c>
      <c r="AH113" s="45" t="n">
        <v>0</v>
      </c>
      <c r="AI113" s="45" t="n">
        <v>0.5</v>
      </c>
      <c r="AJ113" s="8" t="n">
        <v>128</v>
      </c>
      <c r="AK113" s="4"/>
      <c r="AL113" s="31" t="n">
        <v>41</v>
      </c>
      <c r="AM113" s="31" t="n">
        <v>0.93</v>
      </c>
      <c r="AN113" s="31" t="n">
        <v>9.58</v>
      </c>
      <c r="AO113" s="31" t="n">
        <v>0.24</v>
      </c>
      <c r="AP113" s="31" t="n">
        <v>2.8</v>
      </c>
      <c r="AQ113" s="31" t="n">
        <v>4.74</v>
      </c>
      <c r="AR113" s="31" t="n">
        <v>33</v>
      </c>
      <c r="AS113" s="31" t="n">
        <v>0.3</v>
      </c>
      <c r="AT113" s="31" t="n">
        <v>320</v>
      </c>
      <c r="AU113" s="31" t="n">
        <v>69</v>
      </c>
      <c r="AV113" s="31" t="n">
        <v>5.9</v>
      </c>
      <c r="AW113" s="31" t="n">
        <v>0.037</v>
      </c>
      <c r="AX113" s="4" t="s">
        <v>218</v>
      </c>
      <c r="AY113" s="43" t="n">
        <v>1</v>
      </c>
      <c r="AZ113" s="23" t="n">
        <f aca="false">AM113/M113</f>
        <v>3.3225196460177</v>
      </c>
      <c r="BA113" s="18" t="n">
        <f aca="false">AL113/M113</f>
        <v>146.476672566372</v>
      </c>
      <c r="BB113" s="4" t="s">
        <v>723</v>
      </c>
      <c r="BC113" s="4" t="s">
        <v>724</v>
      </c>
      <c r="BD113" s="4"/>
    </row>
    <row r="114" customFormat="false" ht="15" hidden="false" customHeight="false" outlineLevel="0" collapsed="false">
      <c r="A114" s="4" t="n">
        <v>109</v>
      </c>
      <c r="B114" s="53" t="s">
        <v>681</v>
      </c>
      <c r="C114" s="54" t="s">
        <v>681</v>
      </c>
      <c r="D114" s="14" t="s">
        <v>725</v>
      </c>
      <c r="E114" s="4" t="s">
        <v>325</v>
      </c>
      <c r="F114" s="37" t="n">
        <v>1.457</v>
      </c>
      <c r="G114" s="34" t="n">
        <v>453.6</v>
      </c>
      <c r="H114" s="30" t="n">
        <v>1</v>
      </c>
      <c r="I114" s="38" t="n">
        <f aca="false">F114/(G114*H114)*100</f>
        <v>0.32120811287478</v>
      </c>
      <c r="J114" s="4"/>
      <c r="K114" s="4"/>
      <c r="L114" s="4"/>
      <c r="M114" s="40" t="n">
        <f aca="false">IF(AND(IF(Planner!$C$39="BLS U.S. average (Sep 2026)",1,0)=1,L114&lt;&gt;""),L114,I114)</f>
        <v>0.32120811287478</v>
      </c>
      <c r="N114" s="13" t="n">
        <v>246</v>
      </c>
      <c r="O114" s="4" t="s">
        <v>726</v>
      </c>
      <c r="P114" s="8" t="n">
        <v>2</v>
      </c>
      <c r="Q114" s="41"/>
      <c r="R114" s="13"/>
      <c r="S114" s="42" t="n">
        <v>0</v>
      </c>
      <c r="T114" s="42" t="n">
        <v>0</v>
      </c>
      <c r="U114" s="42" t="n">
        <v>0</v>
      </c>
      <c r="V114" s="42" t="n">
        <v>0</v>
      </c>
      <c r="W114" s="42" t="n">
        <v>0</v>
      </c>
      <c r="X114" s="42" t="n">
        <v>0</v>
      </c>
      <c r="Y114" s="42" t="n">
        <v>0</v>
      </c>
      <c r="Z114" s="42" t="n">
        <v>0</v>
      </c>
      <c r="AA114" s="42" t="n">
        <v>0</v>
      </c>
      <c r="AB114" s="42" t="n">
        <v>0</v>
      </c>
      <c r="AC114" s="42" t="n">
        <v>0</v>
      </c>
      <c r="AD114" s="43" t="n">
        <f aca="false">SUMPRODUCT(S114:AC114,INDEX(Diets!$I$5:$S$14,MATCH(Planner!$C$36,Diets!$A$5:$A$14,0),0))</f>
        <v>0</v>
      </c>
      <c r="AE114" s="44" t="n">
        <f aca="false">IF(OR(UPPER(Q114)="Y",AD114&gt;0,AND(Planner!$C$40="Core 71 foods",AY114=0)),0,1)</f>
        <v>1</v>
      </c>
      <c r="AF114" s="45" t="n">
        <v>0</v>
      </c>
      <c r="AG114" s="45" t="n">
        <v>0.5</v>
      </c>
      <c r="AH114" s="45" t="n">
        <v>0.5</v>
      </c>
      <c r="AI114" s="45" t="n">
        <v>0</v>
      </c>
      <c r="AJ114" s="8" t="n">
        <v>246</v>
      </c>
      <c r="AK114" s="4"/>
      <c r="AL114" s="31" t="n">
        <v>23</v>
      </c>
      <c r="AM114" s="31" t="n">
        <v>0.58</v>
      </c>
      <c r="AN114" s="31" t="n">
        <v>5.37</v>
      </c>
      <c r="AO114" s="31" t="n">
        <v>0.14</v>
      </c>
      <c r="AP114" s="31" t="n">
        <v>1.8</v>
      </c>
      <c r="AQ114" s="31" t="n">
        <v>2.46</v>
      </c>
      <c r="AR114" s="31" t="n">
        <v>31</v>
      </c>
      <c r="AS114" s="31" t="n">
        <v>0.52</v>
      </c>
      <c r="AT114" s="31" t="n">
        <v>173</v>
      </c>
      <c r="AU114" s="31" t="n">
        <v>240</v>
      </c>
      <c r="AV114" s="31" t="n">
        <v>2</v>
      </c>
      <c r="AW114" s="31" t="n">
        <v>0.025</v>
      </c>
      <c r="AX114" s="4" t="s">
        <v>320</v>
      </c>
      <c r="AY114" s="43" t="n">
        <v>0</v>
      </c>
      <c r="AZ114" s="23" t="n">
        <f aca="false">AM114/M114</f>
        <v>1.80568291008922</v>
      </c>
      <c r="BA114" s="18" t="n">
        <f aca="false">AL114/M114</f>
        <v>71.6046671242279</v>
      </c>
      <c r="BB114" s="4" t="s">
        <v>727</v>
      </c>
      <c r="BC114" s="4" t="s">
        <v>728</v>
      </c>
      <c r="BD114" s="4" t="s">
        <v>729</v>
      </c>
    </row>
    <row r="115" customFormat="false" ht="15" hidden="false" customHeight="false" outlineLevel="0" collapsed="false">
      <c r="A115" s="4" t="n">
        <v>110</v>
      </c>
      <c r="B115" s="53" t="s">
        <v>681</v>
      </c>
      <c r="C115" s="54" t="s">
        <v>681</v>
      </c>
      <c r="D115" s="14" t="s">
        <v>730</v>
      </c>
      <c r="E115" s="4" t="s">
        <v>489</v>
      </c>
      <c r="F115" s="37" t="n">
        <v>2.078</v>
      </c>
      <c r="G115" s="34" t="n">
        <v>453.6</v>
      </c>
      <c r="H115" s="30" t="n">
        <v>1</v>
      </c>
      <c r="I115" s="38" t="n">
        <f aca="false">F115/(G115*H115)*100</f>
        <v>0.458112874779541</v>
      </c>
      <c r="J115" s="4"/>
      <c r="K115" s="4"/>
      <c r="L115" s="4"/>
      <c r="M115" s="40" t="n">
        <f aca="false">IF(AND(IF(Planner!$C$39="BLS U.S. average (Sep 2026)",1,0)=1,L115&lt;&gt;""),L115,I115)</f>
        <v>0.458112874779541</v>
      </c>
      <c r="N115" s="13" t="n">
        <v>128</v>
      </c>
      <c r="O115" s="4" t="s">
        <v>609</v>
      </c>
      <c r="P115" s="8" t="n">
        <v>2</v>
      </c>
      <c r="Q115" s="41"/>
      <c r="R115" s="13"/>
      <c r="S115" s="42" t="n">
        <v>0</v>
      </c>
      <c r="T115" s="42" t="n">
        <v>0</v>
      </c>
      <c r="U115" s="42" t="n">
        <v>0</v>
      </c>
      <c r="V115" s="42" t="n">
        <v>0</v>
      </c>
      <c r="W115" s="42" t="n">
        <v>0</v>
      </c>
      <c r="X115" s="42" t="n">
        <v>0</v>
      </c>
      <c r="Y115" s="42" t="n">
        <v>0</v>
      </c>
      <c r="Z115" s="42" t="n">
        <v>0</v>
      </c>
      <c r="AA115" s="42" t="n">
        <v>0</v>
      </c>
      <c r="AB115" s="42" t="n">
        <v>0</v>
      </c>
      <c r="AC115" s="42" t="n">
        <v>0</v>
      </c>
      <c r="AD115" s="43" t="n">
        <f aca="false">SUMPRODUCT(S115:AC115,INDEX(Diets!$I$5:$S$14,MATCH(Planner!$C$36,Diets!$A$5:$A$14,0),0))</f>
        <v>0</v>
      </c>
      <c r="AE115" s="44" t="n">
        <f aca="false">IF(OR(UPPER(Q115)="Y",AD115&gt;0,AND(Planner!$C$40="Core 71 foods",AY115=0)),0,1)</f>
        <v>1</v>
      </c>
      <c r="AF115" s="45" t="n">
        <v>0</v>
      </c>
      <c r="AG115" s="45" t="n">
        <v>0.5</v>
      </c>
      <c r="AH115" s="45" t="n">
        <v>0.5</v>
      </c>
      <c r="AI115" s="45" t="n">
        <v>0</v>
      </c>
      <c r="AJ115" s="8" t="n">
        <v>128</v>
      </c>
      <c r="AK115" s="4"/>
      <c r="AL115" s="31" t="n">
        <v>36</v>
      </c>
      <c r="AM115" s="31" t="n">
        <v>0.78</v>
      </c>
      <c r="AN115" s="31" t="n">
        <v>7.9</v>
      </c>
      <c r="AO115" s="31" t="n">
        <v>0.46</v>
      </c>
      <c r="AP115" s="31" t="n">
        <v>3.3</v>
      </c>
      <c r="AQ115" s="31" t="n">
        <v>4.76</v>
      </c>
      <c r="AR115" s="31" t="n">
        <v>36</v>
      </c>
      <c r="AS115" s="31" t="n">
        <v>0.44</v>
      </c>
      <c r="AT115" s="31" t="n">
        <v>235</v>
      </c>
      <c r="AU115" s="31" t="n">
        <v>68</v>
      </c>
      <c r="AV115" s="31" t="n">
        <v>2.5</v>
      </c>
      <c r="AW115" s="31" t="n">
        <v>0.047</v>
      </c>
      <c r="AX115" s="4" t="s">
        <v>320</v>
      </c>
      <c r="AY115" s="43" t="n">
        <v>0</v>
      </c>
      <c r="AZ115" s="23" t="n">
        <f aca="false">AM115/M115</f>
        <v>1.70263715110683</v>
      </c>
      <c r="BA115" s="18" t="n">
        <f aca="false">AL115/M115</f>
        <v>78.5832531280077</v>
      </c>
      <c r="BB115" s="4" t="s">
        <v>731</v>
      </c>
      <c r="BC115" s="4" t="s">
        <v>732</v>
      </c>
      <c r="BD115" s="4" t="s">
        <v>733</v>
      </c>
    </row>
    <row r="116" customFormat="false" ht="15" hidden="false" customHeight="false" outlineLevel="0" collapsed="false">
      <c r="A116" s="4" t="n">
        <v>111</v>
      </c>
      <c r="B116" s="53" t="s">
        <v>681</v>
      </c>
      <c r="C116" s="54" t="s">
        <v>681</v>
      </c>
      <c r="D116" s="14" t="s">
        <v>734</v>
      </c>
      <c r="E116" s="4" t="s">
        <v>489</v>
      </c>
      <c r="F116" s="37" t="n">
        <v>2.773</v>
      </c>
      <c r="G116" s="34" t="n">
        <v>453.6</v>
      </c>
      <c r="H116" s="30" t="n">
        <v>1</v>
      </c>
      <c r="I116" s="38" t="n">
        <f aca="false">F116/(G116*H116)*100</f>
        <v>0.611331569664903</v>
      </c>
      <c r="J116" s="4"/>
      <c r="K116" s="4"/>
      <c r="L116" s="4"/>
      <c r="M116" s="40" t="n">
        <f aca="false">IF(AND(IF(Planner!$C$39="BLS U.S. average (Sep 2026)",1,0)=1,L116&lt;&gt;""),L116,I116)</f>
        <v>0.611331569664903</v>
      </c>
      <c r="N116" s="13" t="n">
        <v>132</v>
      </c>
      <c r="O116" s="4" t="s">
        <v>604</v>
      </c>
      <c r="P116" s="8" t="n">
        <v>2</v>
      </c>
      <c r="Q116" s="41"/>
      <c r="R116" s="13"/>
      <c r="S116" s="42" t="n">
        <v>0</v>
      </c>
      <c r="T116" s="42" t="n">
        <v>0</v>
      </c>
      <c r="U116" s="42" t="n">
        <v>0</v>
      </c>
      <c r="V116" s="42" t="n">
        <v>0</v>
      </c>
      <c r="W116" s="42" t="n">
        <v>0</v>
      </c>
      <c r="X116" s="42" t="n">
        <v>0</v>
      </c>
      <c r="Y116" s="42" t="n">
        <v>0</v>
      </c>
      <c r="Z116" s="42" t="n">
        <v>0</v>
      </c>
      <c r="AA116" s="42" t="n">
        <v>0</v>
      </c>
      <c r="AB116" s="42" t="n">
        <v>0</v>
      </c>
      <c r="AC116" s="42" t="n">
        <v>0</v>
      </c>
      <c r="AD116" s="43" t="n">
        <f aca="false">SUMPRODUCT(S116:AC116,INDEX(Diets!$I$5:$S$14,MATCH(Planner!$C$36,Diets!$A$5:$A$14,0),0))</f>
        <v>0</v>
      </c>
      <c r="AE116" s="44" t="n">
        <f aca="false">IF(OR(UPPER(Q116)="Y",AD116&gt;0,AND(Planner!$C$40="Core 71 foods",AY116=0)),0,1)</f>
        <v>1</v>
      </c>
      <c r="AF116" s="45" t="n">
        <v>0</v>
      </c>
      <c r="AG116" s="45" t="n">
        <v>0.5</v>
      </c>
      <c r="AH116" s="45" t="n">
        <v>0.5</v>
      </c>
      <c r="AI116" s="45" t="n">
        <v>0</v>
      </c>
      <c r="AJ116" s="8" t="n">
        <v>132</v>
      </c>
      <c r="AK116" s="4"/>
      <c r="AL116" s="31" t="n">
        <v>24</v>
      </c>
      <c r="AM116" s="31" t="n">
        <v>2.01</v>
      </c>
      <c r="AN116" s="31" t="n">
        <v>4.68</v>
      </c>
      <c r="AO116" s="31" t="n">
        <v>0.27</v>
      </c>
      <c r="AP116" s="31" t="n">
        <v>2.3</v>
      </c>
      <c r="AQ116" s="31" t="n">
        <v>2.22</v>
      </c>
      <c r="AR116" s="31" t="n">
        <v>22</v>
      </c>
      <c r="AS116" s="31" t="n">
        <v>0.54</v>
      </c>
      <c r="AT116" s="31" t="n">
        <v>193</v>
      </c>
      <c r="AU116" s="31" t="n">
        <v>24</v>
      </c>
      <c r="AV116" s="31" t="n">
        <v>48.8</v>
      </c>
      <c r="AW116" s="31" t="n">
        <v>0.041</v>
      </c>
      <c r="AX116" s="4" t="s">
        <v>320</v>
      </c>
      <c r="AY116" s="43" t="n">
        <v>0</v>
      </c>
      <c r="AZ116" s="23" t="n">
        <f aca="false">AM116/M116</f>
        <v>3.28790479624955</v>
      </c>
      <c r="BA116" s="18" t="n">
        <f aca="false">AL116/M116</f>
        <v>39.2585647313379</v>
      </c>
      <c r="BB116" s="4" t="s">
        <v>735</v>
      </c>
      <c r="BC116" s="4" t="s">
        <v>736</v>
      </c>
      <c r="BD116" s="4" t="s">
        <v>737</v>
      </c>
    </row>
    <row r="117" customFormat="false" ht="15" hidden="false" customHeight="false" outlineLevel="0" collapsed="false">
      <c r="A117" s="4" t="n">
        <v>112</v>
      </c>
      <c r="B117" s="53" t="s">
        <v>681</v>
      </c>
      <c r="C117" s="54" t="s">
        <v>681</v>
      </c>
      <c r="D117" s="14" t="s">
        <v>738</v>
      </c>
      <c r="E117" s="4" t="s">
        <v>543</v>
      </c>
      <c r="F117" s="37" t="n">
        <v>1.408</v>
      </c>
      <c r="G117" s="34" t="n">
        <v>453.6</v>
      </c>
      <c r="H117" s="30" t="n">
        <v>0.89</v>
      </c>
      <c r="I117" s="38" t="n">
        <f aca="false">F117/(G117*H117)*100</f>
        <v>0.34877038622357</v>
      </c>
      <c r="J117" s="4"/>
      <c r="K117" s="4"/>
      <c r="L117" s="4"/>
      <c r="M117" s="40" t="n">
        <f aca="false">IF(AND(IF(Planner!$C$39="BLS U.S. average (Sep 2026)",1,0)=1,L117&lt;&gt;""),L117,I117)</f>
        <v>0.34877038622357</v>
      </c>
      <c r="N117" s="13" t="n">
        <v>101</v>
      </c>
      <c r="O117" s="4" t="s">
        <v>713</v>
      </c>
      <c r="P117" s="8" t="n">
        <v>2</v>
      </c>
      <c r="Q117" s="41"/>
      <c r="R117" s="13"/>
      <c r="S117" s="42" t="n">
        <v>0</v>
      </c>
      <c r="T117" s="42" t="n">
        <v>0</v>
      </c>
      <c r="U117" s="42" t="n">
        <v>0</v>
      </c>
      <c r="V117" s="42" t="n">
        <v>0</v>
      </c>
      <c r="W117" s="42" t="n">
        <v>0</v>
      </c>
      <c r="X117" s="42" t="n">
        <v>0</v>
      </c>
      <c r="Y117" s="42" t="n">
        <v>0</v>
      </c>
      <c r="Z117" s="42" t="n">
        <v>0</v>
      </c>
      <c r="AA117" s="42" t="n">
        <v>0</v>
      </c>
      <c r="AB117" s="42" t="n">
        <v>0</v>
      </c>
      <c r="AC117" s="42" t="n">
        <v>0</v>
      </c>
      <c r="AD117" s="43" t="n">
        <f aca="false">SUMPRODUCT(S117:AC117,INDEX(Diets!$I$5:$S$14,MATCH(Planner!$C$36,Diets!$A$5:$A$14,0),0))</f>
        <v>0</v>
      </c>
      <c r="AE117" s="44" t="n">
        <f aca="false">IF(OR(UPPER(Q117)="Y",AD117&gt;0,AND(Planner!$C$40="Core 71 foods",AY117=0)),0,1)</f>
        <v>1</v>
      </c>
      <c r="AF117" s="45" t="n">
        <v>0</v>
      </c>
      <c r="AG117" s="45" t="n">
        <v>0.5</v>
      </c>
      <c r="AH117" s="45" t="n">
        <v>0</v>
      </c>
      <c r="AI117" s="45" t="n">
        <v>0.5</v>
      </c>
      <c r="AJ117" s="8" t="n">
        <v>101</v>
      </c>
      <c r="AK117" s="4"/>
      <c r="AL117" s="31" t="n">
        <v>16</v>
      </c>
      <c r="AM117" s="31" t="n">
        <v>0.69</v>
      </c>
      <c r="AN117" s="31" t="n">
        <v>2.97</v>
      </c>
      <c r="AO117" s="31" t="n">
        <v>0.17</v>
      </c>
      <c r="AP117" s="31" t="n">
        <v>1.6</v>
      </c>
      <c r="AQ117" s="31" t="n">
        <v>1.34</v>
      </c>
      <c r="AR117" s="31" t="n">
        <v>40</v>
      </c>
      <c r="AS117" s="31" t="n">
        <v>0.2</v>
      </c>
      <c r="AT117" s="31" t="n">
        <v>260</v>
      </c>
      <c r="AU117" s="31" t="n">
        <v>80</v>
      </c>
      <c r="AV117" s="31" t="n">
        <v>3.1</v>
      </c>
      <c r="AW117" s="31" t="n">
        <v>0.042</v>
      </c>
      <c r="AX117" s="4" t="s">
        <v>320</v>
      </c>
      <c r="AY117" s="43" t="n">
        <v>0</v>
      </c>
      <c r="AZ117" s="23" t="n">
        <f aca="false">AM117/M117</f>
        <v>1.97837897727273</v>
      </c>
      <c r="BA117" s="18" t="n">
        <f aca="false">AL117/M117</f>
        <v>45.8754545454546</v>
      </c>
      <c r="BB117" s="4" t="s">
        <v>739</v>
      </c>
      <c r="BC117" s="4" t="s">
        <v>740</v>
      </c>
      <c r="BD117" s="4" t="s">
        <v>741</v>
      </c>
    </row>
    <row r="118" customFormat="false" ht="15" hidden="false" customHeight="false" outlineLevel="0" collapsed="false">
      <c r="A118" s="4" t="n">
        <v>113</v>
      </c>
      <c r="B118" s="53" t="s">
        <v>681</v>
      </c>
      <c r="C118" s="54" t="s">
        <v>681</v>
      </c>
      <c r="D118" s="14" t="s">
        <v>742</v>
      </c>
      <c r="E118" s="4" t="s">
        <v>543</v>
      </c>
      <c r="F118" s="37" t="n">
        <v>2.633</v>
      </c>
      <c r="G118" s="34" t="n">
        <v>453.6</v>
      </c>
      <c r="H118" s="30" t="n">
        <v>0.57</v>
      </c>
      <c r="I118" s="38" t="n">
        <f aca="false">F118/(G118*H118)*100</f>
        <v>1.01836381076147</v>
      </c>
      <c r="J118" s="4"/>
      <c r="K118" s="4"/>
      <c r="L118" s="4"/>
      <c r="M118" s="40" t="n">
        <f aca="false">IF(AND(IF(Planner!$C$39="BLS U.S. average (Sep 2026)",1,0)=1,L118&lt;&gt;""),L118,I118)</f>
        <v>1.01836381076147</v>
      </c>
      <c r="N118" s="13" t="n">
        <v>72</v>
      </c>
      <c r="O118" s="4" t="s">
        <v>743</v>
      </c>
      <c r="P118" s="8" t="n">
        <v>2</v>
      </c>
      <c r="Q118" s="41"/>
      <c r="R118" s="13"/>
      <c r="S118" s="42" t="n">
        <v>0</v>
      </c>
      <c r="T118" s="42" t="n">
        <v>0</v>
      </c>
      <c r="U118" s="42" t="n">
        <v>0</v>
      </c>
      <c r="V118" s="42" t="n">
        <v>0</v>
      </c>
      <c r="W118" s="42" t="n">
        <v>0</v>
      </c>
      <c r="X118" s="42" t="n">
        <v>0</v>
      </c>
      <c r="Y118" s="42" t="n">
        <v>0</v>
      </c>
      <c r="Z118" s="42" t="n">
        <v>0</v>
      </c>
      <c r="AA118" s="42" t="n">
        <v>0</v>
      </c>
      <c r="AB118" s="42" t="n">
        <v>0</v>
      </c>
      <c r="AC118" s="42" t="n">
        <v>0</v>
      </c>
      <c r="AD118" s="43" t="n">
        <f aca="false">SUMPRODUCT(S118:AC118,INDEX(Diets!$I$5:$S$14,MATCH(Planner!$C$36,Diets!$A$5:$A$14,0),0))</f>
        <v>0</v>
      </c>
      <c r="AE118" s="44" t="n">
        <f aca="false">IF(OR(UPPER(Q118)="Y",AD118&gt;0,AND(Planner!$C$40="Core 71 foods",AY118=0)),0,1)</f>
        <v>1</v>
      </c>
      <c r="AF118" s="45" t="n">
        <v>0</v>
      </c>
      <c r="AG118" s="45" t="n">
        <v>0.5</v>
      </c>
      <c r="AH118" s="45" t="n">
        <v>0.5</v>
      </c>
      <c r="AI118" s="45" t="n">
        <v>0</v>
      </c>
      <c r="AJ118" s="8" t="n">
        <v>72</v>
      </c>
      <c r="AK118" s="4"/>
      <c r="AL118" s="31" t="n">
        <v>32</v>
      </c>
      <c r="AM118" s="31" t="n">
        <v>3.02</v>
      </c>
      <c r="AN118" s="31" t="n">
        <v>5.42</v>
      </c>
      <c r="AO118" s="31" t="n">
        <v>0.61</v>
      </c>
      <c r="AP118" s="31" t="n">
        <v>4</v>
      </c>
      <c r="AQ118" s="31" t="n">
        <v>0.46</v>
      </c>
      <c r="AR118" s="31" t="n">
        <v>232</v>
      </c>
      <c r="AS118" s="31" t="n">
        <v>0.47</v>
      </c>
      <c r="AT118" s="31" t="n">
        <v>213</v>
      </c>
      <c r="AU118" s="31" t="n">
        <v>17</v>
      </c>
      <c r="AV118" s="31" t="n">
        <v>35.3</v>
      </c>
      <c r="AW118" s="31" t="n">
        <v>0.055</v>
      </c>
      <c r="AX118" s="4" t="s">
        <v>320</v>
      </c>
      <c r="AY118" s="43" t="n">
        <v>0</v>
      </c>
      <c r="AZ118" s="23" t="n">
        <f aca="false">AM118/M118</f>
        <v>2.96554135966578</v>
      </c>
      <c r="BA118" s="18" t="n">
        <f aca="false">AL118/M118</f>
        <v>31.4229548044056</v>
      </c>
      <c r="BB118" s="4" t="s">
        <v>744</v>
      </c>
      <c r="BC118" s="4" t="s">
        <v>745</v>
      </c>
      <c r="BD118" s="4" t="s">
        <v>746</v>
      </c>
    </row>
    <row r="119" customFormat="false" ht="15" hidden="false" customHeight="false" outlineLevel="0" collapsed="false">
      <c r="A119" s="4" t="n">
        <v>114</v>
      </c>
      <c r="B119" s="53" t="s">
        <v>681</v>
      </c>
      <c r="C119" s="54" t="s">
        <v>681</v>
      </c>
      <c r="D119" s="14" t="s">
        <v>747</v>
      </c>
      <c r="E119" s="4" t="s">
        <v>489</v>
      </c>
      <c r="F119" s="37" t="n">
        <v>2.778</v>
      </c>
      <c r="G119" s="34" t="n">
        <v>453.6</v>
      </c>
      <c r="H119" s="30" t="n">
        <v>1</v>
      </c>
      <c r="I119" s="38" t="n">
        <f aca="false">F119/(G119*H119)*100</f>
        <v>0.612433862433862</v>
      </c>
      <c r="J119" s="4"/>
      <c r="K119" s="4"/>
      <c r="L119" s="4"/>
      <c r="M119" s="40" t="n">
        <f aca="false">IF(AND(IF(Planner!$C$39="BLS U.S. average (Sep 2026)",1,0)=1,L119&lt;&gt;""),L119,I119)</f>
        <v>0.612433862433862</v>
      </c>
      <c r="N119" s="13" t="n">
        <v>187</v>
      </c>
      <c r="O119" s="4" t="s">
        <v>704</v>
      </c>
      <c r="P119" s="8" t="n">
        <v>2</v>
      </c>
      <c r="Q119" s="41"/>
      <c r="R119" s="13"/>
      <c r="S119" s="42" t="n">
        <v>0</v>
      </c>
      <c r="T119" s="42" t="n">
        <v>0</v>
      </c>
      <c r="U119" s="42" t="n">
        <v>0</v>
      </c>
      <c r="V119" s="42" t="n">
        <v>0</v>
      </c>
      <c r="W119" s="42" t="n">
        <v>0</v>
      </c>
      <c r="X119" s="42" t="n">
        <v>0</v>
      </c>
      <c r="Y119" s="42" t="n">
        <v>0</v>
      </c>
      <c r="Z119" s="42" t="n">
        <v>0</v>
      </c>
      <c r="AA119" s="42" t="n">
        <v>0</v>
      </c>
      <c r="AB119" s="42" t="n">
        <v>0</v>
      </c>
      <c r="AC119" s="42" t="n">
        <v>0</v>
      </c>
      <c r="AD119" s="43" t="n">
        <f aca="false">SUMPRODUCT(S119:AC119,INDEX(Diets!$I$5:$S$14,MATCH(Planner!$C$36,Diets!$A$5:$A$14,0),0))</f>
        <v>0</v>
      </c>
      <c r="AE119" s="44" t="n">
        <f aca="false">IF(OR(UPPER(Q119)="Y",AD119&gt;0,AND(Planner!$C$40="Core 71 foods",AY119=0)),0,1)</f>
        <v>1</v>
      </c>
      <c r="AF119" s="45" t="n">
        <v>0</v>
      </c>
      <c r="AG119" s="45" t="n">
        <v>0.5</v>
      </c>
      <c r="AH119" s="45" t="n">
        <v>0.5</v>
      </c>
      <c r="AI119" s="45" t="n">
        <v>0</v>
      </c>
      <c r="AJ119" s="8" t="n">
        <v>187</v>
      </c>
      <c r="AK119" s="4"/>
      <c r="AL119" s="31" t="n">
        <v>33</v>
      </c>
      <c r="AM119" s="31" t="n">
        <v>2.69</v>
      </c>
      <c r="AN119" s="31" t="n">
        <v>6.46</v>
      </c>
      <c r="AO119" s="31" t="n">
        <v>0.37</v>
      </c>
      <c r="AP119" s="31" t="n">
        <v>3.6</v>
      </c>
      <c r="AQ119" s="31" t="n">
        <v>0</v>
      </c>
      <c r="AR119" s="31" t="n">
        <v>201</v>
      </c>
      <c r="AS119" s="31" t="n">
        <v>1.07</v>
      </c>
      <c r="AT119" s="31" t="n">
        <v>253</v>
      </c>
      <c r="AU119" s="31" t="n">
        <v>48</v>
      </c>
      <c r="AV119" s="31" t="n">
        <v>40</v>
      </c>
      <c r="AW119" s="31" t="n">
        <v>0.048</v>
      </c>
      <c r="AX119" s="4" t="s">
        <v>320</v>
      </c>
      <c r="AY119" s="43" t="n">
        <v>0</v>
      </c>
      <c r="AZ119" s="23" t="n">
        <f aca="false">AM119/M119</f>
        <v>4.39231101511879</v>
      </c>
      <c r="BA119" s="18" t="n">
        <f aca="false">AL119/M119</f>
        <v>53.8833693304536</v>
      </c>
      <c r="BB119" s="4" t="s">
        <v>748</v>
      </c>
      <c r="BC119" s="4" t="s">
        <v>749</v>
      </c>
      <c r="BD119" s="4" t="s">
        <v>750</v>
      </c>
    </row>
    <row r="120" customFormat="false" ht="15" hidden="false" customHeight="false" outlineLevel="0" collapsed="false">
      <c r="A120" s="4" t="n">
        <v>115</v>
      </c>
      <c r="B120" s="53" t="s">
        <v>681</v>
      </c>
      <c r="C120" s="54" t="s">
        <v>681</v>
      </c>
      <c r="D120" s="14" t="s">
        <v>751</v>
      </c>
      <c r="E120" s="4" t="s">
        <v>543</v>
      </c>
      <c r="F120" s="37" t="n">
        <v>1.159</v>
      </c>
      <c r="G120" s="34" t="n">
        <v>453.6</v>
      </c>
      <c r="H120" s="30" t="n">
        <v>0.97</v>
      </c>
      <c r="I120" s="38" t="n">
        <f aca="false">F120/(G120*H120)*100</f>
        <v>0.263413880252368</v>
      </c>
      <c r="J120" s="4"/>
      <c r="K120" s="4"/>
      <c r="L120" s="4"/>
      <c r="M120" s="40" t="n">
        <f aca="false">IF(AND(IF(Planner!$C$39="BLS U.S. average (Sep 2026)",1,0)=1,L120&lt;&gt;""),L120,I120)</f>
        <v>0.263413880252368</v>
      </c>
      <c r="N120" s="13" t="n">
        <v>104</v>
      </c>
      <c r="O120" s="4" t="s">
        <v>609</v>
      </c>
      <c r="P120" s="8" t="n">
        <v>2</v>
      </c>
      <c r="Q120" s="41"/>
      <c r="R120" s="13"/>
      <c r="S120" s="42" t="n">
        <v>0</v>
      </c>
      <c r="T120" s="42" t="n">
        <v>0</v>
      </c>
      <c r="U120" s="42" t="n">
        <v>0</v>
      </c>
      <c r="V120" s="42" t="n">
        <v>0</v>
      </c>
      <c r="W120" s="42" t="n">
        <v>0</v>
      </c>
      <c r="X120" s="42" t="n">
        <v>0</v>
      </c>
      <c r="Y120" s="42" t="n">
        <v>0</v>
      </c>
      <c r="Z120" s="42" t="n">
        <v>0</v>
      </c>
      <c r="AA120" s="42" t="n">
        <v>0</v>
      </c>
      <c r="AB120" s="42" t="n">
        <v>0</v>
      </c>
      <c r="AC120" s="42" t="n">
        <v>0</v>
      </c>
      <c r="AD120" s="43" t="n">
        <f aca="false">SUMPRODUCT(S120:AC120,INDEX(Diets!$I$5:$S$14,MATCH(Planner!$C$36,Diets!$A$5:$A$14,0),0))</f>
        <v>0</v>
      </c>
      <c r="AE120" s="44" t="n">
        <f aca="false">IF(OR(UPPER(Q120)="Y",AD120&gt;0,AND(Planner!$C$40="Core 71 foods",AY120=0)),0,1)</f>
        <v>1</v>
      </c>
      <c r="AF120" s="45" t="n">
        <v>0</v>
      </c>
      <c r="AG120" s="45" t="n">
        <v>0.5</v>
      </c>
      <c r="AH120" s="45" t="n">
        <v>0.5</v>
      </c>
      <c r="AI120" s="45" t="n">
        <v>0</v>
      </c>
      <c r="AJ120" s="8" t="n">
        <v>104</v>
      </c>
      <c r="AK120" s="4"/>
      <c r="AL120" s="31" t="n">
        <v>15</v>
      </c>
      <c r="AM120" s="31" t="n">
        <v>0.65</v>
      </c>
      <c r="AN120" s="31" t="n">
        <v>3.63</v>
      </c>
      <c r="AO120" s="31" t="n">
        <v>0.11</v>
      </c>
      <c r="AP120" s="31" t="n">
        <v>0.5</v>
      </c>
      <c r="AQ120" s="31" t="n">
        <v>1.67</v>
      </c>
      <c r="AR120" s="31" t="n">
        <v>16</v>
      </c>
      <c r="AS120" s="31" t="n">
        <v>0.28</v>
      </c>
      <c r="AT120" s="31" t="n">
        <v>147</v>
      </c>
      <c r="AU120" s="31" t="n">
        <v>2</v>
      </c>
      <c r="AV120" s="31" t="n">
        <v>2.8</v>
      </c>
      <c r="AW120" s="31" t="n">
        <v>0.037</v>
      </c>
      <c r="AX120" s="4" t="s">
        <v>320</v>
      </c>
      <c r="AY120" s="43" t="n">
        <v>0</v>
      </c>
      <c r="AZ120" s="23" t="n">
        <f aca="false">AM120/M120</f>
        <v>2.46759965487489</v>
      </c>
      <c r="BA120" s="18" t="n">
        <f aca="false">AL120/M120</f>
        <v>56.9446074201898</v>
      </c>
      <c r="BB120" s="4" t="s">
        <v>752</v>
      </c>
      <c r="BC120" s="4" t="s">
        <v>753</v>
      </c>
      <c r="BD120" s="4" t="s">
        <v>754</v>
      </c>
    </row>
    <row r="121" customFormat="false" ht="15" hidden="false" customHeight="false" outlineLevel="0" collapsed="false">
      <c r="A121" s="4" t="n">
        <v>116</v>
      </c>
      <c r="B121" s="53" t="s">
        <v>681</v>
      </c>
      <c r="C121" s="54" t="s">
        <v>681</v>
      </c>
      <c r="D121" s="14" t="s">
        <v>755</v>
      </c>
      <c r="E121" s="4" t="s">
        <v>756</v>
      </c>
      <c r="F121" s="37" t="n">
        <v>0.84</v>
      </c>
      <c r="G121" s="34" t="n">
        <v>411.1</v>
      </c>
      <c r="H121" s="30" t="n">
        <v>1</v>
      </c>
      <c r="I121" s="38" t="n">
        <f aca="false">F121/(G121*H121)*100</f>
        <v>0.204329846752615</v>
      </c>
      <c r="J121" s="4"/>
      <c r="K121" s="4"/>
      <c r="L121" s="4"/>
      <c r="M121" s="40" t="n">
        <f aca="false">IF(AND(IF(Planner!$C$39="BLS U.S. average (Sep 2026)",1,0)=1,L121&lt;&gt;""),L121,I121)</f>
        <v>0.204329846752615</v>
      </c>
      <c r="N121" s="13" t="n">
        <v>120</v>
      </c>
      <c r="O121" s="4" t="s">
        <v>312</v>
      </c>
      <c r="P121" s="8" t="n">
        <v>3</v>
      </c>
      <c r="Q121" s="41"/>
      <c r="R121" s="13"/>
      <c r="S121" s="42" t="n">
        <v>0</v>
      </c>
      <c r="T121" s="42" t="n">
        <v>0</v>
      </c>
      <c r="U121" s="42" t="n">
        <v>0</v>
      </c>
      <c r="V121" s="42" t="n">
        <v>0</v>
      </c>
      <c r="W121" s="42" t="n">
        <v>0</v>
      </c>
      <c r="X121" s="42" t="n">
        <v>0</v>
      </c>
      <c r="Y121" s="42" t="n">
        <v>0</v>
      </c>
      <c r="Z121" s="42" t="n">
        <v>0</v>
      </c>
      <c r="AA121" s="42" t="n">
        <v>0</v>
      </c>
      <c r="AB121" s="42" t="n">
        <v>0</v>
      </c>
      <c r="AC121" s="42" t="n">
        <v>0</v>
      </c>
      <c r="AD121" s="43" t="n">
        <f aca="false">SUMPRODUCT(S121:AC121,INDEX(Diets!$I$5:$S$14,MATCH(Planner!$C$36,Diets!$A$5:$A$14,0),0))</f>
        <v>0</v>
      </c>
      <c r="AE121" s="44" t="n">
        <f aca="false">IF(OR(UPPER(Q121)="Y",AD121&gt;0,AND(Planner!$C$40="Core 71 foods",AY121=0)),0,1)</f>
        <v>1</v>
      </c>
      <c r="AF121" s="45" t="n">
        <v>0</v>
      </c>
      <c r="AG121" s="45" t="n">
        <v>0.5</v>
      </c>
      <c r="AH121" s="45" t="n">
        <v>0.5</v>
      </c>
      <c r="AI121" s="45" t="n">
        <v>0</v>
      </c>
      <c r="AJ121" s="8" t="n">
        <v>235</v>
      </c>
      <c r="AK121" s="4"/>
      <c r="AL121" s="31" t="n">
        <v>15</v>
      </c>
      <c r="AM121" s="31" t="n">
        <v>0.72</v>
      </c>
      <c r="AN121" s="31" t="n">
        <v>3.27</v>
      </c>
      <c r="AO121" s="31" t="n">
        <v>0.17</v>
      </c>
      <c r="AP121" s="31" t="n">
        <v>1.5</v>
      </c>
      <c r="AQ121" s="31" t="n">
        <v>1.25</v>
      </c>
      <c r="AR121" s="31" t="n">
        <v>29</v>
      </c>
      <c r="AS121" s="31" t="n">
        <v>1.02</v>
      </c>
      <c r="AT121" s="31" t="n">
        <v>92</v>
      </c>
      <c r="AU121" s="31" t="n">
        <v>192</v>
      </c>
      <c r="AV121" s="31" t="n">
        <v>2.2</v>
      </c>
      <c r="AW121" s="31" t="n">
        <v>0.04</v>
      </c>
      <c r="AX121" s="4" t="s">
        <v>218</v>
      </c>
      <c r="AY121" s="43" t="n">
        <v>1</v>
      </c>
      <c r="AZ121" s="23" t="n">
        <f aca="false">AM121/M121</f>
        <v>3.52371428571429</v>
      </c>
      <c r="BA121" s="18" t="n">
        <f aca="false">AL121/M121</f>
        <v>73.4107142857143</v>
      </c>
      <c r="BB121" s="4" t="s">
        <v>757</v>
      </c>
      <c r="BC121" s="4" t="s">
        <v>758</v>
      </c>
      <c r="BD121" s="4" t="s">
        <v>759</v>
      </c>
    </row>
    <row r="122" customFormat="false" ht="15" hidden="false" customHeight="false" outlineLevel="0" collapsed="false">
      <c r="A122" s="4" t="n">
        <v>117</v>
      </c>
      <c r="B122" s="53" t="s">
        <v>681</v>
      </c>
      <c r="C122" s="54" t="s">
        <v>681</v>
      </c>
      <c r="D122" s="14" t="s">
        <v>760</v>
      </c>
      <c r="E122" s="4" t="s">
        <v>489</v>
      </c>
      <c r="F122" s="37" t="n">
        <v>2.217</v>
      </c>
      <c r="G122" s="34" t="n">
        <v>453.6</v>
      </c>
      <c r="H122" s="30" t="n">
        <v>1</v>
      </c>
      <c r="I122" s="38" t="n">
        <f aca="false">F122/(G122*H122)*100</f>
        <v>0.488756613756614</v>
      </c>
      <c r="J122" s="4"/>
      <c r="K122" s="4"/>
      <c r="L122" s="4"/>
      <c r="M122" s="40" t="n">
        <f aca="false">IF(AND(IF(Planner!$C$39="BLS U.S. average (Sep 2026)",1,0)=1,L122&lt;&gt;""),L122,I122)</f>
        <v>0.488756613756614</v>
      </c>
      <c r="N122" s="13" t="n">
        <v>121</v>
      </c>
      <c r="O122" s="4" t="s">
        <v>392</v>
      </c>
      <c r="P122" s="8" t="n">
        <v>2</v>
      </c>
      <c r="Q122" s="41"/>
      <c r="R122" s="13"/>
      <c r="S122" s="42" t="n">
        <v>0</v>
      </c>
      <c r="T122" s="42" t="n">
        <v>0</v>
      </c>
      <c r="U122" s="42" t="n">
        <v>0</v>
      </c>
      <c r="V122" s="42" t="n">
        <v>0</v>
      </c>
      <c r="W122" s="42" t="n">
        <v>0</v>
      </c>
      <c r="X122" s="42" t="n">
        <v>0</v>
      </c>
      <c r="Y122" s="42" t="n">
        <v>0</v>
      </c>
      <c r="Z122" s="42" t="n">
        <v>0</v>
      </c>
      <c r="AA122" s="42" t="n">
        <v>0</v>
      </c>
      <c r="AB122" s="42" t="n">
        <v>0</v>
      </c>
      <c r="AC122" s="42" t="n">
        <v>0</v>
      </c>
      <c r="AD122" s="43" t="n">
        <f aca="false">SUMPRODUCT(S122:AC122,INDEX(Diets!$I$5:$S$14,MATCH(Planner!$C$36,Diets!$A$5:$A$14,0),0))</f>
        <v>0</v>
      </c>
      <c r="AE122" s="44" t="n">
        <f aca="false">IF(OR(UPPER(Q122)="Y",AD122&gt;0,AND(Planner!$C$40="Core 71 foods",AY122=0)),0,1)</f>
        <v>1</v>
      </c>
      <c r="AF122" s="45" t="n">
        <v>0</v>
      </c>
      <c r="AG122" s="45" t="n">
        <v>0.5</v>
      </c>
      <c r="AH122" s="45" t="n">
        <v>0.5</v>
      </c>
      <c r="AI122" s="45" t="n">
        <v>0</v>
      </c>
      <c r="AJ122" s="8" t="n">
        <v>121</v>
      </c>
      <c r="AK122" s="4"/>
      <c r="AL122" s="31" t="n">
        <v>39</v>
      </c>
      <c r="AM122" s="31" t="n">
        <v>1.79</v>
      </c>
      <c r="AN122" s="31" t="n">
        <v>7.54</v>
      </c>
      <c r="AO122" s="31" t="n">
        <v>0.21</v>
      </c>
      <c r="AP122" s="31" t="n">
        <v>2.6</v>
      </c>
      <c r="AQ122" s="31" t="n">
        <v>2.21</v>
      </c>
      <c r="AR122" s="31" t="n">
        <v>42</v>
      </c>
      <c r="AS122" s="31" t="n">
        <v>0.85</v>
      </c>
      <c r="AT122" s="31" t="n">
        <v>186</v>
      </c>
      <c r="AU122" s="31" t="n">
        <v>3</v>
      </c>
      <c r="AV122" s="31" t="n">
        <v>12.9</v>
      </c>
      <c r="AW122" s="31" t="n">
        <v>0.047</v>
      </c>
      <c r="AX122" s="4" t="s">
        <v>320</v>
      </c>
      <c r="AY122" s="43" t="n">
        <v>0</v>
      </c>
      <c r="AZ122" s="23" t="n">
        <f aca="false">AM122/M122</f>
        <v>3.66235453315291</v>
      </c>
      <c r="BA122" s="18" t="n">
        <f aca="false">AL122/M122</f>
        <v>79.7943166441137</v>
      </c>
      <c r="BB122" s="4" t="s">
        <v>761</v>
      </c>
      <c r="BC122" s="4" t="s">
        <v>762</v>
      </c>
      <c r="BD122" s="4" t="s">
        <v>763</v>
      </c>
    </row>
    <row r="123" customFormat="false" ht="15" hidden="false" customHeight="false" outlineLevel="0" collapsed="false">
      <c r="A123" s="4" t="n">
        <v>118</v>
      </c>
      <c r="B123" s="53" t="s">
        <v>681</v>
      </c>
      <c r="C123" s="54" t="s">
        <v>681</v>
      </c>
      <c r="D123" s="14" t="s">
        <v>764</v>
      </c>
      <c r="E123" s="4" t="s">
        <v>765</v>
      </c>
      <c r="F123" s="37" t="n">
        <v>0.86</v>
      </c>
      <c r="G123" s="34" t="n">
        <v>145</v>
      </c>
      <c r="H123" s="30" t="n">
        <v>0.82</v>
      </c>
      <c r="I123" s="38" t="n">
        <f aca="false">F123/(G123*H123)*100</f>
        <v>0.723296888141295</v>
      </c>
      <c r="J123" s="4"/>
      <c r="K123" s="4"/>
      <c r="L123" s="4"/>
      <c r="M123" s="40" t="n">
        <f aca="false">IF(AND(IF(Planner!$C$39="BLS U.S. average (Sep 2026)",1,0)=1,L123&lt;&gt;""),L123,I123)</f>
        <v>0.723296888141295</v>
      </c>
      <c r="N123" s="13" t="n">
        <v>149</v>
      </c>
      <c r="O123" s="4" t="s">
        <v>713</v>
      </c>
      <c r="P123" s="8" t="n">
        <v>1</v>
      </c>
      <c r="Q123" s="41"/>
      <c r="R123" s="13"/>
      <c r="S123" s="42" t="n">
        <v>0</v>
      </c>
      <c r="T123" s="42" t="n">
        <v>0</v>
      </c>
      <c r="U123" s="42" t="n">
        <v>0</v>
      </c>
      <c r="V123" s="42" t="n">
        <v>0</v>
      </c>
      <c r="W123" s="42" t="n">
        <v>0</v>
      </c>
      <c r="X123" s="42" t="n">
        <v>0</v>
      </c>
      <c r="Y123" s="42" t="n">
        <v>0</v>
      </c>
      <c r="Z123" s="42" t="n">
        <v>0</v>
      </c>
      <c r="AA123" s="42" t="n">
        <v>0</v>
      </c>
      <c r="AB123" s="42" t="n">
        <v>0</v>
      </c>
      <c r="AC123" s="42" t="n">
        <v>0</v>
      </c>
      <c r="AD123" s="43" t="n">
        <f aca="false">SUMPRODUCT(S123:AC123,INDEX(Diets!$I$5:$S$14,MATCH(Planner!$C$36,Diets!$A$5:$A$14,0),0))</f>
        <v>0</v>
      </c>
      <c r="AE123" s="44" t="n">
        <f aca="false">IF(OR(UPPER(Q123)="Y",AD123&gt;0,AND(Planner!$C$40="Core 71 foods",AY123=0)),0,1)</f>
        <v>1</v>
      </c>
      <c r="AF123" s="45" t="n">
        <v>0</v>
      </c>
      <c r="AG123" s="45" t="n">
        <v>0.5</v>
      </c>
      <c r="AH123" s="45" t="n">
        <v>0.5</v>
      </c>
      <c r="AI123" s="45" t="n">
        <v>0</v>
      </c>
      <c r="AJ123" s="8" t="n">
        <v>149</v>
      </c>
      <c r="AK123" s="4"/>
      <c r="AL123" s="31" t="n">
        <v>20</v>
      </c>
      <c r="AM123" s="31" t="n">
        <v>0.86</v>
      </c>
      <c r="AN123" s="31" t="n">
        <v>4.64</v>
      </c>
      <c r="AO123" s="31" t="n">
        <v>0.17</v>
      </c>
      <c r="AP123" s="31" t="n">
        <v>1.7</v>
      </c>
      <c r="AQ123" s="31" t="n">
        <v>2.4</v>
      </c>
      <c r="AR123" s="31" t="n">
        <v>10</v>
      </c>
      <c r="AS123" s="31" t="n">
        <v>0.34</v>
      </c>
      <c r="AT123" s="31" t="n">
        <v>175</v>
      </c>
      <c r="AU123" s="31" t="n">
        <v>3</v>
      </c>
      <c r="AV123" s="31" t="n">
        <v>80.4</v>
      </c>
      <c r="AW123" s="31" t="n">
        <v>0.058</v>
      </c>
      <c r="AX123" s="4" t="s">
        <v>218</v>
      </c>
      <c r="AY123" s="43" t="n">
        <v>1</v>
      </c>
      <c r="AZ123" s="23" t="n">
        <f aca="false">AM123/M123</f>
        <v>1.189</v>
      </c>
      <c r="BA123" s="18" t="n">
        <f aca="false">AL123/M123</f>
        <v>27.6511627906977</v>
      </c>
      <c r="BB123" s="4" t="s">
        <v>766</v>
      </c>
      <c r="BC123" s="4" t="s">
        <v>767</v>
      </c>
      <c r="BD123" s="4" t="s">
        <v>768</v>
      </c>
    </row>
    <row r="124" customFormat="false" ht="15" hidden="false" customHeight="false" outlineLevel="0" collapsed="false">
      <c r="A124" s="4" t="n">
        <v>119</v>
      </c>
      <c r="B124" s="53" t="s">
        <v>681</v>
      </c>
      <c r="C124" s="54" t="s">
        <v>681</v>
      </c>
      <c r="D124" s="14" t="s">
        <v>769</v>
      </c>
      <c r="E124" s="4" t="s">
        <v>770</v>
      </c>
      <c r="F124" s="37" t="n">
        <v>1.636</v>
      </c>
      <c r="G124" s="34" t="n">
        <v>453.6</v>
      </c>
      <c r="H124" s="30" t="n">
        <v>0.95</v>
      </c>
      <c r="I124" s="38" t="n">
        <f aca="false">F124/(G124*H124)*100</f>
        <v>0.379652835793187</v>
      </c>
      <c r="J124" s="39" t="n">
        <v>1.636</v>
      </c>
      <c r="K124" s="34" t="n">
        <v>453.6</v>
      </c>
      <c r="L124" s="38" t="n">
        <f aca="false">J124/(K124*H124)*100</f>
        <v>0.379652835793187</v>
      </c>
      <c r="M124" s="40" t="n">
        <f aca="false">IF(AND(IF(Planner!$C$39="BLS U.S. average (Sep 2026)",1,0)=1,L124&lt;&gt;""),L124,I124)</f>
        <v>0.379652835793187</v>
      </c>
      <c r="N124" s="13" t="n">
        <v>144</v>
      </c>
      <c r="O124" s="4" t="s">
        <v>771</v>
      </c>
      <c r="P124" s="8" t="n">
        <v>2</v>
      </c>
      <c r="Q124" s="41"/>
      <c r="R124" s="13"/>
      <c r="S124" s="42" t="n">
        <v>0</v>
      </c>
      <c r="T124" s="42" t="n">
        <v>0</v>
      </c>
      <c r="U124" s="42" t="n">
        <v>0</v>
      </c>
      <c r="V124" s="42" t="n">
        <v>0</v>
      </c>
      <c r="W124" s="42" t="n">
        <v>0</v>
      </c>
      <c r="X124" s="42" t="n">
        <v>0</v>
      </c>
      <c r="Y124" s="42" t="n">
        <v>0</v>
      </c>
      <c r="Z124" s="42" t="n">
        <v>0</v>
      </c>
      <c r="AA124" s="42" t="n">
        <v>0</v>
      </c>
      <c r="AB124" s="42" t="n">
        <v>0</v>
      </c>
      <c r="AC124" s="42" t="n">
        <v>0</v>
      </c>
      <c r="AD124" s="43" t="n">
        <f aca="false">SUMPRODUCT(S124:AC124,INDEX(Diets!$I$5:$S$14,MATCH(Planner!$C$36,Diets!$A$5:$A$14,0),0))</f>
        <v>0</v>
      </c>
      <c r="AE124" s="44" t="n">
        <f aca="false">IF(OR(UPPER(Q124)="Y",AD124&gt;0,AND(Planner!$C$40="Core 71 foods",AY124=0)),0,1)</f>
        <v>1</v>
      </c>
      <c r="AF124" s="45" t="n">
        <v>0</v>
      </c>
      <c r="AG124" s="45" t="n">
        <v>0.5</v>
      </c>
      <c r="AH124" s="45" t="n">
        <v>0.5</v>
      </c>
      <c r="AI124" s="45" t="n">
        <v>0</v>
      </c>
      <c r="AJ124" s="8" t="n">
        <v>144</v>
      </c>
      <c r="AK124" s="4"/>
      <c r="AL124" s="31" t="n">
        <v>14</v>
      </c>
      <c r="AM124" s="31" t="n">
        <v>0.9</v>
      </c>
      <c r="AN124" s="31" t="n">
        <v>2.97</v>
      </c>
      <c r="AO124" s="31" t="n">
        <v>0.14</v>
      </c>
      <c r="AP124" s="31" t="n">
        <v>1.2</v>
      </c>
      <c r="AQ124" s="31" t="n">
        <v>1.97</v>
      </c>
      <c r="AR124" s="31" t="n">
        <v>18</v>
      </c>
      <c r="AS124" s="31" t="n">
        <v>0.41</v>
      </c>
      <c r="AT124" s="31" t="n">
        <v>141</v>
      </c>
      <c r="AU124" s="31" t="n">
        <v>10</v>
      </c>
      <c r="AV124" s="31" t="n">
        <v>2.8</v>
      </c>
      <c r="AW124" s="31" t="n">
        <v>0.018</v>
      </c>
      <c r="AX124" s="4" t="s">
        <v>243</v>
      </c>
      <c r="AY124" s="43" t="n">
        <v>0</v>
      </c>
      <c r="AZ124" s="23" t="n">
        <f aca="false">AM124/M124</f>
        <v>2.37058679706602</v>
      </c>
      <c r="BA124" s="18" t="n">
        <f aca="false">AL124/M124</f>
        <v>36.8757946210269</v>
      </c>
      <c r="BB124" s="4" t="s">
        <v>772</v>
      </c>
      <c r="BC124" s="4" t="s">
        <v>773</v>
      </c>
      <c r="BD124" s="4" t="s">
        <v>774</v>
      </c>
    </row>
    <row r="125" customFormat="false" ht="15" hidden="false" customHeight="false" outlineLevel="0" collapsed="false">
      <c r="A125" s="4" t="n">
        <v>120</v>
      </c>
      <c r="B125" s="53" t="s">
        <v>681</v>
      </c>
      <c r="C125" s="54" t="s">
        <v>681</v>
      </c>
      <c r="D125" s="14" t="s">
        <v>775</v>
      </c>
      <c r="E125" s="4" t="s">
        <v>489</v>
      </c>
      <c r="F125" s="37" t="n">
        <v>2.326</v>
      </c>
      <c r="G125" s="34" t="n">
        <v>453.6</v>
      </c>
      <c r="H125" s="30" t="n">
        <v>1</v>
      </c>
      <c r="I125" s="38" t="n">
        <f aca="false">F125/(G125*H125)*100</f>
        <v>0.512786596119929</v>
      </c>
      <c r="J125" s="4"/>
      <c r="K125" s="4"/>
      <c r="L125" s="4"/>
      <c r="M125" s="40" t="n">
        <f aca="false">IF(AND(IF(Planner!$C$39="BLS U.S. average (Sep 2026)",1,0)=1,L125&lt;&gt;""),L125,I125)</f>
        <v>0.512786596119929</v>
      </c>
      <c r="N125" s="13" t="n">
        <v>183</v>
      </c>
      <c r="O125" s="4" t="s">
        <v>704</v>
      </c>
      <c r="P125" s="8" t="n">
        <v>2</v>
      </c>
      <c r="Q125" s="41"/>
      <c r="R125" s="13"/>
      <c r="S125" s="42" t="n">
        <v>0</v>
      </c>
      <c r="T125" s="42" t="n">
        <v>0</v>
      </c>
      <c r="U125" s="42" t="n">
        <v>0</v>
      </c>
      <c r="V125" s="42" t="n">
        <v>0</v>
      </c>
      <c r="W125" s="42" t="n">
        <v>0</v>
      </c>
      <c r="X125" s="42" t="n">
        <v>0</v>
      </c>
      <c r="Y125" s="42" t="n">
        <v>0</v>
      </c>
      <c r="Z125" s="42" t="n">
        <v>0</v>
      </c>
      <c r="AA125" s="42" t="n">
        <v>0</v>
      </c>
      <c r="AB125" s="42" t="n">
        <v>0</v>
      </c>
      <c r="AC125" s="42" t="n">
        <v>0</v>
      </c>
      <c r="AD125" s="43" t="n">
        <f aca="false">SUMPRODUCT(S125:AC125,INDEX(Diets!$I$5:$S$14,MATCH(Planner!$C$36,Diets!$A$5:$A$14,0),0))</f>
        <v>0</v>
      </c>
      <c r="AE125" s="44" t="n">
        <f aca="false">IF(OR(UPPER(Q125)="Y",AD125&gt;0,AND(Planner!$C$40="Core 71 foods",AY125=0)),0,1)</f>
        <v>1</v>
      </c>
      <c r="AF125" s="45" t="n">
        <v>0</v>
      </c>
      <c r="AG125" s="45" t="n">
        <v>0.5</v>
      </c>
      <c r="AH125" s="45" t="n">
        <v>0.5</v>
      </c>
      <c r="AI125" s="45" t="n">
        <v>0</v>
      </c>
      <c r="AJ125" s="8" t="n">
        <v>183</v>
      </c>
      <c r="AK125" s="4"/>
      <c r="AL125" s="31" t="n">
        <v>28</v>
      </c>
      <c r="AM125" s="31" t="n">
        <v>2.66</v>
      </c>
      <c r="AN125" s="31" t="n">
        <v>4.9</v>
      </c>
      <c r="AO125" s="31" t="n">
        <v>0.46</v>
      </c>
      <c r="AP125" s="31" t="n">
        <v>2</v>
      </c>
      <c r="AQ125" s="31" t="n">
        <v>0</v>
      </c>
      <c r="AR125" s="31" t="n">
        <v>136</v>
      </c>
      <c r="AS125" s="31" t="n">
        <v>0.93</v>
      </c>
      <c r="AT125" s="31" t="n">
        <v>333</v>
      </c>
      <c r="AU125" s="31" t="n">
        <v>15</v>
      </c>
      <c r="AV125" s="31" t="n">
        <v>39.3</v>
      </c>
      <c r="AW125" s="31" t="n">
        <v>0.059</v>
      </c>
      <c r="AX125" s="4" t="s">
        <v>320</v>
      </c>
      <c r="AY125" s="43" t="n">
        <v>0</v>
      </c>
      <c r="AZ125" s="23" t="n">
        <f aca="false">AM125/M125</f>
        <v>5.18734307824592</v>
      </c>
      <c r="BA125" s="18" t="n">
        <f aca="false">AL125/M125</f>
        <v>54.603611349957</v>
      </c>
      <c r="BB125" s="4" t="s">
        <v>776</v>
      </c>
      <c r="BC125" s="4" t="s">
        <v>777</v>
      </c>
      <c r="BD125" s="4" t="s">
        <v>778</v>
      </c>
    </row>
    <row r="126" customFormat="false" ht="15" hidden="false" customHeight="false" outlineLevel="0" collapsed="false">
      <c r="A126" s="4" t="n">
        <v>121</v>
      </c>
      <c r="B126" s="53" t="s">
        <v>681</v>
      </c>
      <c r="C126" s="54" t="s">
        <v>681</v>
      </c>
      <c r="D126" s="14" t="s">
        <v>779</v>
      </c>
      <c r="E126" s="4" t="s">
        <v>397</v>
      </c>
      <c r="F126" s="37" t="n">
        <v>2.58</v>
      </c>
      <c r="G126" s="34" t="n">
        <v>907.2</v>
      </c>
      <c r="H126" s="30" t="n">
        <v>1</v>
      </c>
      <c r="I126" s="38" t="n">
        <f aca="false">F126/(G126*H126)*100</f>
        <v>0.284391534391534</v>
      </c>
      <c r="J126" s="4"/>
      <c r="K126" s="4"/>
      <c r="L126" s="4"/>
      <c r="M126" s="40" t="n">
        <f aca="false">IF(AND(IF(Planner!$C$39="BLS U.S. average (Sep 2026)",1,0)=1,L126&lt;&gt;""),L126,I126)</f>
        <v>0.284391534391534</v>
      </c>
      <c r="N126" s="13" t="n">
        <v>95</v>
      </c>
      <c r="O126" s="4" t="s">
        <v>780</v>
      </c>
      <c r="P126" s="8" t="n">
        <v>3</v>
      </c>
      <c r="Q126" s="41"/>
      <c r="R126" s="13"/>
      <c r="S126" s="42" t="n">
        <v>0</v>
      </c>
      <c r="T126" s="42" t="n">
        <v>0</v>
      </c>
      <c r="U126" s="42" t="n">
        <v>0</v>
      </c>
      <c r="V126" s="42" t="n">
        <v>0</v>
      </c>
      <c r="W126" s="42" t="n">
        <v>0</v>
      </c>
      <c r="X126" s="42" t="n">
        <v>0</v>
      </c>
      <c r="Y126" s="42" t="n">
        <v>0</v>
      </c>
      <c r="Z126" s="42" t="n">
        <v>0</v>
      </c>
      <c r="AA126" s="42" t="n">
        <v>0</v>
      </c>
      <c r="AB126" s="42" t="n">
        <v>0</v>
      </c>
      <c r="AC126" s="42" t="n">
        <v>0</v>
      </c>
      <c r="AD126" s="43" t="n">
        <f aca="false">SUMPRODUCT(S126:AC126,INDEX(Diets!$I$5:$S$14,MATCH(Planner!$C$36,Diets!$A$5:$A$14,0),0))</f>
        <v>0</v>
      </c>
      <c r="AE126" s="44" t="n">
        <f aca="false">IF(OR(UPPER(Q126)="Y",AD126&gt;0,AND(Planner!$C$40="Core 71 foods",AY126=0)),0,1)</f>
        <v>1</v>
      </c>
      <c r="AF126" s="45" t="n">
        <v>0</v>
      </c>
      <c r="AG126" s="45" t="n">
        <v>0.5</v>
      </c>
      <c r="AH126" s="45" t="n">
        <v>0.5</v>
      </c>
      <c r="AI126" s="45" t="n">
        <v>0</v>
      </c>
      <c r="AJ126" s="8" t="n">
        <v>136</v>
      </c>
      <c r="AK126" s="4"/>
      <c r="AL126" s="31" t="n">
        <v>72</v>
      </c>
      <c r="AM126" s="31" t="n">
        <v>3.33</v>
      </c>
      <c r="AN126" s="31" t="n">
        <v>13.47</v>
      </c>
      <c r="AO126" s="31" t="n">
        <v>0.52</v>
      </c>
      <c r="AP126" s="31" t="n">
        <v>4</v>
      </c>
      <c r="AQ126" s="31" t="n">
        <v>0</v>
      </c>
      <c r="AR126" s="31" t="n">
        <v>25</v>
      </c>
      <c r="AS126" s="31" t="n">
        <v>0.95</v>
      </c>
      <c r="AT126" s="31" t="n">
        <v>212</v>
      </c>
      <c r="AU126" s="31" t="n">
        <v>47</v>
      </c>
      <c r="AV126" s="31" t="n">
        <v>10.4</v>
      </c>
      <c r="AW126" s="31" t="n">
        <v>0.098</v>
      </c>
      <c r="AX126" s="4" t="s">
        <v>218</v>
      </c>
      <c r="AY126" s="43" t="n">
        <v>1</v>
      </c>
      <c r="AZ126" s="23" t="n">
        <f aca="false">AM126/M126</f>
        <v>11.7092093023256</v>
      </c>
      <c r="BA126" s="18" t="n">
        <f aca="false">AL126/M126</f>
        <v>253.172093023256</v>
      </c>
      <c r="BB126" s="4" t="s">
        <v>781</v>
      </c>
      <c r="BC126" s="4" t="s">
        <v>782</v>
      </c>
      <c r="BD126" s="4"/>
    </row>
    <row r="127" customFormat="false" ht="15" hidden="false" customHeight="false" outlineLevel="0" collapsed="false">
      <c r="A127" s="4" t="n">
        <v>122</v>
      </c>
      <c r="B127" s="53" t="s">
        <v>681</v>
      </c>
      <c r="C127" s="54" t="s">
        <v>681</v>
      </c>
      <c r="D127" s="14" t="s">
        <v>783</v>
      </c>
      <c r="E127" s="4" t="s">
        <v>543</v>
      </c>
      <c r="F127" s="37" t="n">
        <v>4.405</v>
      </c>
      <c r="G127" s="34" t="n">
        <v>453.6</v>
      </c>
      <c r="H127" s="30" t="n">
        <v>0.97</v>
      </c>
      <c r="I127" s="38" t="n">
        <f aca="false">F127/(G127*H127)*100</f>
        <v>1.00115456644666</v>
      </c>
      <c r="J127" s="4"/>
      <c r="K127" s="4"/>
      <c r="L127" s="4"/>
      <c r="M127" s="40" t="n">
        <f aca="false">IF(AND(IF(Planner!$C$39="BLS U.S. average (Sep 2026)",1,0)=1,L127&lt;&gt;""),L127,I127)</f>
        <v>1.00115456644666</v>
      </c>
      <c r="N127" s="13" t="n">
        <v>70</v>
      </c>
      <c r="O127" s="4" t="s">
        <v>604</v>
      </c>
      <c r="P127" s="8" t="n">
        <v>2</v>
      </c>
      <c r="Q127" s="41"/>
      <c r="R127" s="13"/>
      <c r="S127" s="42" t="n">
        <v>0</v>
      </c>
      <c r="T127" s="42" t="n">
        <v>0</v>
      </c>
      <c r="U127" s="42" t="n">
        <v>0</v>
      </c>
      <c r="V127" s="42" t="n">
        <v>0</v>
      </c>
      <c r="W127" s="42" t="n">
        <v>0</v>
      </c>
      <c r="X127" s="42" t="n">
        <v>0</v>
      </c>
      <c r="Y127" s="42" t="n">
        <v>0</v>
      </c>
      <c r="Z127" s="42" t="n">
        <v>0</v>
      </c>
      <c r="AA127" s="42" t="n">
        <v>0</v>
      </c>
      <c r="AB127" s="42" t="n">
        <v>0</v>
      </c>
      <c r="AC127" s="42" t="n">
        <v>0</v>
      </c>
      <c r="AD127" s="43" t="n">
        <f aca="false">SUMPRODUCT(S127:AC127,INDEX(Diets!$I$5:$S$14,MATCH(Planner!$C$36,Diets!$A$5:$A$14,0),0))</f>
        <v>0</v>
      </c>
      <c r="AE127" s="44" t="n">
        <f aca="false">IF(OR(UPPER(Q127)="Y",AD127&gt;0,AND(Planner!$C$40="Core 71 foods",AY127=0)),0,1)</f>
        <v>1</v>
      </c>
      <c r="AF127" s="45" t="n">
        <v>0</v>
      </c>
      <c r="AG127" s="45" t="n">
        <v>0.5</v>
      </c>
      <c r="AH127" s="45" t="n">
        <v>0.5</v>
      </c>
      <c r="AI127" s="45" t="n">
        <v>0</v>
      </c>
      <c r="AJ127" s="8" t="n">
        <v>70</v>
      </c>
      <c r="AK127" s="4"/>
      <c r="AL127" s="31" t="n">
        <v>22</v>
      </c>
      <c r="AM127" s="31" t="n">
        <v>3.09</v>
      </c>
      <c r="AN127" s="31" t="n">
        <v>3.26</v>
      </c>
      <c r="AO127" s="31" t="n">
        <v>0.34</v>
      </c>
      <c r="AP127" s="31" t="n">
        <v>1</v>
      </c>
      <c r="AQ127" s="31" t="n">
        <v>1.98</v>
      </c>
      <c r="AR127" s="31" t="n">
        <v>3</v>
      </c>
      <c r="AS127" s="31" t="n">
        <v>0.5</v>
      </c>
      <c r="AT127" s="31" t="n">
        <v>318</v>
      </c>
      <c r="AU127" s="31" t="n">
        <v>5</v>
      </c>
      <c r="AV127" s="31" t="n">
        <v>2.1</v>
      </c>
      <c r="AW127" s="31" t="n">
        <v>0.05</v>
      </c>
      <c r="AX127" s="4" t="s">
        <v>320</v>
      </c>
      <c r="AY127" s="43" t="n">
        <v>0</v>
      </c>
      <c r="AZ127" s="23" t="n">
        <f aca="false">AM127/M127</f>
        <v>3.08643650397276</v>
      </c>
      <c r="BA127" s="18" t="n">
        <f aca="false">AL127/M127</f>
        <v>21.974628830874</v>
      </c>
      <c r="BB127" s="4" t="s">
        <v>784</v>
      </c>
      <c r="BC127" s="4" t="s">
        <v>785</v>
      </c>
      <c r="BD127" s="4" t="s">
        <v>786</v>
      </c>
    </row>
    <row r="128" customFormat="false" ht="15" hidden="false" customHeight="false" outlineLevel="0" collapsed="false">
      <c r="A128" s="4" t="n">
        <v>123</v>
      </c>
      <c r="B128" s="53" t="s">
        <v>681</v>
      </c>
      <c r="C128" s="54" t="s">
        <v>681</v>
      </c>
      <c r="D128" s="14" t="s">
        <v>787</v>
      </c>
      <c r="E128" s="4" t="s">
        <v>489</v>
      </c>
      <c r="F128" s="37" t="n">
        <v>2.978</v>
      </c>
      <c r="G128" s="34" t="n">
        <v>453.6</v>
      </c>
      <c r="H128" s="30" t="n">
        <v>1</v>
      </c>
      <c r="I128" s="38" t="n">
        <f aca="false">F128/(G128*H128)*100</f>
        <v>0.65652557319224</v>
      </c>
      <c r="J128" s="4"/>
      <c r="K128" s="4"/>
      <c r="L128" s="4"/>
      <c r="M128" s="40" t="n">
        <f aca="false">IF(AND(IF(Planner!$C$39="BLS U.S. average (Sep 2026)",1,0)=1,L128&lt;&gt;""),L128,I128)</f>
        <v>0.65652557319224</v>
      </c>
      <c r="N128" s="13" t="n">
        <v>146</v>
      </c>
      <c r="O128" s="4" t="s">
        <v>713</v>
      </c>
      <c r="P128" s="8" t="n">
        <v>2</v>
      </c>
      <c r="Q128" s="41"/>
      <c r="R128" s="13"/>
      <c r="S128" s="42" t="n">
        <v>0</v>
      </c>
      <c r="T128" s="42" t="n">
        <v>0</v>
      </c>
      <c r="U128" s="42" t="n">
        <v>0</v>
      </c>
      <c r="V128" s="42" t="n">
        <v>0</v>
      </c>
      <c r="W128" s="42" t="n">
        <v>0</v>
      </c>
      <c r="X128" s="42" t="n">
        <v>0</v>
      </c>
      <c r="Y128" s="42" t="n">
        <v>0</v>
      </c>
      <c r="Z128" s="42" t="n">
        <v>0</v>
      </c>
      <c r="AA128" s="42" t="n">
        <v>0</v>
      </c>
      <c r="AB128" s="42" t="n">
        <v>0</v>
      </c>
      <c r="AC128" s="42" t="n">
        <v>0</v>
      </c>
      <c r="AD128" s="43" t="n">
        <f aca="false">SUMPRODUCT(S128:AC128,INDEX(Diets!$I$5:$S$14,MATCH(Planner!$C$36,Diets!$A$5:$A$14,0),0))</f>
        <v>0</v>
      </c>
      <c r="AE128" s="44" t="n">
        <f aca="false">IF(OR(UPPER(Q128)="Y",AD128&gt;0,AND(Planner!$C$40="Core 71 foods",AY128=0)),0,1)</f>
        <v>1</v>
      </c>
      <c r="AF128" s="45" t="n">
        <v>0</v>
      </c>
      <c r="AG128" s="45" t="n">
        <v>0.5</v>
      </c>
      <c r="AH128" s="45" t="n">
        <v>0.5</v>
      </c>
      <c r="AI128" s="45" t="n">
        <v>0</v>
      </c>
      <c r="AJ128" s="8" t="n">
        <v>146</v>
      </c>
      <c r="AK128" s="4"/>
      <c r="AL128" s="31" t="n">
        <v>20</v>
      </c>
      <c r="AM128" s="31" t="n">
        <v>2.49</v>
      </c>
      <c r="AN128" s="31" t="n">
        <v>3.41</v>
      </c>
      <c r="AO128" s="31" t="n">
        <v>0.27</v>
      </c>
      <c r="AP128" s="31" t="n">
        <v>3.3</v>
      </c>
      <c r="AQ128" s="31" t="n">
        <v>0</v>
      </c>
      <c r="AR128" s="31" t="n">
        <v>116</v>
      </c>
      <c r="AS128" s="31" t="n">
        <v>1.29</v>
      </c>
      <c r="AT128" s="31" t="n">
        <v>170</v>
      </c>
      <c r="AU128" s="31" t="n">
        <v>29</v>
      </c>
      <c r="AV128" s="31" t="n">
        <v>25.3</v>
      </c>
      <c r="AW128" s="31" t="n">
        <v>0.014</v>
      </c>
      <c r="AX128" s="4" t="s">
        <v>320</v>
      </c>
      <c r="AY128" s="43" t="n">
        <v>0</v>
      </c>
      <c r="AZ128" s="23" t="n">
        <f aca="false">AM128/M128</f>
        <v>3.79269308260578</v>
      </c>
      <c r="BA128" s="18" t="n">
        <f aca="false">AL128/M128</f>
        <v>30.4633982538617</v>
      </c>
      <c r="BB128" s="4" t="s">
        <v>788</v>
      </c>
      <c r="BC128" s="4" t="s">
        <v>789</v>
      </c>
      <c r="BD128" s="4" t="s">
        <v>790</v>
      </c>
    </row>
    <row r="129" customFormat="false" ht="15" hidden="false" customHeight="false" outlineLevel="0" collapsed="false">
      <c r="A129" s="4" t="n">
        <v>124</v>
      </c>
      <c r="B129" s="53" t="s">
        <v>681</v>
      </c>
      <c r="C129" s="54" t="s">
        <v>681</v>
      </c>
      <c r="D129" s="14" t="s">
        <v>791</v>
      </c>
      <c r="E129" s="4" t="s">
        <v>489</v>
      </c>
      <c r="F129" s="37" t="n">
        <v>2.706</v>
      </c>
      <c r="G129" s="34" t="n">
        <v>453.6</v>
      </c>
      <c r="H129" s="30" t="n">
        <v>1</v>
      </c>
      <c r="I129" s="38" t="n">
        <f aca="false">F129/(G129*H129)*100</f>
        <v>0.596560846560847</v>
      </c>
      <c r="J129" s="4"/>
      <c r="K129" s="4"/>
      <c r="L129" s="4"/>
      <c r="M129" s="40" t="n">
        <f aca="false">IF(AND(IF(Planner!$C$39="BLS U.S. average (Sep 2026)",1,0)=1,L129&lt;&gt;""),L129,I129)</f>
        <v>0.596560846560847</v>
      </c>
      <c r="N129" s="13" t="n">
        <v>189</v>
      </c>
      <c r="O129" s="4" t="s">
        <v>704</v>
      </c>
      <c r="P129" s="8" t="n">
        <v>2</v>
      </c>
      <c r="Q129" s="41"/>
      <c r="R129" s="13"/>
      <c r="S129" s="42" t="n">
        <v>0</v>
      </c>
      <c r="T129" s="42" t="n">
        <v>0</v>
      </c>
      <c r="U129" s="42" t="n">
        <v>0</v>
      </c>
      <c r="V129" s="42" t="n">
        <v>0</v>
      </c>
      <c r="W129" s="42" t="n">
        <v>0</v>
      </c>
      <c r="X129" s="42" t="n">
        <v>0</v>
      </c>
      <c r="Y129" s="42" t="n">
        <v>0</v>
      </c>
      <c r="Z129" s="42" t="n">
        <v>0</v>
      </c>
      <c r="AA129" s="42" t="n">
        <v>0</v>
      </c>
      <c r="AB129" s="42" t="n">
        <v>0</v>
      </c>
      <c r="AC129" s="42" t="n">
        <v>0</v>
      </c>
      <c r="AD129" s="43" t="n">
        <f aca="false">SUMPRODUCT(S129:AC129,INDEX(Diets!$I$5:$S$14,MATCH(Planner!$C$36,Diets!$A$5:$A$14,0),0))</f>
        <v>0</v>
      </c>
      <c r="AE129" s="44" t="n">
        <f aca="false">IF(OR(UPPER(Q129)="Y",AD129&gt;0,AND(Planner!$C$40="Core 71 foods",AY129=0)),0,1)</f>
        <v>1</v>
      </c>
      <c r="AF129" s="45" t="n">
        <v>0</v>
      </c>
      <c r="AG129" s="45" t="n">
        <v>0.5</v>
      </c>
      <c r="AH129" s="45" t="n">
        <v>0.5</v>
      </c>
      <c r="AI129" s="45" t="n">
        <v>0</v>
      </c>
      <c r="AJ129" s="8" t="n">
        <v>189</v>
      </c>
      <c r="AK129" s="4"/>
      <c r="AL129" s="31" t="n">
        <v>30</v>
      </c>
      <c r="AM129" s="31" t="n">
        <v>1.69</v>
      </c>
      <c r="AN129" s="31" t="n">
        <v>6.63</v>
      </c>
      <c r="AO129" s="31" t="n">
        <v>0.25</v>
      </c>
      <c r="AP129" s="31" t="n">
        <v>2.2</v>
      </c>
      <c r="AQ129" s="31" t="n">
        <v>2.97</v>
      </c>
      <c r="AR129" s="31" t="n">
        <v>81</v>
      </c>
      <c r="AS129" s="31" t="n">
        <v>0.57</v>
      </c>
      <c r="AT129" s="31" t="n">
        <v>211</v>
      </c>
      <c r="AU129" s="31" t="n">
        <v>3</v>
      </c>
      <c r="AV129" s="31" t="n">
        <v>12.4</v>
      </c>
      <c r="AW129" s="31" t="n">
        <v>0.065</v>
      </c>
      <c r="AX129" s="4" t="s">
        <v>320</v>
      </c>
      <c r="AY129" s="43" t="n">
        <v>0</v>
      </c>
      <c r="AZ129" s="23" t="n">
        <f aca="false">AM129/M129</f>
        <v>2.83290465631929</v>
      </c>
      <c r="BA129" s="18" t="n">
        <f aca="false">AL129/M129</f>
        <v>50.2882483370288</v>
      </c>
      <c r="BB129" s="4" t="s">
        <v>792</v>
      </c>
      <c r="BC129" s="4" t="s">
        <v>793</v>
      </c>
      <c r="BD129" s="4" t="s">
        <v>794</v>
      </c>
    </row>
    <row r="130" customFormat="false" ht="15" hidden="false" customHeight="false" outlineLevel="0" collapsed="false">
      <c r="A130" s="4" t="n">
        <v>125</v>
      </c>
      <c r="B130" s="53" t="s">
        <v>681</v>
      </c>
      <c r="C130" s="54" t="s">
        <v>681</v>
      </c>
      <c r="D130" s="14" t="s">
        <v>795</v>
      </c>
      <c r="E130" s="4" t="s">
        <v>796</v>
      </c>
      <c r="F130" s="46" t="n">
        <v>2.96</v>
      </c>
      <c r="G130" s="34" t="n">
        <v>1360.8</v>
      </c>
      <c r="H130" s="30" t="n">
        <v>0.9</v>
      </c>
      <c r="I130" s="38" t="n">
        <f aca="false">F130/(G130*H130)*100</f>
        <v>0.241687896008884</v>
      </c>
      <c r="J130" s="4"/>
      <c r="K130" s="4"/>
      <c r="L130" s="4"/>
      <c r="M130" s="40" t="n">
        <f aca="false">IF(AND(IF(Planner!$C$39="BLS U.S. average (Sep 2026)",1,0)=1,L130&lt;&gt;""),L130,I130)</f>
        <v>0.241687896008884</v>
      </c>
      <c r="N130" s="13" t="n">
        <v>80</v>
      </c>
      <c r="O130" s="4" t="s">
        <v>797</v>
      </c>
      <c r="P130" s="8" t="n">
        <v>2</v>
      </c>
      <c r="Q130" s="41"/>
      <c r="R130" s="13"/>
      <c r="S130" s="42" t="n">
        <v>0</v>
      </c>
      <c r="T130" s="42" t="n">
        <v>0</v>
      </c>
      <c r="U130" s="42" t="n">
        <v>0</v>
      </c>
      <c r="V130" s="42" t="n">
        <v>0</v>
      </c>
      <c r="W130" s="42" t="n">
        <v>0</v>
      </c>
      <c r="X130" s="42" t="n">
        <v>0</v>
      </c>
      <c r="Y130" s="42" t="n">
        <v>0</v>
      </c>
      <c r="Z130" s="42" t="n">
        <v>0</v>
      </c>
      <c r="AA130" s="42" t="n">
        <v>0</v>
      </c>
      <c r="AB130" s="42" t="n">
        <v>0</v>
      </c>
      <c r="AC130" s="42" t="n">
        <v>0</v>
      </c>
      <c r="AD130" s="43" t="n">
        <f aca="false">SUMPRODUCT(S130:AC130,INDEX(Diets!$I$5:$S$14,MATCH(Planner!$C$36,Diets!$A$5:$A$14,0),0))</f>
        <v>0</v>
      </c>
      <c r="AE130" s="44" t="n">
        <f aca="false">IF(OR(UPPER(Q130)="Y",AD130&gt;0,AND(Planner!$C$40="Core 71 foods",AY130=0)),0,1)</f>
        <v>1</v>
      </c>
      <c r="AF130" s="45" t="n">
        <v>0</v>
      </c>
      <c r="AG130" s="45" t="n">
        <v>0.5</v>
      </c>
      <c r="AH130" s="45" t="n">
        <v>0.5</v>
      </c>
      <c r="AI130" s="45" t="n">
        <v>0</v>
      </c>
      <c r="AJ130" s="8" t="n">
        <v>160</v>
      </c>
      <c r="AK130" s="4"/>
      <c r="AL130" s="31" t="n">
        <v>40</v>
      </c>
      <c r="AM130" s="31" t="n">
        <v>1.1</v>
      </c>
      <c r="AN130" s="31" t="n">
        <v>9.34</v>
      </c>
      <c r="AO130" s="31" t="n">
        <v>0.1</v>
      </c>
      <c r="AP130" s="31" t="n">
        <v>1.7</v>
      </c>
      <c r="AQ130" s="31" t="n">
        <v>4.24</v>
      </c>
      <c r="AR130" s="31" t="n">
        <v>23</v>
      </c>
      <c r="AS130" s="31" t="n">
        <v>0.21</v>
      </c>
      <c r="AT130" s="31" t="n">
        <v>146</v>
      </c>
      <c r="AU130" s="31" t="n">
        <v>4</v>
      </c>
      <c r="AV130" s="31" t="n">
        <v>7.4</v>
      </c>
      <c r="AW130" s="31" t="n">
        <v>0.042</v>
      </c>
      <c r="AX130" s="4" t="s">
        <v>218</v>
      </c>
      <c r="AY130" s="43" t="n">
        <v>1</v>
      </c>
      <c r="AZ130" s="23" t="n">
        <f aca="false">AM130/M130</f>
        <v>4.55132432432433</v>
      </c>
      <c r="BA130" s="18" t="n">
        <f aca="false">AL130/M130</f>
        <v>165.502702702703</v>
      </c>
      <c r="BB130" s="4" t="s">
        <v>798</v>
      </c>
      <c r="BC130" s="4" t="s">
        <v>799</v>
      </c>
      <c r="BD130" s="4" t="s">
        <v>429</v>
      </c>
    </row>
    <row r="131" customFormat="false" ht="15" hidden="false" customHeight="false" outlineLevel="0" collapsed="false">
      <c r="A131" s="4" t="n">
        <v>126</v>
      </c>
      <c r="B131" s="53" t="s">
        <v>681</v>
      </c>
      <c r="C131" s="54" t="s">
        <v>681</v>
      </c>
      <c r="D131" s="14" t="s">
        <v>800</v>
      </c>
      <c r="E131" s="4" t="s">
        <v>325</v>
      </c>
      <c r="F131" s="37" t="n">
        <v>2.296</v>
      </c>
      <c r="G131" s="34" t="n">
        <v>453.6</v>
      </c>
      <c r="H131" s="30" t="n">
        <v>1</v>
      </c>
      <c r="I131" s="38" t="n">
        <f aca="false">F131/(G131*H131)*100</f>
        <v>0.506172839506173</v>
      </c>
      <c r="J131" s="4"/>
      <c r="K131" s="4"/>
      <c r="L131" s="4"/>
      <c r="M131" s="40" t="n">
        <f aca="false">IF(AND(IF(Planner!$C$39="BLS U.S. average (Sep 2026)",1,0)=1,L131&lt;&gt;""),L131,I131)</f>
        <v>0.506172839506173</v>
      </c>
      <c r="N131" s="13" t="n">
        <v>245</v>
      </c>
      <c r="O131" s="4" t="s">
        <v>392</v>
      </c>
      <c r="P131" s="8" t="n">
        <v>1</v>
      </c>
      <c r="Q131" s="41"/>
      <c r="R131" s="13"/>
      <c r="S131" s="42" t="n">
        <v>0</v>
      </c>
      <c r="T131" s="42" t="n">
        <v>0</v>
      </c>
      <c r="U131" s="42" t="n">
        <v>0</v>
      </c>
      <c r="V131" s="42" t="n">
        <v>0</v>
      </c>
      <c r="W131" s="42" t="n">
        <v>0</v>
      </c>
      <c r="X131" s="42" t="n">
        <v>0</v>
      </c>
      <c r="Y131" s="42" t="n">
        <v>0</v>
      </c>
      <c r="Z131" s="42" t="n">
        <v>0</v>
      </c>
      <c r="AA131" s="42" t="n">
        <v>0</v>
      </c>
      <c r="AB131" s="42" t="n">
        <v>0</v>
      </c>
      <c r="AC131" s="42" t="n">
        <v>0</v>
      </c>
      <c r="AD131" s="43" t="n">
        <f aca="false">SUMPRODUCT(S131:AC131,INDEX(Diets!$I$5:$S$14,MATCH(Planner!$C$36,Diets!$A$5:$A$14,0),0))</f>
        <v>0</v>
      </c>
      <c r="AE131" s="44" t="n">
        <f aca="false">IF(OR(UPPER(Q131)="Y",AD131&gt;0,AND(Planner!$C$40="Core 71 foods",AY131=0)),0,1)</f>
        <v>1</v>
      </c>
      <c r="AF131" s="45" t="n">
        <v>0</v>
      </c>
      <c r="AG131" s="45" t="n">
        <v>0.5</v>
      </c>
      <c r="AH131" s="45" t="n">
        <v>0.5</v>
      </c>
      <c r="AI131" s="45" t="n">
        <v>0</v>
      </c>
      <c r="AJ131" s="8" t="n">
        <v>245</v>
      </c>
      <c r="AK131" s="4"/>
      <c r="AL131" s="31" t="n">
        <v>34</v>
      </c>
      <c r="AM131" s="31" t="n">
        <v>1.1</v>
      </c>
      <c r="AN131" s="31" t="n">
        <v>8.09</v>
      </c>
      <c r="AO131" s="31" t="n">
        <v>0.28</v>
      </c>
      <c r="AP131" s="31" t="n">
        <v>2.9</v>
      </c>
      <c r="AQ131" s="31" t="n">
        <v>3.3</v>
      </c>
      <c r="AR131" s="31" t="n">
        <v>26</v>
      </c>
      <c r="AS131" s="31" t="n">
        <v>1.39</v>
      </c>
      <c r="AT131" s="31" t="n">
        <v>206</v>
      </c>
      <c r="AU131" s="31" t="n">
        <v>5</v>
      </c>
      <c r="AV131" s="31" t="n">
        <v>4.2</v>
      </c>
      <c r="AW131" s="31" t="n">
        <v>0.146</v>
      </c>
      <c r="AX131" s="4" t="s">
        <v>320</v>
      </c>
      <c r="AY131" s="43" t="n">
        <v>0</v>
      </c>
      <c r="AZ131" s="23" t="n">
        <f aca="false">AM131/M131</f>
        <v>2.17317073170732</v>
      </c>
      <c r="BA131" s="18" t="n">
        <f aca="false">AL131/M131</f>
        <v>67.1707317073171</v>
      </c>
      <c r="BB131" s="4" t="s">
        <v>801</v>
      </c>
      <c r="BC131" s="4" t="s">
        <v>802</v>
      </c>
      <c r="BD131" s="4" t="s">
        <v>803</v>
      </c>
    </row>
    <row r="132" customFormat="false" ht="15" hidden="false" customHeight="false" outlineLevel="0" collapsed="false">
      <c r="A132" s="4" t="n">
        <v>127</v>
      </c>
      <c r="B132" s="53" t="s">
        <v>681</v>
      </c>
      <c r="C132" s="54" t="s">
        <v>681</v>
      </c>
      <c r="D132" s="14" t="s">
        <v>804</v>
      </c>
      <c r="E132" s="4" t="s">
        <v>543</v>
      </c>
      <c r="F132" s="37" t="n">
        <v>1.963</v>
      </c>
      <c r="G132" s="34" t="n">
        <v>453.6</v>
      </c>
      <c r="H132" s="30" t="n">
        <v>0.9</v>
      </c>
      <c r="I132" s="38" t="n">
        <f aca="false">F132/(G132*H132)*100</f>
        <v>0.480844601214972</v>
      </c>
      <c r="J132" s="4"/>
      <c r="K132" s="4"/>
      <c r="L132" s="4"/>
      <c r="M132" s="40" t="n">
        <f aca="false">IF(AND(IF(Planner!$C$39="BLS U.S. average (Sep 2026)",1,0)=1,L132&lt;&gt;""),L132,I132)</f>
        <v>0.480844601214972</v>
      </c>
      <c r="N132" s="13" t="n">
        <v>116</v>
      </c>
      <c r="O132" s="4" t="s">
        <v>609</v>
      </c>
      <c r="P132" s="8" t="n">
        <v>1</v>
      </c>
      <c r="Q132" s="41"/>
      <c r="R132" s="13"/>
      <c r="S132" s="42" t="n">
        <v>0</v>
      </c>
      <c r="T132" s="42" t="n">
        <v>0</v>
      </c>
      <c r="U132" s="42" t="n">
        <v>0</v>
      </c>
      <c r="V132" s="42" t="n">
        <v>0</v>
      </c>
      <c r="W132" s="42" t="n">
        <v>0</v>
      </c>
      <c r="X132" s="42" t="n">
        <v>0</v>
      </c>
      <c r="Y132" s="42" t="n">
        <v>0</v>
      </c>
      <c r="Z132" s="42" t="n">
        <v>0</v>
      </c>
      <c r="AA132" s="42" t="n">
        <v>0</v>
      </c>
      <c r="AB132" s="42" t="n">
        <v>0</v>
      </c>
      <c r="AC132" s="42" t="n">
        <v>0</v>
      </c>
      <c r="AD132" s="43" t="n">
        <f aca="false">SUMPRODUCT(S132:AC132,INDEX(Diets!$I$5:$S$14,MATCH(Planner!$C$36,Diets!$A$5:$A$14,0),0))</f>
        <v>0</v>
      </c>
      <c r="AE132" s="44" t="n">
        <f aca="false">IF(OR(UPPER(Q132)="Y",AD132&gt;0,AND(Planner!$C$40="Core 71 foods",AY132=0)),0,1)</f>
        <v>1</v>
      </c>
      <c r="AF132" s="45" t="n">
        <v>0</v>
      </c>
      <c r="AG132" s="45" t="n">
        <v>0.5</v>
      </c>
      <c r="AH132" s="45" t="n">
        <v>0.5</v>
      </c>
      <c r="AI132" s="45" t="n">
        <v>0</v>
      </c>
      <c r="AJ132" s="8" t="n">
        <v>116</v>
      </c>
      <c r="AK132" s="4"/>
      <c r="AL132" s="31" t="n">
        <v>16</v>
      </c>
      <c r="AM132" s="31" t="n">
        <v>0.68</v>
      </c>
      <c r="AN132" s="31" t="n">
        <v>3.4</v>
      </c>
      <c r="AO132" s="31" t="n">
        <v>0.1</v>
      </c>
      <c r="AP132" s="31" t="n">
        <v>1.6</v>
      </c>
      <c r="AQ132" s="31" t="n">
        <v>1.86</v>
      </c>
      <c r="AR132" s="31" t="n">
        <v>25</v>
      </c>
      <c r="AS132" s="31" t="n">
        <v>0.34</v>
      </c>
      <c r="AT132" s="31" t="n">
        <v>233</v>
      </c>
      <c r="AU132" s="31" t="n">
        <v>39</v>
      </c>
      <c r="AV132" s="31" t="n">
        <v>14.8</v>
      </c>
      <c r="AW132" s="31" t="n">
        <v>0.032</v>
      </c>
      <c r="AX132" s="4" t="s">
        <v>320</v>
      </c>
      <c r="AY132" s="43" t="n">
        <v>0</v>
      </c>
      <c r="AZ132" s="23" t="n">
        <f aca="false">AM132/M132</f>
        <v>1.41417829852267</v>
      </c>
      <c r="BA132" s="18" t="n">
        <f aca="false">AL132/M132</f>
        <v>33.274783494651</v>
      </c>
      <c r="BB132" s="4" t="s">
        <v>805</v>
      </c>
      <c r="BC132" s="4" t="s">
        <v>806</v>
      </c>
      <c r="BD132" s="4" t="s">
        <v>807</v>
      </c>
    </row>
    <row r="133" customFormat="false" ht="15" hidden="false" customHeight="false" outlineLevel="0" collapsed="false">
      <c r="A133" s="4" t="n">
        <v>128</v>
      </c>
      <c r="B133" s="53" t="s">
        <v>681</v>
      </c>
      <c r="C133" s="54" t="s">
        <v>681</v>
      </c>
      <c r="D133" s="14" t="s">
        <v>808</v>
      </c>
      <c r="E133" s="4" t="s">
        <v>543</v>
      </c>
      <c r="F133" s="37" t="n">
        <v>1.808</v>
      </c>
      <c r="G133" s="34" t="n">
        <v>453.6</v>
      </c>
      <c r="H133" s="30" t="n">
        <v>0.82</v>
      </c>
      <c r="I133" s="38" t="n">
        <f aca="false">F133/(G133*H133)*100</f>
        <v>0.486084225921624</v>
      </c>
      <c r="J133" s="4"/>
      <c r="K133" s="4"/>
      <c r="L133" s="4"/>
      <c r="M133" s="40" t="n">
        <f aca="false">IF(AND(IF(Planner!$C$39="BLS U.S. average (Sep 2026)",1,0)=1,L133&lt;&gt;""),L133,I133)</f>
        <v>0.486084225921624</v>
      </c>
      <c r="N133" s="13" t="n">
        <v>149</v>
      </c>
      <c r="O133" s="4" t="s">
        <v>713</v>
      </c>
      <c r="P133" s="8" t="n">
        <v>1</v>
      </c>
      <c r="Q133" s="41"/>
      <c r="R133" s="13"/>
      <c r="S133" s="42" t="n">
        <v>0</v>
      </c>
      <c r="T133" s="42" t="n">
        <v>0</v>
      </c>
      <c r="U133" s="42" t="n">
        <v>0</v>
      </c>
      <c r="V133" s="42" t="n">
        <v>0</v>
      </c>
      <c r="W133" s="42" t="n">
        <v>0</v>
      </c>
      <c r="X133" s="42" t="n">
        <v>0</v>
      </c>
      <c r="Y133" s="42" t="n">
        <v>0</v>
      </c>
      <c r="Z133" s="42" t="n">
        <v>0</v>
      </c>
      <c r="AA133" s="42" t="n">
        <v>0</v>
      </c>
      <c r="AB133" s="42" t="n">
        <v>0</v>
      </c>
      <c r="AC133" s="42" t="n">
        <v>0</v>
      </c>
      <c r="AD133" s="43" t="n">
        <f aca="false">SUMPRODUCT(S133:AC133,INDEX(Diets!$I$5:$S$14,MATCH(Planner!$C$36,Diets!$A$5:$A$14,0),0))</f>
        <v>0</v>
      </c>
      <c r="AE133" s="44" t="n">
        <f aca="false">IF(OR(UPPER(Q133)="Y",AD133&gt;0,AND(Planner!$C$40="Core 71 foods",AY133=0)),0,1)</f>
        <v>1</v>
      </c>
      <c r="AF133" s="45" t="n">
        <v>0</v>
      </c>
      <c r="AG133" s="45" t="n">
        <v>0.5</v>
      </c>
      <c r="AH133" s="45" t="n">
        <v>0.5</v>
      </c>
      <c r="AI133" s="45" t="n">
        <v>0</v>
      </c>
      <c r="AJ133" s="8" t="n">
        <v>149</v>
      </c>
      <c r="AK133" s="4"/>
      <c r="AL133" s="31" t="n">
        <v>31</v>
      </c>
      <c r="AM133" s="31" t="n">
        <v>0.99</v>
      </c>
      <c r="AN133" s="31" t="n">
        <v>6.03</v>
      </c>
      <c r="AO133" s="31" t="n">
        <v>0.3</v>
      </c>
      <c r="AP133" s="31" t="n">
        <v>2.1</v>
      </c>
      <c r="AQ133" s="31" t="n">
        <v>4.2</v>
      </c>
      <c r="AR133" s="31" t="n">
        <v>7</v>
      </c>
      <c r="AS133" s="31" t="n">
        <v>0.43</v>
      </c>
      <c r="AT133" s="31" t="n">
        <v>211</v>
      </c>
      <c r="AU133" s="31" t="n">
        <v>4</v>
      </c>
      <c r="AV133" s="31" t="n">
        <v>127.7</v>
      </c>
      <c r="AW133" s="31" t="n">
        <v>0.027</v>
      </c>
      <c r="AX133" s="4" t="s">
        <v>320</v>
      </c>
      <c r="AY133" s="43" t="n">
        <v>0</v>
      </c>
      <c r="AZ133" s="23" t="n">
        <f aca="false">AM133/M133</f>
        <v>2.03668407079646</v>
      </c>
      <c r="BA133" s="18" t="n">
        <f aca="false">AL133/M133</f>
        <v>63.7749557522124</v>
      </c>
      <c r="BB133" s="4" t="s">
        <v>809</v>
      </c>
      <c r="BC133" s="4" t="s">
        <v>810</v>
      </c>
      <c r="BD133" s="4" t="s">
        <v>811</v>
      </c>
    </row>
    <row r="134" customFormat="false" ht="15" hidden="false" customHeight="false" outlineLevel="0" collapsed="false">
      <c r="A134" s="4" t="n">
        <v>129</v>
      </c>
      <c r="B134" s="53" t="s">
        <v>681</v>
      </c>
      <c r="C134" s="54" t="s">
        <v>681</v>
      </c>
      <c r="D134" s="14" t="s">
        <v>812</v>
      </c>
      <c r="E134" s="4" t="s">
        <v>813</v>
      </c>
      <c r="F134" s="37" t="n">
        <v>3.312</v>
      </c>
      <c r="G134" s="34" t="n">
        <v>453.6</v>
      </c>
      <c r="H134" s="30" t="n">
        <v>0.94</v>
      </c>
      <c r="I134" s="38" t="n">
        <f aca="false">F134/(G134*H134)*100</f>
        <v>0.776764606551841</v>
      </c>
      <c r="J134" s="39" t="n">
        <v>3.312</v>
      </c>
      <c r="K134" s="34" t="n">
        <v>453.6</v>
      </c>
      <c r="L134" s="38" t="n">
        <f aca="false">J134/(K134*H134)*100</f>
        <v>0.776764606551841</v>
      </c>
      <c r="M134" s="40" t="n">
        <f aca="false">IF(AND(IF(Planner!$C$39="BLS U.S. average (Sep 2026)",1,0)=1,L134&lt;&gt;""),L134,I134)</f>
        <v>0.776764606551841</v>
      </c>
      <c r="N134" s="13" t="n">
        <v>94</v>
      </c>
      <c r="O134" s="4" t="s">
        <v>771</v>
      </c>
      <c r="P134" s="8" t="n">
        <v>2</v>
      </c>
      <c r="Q134" s="41"/>
      <c r="R134" s="13"/>
      <c r="S134" s="42" t="n">
        <v>0</v>
      </c>
      <c r="T134" s="42" t="n">
        <v>0</v>
      </c>
      <c r="U134" s="42" t="n">
        <v>0</v>
      </c>
      <c r="V134" s="42" t="n">
        <v>0</v>
      </c>
      <c r="W134" s="42" t="n">
        <v>0</v>
      </c>
      <c r="X134" s="42" t="n">
        <v>0</v>
      </c>
      <c r="Y134" s="42" t="n">
        <v>0</v>
      </c>
      <c r="Z134" s="42" t="n">
        <v>0</v>
      </c>
      <c r="AA134" s="42" t="n">
        <v>0</v>
      </c>
      <c r="AB134" s="42" t="n">
        <v>0</v>
      </c>
      <c r="AC134" s="42" t="n">
        <v>0</v>
      </c>
      <c r="AD134" s="43" t="n">
        <f aca="false">SUMPRODUCT(S134:AC134,INDEX(Diets!$I$5:$S$14,MATCH(Planner!$C$36,Diets!$A$5:$A$14,0),0))</f>
        <v>0</v>
      </c>
      <c r="AE134" s="44" t="n">
        <f aca="false">IF(OR(UPPER(Q134)="Y",AD134&gt;0,AND(Planner!$C$40="Core 71 foods",AY134=0)),0,1)</f>
        <v>1</v>
      </c>
      <c r="AF134" s="45" t="n">
        <v>0</v>
      </c>
      <c r="AG134" s="45" t="n">
        <v>0.5</v>
      </c>
      <c r="AH134" s="45" t="n">
        <v>0.5</v>
      </c>
      <c r="AI134" s="45" t="n">
        <v>0</v>
      </c>
      <c r="AJ134" s="8" t="n">
        <v>94</v>
      </c>
      <c r="AK134" s="4"/>
      <c r="AL134" s="31" t="n">
        <v>17</v>
      </c>
      <c r="AM134" s="31" t="n">
        <v>1.23</v>
      </c>
      <c r="AN134" s="31" t="n">
        <v>3.29</v>
      </c>
      <c r="AO134" s="31" t="n">
        <v>0.3</v>
      </c>
      <c r="AP134" s="31" t="n">
        <v>2.1</v>
      </c>
      <c r="AQ134" s="31" t="n">
        <v>1.19</v>
      </c>
      <c r="AR134" s="31" t="n">
        <v>33</v>
      </c>
      <c r="AS134" s="31" t="n">
        <v>0.97</v>
      </c>
      <c r="AT134" s="31" t="n">
        <v>247</v>
      </c>
      <c r="AU134" s="31" t="n">
        <v>8</v>
      </c>
      <c r="AV134" s="31" t="n">
        <v>4</v>
      </c>
      <c r="AW134" s="31" t="n">
        <v>0.039</v>
      </c>
      <c r="AX134" s="4" t="s">
        <v>243</v>
      </c>
      <c r="AY134" s="43" t="n">
        <v>1</v>
      </c>
      <c r="AZ134" s="23" t="n">
        <f aca="false">AM134/M134</f>
        <v>1.58349130434783</v>
      </c>
      <c r="BA134" s="18" t="n">
        <f aca="false">AL134/M134</f>
        <v>21.885652173913</v>
      </c>
      <c r="BB134" s="4" t="s">
        <v>814</v>
      </c>
      <c r="BC134" s="4" t="s">
        <v>815</v>
      </c>
      <c r="BD134" s="4" t="s">
        <v>816</v>
      </c>
    </row>
    <row r="135" customFormat="false" ht="15" hidden="false" customHeight="false" outlineLevel="0" collapsed="false">
      <c r="A135" s="4" t="n">
        <v>130</v>
      </c>
      <c r="B135" s="53" t="s">
        <v>681</v>
      </c>
      <c r="C135" s="54" t="s">
        <v>681</v>
      </c>
      <c r="D135" s="14" t="s">
        <v>817</v>
      </c>
      <c r="E135" s="4" t="s">
        <v>325</v>
      </c>
      <c r="F135" s="37" t="n">
        <v>1.799</v>
      </c>
      <c r="G135" s="34" t="n">
        <v>453.6</v>
      </c>
      <c r="H135" s="30" t="n">
        <v>1</v>
      </c>
      <c r="I135" s="38" t="n">
        <f aca="false">F135/(G135*H135)*100</f>
        <v>0.396604938271605</v>
      </c>
      <c r="J135" s="4"/>
      <c r="K135" s="4"/>
      <c r="L135" s="4"/>
      <c r="M135" s="40" t="n">
        <f aca="false">IF(AND(IF(Planner!$C$39="BLS U.S. average (Sep 2026)",1,0)=1,L135&lt;&gt;""),L135,I135)</f>
        <v>0.396604938271605</v>
      </c>
      <c r="N135" s="13" t="n">
        <v>236</v>
      </c>
      <c r="O135" s="4" t="s">
        <v>818</v>
      </c>
      <c r="P135" s="8" t="n">
        <v>1</v>
      </c>
      <c r="Q135" s="41"/>
      <c r="R135" s="13"/>
      <c r="S135" s="42" t="n">
        <v>0</v>
      </c>
      <c r="T135" s="42" t="n">
        <v>0</v>
      </c>
      <c r="U135" s="42" t="n">
        <v>0</v>
      </c>
      <c r="V135" s="42" t="n">
        <v>0</v>
      </c>
      <c r="W135" s="42" t="n">
        <v>0</v>
      </c>
      <c r="X135" s="42" t="n">
        <v>0</v>
      </c>
      <c r="Y135" s="42" t="n">
        <v>0</v>
      </c>
      <c r="Z135" s="42" t="n">
        <v>0</v>
      </c>
      <c r="AA135" s="42" t="n">
        <v>0</v>
      </c>
      <c r="AB135" s="42" t="n">
        <v>0</v>
      </c>
      <c r="AC135" s="42" t="n">
        <v>0</v>
      </c>
      <c r="AD135" s="43" t="n">
        <f aca="false">SUMPRODUCT(S135:AC135,INDEX(Diets!$I$5:$S$14,MATCH(Planner!$C$36,Diets!$A$5:$A$14,0),0))</f>
        <v>0</v>
      </c>
      <c r="AE135" s="44" t="n">
        <f aca="false">IF(OR(UPPER(Q135)="Y",AD135&gt;0,AND(Planner!$C$40="Core 71 foods",AY135=0)),0,1)</f>
        <v>1</v>
      </c>
      <c r="AF135" s="45" t="n">
        <v>0</v>
      </c>
      <c r="AG135" s="45" t="n">
        <v>0.5</v>
      </c>
      <c r="AH135" s="45" t="n">
        <v>0.5</v>
      </c>
      <c r="AI135" s="45" t="n">
        <v>0</v>
      </c>
      <c r="AJ135" s="8" t="n">
        <v>236</v>
      </c>
      <c r="AK135" s="4"/>
      <c r="AL135" s="31" t="n">
        <v>19</v>
      </c>
      <c r="AM135" s="31" t="n">
        <v>0.91</v>
      </c>
      <c r="AN135" s="31" t="n">
        <v>4.28</v>
      </c>
      <c r="AO135" s="31" t="n">
        <v>0.14</v>
      </c>
      <c r="AP135" s="31" t="n">
        <v>2.9</v>
      </c>
      <c r="AQ135" s="31" t="n">
        <v>1.78</v>
      </c>
      <c r="AR135" s="31" t="n">
        <v>30</v>
      </c>
      <c r="AS135" s="31" t="n">
        <v>1.47</v>
      </c>
      <c r="AT135" s="31" t="n">
        <v>170</v>
      </c>
      <c r="AU135" s="31" t="n">
        <v>661</v>
      </c>
      <c r="AV135" s="31" t="n">
        <v>14.7</v>
      </c>
      <c r="AW135" s="31" t="n">
        <v>0.034</v>
      </c>
      <c r="AX135" s="4" t="s">
        <v>320</v>
      </c>
      <c r="AY135" s="43" t="n">
        <v>0</v>
      </c>
      <c r="AZ135" s="23" t="n">
        <f aca="false">AM135/M135</f>
        <v>2.29447470817121</v>
      </c>
      <c r="BA135" s="18" t="n">
        <f aca="false">AL135/M135</f>
        <v>47.9066147859922</v>
      </c>
      <c r="BB135" s="4" t="s">
        <v>819</v>
      </c>
      <c r="BC135" s="4" t="s">
        <v>820</v>
      </c>
      <c r="BD135" s="4" t="s">
        <v>821</v>
      </c>
    </row>
    <row r="136" customFormat="false" ht="15" hidden="false" customHeight="false" outlineLevel="0" collapsed="false">
      <c r="A136" s="4" t="n">
        <v>131</v>
      </c>
      <c r="B136" s="53" t="s">
        <v>681</v>
      </c>
      <c r="C136" s="54" t="s">
        <v>681</v>
      </c>
      <c r="D136" s="14" t="s">
        <v>822</v>
      </c>
      <c r="E136" s="4" t="s">
        <v>325</v>
      </c>
      <c r="F136" s="37" t="n">
        <v>1.844</v>
      </c>
      <c r="G136" s="34" t="n">
        <v>453.6</v>
      </c>
      <c r="H136" s="30" t="n">
        <v>1</v>
      </c>
      <c r="I136" s="38" t="n">
        <f aca="false">F136/(G136*H136)*100</f>
        <v>0.40652557319224</v>
      </c>
      <c r="J136" s="4"/>
      <c r="K136" s="4"/>
      <c r="L136" s="4"/>
      <c r="M136" s="40" t="n">
        <f aca="false">IF(AND(IF(Planner!$C$39="BLS U.S. average (Sep 2026)",1,0)=1,L136&lt;&gt;""),L136,I136)</f>
        <v>0.40652557319224</v>
      </c>
      <c r="N136" s="13" t="n">
        <v>234</v>
      </c>
      <c r="O136" s="4" t="s">
        <v>392</v>
      </c>
      <c r="P136" s="8" t="n">
        <v>2</v>
      </c>
      <c r="Q136" s="41"/>
      <c r="R136" s="13"/>
      <c r="S136" s="42" t="n">
        <v>0</v>
      </c>
      <c r="T136" s="42" t="n">
        <v>0</v>
      </c>
      <c r="U136" s="42" t="n">
        <v>0</v>
      </c>
      <c r="V136" s="42" t="n">
        <v>0</v>
      </c>
      <c r="W136" s="42" t="n">
        <v>0</v>
      </c>
      <c r="X136" s="42" t="n">
        <v>0</v>
      </c>
      <c r="Y136" s="42" t="n">
        <v>0</v>
      </c>
      <c r="Z136" s="42" t="n">
        <v>0</v>
      </c>
      <c r="AA136" s="42" t="n">
        <v>0</v>
      </c>
      <c r="AB136" s="42" t="n">
        <v>0</v>
      </c>
      <c r="AC136" s="42" t="n">
        <v>0</v>
      </c>
      <c r="AD136" s="43" t="n">
        <f aca="false">SUMPRODUCT(S136:AC136,INDEX(Diets!$I$5:$S$14,MATCH(Planner!$C$36,Diets!$A$5:$A$14,0),0))</f>
        <v>0</v>
      </c>
      <c r="AE136" s="44" t="n">
        <f aca="false">IF(OR(UPPER(Q136)="Y",AD136&gt;0,AND(Planner!$C$40="Core 71 foods",AY136=0)),0,1)</f>
        <v>1</v>
      </c>
      <c r="AF136" s="45" t="n">
        <v>0</v>
      </c>
      <c r="AG136" s="45" t="n">
        <v>0.5</v>
      </c>
      <c r="AH136" s="45" t="n">
        <v>0.5</v>
      </c>
      <c r="AI136" s="45" t="n">
        <v>0</v>
      </c>
      <c r="AJ136" s="8" t="n">
        <v>234</v>
      </c>
      <c r="AK136" s="4"/>
      <c r="AL136" s="31" t="n">
        <v>19</v>
      </c>
      <c r="AM136" s="31" t="n">
        <v>2.11</v>
      </c>
      <c r="AN136" s="31" t="n">
        <v>2.92</v>
      </c>
      <c r="AO136" s="31" t="n">
        <v>0.37</v>
      </c>
      <c r="AP136" s="31" t="n">
        <v>1.6</v>
      </c>
      <c r="AQ136" s="31" t="n">
        <v>0.33</v>
      </c>
      <c r="AR136" s="31" t="n">
        <v>83</v>
      </c>
      <c r="AS136" s="31" t="n">
        <v>1.58</v>
      </c>
      <c r="AT136" s="31" t="n">
        <v>230</v>
      </c>
      <c r="AU136" s="31" t="n">
        <v>319</v>
      </c>
      <c r="AV136" s="31" t="n">
        <v>13.5</v>
      </c>
      <c r="AW136" s="31" t="n">
        <v>0.06</v>
      </c>
      <c r="AX136" s="4" t="s">
        <v>320</v>
      </c>
      <c r="AY136" s="43" t="n">
        <v>0</v>
      </c>
      <c r="AZ136" s="23" t="n">
        <f aca="false">AM136/M136</f>
        <v>5.19032537960954</v>
      </c>
      <c r="BA136" s="18" t="n">
        <f aca="false">AL136/M136</f>
        <v>46.7375271149675</v>
      </c>
      <c r="BB136" s="4" t="s">
        <v>823</v>
      </c>
      <c r="BC136" s="4" t="s">
        <v>824</v>
      </c>
      <c r="BD136" s="4" t="s">
        <v>825</v>
      </c>
    </row>
    <row r="137" customFormat="false" ht="15" hidden="false" customHeight="false" outlineLevel="0" collapsed="false">
      <c r="A137" s="4" t="n">
        <v>132</v>
      </c>
      <c r="B137" s="53" t="s">
        <v>681</v>
      </c>
      <c r="C137" s="54" t="s">
        <v>681</v>
      </c>
      <c r="D137" s="14" t="s">
        <v>826</v>
      </c>
      <c r="E137" s="4" t="s">
        <v>827</v>
      </c>
      <c r="F137" s="37" t="n">
        <v>1.97</v>
      </c>
      <c r="G137" s="34" t="n">
        <v>283.5</v>
      </c>
      <c r="H137" s="30" t="n">
        <v>1</v>
      </c>
      <c r="I137" s="38" t="n">
        <f aca="false">F137/(G137*H137)*100</f>
        <v>0.694885361552028</v>
      </c>
      <c r="J137" s="4"/>
      <c r="K137" s="4"/>
      <c r="L137" s="4"/>
      <c r="M137" s="40" t="n">
        <f aca="false">IF(AND(IF(Planner!$C$39="BLS U.S. average (Sep 2026)",1,0)=1,L137&lt;&gt;""),L137,I137)</f>
        <v>0.694885361552028</v>
      </c>
      <c r="N137" s="13" t="n">
        <v>60</v>
      </c>
      <c r="O137" s="4" t="s">
        <v>828</v>
      </c>
      <c r="P137" s="8" t="n">
        <v>3</v>
      </c>
      <c r="Q137" s="41"/>
      <c r="R137" s="13"/>
      <c r="S137" s="42" t="n">
        <v>0</v>
      </c>
      <c r="T137" s="42" t="n">
        <v>0</v>
      </c>
      <c r="U137" s="42" t="n">
        <v>0</v>
      </c>
      <c r="V137" s="42" t="n">
        <v>0</v>
      </c>
      <c r="W137" s="42" t="n">
        <v>0</v>
      </c>
      <c r="X137" s="42" t="n">
        <v>0</v>
      </c>
      <c r="Y137" s="42" t="n">
        <v>0</v>
      </c>
      <c r="Z137" s="42" t="n">
        <v>0</v>
      </c>
      <c r="AA137" s="42" t="n">
        <v>0</v>
      </c>
      <c r="AB137" s="42" t="n">
        <v>0</v>
      </c>
      <c r="AC137" s="42" t="n">
        <v>0</v>
      </c>
      <c r="AD137" s="43" t="n">
        <f aca="false">SUMPRODUCT(S137:AC137,INDEX(Diets!$I$5:$S$14,MATCH(Planner!$C$36,Diets!$A$5:$A$14,0),0))</f>
        <v>0</v>
      </c>
      <c r="AE137" s="44" t="n">
        <f aca="false">IF(OR(UPPER(Q137)="Y",AD137&gt;0,AND(Planner!$C$40="Core 71 foods",AY137=0)),0,1)</f>
        <v>1</v>
      </c>
      <c r="AF137" s="45" t="n">
        <v>0</v>
      </c>
      <c r="AG137" s="45" t="n">
        <v>0.5</v>
      </c>
      <c r="AH137" s="45" t="n">
        <v>0.5</v>
      </c>
      <c r="AI137" s="45" t="n">
        <v>0</v>
      </c>
      <c r="AJ137" s="8" t="n">
        <v>60</v>
      </c>
      <c r="AK137" s="4"/>
      <c r="AL137" s="31" t="n">
        <v>23</v>
      </c>
      <c r="AM137" s="31" t="n">
        <v>2.86</v>
      </c>
      <c r="AN137" s="31" t="n">
        <v>3.63</v>
      </c>
      <c r="AO137" s="31" t="n">
        <v>0.39</v>
      </c>
      <c r="AP137" s="31" t="n">
        <v>2.2</v>
      </c>
      <c r="AQ137" s="31" t="n">
        <v>0.42</v>
      </c>
      <c r="AR137" s="31" t="n">
        <v>99</v>
      </c>
      <c r="AS137" s="31" t="n">
        <v>2.71</v>
      </c>
      <c r="AT137" s="31" t="n">
        <v>558</v>
      </c>
      <c r="AU137" s="31" t="n">
        <v>79</v>
      </c>
      <c r="AV137" s="31" t="n">
        <v>28.1</v>
      </c>
      <c r="AW137" s="31" t="n">
        <v>0.063</v>
      </c>
      <c r="AX137" s="4" t="s">
        <v>218</v>
      </c>
      <c r="AY137" s="43" t="n">
        <v>1</v>
      </c>
      <c r="AZ137" s="23" t="n">
        <f aca="false">AM137/M137</f>
        <v>4.11578680203046</v>
      </c>
      <c r="BA137" s="18" t="n">
        <f aca="false">AL137/M137</f>
        <v>33.0989847715736</v>
      </c>
      <c r="BB137" s="4" t="s">
        <v>829</v>
      </c>
      <c r="BC137" s="4" t="s">
        <v>830</v>
      </c>
      <c r="BD137" s="4" t="s">
        <v>831</v>
      </c>
    </row>
    <row r="138" customFormat="false" ht="15" hidden="false" customHeight="false" outlineLevel="0" collapsed="false">
      <c r="A138" s="4" t="n">
        <v>133</v>
      </c>
      <c r="B138" s="53" t="s">
        <v>681</v>
      </c>
      <c r="C138" s="54" t="s">
        <v>681</v>
      </c>
      <c r="D138" s="14" t="s">
        <v>832</v>
      </c>
      <c r="E138" s="4" t="s">
        <v>489</v>
      </c>
      <c r="F138" s="37" t="n">
        <v>2.518</v>
      </c>
      <c r="G138" s="34" t="n">
        <v>453.6</v>
      </c>
      <c r="H138" s="30" t="n">
        <v>1</v>
      </c>
      <c r="I138" s="38" t="n">
        <f aca="false">F138/(G138*H138)*100</f>
        <v>0.555114638447972</v>
      </c>
      <c r="J138" s="4"/>
      <c r="K138" s="4"/>
      <c r="L138" s="4"/>
      <c r="M138" s="40" t="n">
        <f aca="false">IF(AND(IF(Planner!$C$39="BLS U.S. average (Sep 2026)",1,0)=1,L138&lt;&gt;""),L138,I138)</f>
        <v>0.555114638447972</v>
      </c>
      <c r="N138" s="13" t="n">
        <v>156</v>
      </c>
      <c r="O138" s="4" t="s">
        <v>392</v>
      </c>
      <c r="P138" s="8" t="n">
        <v>2</v>
      </c>
      <c r="Q138" s="41"/>
      <c r="R138" s="13"/>
      <c r="S138" s="42" t="n">
        <v>0</v>
      </c>
      <c r="T138" s="42" t="n">
        <v>0</v>
      </c>
      <c r="U138" s="42" t="n">
        <v>0</v>
      </c>
      <c r="V138" s="42" t="n">
        <v>0</v>
      </c>
      <c r="W138" s="42" t="n">
        <v>0</v>
      </c>
      <c r="X138" s="42" t="n">
        <v>0</v>
      </c>
      <c r="Y138" s="42" t="n">
        <v>0</v>
      </c>
      <c r="Z138" s="42" t="n">
        <v>0</v>
      </c>
      <c r="AA138" s="42" t="n">
        <v>0</v>
      </c>
      <c r="AB138" s="42" t="n">
        <v>0</v>
      </c>
      <c r="AC138" s="42" t="n">
        <v>0</v>
      </c>
      <c r="AD138" s="43" t="n">
        <f aca="false">SUMPRODUCT(S138:AC138,INDEX(Diets!$I$5:$S$14,MATCH(Planner!$C$36,Diets!$A$5:$A$14,0),0))</f>
        <v>0</v>
      </c>
      <c r="AE138" s="44" t="n">
        <f aca="false">IF(OR(UPPER(Q138)="Y",AD138&gt;0,AND(Planner!$C$40="Core 71 foods",AY138=0)),0,1)</f>
        <v>1</v>
      </c>
      <c r="AF138" s="45" t="n">
        <v>0</v>
      </c>
      <c r="AG138" s="45" t="n">
        <v>0.5</v>
      </c>
      <c r="AH138" s="45" t="n">
        <v>0.5</v>
      </c>
      <c r="AI138" s="45" t="n">
        <v>0</v>
      </c>
      <c r="AJ138" s="8" t="n">
        <v>156</v>
      </c>
      <c r="AK138" s="4"/>
      <c r="AL138" s="31" t="n">
        <v>29</v>
      </c>
      <c r="AM138" s="31" t="n">
        <v>3.63</v>
      </c>
      <c r="AN138" s="31" t="n">
        <v>4.21</v>
      </c>
      <c r="AO138" s="31" t="n">
        <v>0.57</v>
      </c>
      <c r="AP138" s="31" t="n">
        <v>2.9</v>
      </c>
      <c r="AQ138" s="31" t="n">
        <v>0.65</v>
      </c>
      <c r="AR138" s="31" t="n">
        <v>129</v>
      </c>
      <c r="AS138" s="31" t="n">
        <v>1.89</v>
      </c>
      <c r="AT138" s="31" t="n">
        <v>346</v>
      </c>
      <c r="AU138" s="31" t="n">
        <v>74</v>
      </c>
      <c r="AV138" s="31" t="n">
        <v>5.5</v>
      </c>
      <c r="AW138" s="31" t="n">
        <v>0.041</v>
      </c>
      <c r="AX138" s="4" t="s">
        <v>320</v>
      </c>
      <c r="AY138" s="43" t="n">
        <v>0</v>
      </c>
      <c r="AZ138" s="23" t="n">
        <f aca="false">AM138/M138</f>
        <v>6.53918983320095</v>
      </c>
      <c r="BA138" s="18" t="n">
        <f aca="false">AL138/M138</f>
        <v>52.241461477363</v>
      </c>
      <c r="BB138" s="4" t="s">
        <v>833</v>
      </c>
      <c r="BC138" s="4" t="s">
        <v>834</v>
      </c>
      <c r="BD138" s="4" t="s">
        <v>835</v>
      </c>
    </row>
    <row r="139" customFormat="false" ht="15" hidden="false" customHeight="false" outlineLevel="0" collapsed="false">
      <c r="A139" s="4" t="n">
        <v>134</v>
      </c>
      <c r="B139" s="53" t="s">
        <v>681</v>
      </c>
      <c r="C139" s="54" t="s">
        <v>681</v>
      </c>
      <c r="D139" s="14" t="s">
        <v>836</v>
      </c>
      <c r="E139" s="4" t="s">
        <v>325</v>
      </c>
      <c r="F139" s="37" t="n">
        <v>1.333</v>
      </c>
      <c r="G139" s="34" t="n">
        <v>453.6</v>
      </c>
      <c r="H139" s="30" t="n">
        <v>1</v>
      </c>
      <c r="I139" s="38" t="n">
        <f aca="false">F139/(G139*H139)*100</f>
        <v>0.293871252204586</v>
      </c>
      <c r="J139" s="4"/>
      <c r="K139" s="4"/>
      <c r="L139" s="4"/>
      <c r="M139" s="40" t="n">
        <f aca="false">IF(AND(IF(Planner!$C$39="BLS U.S. average (Sep 2026)",1,0)=1,L139&lt;&gt;""),L139,I139)</f>
        <v>0.293871252204586</v>
      </c>
      <c r="N139" s="13" t="n">
        <v>240</v>
      </c>
      <c r="O139" s="4" t="s">
        <v>392</v>
      </c>
      <c r="P139" s="8" t="n">
        <v>2</v>
      </c>
      <c r="Q139" s="41"/>
      <c r="R139" s="13"/>
      <c r="S139" s="42" t="n">
        <v>0</v>
      </c>
      <c r="T139" s="42" t="n">
        <v>0</v>
      </c>
      <c r="U139" s="42" t="n">
        <v>0</v>
      </c>
      <c r="V139" s="42" t="n">
        <v>0</v>
      </c>
      <c r="W139" s="42" t="n">
        <v>0</v>
      </c>
      <c r="X139" s="42" t="n">
        <v>0</v>
      </c>
      <c r="Y139" s="42" t="n">
        <v>0</v>
      </c>
      <c r="Z139" s="42" t="n">
        <v>0</v>
      </c>
      <c r="AA139" s="42" t="n">
        <v>0</v>
      </c>
      <c r="AB139" s="42" t="n">
        <v>0</v>
      </c>
      <c r="AC139" s="42" t="n">
        <v>0</v>
      </c>
      <c r="AD139" s="43" t="n">
        <f aca="false">SUMPRODUCT(S139:AC139,INDEX(Diets!$I$5:$S$14,MATCH(Planner!$C$36,Diets!$A$5:$A$14,0),0))</f>
        <v>0</v>
      </c>
      <c r="AE139" s="44" t="n">
        <f aca="false">IF(OR(UPPER(Q139)="Y",AD139&gt;0,AND(Planner!$C$40="Core 71 foods",AY139=0)),0,1)</f>
        <v>1</v>
      </c>
      <c r="AF139" s="45" t="n">
        <v>0</v>
      </c>
      <c r="AG139" s="45" t="n">
        <v>0.5</v>
      </c>
      <c r="AH139" s="45" t="n">
        <v>0.5</v>
      </c>
      <c r="AI139" s="45" t="n">
        <v>0</v>
      </c>
      <c r="AJ139" s="8" t="n">
        <v>240</v>
      </c>
      <c r="AK139" s="4"/>
      <c r="AL139" s="31" t="n">
        <v>16</v>
      </c>
      <c r="AM139" s="31" t="n">
        <v>0.79</v>
      </c>
      <c r="AN139" s="31" t="n">
        <v>3.47</v>
      </c>
      <c r="AO139" s="31" t="n">
        <v>0.25</v>
      </c>
      <c r="AP139" s="31" t="n">
        <v>1.9</v>
      </c>
      <c r="AQ139" s="31" t="n">
        <v>2.55</v>
      </c>
      <c r="AR139" s="31" t="n">
        <v>33</v>
      </c>
      <c r="AS139" s="31" t="n">
        <v>0.57</v>
      </c>
      <c r="AT139" s="31" t="n">
        <v>191</v>
      </c>
      <c r="AU139" s="31" t="n">
        <v>115</v>
      </c>
      <c r="AV139" s="31" t="n">
        <v>12.6</v>
      </c>
      <c r="AW139" s="31" t="n">
        <v>0.034</v>
      </c>
      <c r="AX139" s="4" t="s">
        <v>320</v>
      </c>
      <c r="AY139" s="43" t="n">
        <v>0</v>
      </c>
      <c r="AZ139" s="23" t="n">
        <f aca="false">AM139/M139</f>
        <v>2.68825206301575</v>
      </c>
      <c r="BA139" s="18" t="n">
        <f aca="false">AL139/M139</f>
        <v>54.4456114028507</v>
      </c>
      <c r="BB139" s="4" t="s">
        <v>837</v>
      </c>
      <c r="BC139" s="4" t="s">
        <v>838</v>
      </c>
      <c r="BD139" s="4" t="s">
        <v>839</v>
      </c>
    </row>
    <row r="140" customFormat="false" ht="15" hidden="false" customHeight="false" outlineLevel="0" collapsed="false">
      <c r="A140" s="4" t="n">
        <v>135</v>
      </c>
      <c r="B140" s="53" t="s">
        <v>681</v>
      </c>
      <c r="C140" s="54" t="s">
        <v>681</v>
      </c>
      <c r="D140" s="14" t="s">
        <v>840</v>
      </c>
      <c r="E140" s="4" t="s">
        <v>841</v>
      </c>
      <c r="F140" s="37" t="n">
        <v>0.85</v>
      </c>
      <c r="G140" s="34" t="n">
        <v>453.6</v>
      </c>
      <c r="H140" s="30" t="n">
        <v>0.91</v>
      </c>
      <c r="I140" s="38" t="n">
        <f aca="false">F140/(G140*H140)*100</f>
        <v>0.205922824970444</v>
      </c>
      <c r="J140" s="39" t="n">
        <v>1.992</v>
      </c>
      <c r="K140" s="34" t="n">
        <v>453.6</v>
      </c>
      <c r="L140" s="38" t="n">
        <f aca="false">J140/(K140*H140)*100</f>
        <v>0.482586196871911</v>
      </c>
      <c r="M140" s="40" t="n">
        <f aca="false">IF(AND(IF(Planner!$C$39="BLS U.S. average (Sep 2026)",1,0)=1,L140&lt;&gt;""),L140,I140)</f>
        <v>0.205922824970444</v>
      </c>
      <c r="N140" s="13" t="n">
        <v>180</v>
      </c>
      <c r="O140" s="4" t="s">
        <v>713</v>
      </c>
      <c r="P140" s="8" t="n">
        <v>2</v>
      </c>
      <c r="Q140" s="41"/>
      <c r="R140" s="13"/>
      <c r="S140" s="42" t="n">
        <v>0</v>
      </c>
      <c r="T140" s="42" t="n">
        <v>0</v>
      </c>
      <c r="U140" s="42" t="n">
        <v>0</v>
      </c>
      <c r="V140" s="42" t="n">
        <v>0</v>
      </c>
      <c r="W140" s="42" t="n">
        <v>0</v>
      </c>
      <c r="X140" s="42" t="n">
        <v>0</v>
      </c>
      <c r="Y140" s="42" t="n">
        <v>0</v>
      </c>
      <c r="Z140" s="42" t="n">
        <v>0</v>
      </c>
      <c r="AA140" s="42" t="n">
        <v>0</v>
      </c>
      <c r="AB140" s="42" t="n">
        <v>0</v>
      </c>
      <c r="AC140" s="42" t="n">
        <v>0</v>
      </c>
      <c r="AD140" s="43" t="n">
        <f aca="false">SUMPRODUCT(S140:AC140,INDEX(Diets!$I$5:$S$14,MATCH(Planner!$C$36,Diets!$A$5:$A$14,0),0))</f>
        <v>0</v>
      </c>
      <c r="AE140" s="44" t="n">
        <f aca="false">IF(OR(UPPER(Q140)="Y",AD140&gt;0,AND(Planner!$C$40="Core 71 foods",AY140=0)),0,1)</f>
        <v>1</v>
      </c>
      <c r="AF140" s="45" t="n">
        <v>0</v>
      </c>
      <c r="AG140" s="45" t="n">
        <v>0.5</v>
      </c>
      <c r="AH140" s="45" t="n">
        <v>0.5</v>
      </c>
      <c r="AI140" s="45" t="n">
        <v>0</v>
      </c>
      <c r="AJ140" s="8" t="n">
        <v>180</v>
      </c>
      <c r="AK140" s="4"/>
      <c r="AL140" s="31" t="n">
        <v>18</v>
      </c>
      <c r="AM140" s="31" t="n">
        <v>0.88</v>
      </c>
      <c r="AN140" s="31" t="n">
        <v>3.89</v>
      </c>
      <c r="AO140" s="31" t="n">
        <v>0.2</v>
      </c>
      <c r="AP140" s="31" t="n">
        <v>1.2</v>
      </c>
      <c r="AQ140" s="31" t="n">
        <v>2.63</v>
      </c>
      <c r="AR140" s="31" t="n">
        <v>10</v>
      </c>
      <c r="AS140" s="31" t="n">
        <v>0.27</v>
      </c>
      <c r="AT140" s="31" t="n">
        <v>237</v>
      </c>
      <c r="AU140" s="31" t="n">
        <v>5</v>
      </c>
      <c r="AV140" s="31" t="n">
        <v>13.7</v>
      </c>
      <c r="AW140" s="31" t="n">
        <v>0.028</v>
      </c>
      <c r="AX140" s="4" t="s">
        <v>218</v>
      </c>
      <c r="AY140" s="43" t="n">
        <v>1</v>
      </c>
      <c r="AZ140" s="23" t="n">
        <f aca="false">AM140/M140</f>
        <v>4.27344564705882</v>
      </c>
      <c r="BA140" s="18" t="n">
        <f aca="false">AL140/M140</f>
        <v>87.4113882352941</v>
      </c>
      <c r="BB140" s="4" t="s">
        <v>842</v>
      </c>
      <c r="BC140" s="4" t="s">
        <v>843</v>
      </c>
      <c r="BD140" s="4"/>
    </row>
    <row r="141" customFormat="false" ht="15" hidden="false" customHeight="false" outlineLevel="0" collapsed="false">
      <c r="A141" s="4" t="n">
        <v>136</v>
      </c>
      <c r="B141" s="53" t="s">
        <v>681</v>
      </c>
      <c r="C141" s="54" t="s">
        <v>681</v>
      </c>
      <c r="D141" s="14" t="s">
        <v>844</v>
      </c>
      <c r="E141" s="4" t="s">
        <v>489</v>
      </c>
      <c r="F141" s="37" t="n">
        <v>2.978</v>
      </c>
      <c r="G141" s="34" t="n">
        <v>453.6</v>
      </c>
      <c r="H141" s="30" t="n">
        <v>1</v>
      </c>
      <c r="I141" s="38" t="n">
        <f aca="false">F141/(G141*H141)*100</f>
        <v>0.65652557319224</v>
      </c>
      <c r="J141" s="4"/>
      <c r="K141" s="4"/>
      <c r="L141" s="4"/>
      <c r="M141" s="40" t="n">
        <f aca="false">IF(AND(IF(Planner!$C$39="BLS U.S. average (Sep 2026)",1,0)=1,L141&lt;&gt;""),L141,I141)</f>
        <v>0.65652557319224</v>
      </c>
      <c r="N141" s="13" t="n">
        <v>164</v>
      </c>
      <c r="O141" s="4" t="s">
        <v>713</v>
      </c>
      <c r="P141" s="8" t="n">
        <v>2</v>
      </c>
      <c r="Q141" s="41"/>
      <c r="R141" s="13"/>
      <c r="S141" s="42" t="n">
        <v>0</v>
      </c>
      <c r="T141" s="42" t="n">
        <v>0</v>
      </c>
      <c r="U141" s="42" t="n">
        <v>0</v>
      </c>
      <c r="V141" s="42" t="n">
        <v>0</v>
      </c>
      <c r="W141" s="42" t="n">
        <v>0</v>
      </c>
      <c r="X141" s="42" t="n">
        <v>0</v>
      </c>
      <c r="Y141" s="42" t="n">
        <v>0</v>
      </c>
      <c r="Z141" s="42" t="n">
        <v>0</v>
      </c>
      <c r="AA141" s="42" t="n">
        <v>0</v>
      </c>
      <c r="AB141" s="42" t="n">
        <v>0</v>
      </c>
      <c r="AC141" s="42" t="n">
        <v>0</v>
      </c>
      <c r="AD141" s="43" t="n">
        <f aca="false">SUMPRODUCT(S141:AC141,INDEX(Diets!$I$5:$S$14,MATCH(Planner!$C$36,Diets!$A$5:$A$14,0),0))</f>
        <v>0</v>
      </c>
      <c r="AE141" s="44" t="n">
        <f aca="false">IF(OR(UPPER(Q141)="Y",AD141&gt;0,AND(Planner!$C$40="Core 71 foods",AY141=0)),0,1)</f>
        <v>1</v>
      </c>
      <c r="AF141" s="45" t="n">
        <v>0</v>
      </c>
      <c r="AG141" s="45" t="n">
        <v>0.5</v>
      </c>
      <c r="AH141" s="45" t="n">
        <v>0.5</v>
      </c>
      <c r="AI141" s="45" t="n">
        <v>0</v>
      </c>
      <c r="AJ141" s="8" t="n">
        <v>164</v>
      </c>
      <c r="AK141" s="4"/>
      <c r="AL141" s="31" t="n">
        <v>22</v>
      </c>
      <c r="AM141" s="31" t="n">
        <v>2.47</v>
      </c>
      <c r="AN141" s="31" t="n">
        <v>3.67</v>
      </c>
      <c r="AO141" s="31" t="n">
        <v>0.31</v>
      </c>
      <c r="AP141" s="31" t="n">
        <v>2.5</v>
      </c>
      <c r="AQ141" s="31" t="n">
        <v>0</v>
      </c>
      <c r="AR141" s="31" t="n">
        <v>118</v>
      </c>
      <c r="AS141" s="31" t="n">
        <v>1.51</v>
      </c>
      <c r="AT141" s="31" t="n">
        <v>184</v>
      </c>
      <c r="AU141" s="31" t="n">
        <v>12</v>
      </c>
      <c r="AV141" s="31" t="n">
        <v>26.8</v>
      </c>
      <c r="AW141" s="31" t="n">
        <v>0.073</v>
      </c>
      <c r="AX141" s="4" t="s">
        <v>320</v>
      </c>
      <c r="AY141" s="43" t="n">
        <v>0</v>
      </c>
      <c r="AZ141" s="23" t="n">
        <f aca="false">AM141/M141</f>
        <v>3.76222968435191</v>
      </c>
      <c r="BA141" s="18" t="n">
        <f aca="false">AL141/M141</f>
        <v>33.5097380792478</v>
      </c>
      <c r="BB141" s="4" t="s">
        <v>845</v>
      </c>
      <c r="BC141" s="4" t="s">
        <v>846</v>
      </c>
      <c r="BD141" s="4" t="s">
        <v>847</v>
      </c>
    </row>
    <row r="142" customFormat="false" ht="15" hidden="false" customHeight="false" outlineLevel="0" collapsed="false">
      <c r="A142" s="4" t="n">
        <v>137</v>
      </c>
      <c r="B142" s="53" t="s">
        <v>681</v>
      </c>
      <c r="C142" s="54" t="s">
        <v>681</v>
      </c>
      <c r="D142" s="14" t="s">
        <v>848</v>
      </c>
      <c r="E142" s="4" t="s">
        <v>543</v>
      </c>
      <c r="F142" s="37" t="n">
        <v>1.738</v>
      </c>
      <c r="G142" s="34" t="n">
        <v>453.6</v>
      </c>
      <c r="H142" s="30" t="n">
        <v>0.95</v>
      </c>
      <c r="I142" s="38" t="n">
        <f aca="false">F142/(G142*H142)*100</f>
        <v>0.403323122621368</v>
      </c>
      <c r="J142" s="4"/>
      <c r="K142" s="4"/>
      <c r="L142" s="4"/>
      <c r="M142" s="40" t="n">
        <f aca="false">IF(AND(IF(Planner!$C$39="BLS U.S. average (Sep 2026)",1,0)=1,L142&lt;&gt;""),L142,I142)</f>
        <v>0.403323122621368</v>
      </c>
      <c r="N142" s="13" t="n">
        <v>124</v>
      </c>
      <c r="O142" s="4" t="s">
        <v>713</v>
      </c>
      <c r="P142" s="8" t="n">
        <v>2</v>
      </c>
      <c r="Q142" s="41"/>
      <c r="R142" s="13"/>
      <c r="S142" s="42" t="n">
        <v>0</v>
      </c>
      <c r="T142" s="42" t="n">
        <v>0</v>
      </c>
      <c r="U142" s="42" t="n">
        <v>0</v>
      </c>
      <c r="V142" s="42" t="n">
        <v>0</v>
      </c>
      <c r="W142" s="42" t="n">
        <v>0</v>
      </c>
      <c r="X142" s="42" t="n">
        <v>0</v>
      </c>
      <c r="Y142" s="42" t="n">
        <v>0</v>
      </c>
      <c r="Z142" s="42" t="n">
        <v>0</v>
      </c>
      <c r="AA142" s="42" t="n">
        <v>0</v>
      </c>
      <c r="AB142" s="42" t="n">
        <v>0</v>
      </c>
      <c r="AC142" s="42" t="n">
        <v>0</v>
      </c>
      <c r="AD142" s="43" t="n">
        <f aca="false">SUMPRODUCT(S142:AC142,INDEX(Diets!$I$5:$S$14,MATCH(Planner!$C$36,Diets!$A$5:$A$14,0),0))</f>
        <v>0</v>
      </c>
      <c r="AE142" s="44" t="n">
        <f aca="false">IF(OR(UPPER(Q142)="Y",AD142&gt;0,AND(Planner!$C$40="Core 71 foods",AY142=0)),0,1)</f>
        <v>1</v>
      </c>
      <c r="AF142" s="45" t="n">
        <v>0</v>
      </c>
      <c r="AG142" s="45" t="n">
        <v>0.5</v>
      </c>
      <c r="AH142" s="45" t="n">
        <v>0.5</v>
      </c>
      <c r="AI142" s="45" t="n">
        <v>0</v>
      </c>
      <c r="AJ142" s="8" t="n">
        <v>124</v>
      </c>
      <c r="AK142" s="4"/>
      <c r="AL142" s="31" t="n">
        <v>17</v>
      </c>
      <c r="AM142" s="31" t="n">
        <v>1.21</v>
      </c>
      <c r="AN142" s="31" t="n">
        <v>3.11</v>
      </c>
      <c r="AO142" s="31" t="n">
        <v>0.32</v>
      </c>
      <c r="AP142" s="31" t="n">
        <v>1</v>
      </c>
      <c r="AQ142" s="31" t="n">
        <v>2.5</v>
      </c>
      <c r="AR142" s="31" t="n">
        <v>16</v>
      </c>
      <c r="AS142" s="31" t="n">
        <v>0.37</v>
      </c>
      <c r="AT142" s="31" t="n">
        <v>261</v>
      </c>
      <c r="AU142" s="31" t="n">
        <v>8</v>
      </c>
      <c r="AV142" s="31" t="n">
        <v>17.9</v>
      </c>
      <c r="AW142" s="31" t="n">
        <v>0.084</v>
      </c>
      <c r="AX142" s="4" t="s">
        <v>320</v>
      </c>
      <c r="AY142" s="43" t="n">
        <v>0</v>
      </c>
      <c r="AZ142" s="23" t="n">
        <f aca="false">AM142/M142</f>
        <v>3.00007594936709</v>
      </c>
      <c r="BA142" s="18" t="n">
        <f aca="false">AL142/M142</f>
        <v>42.1498273878021</v>
      </c>
      <c r="BB142" s="4" t="s">
        <v>849</v>
      </c>
      <c r="BC142" s="4" t="s">
        <v>850</v>
      </c>
      <c r="BD142" s="4" t="s">
        <v>851</v>
      </c>
    </row>
    <row r="143" customFormat="false" ht="15" hidden="false" customHeight="false" outlineLevel="0" collapsed="false">
      <c r="A143" s="4" t="n">
        <v>138</v>
      </c>
      <c r="B143" s="55" t="s">
        <v>852</v>
      </c>
      <c r="C143" s="56" t="s">
        <v>853</v>
      </c>
      <c r="D143" s="14" t="s">
        <v>854</v>
      </c>
      <c r="E143" s="4" t="s">
        <v>855</v>
      </c>
      <c r="F143" s="37" t="n">
        <v>5.96</v>
      </c>
      <c r="G143" s="34" t="n">
        <v>907.2</v>
      </c>
      <c r="H143" s="30" t="n">
        <v>1</v>
      </c>
      <c r="I143" s="38" t="n">
        <f aca="false">F143/(G143*H143)*100</f>
        <v>0.656966490299824</v>
      </c>
      <c r="J143" s="4"/>
      <c r="K143" s="4"/>
      <c r="L143" s="4"/>
      <c r="M143" s="40" t="n">
        <f aca="false">IF(AND(IF(Planner!$C$39="BLS U.S. average (Sep 2026)",1,0)=1,L143&lt;&gt;""),L143,I143)</f>
        <v>0.656966490299824</v>
      </c>
      <c r="N143" s="13" t="n">
        <v>14.2</v>
      </c>
      <c r="O143" s="4" t="s">
        <v>856</v>
      </c>
      <c r="P143" s="8" t="n">
        <v>2</v>
      </c>
      <c r="Q143" s="41"/>
      <c r="R143" s="13"/>
      <c r="S143" s="42" t="n">
        <v>0</v>
      </c>
      <c r="T143" s="42" t="n">
        <v>0</v>
      </c>
      <c r="U143" s="42" t="n">
        <v>0</v>
      </c>
      <c r="V143" s="42" t="n">
        <v>0</v>
      </c>
      <c r="W143" s="42" t="n">
        <v>0</v>
      </c>
      <c r="X143" s="42" t="n">
        <v>1</v>
      </c>
      <c r="Y143" s="42" t="n">
        <v>0</v>
      </c>
      <c r="Z143" s="42" t="n">
        <v>0</v>
      </c>
      <c r="AA143" s="42" t="n">
        <v>0</v>
      </c>
      <c r="AB143" s="42" t="n">
        <v>0</v>
      </c>
      <c r="AC143" s="42" t="n">
        <v>0</v>
      </c>
      <c r="AD143" s="43" t="n">
        <f aca="false">SUMPRODUCT(S143:AC143,INDEX(Diets!$I$5:$S$14,MATCH(Planner!$C$36,Diets!$A$5:$A$14,0),0))</f>
        <v>0</v>
      </c>
      <c r="AE143" s="44" t="n">
        <f aca="false">IF(OR(UPPER(Q143)="Y",AD143&gt;0,AND(Planner!$C$40="Core 71 foods",AY143=0)),0,1)</f>
        <v>1</v>
      </c>
      <c r="AF143" s="45" t="n">
        <v>0.5</v>
      </c>
      <c r="AG143" s="45" t="n">
        <v>0</v>
      </c>
      <c r="AH143" s="45" t="n">
        <v>0.5</v>
      </c>
      <c r="AI143" s="45" t="n">
        <v>0</v>
      </c>
      <c r="AJ143" s="8"/>
      <c r="AK143" s="4" t="s">
        <v>857</v>
      </c>
      <c r="AL143" s="31" t="n">
        <v>717</v>
      </c>
      <c r="AM143" s="31" t="n">
        <v>0.85</v>
      </c>
      <c r="AN143" s="31" t="n">
        <v>0.06</v>
      </c>
      <c r="AO143" s="31" t="n">
        <v>81.11</v>
      </c>
      <c r="AP143" s="31" t="n">
        <v>0</v>
      </c>
      <c r="AQ143" s="31" t="n">
        <v>0.06</v>
      </c>
      <c r="AR143" s="31" t="n">
        <v>24</v>
      </c>
      <c r="AS143" s="31" t="n">
        <v>0.02</v>
      </c>
      <c r="AT143" s="31" t="n">
        <v>24</v>
      </c>
      <c r="AU143" s="31" t="n">
        <v>643</v>
      </c>
      <c r="AV143" s="31" t="n">
        <v>0</v>
      </c>
      <c r="AW143" s="31" t="n">
        <v>51.368</v>
      </c>
      <c r="AX143" s="4" t="s">
        <v>218</v>
      </c>
      <c r="AY143" s="43" t="n">
        <v>1</v>
      </c>
      <c r="AZ143" s="23" t="n">
        <f aca="false">AM143/M143</f>
        <v>1.2938255033557</v>
      </c>
      <c r="BA143" s="18" t="n">
        <f aca="false">AL143/M143</f>
        <v>1091.37986577181</v>
      </c>
      <c r="BB143" s="4" t="s">
        <v>858</v>
      </c>
      <c r="BC143" s="4" t="s">
        <v>859</v>
      </c>
      <c r="BD143" s="4"/>
    </row>
    <row r="144" customFormat="false" ht="15" hidden="false" customHeight="false" outlineLevel="0" collapsed="false">
      <c r="A144" s="4" t="n">
        <v>139</v>
      </c>
      <c r="B144" s="55" t="s">
        <v>852</v>
      </c>
      <c r="C144" s="56" t="s">
        <v>853</v>
      </c>
      <c r="D144" s="14" t="s">
        <v>860</v>
      </c>
      <c r="E144" s="4" t="s">
        <v>861</v>
      </c>
      <c r="F144" s="37" t="n">
        <v>4.08</v>
      </c>
      <c r="G144" s="34" t="n">
        <v>1308</v>
      </c>
      <c r="H144" s="30" t="n">
        <v>1</v>
      </c>
      <c r="I144" s="38" t="n">
        <f aca="false">F144/(G144*H144)*100</f>
        <v>0.311926605504587</v>
      </c>
      <c r="J144" s="4"/>
      <c r="K144" s="4"/>
      <c r="L144" s="4"/>
      <c r="M144" s="40" t="n">
        <f aca="false">IF(AND(IF(Planner!$C$39="BLS U.S. average (Sep 2026)",1,0)=1,L144&lt;&gt;""),L144,I144)</f>
        <v>0.311926605504587</v>
      </c>
      <c r="N144" s="13" t="n">
        <v>14</v>
      </c>
      <c r="O144" s="4" t="s">
        <v>856</v>
      </c>
      <c r="P144" s="8" t="n">
        <v>3</v>
      </c>
      <c r="Q144" s="41"/>
      <c r="R144" s="13"/>
      <c r="S144" s="42" t="n">
        <v>0</v>
      </c>
      <c r="T144" s="42" t="n">
        <v>0</v>
      </c>
      <c r="U144" s="42" t="n">
        <v>0</v>
      </c>
      <c r="V144" s="42" t="n">
        <v>0</v>
      </c>
      <c r="W144" s="42" t="n">
        <v>0</v>
      </c>
      <c r="X144" s="42" t="n">
        <v>0</v>
      </c>
      <c r="Y144" s="42" t="n">
        <v>0</v>
      </c>
      <c r="Z144" s="42" t="n">
        <v>0</v>
      </c>
      <c r="AA144" s="42" t="n">
        <v>0</v>
      </c>
      <c r="AB144" s="42" t="n">
        <v>0</v>
      </c>
      <c r="AC144" s="42" t="n">
        <v>0</v>
      </c>
      <c r="AD144" s="43" t="n">
        <f aca="false">SUMPRODUCT(S144:AC144,INDEX(Diets!$I$5:$S$14,MATCH(Planner!$C$36,Diets!$A$5:$A$14,0),0))</f>
        <v>0</v>
      </c>
      <c r="AE144" s="44" t="n">
        <f aca="false">IF(OR(UPPER(Q144)="Y",AD144&gt;0,AND(Planner!$C$40="Core 71 foods",AY144=0)),0,1)</f>
        <v>1</v>
      </c>
      <c r="AF144" s="45" t="n">
        <v>0</v>
      </c>
      <c r="AG144" s="45" t="n">
        <v>0.5</v>
      </c>
      <c r="AH144" s="45" t="n">
        <v>0.5</v>
      </c>
      <c r="AI144" s="45" t="n">
        <v>0</v>
      </c>
      <c r="AJ144" s="8"/>
      <c r="AK144" s="4" t="s">
        <v>857</v>
      </c>
      <c r="AL144" s="31" t="n">
        <v>884</v>
      </c>
      <c r="AM144" s="31" t="n">
        <v>0</v>
      </c>
      <c r="AN144" s="31" t="n">
        <v>0</v>
      </c>
      <c r="AO144" s="31" t="n">
        <v>100</v>
      </c>
      <c r="AP144" s="31" t="n">
        <v>0</v>
      </c>
      <c r="AQ144" s="31" t="n">
        <v>0</v>
      </c>
      <c r="AR144" s="31" t="n">
        <v>0</v>
      </c>
      <c r="AS144" s="31" t="n">
        <v>0</v>
      </c>
      <c r="AT144" s="31" t="n">
        <v>0</v>
      </c>
      <c r="AU144" s="31" t="n">
        <v>0</v>
      </c>
      <c r="AV144" s="31" t="n">
        <v>0</v>
      </c>
      <c r="AW144" s="31" t="n">
        <v>7.365</v>
      </c>
      <c r="AX144" s="4" t="s">
        <v>218</v>
      </c>
      <c r="AY144" s="43" t="n">
        <v>1</v>
      </c>
      <c r="AZ144" s="23" t="n">
        <f aca="false">AM144/M144</f>
        <v>0</v>
      </c>
      <c r="BA144" s="18" t="n">
        <f aca="false">AL144/M144</f>
        <v>2834</v>
      </c>
      <c r="BB144" s="4" t="s">
        <v>862</v>
      </c>
      <c r="BC144" s="4" t="s">
        <v>863</v>
      </c>
      <c r="BD144" s="4" t="s">
        <v>864</v>
      </c>
    </row>
    <row r="145" customFormat="false" ht="15" hidden="false" customHeight="false" outlineLevel="0" collapsed="false">
      <c r="A145" s="4" t="n">
        <v>140</v>
      </c>
      <c r="B145" s="55" t="s">
        <v>852</v>
      </c>
      <c r="C145" s="56" t="s">
        <v>853</v>
      </c>
      <c r="D145" s="14" t="s">
        <v>865</v>
      </c>
      <c r="E145" s="4" t="s">
        <v>866</v>
      </c>
      <c r="F145" s="37" t="n">
        <v>17.87</v>
      </c>
      <c r="G145" s="34" t="n">
        <v>1377</v>
      </c>
      <c r="H145" s="30" t="n">
        <v>1</v>
      </c>
      <c r="I145" s="38" t="n">
        <f aca="false">F145/(G145*H145)*100</f>
        <v>1.29774872912128</v>
      </c>
      <c r="J145" s="4"/>
      <c r="K145" s="4"/>
      <c r="L145" s="4"/>
      <c r="M145" s="40" t="n">
        <f aca="false">IF(AND(IF(Planner!$C$39="BLS U.S. average (Sep 2026)",1,0)=1,L145&lt;&gt;""),L145,I145)</f>
        <v>1.29774872912128</v>
      </c>
      <c r="N145" s="13" t="n">
        <v>13.5</v>
      </c>
      <c r="O145" s="4" t="s">
        <v>856</v>
      </c>
      <c r="P145" s="8" t="n">
        <v>3</v>
      </c>
      <c r="Q145" s="41"/>
      <c r="R145" s="13"/>
      <c r="S145" s="42" t="n">
        <v>0</v>
      </c>
      <c r="T145" s="42" t="n">
        <v>0</v>
      </c>
      <c r="U145" s="42" t="n">
        <v>0</v>
      </c>
      <c r="V145" s="42" t="n">
        <v>0</v>
      </c>
      <c r="W145" s="42" t="n">
        <v>0</v>
      </c>
      <c r="X145" s="42" t="n">
        <v>0</v>
      </c>
      <c r="Y145" s="42" t="n">
        <v>0</v>
      </c>
      <c r="Z145" s="42" t="n">
        <v>0</v>
      </c>
      <c r="AA145" s="42" t="n">
        <v>0</v>
      </c>
      <c r="AB145" s="42" t="n">
        <v>0</v>
      </c>
      <c r="AC145" s="42" t="n">
        <v>0</v>
      </c>
      <c r="AD145" s="43" t="n">
        <f aca="false">SUMPRODUCT(S145:AC145,INDEX(Diets!$I$5:$S$14,MATCH(Planner!$C$36,Diets!$A$5:$A$14,0),0))</f>
        <v>0</v>
      </c>
      <c r="AE145" s="44" t="n">
        <f aca="false">IF(OR(UPPER(Q145)="Y",AD145&gt;0,AND(Planner!$C$40="Core 71 foods",AY145=0)),0,1)</f>
        <v>1</v>
      </c>
      <c r="AF145" s="45" t="n">
        <v>0</v>
      </c>
      <c r="AG145" s="45" t="n">
        <v>0.5</v>
      </c>
      <c r="AH145" s="45" t="n">
        <v>0.5</v>
      </c>
      <c r="AI145" s="45" t="n">
        <v>0</v>
      </c>
      <c r="AJ145" s="8"/>
      <c r="AK145" s="4" t="s">
        <v>857</v>
      </c>
      <c r="AL145" s="31" t="n">
        <v>884</v>
      </c>
      <c r="AM145" s="31" t="n">
        <v>0</v>
      </c>
      <c r="AN145" s="31" t="n">
        <v>0</v>
      </c>
      <c r="AO145" s="31" t="n">
        <v>100</v>
      </c>
      <c r="AP145" s="31" t="n">
        <v>0</v>
      </c>
      <c r="AQ145" s="31" t="n">
        <v>0</v>
      </c>
      <c r="AR145" s="31" t="n">
        <v>1</v>
      </c>
      <c r="AS145" s="31" t="n">
        <v>0.56</v>
      </c>
      <c r="AT145" s="31" t="n">
        <v>1</v>
      </c>
      <c r="AU145" s="31" t="n">
        <v>2</v>
      </c>
      <c r="AV145" s="31" t="n">
        <v>0</v>
      </c>
      <c r="AW145" s="31" t="n">
        <v>13.808</v>
      </c>
      <c r="AX145" s="4" t="s">
        <v>218</v>
      </c>
      <c r="AY145" s="43" t="n">
        <v>1</v>
      </c>
      <c r="AZ145" s="23" t="n">
        <f aca="false">AM145/M145</f>
        <v>0</v>
      </c>
      <c r="BA145" s="18" t="n">
        <f aca="false">AL145/M145</f>
        <v>681.179630665921</v>
      </c>
      <c r="BB145" s="4" t="s">
        <v>867</v>
      </c>
      <c r="BC145" s="4" t="s">
        <v>868</v>
      </c>
      <c r="BD145" s="4" t="s">
        <v>869</v>
      </c>
    </row>
    <row r="146" customFormat="false" ht="15" hidden="false" customHeight="false" outlineLevel="0" collapsed="false">
      <c r="A146" s="4" t="n">
        <v>141</v>
      </c>
      <c r="B146" s="55" t="s">
        <v>852</v>
      </c>
      <c r="C146" s="56" t="s">
        <v>870</v>
      </c>
      <c r="D146" s="14" t="s">
        <v>871</v>
      </c>
      <c r="E146" s="4" t="s">
        <v>872</v>
      </c>
      <c r="F146" s="46" t="n">
        <v>9.48</v>
      </c>
      <c r="G146" s="34" t="n">
        <v>453.6</v>
      </c>
      <c r="H146" s="30" t="n">
        <v>1</v>
      </c>
      <c r="I146" s="38" t="n">
        <f aca="false">F146/(G146*H146)*100</f>
        <v>2.08994708994709</v>
      </c>
      <c r="J146" s="4"/>
      <c r="K146" s="4"/>
      <c r="L146" s="4"/>
      <c r="M146" s="40" t="n">
        <f aca="false">IF(AND(IF(Planner!$C$39="BLS U.S. average (Sep 2026)",1,0)=1,L146&lt;&gt;""),L146,I146)</f>
        <v>2.08994708994709</v>
      </c>
      <c r="N146" s="13" t="n">
        <v>28</v>
      </c>
      <c r="O146" s="4" t="s">
        <v>873</v>
      </c>
      <c r="P146" s="8" t="n">
        <v>2</v>
      </c>
      <c r="Q146" s="41"/>
      <c r="R146" s="13"/>
      <c r="S146" s="42" t="n">
        <v>0</v>
      </c>
      <c r="T146" s="42" t="n">
        <v>0</v>
      </c>
      <c r="U146" s="42" t="n">
        <v>0</v>
      </c>
      <c r="V146" s="42" t="n">
        <v>0</v>
      </c>
      <c r="W146" s="42" t="n">
        <v>0</v>
      </c>
      <c r="X146" s="42" t="n">
        <v>0</v>
      </c>
      <c r="Y146" s="42" t="n">
        <v>0</v>
      </c>
      <c r="Z146" s="42" t="n">
        <v>0</v>
      </c>
      <c r="AA146" s="42" t="n">
        <v>0</v>
      </c>
      <c r="AB146" s="42" t="n">
        <v>1</v>
      </c>
      <c r="AC146" s="42" t="n">
        <v>0</v>
      </c>
      <c r="AD146" s="43" t="n">
        <f aca="false">SUMPRODUCT(S146:AC146,INDEX(Diets!$I$5:$S$14,MATCH(Planner!$C$36,Diets!$A$5:$A$14,0),0))</f>
        <v>0</v>
      </c>
      <c r="AE146" s="44" t="n">
        <f aca="false">IF(OR(UPPER(Q146)="Y",AD146&gt;0,AND(Planner!$C$40="Core 71 foods",AY146=0)),0,1)</f>
        <v>1</v>
      </c>
      <c r="AF146" s="45" t="n">
        <v>0</v>
      </c>
      <c r="AG146" s="45" t="n">
        <v>0</v>
      </c>
      <c r="AH146" s="45" t="n">
        <v>0</v>
      </c>
      <c r="AI146" s="45" t="n">
        <v>1</v>
      </c>
      <c r="AJ146" s="8"/>
      <c r="AK146" s="4"/>
      <c r="AL146" s="31" t="n">
        <v>579</v>
      </c>
      <c r="AM146" s="31" t="n">
        <v>21.15</v>
      </c>
      <c r="AN146" s="31" t="n">
        <v>21.55</v>
      </c>
      <c r="AO146" s="31" t="n">
        <v>49.93</v>
      </c>
      <c r="AP146" s="31" t="n">
        <v>12.5</v>
      </c>
      <c r="AQ146" s="31" t="n">
        <v>4.35</v>
      </c>
      <c r="AR146" s="31" t="n">
        <v>269</v>
      </c>
      <c r="AS146" s="31" t="n">
        <v>3.71</v>
      </c>
      <c r="AT146" s="31" t="n">
        <v>733</v>
      </c>
      <c r="AU146" s="31" t="n">
        <v>1</v>
      </c>
      <c r="AV146" s="31" t="n">
        <v>0</v>
      </c>
      <c r="AW146" s="31" t="n">
        <v>3.802</v>
      </c>
      <c r="AX146" s="4" t="s">
        <v>218</v>
      </c>
      <c r="AY146" s="43" t="n">
        <v>1</v>
      </c>
      <c r="AZ146" s="23" t="n">
        <f aca="false">AM146/M146</f>
        <v>10.1198734177215</v>
      </c>
      <c r="BA146" s="18" t="n">
        <f aca="false">AL146/M146</f>
        <v>277.040506329114</v>
      </c>
      <c r="BB146" s="4" t="s">
        <v>874</v>
      </c>
      <c r="BC146" s="4" t="s">
        <v>875</v>
      </c>
      <c r="BD146" s="4" t="s">
        <v>876</v>
      </c>
    </row>
    <row r="147" customFormat="false" ht="15" hidden="false" customHeight="false" outlineLevel="0" collapsed="false">
      <c r="A147" s="4" t="n">
        <v>142</v>
      </c>
      <c r="B147" s="55" t="s">
        <v>852</v>
      </c>
      <c r="C147" s="56" t="s">
        <v>870</v>
      </c>
      <c r="D147" s="14" t="s">
        <v>877</v>
      </c>
      <c r="E147" s="4" t="s">
        <v>878</v>
      </c>
      <c r="F147" s="37" t="n">
        <v>0.87</v>
      </c>
      <c r="G147" s="34" t="n">
        <v>203</v>
      </c>
      <c r="H147" s="30" t="n">
        <v>0.67</v>
      </c>
      <c r="I147" s="38" t="n">
        <f aca="false">F147/(G147*H147)*100</f>
        <v>0.639658848614072</v>
      </c>
      <c r="J147" s="4"/>
      <c r="K147" s="4"/>
      <c r="L147" s="4"/>
      <c r="M147" s="40" t="n">
        <f aca="false">IF(AND(IF(Planner!$C$39="BLS U.S. average (Sep 2026)",1,0)=1,L147&lt;&gt;""),L147,I147)</f>
        <v>0.639658848614072</v>
      </c>
      <c r="N147" s="13" t="n">
        <v>68</v>
      </c>
      <c r="O147" s="4" t="s">
        <v>879</v>
      </c>
      <c r="P147" s="8" t="n">
        <v>2</v>
      </c>
      <c r="Q147" s="41"/>
      <c r="R147" s="13"/>
      <c r="S147" s="42" t="n">
        <v>0</v>
      </c>
      <c r="T147" s="42" t="n">
        <v>0</v>
      </c>
      <c r="U147" s="42" t="n">
        <v>0</v>
      </c>
      <c r="V147" s="42" t="n">
        <v>0</v>
      </c>
      <c r="W147" s="42" t="n">
        <v>0</v>
      </c>
      <c r="X147" s="42" t="n">
        <v>0</v>
      </c>
      <c r="Y147" s="42" t="n">
        <v>0</v>
      </c>
      <c r="Z147" s="42" t="n">
        <v>0</v>
      </c>
      <c r="AA147" s="42" t="n">
        <v>0</v>
      </c>
      <c r="AB147" s="42" t="n">
        <v>0</v>
      </c>
      <c r="AC147" s="42" t="n">
        <v>0</v>
      </c>
      <c r="AD147" s="43" t="n">
        <f aca="false">SUMPRODUCT(S147:AC147,INDEX(Diets!$I$5:$S$14,MATCH(Planner!$C$36,Diets!$A$5:$A$14,0),0))</f>
        <v>0</v>
      </c>
      <c r="AE147" s="44" t="n">
        <f aca="false">IF(OR(UPPER(Q147)="Y",AD147&gt;0,AND(Planner!$C$40="Core 71 foods",AY147=0)),0,1)</f>
        <v>1</v>
      </c>
      <c r="AF147" s="45" t="n">
        <v>0</v>
      </c>
      <c r="AG147" s="45" t="n">
        <v>0.5</v>
      </c>
      <c r="AH147" s="45" t="n">
        <v>0.5</v>
      </c>
      <c r="AI147" s="45" t="n">
        <v>0</v>
      </c>
      <c r="AJ147" s="8"/>
      <c r="AK147" s="4"/>
      <c r="AL147" s="31" t="n">
        <v>167</v>
      </c>
      <c r="AM147" s="31" t="n">
        <v>1.96</v>
      </c>
      <c r="AN147" s="31" t="n">
        <v>8.64</v>
      </c>
      <c r="AO147" s="31" t="n">
        <v>15.41</v>
      </c>
      <c r="AP147" s="31" t="n">
        <v>6.8</v>
      </c>
      <c r="AQ147" s="31" t="n">
        <v>0.3</v>
      </c>
      <c r="AR147" s="31" t="n">
        <v>13</v>
      </c>
      <c r="AS147" s="31" t="n">
        <v>0.61</v>
      </c>
      <c r="AT147" s="31" t="n">
        <v>507</v>
      </c>
      <c r="AU147" s="31" t="n">
        <v>8</v>
      </c>
      <c r="AV147" s="31" t="n">
        <v>8.8</v>
      </c>
      <c r="AW147" s="31" t="n">
        <v>2.126</v>
      </c>
      <c r="AX147" s="4" t="s">
        <v>218</v>
      </c>
      <c r="AY147" s="43" t="n">
        <v>1</v>
      </c>
      <c r="AZ147" s="23" t="n">
        <f aca="false">AM147/M147</f>
        <v>3.06413333333333</v>
      </c>
      <c r="BA147" s="18" t="n">
        <f aca="false">AL147/M147</f>
        <v>261.076666666667</v>
      </c>
      <c r="BB147" s="4" t="s">
        <v>880</v>
      </c>
      <c r="BC147" s="4" t="s">
        <v>881</v>
      </c>
      <c r="BD147" s="4" t="s">
        <v>882</v>
      </c>
    </row>
    <row r="148" customFormat="false" ht="15" hidden="false" customHeight="false" outlineLevel="0" collapsed="false">
      <c r="A148" s="4" t="n">
        <v>143</v>
      </c>
      <c r="B148" s="57" t="s">
        <v>883</v>
      </c>
      <c r="C148" s="58" t="s">
        <v>117</v>
      </c>
      <c r="D148" s="14" t="s">
        <v>884</v>
      </c>
      <c r="E148" s="4" t="s">
        <v>885</v>
      </c>
      <c r="F148" s="46" t="n">
        <v>3.02</v>
      </c>
      <c r="G148" s="34" t="n">
        <v>368.5</v>
      </c>
      <c r="H148" s="30" t="n">
        <v>1</v>
      </c>
      <c r="I148" s="38" t="n">
        <f aca="false">F148/(G148*H148)*100</f>
        <v>0.819538670284939</v>
      </c>
      <c r="J148" s="39" t="n">
        <v>5.152</v>
      </c>
      <c r="K148" s="34" t="n">
        <v>453.6</v>
      </c>
      <c r="L148" s="38" t="n">
        <f aca="false">J148/(K148*H148)*100</f>
        <v>1.1358024691358</v>
      </c>
      <c r="M148" s="40" t="n">
        <f aca="false">IF(AND(IF(Planner!$C$39="BLS U.S. average (Sep 2026)",1,0)=1,L148&lt;&gt;""),L148,I148)</f>
        <v>0.819538670284939</v>
      </c>
      <c r="N148" s="13" t="n">
        <v>26</v>
      </c>
      <c r="O148" s="4" t="s">
        <v>886</v>
      </c>
      <c r="P148" s="8" t="n">
        <v>1</v>
      </c>
      <c r="Q148" s="41"/>
      <c r="R148" s="13"/>
      <c r="S148" s="42" t="n">
        <v>0</v>
      </c>
      <c r="T148" s="42" t="n">
        <v>0</v>
      </c>
      <c r="U148" s="42" t="n">
        <v>0</v>
      </c>
      <c r="V148" s="42" t="n">
        <v>0</v>
      </c>
      <c r="W148" s="42" t="n">
        <v>1</v>
      </c>
      <c r="X148" s="42" t="n">
        <v>1</v>
      </c>
      <c r="Y148" s="42" t="n">
        <v>1</v>
      </c>
      <c r="Z148" s="42" t="n">
        <v>0</v>
      </c>
      <c r="AA148" s="42" t="n">
        <v>0</v>
      </c>
      <c r="AB148" s="42" t="n">
        <v>0</v>
      </c>
      <c r="AC148" s="42" t="n">
        <v>0</v>
      </c>
      <c r="AD148" s="43" t="n">
        <f aca="false">SUMPRODUCT(S148:AC148,INDEX(Diets!$I$5:$S$14,MATCH(Planner!$C$36,Diets!$A$5:$A$14,0),0))</f>
        <v>0</v>
      </c>
      <c r="AE148" s="44" t="n">
        <f aca="false">IF(OR(UPPER(Q148)="Y",AD148&gt;0,AND(Planner!$C$40="Core 71 foods",AY148=0)),0,1)</f>
        <v>1</v>
      </c>
      <c r="AF148" s="45" t="n">
        <v>0</v>
      </c>
      <c r="AG148" s="45" t="n">
        <v>0</v>
      </c>
      <c r="AH148" s="45" t="n">
        <v>0</v>
      </c>
      <c r="AI148" s="45" t="n">
        <v>1</v>
      </c>
      <c r="AJ148" s="8"/>
      <c r="AK148" s="4" t="s">
        <v>887</v>
      </c>
      <c r="AL148" s="31" t="n">
        <v>492</v>
      </c>
      <c r="AM148" s="31" t="n">
        <v>5.1</v>
      </c>
      <c r="AN148" s="31" t="n">
        <v>65.36</v>
      </c>
      <c r="AO148" s="31" t="n">
        <v>24.72</v>
      </c>
      <c r="AP148" s="31" t="n">
        <v>2</v>
      </c>
      <c r="AQ148" s="31" t="n">
        <v>32.9</v>
      </c>
      <c r="AR148" s="31" t="n">
        <v>21</v>
      </c>
      <c r="AS148" s="31" t="n">
        <v>5.58</v>
      </c>
      <c r="AT148" s="31" t="n">
        <v>171</v>
      </c>
      <c r="AU148" s="31" t="n">
        <v>311</v>
      </c>
      <c r="AV148" s="31" t="n">
        <v>0</v>
      </c>
      <c r="AW148" s="31" t="n">
        <v>8.091</v>
      </c>
      <c r="AX148" s="4" t="s">
        <v>218</v>
      </c>
      <c r="AY148" s="43" t="n">
        <v>1</v>
      </c>
      <c r="AZ148" s="23" t="n">
        <f aca="false">AM148/M148</f>
        <v>6.22301324503311</v>
      </c>
      <c r="BA148" s="18" t="n">
        <f aca="false">AL148/M148</f>
        <v>600.337748344371</v>
      </c>
      <c r="BB148" s="4" t="s">
        <v>888</v>
      </c>
      <c r="BC148" s="4" t="s">
        <v>889</v>
      </c>
      <c r="BD148" s="4" t="s">
        <v>890</v>
      </c>
    </row>
    <row r="149" customFormat="false" ht="15" hidden="false" customHeight="false" outlineLevel="0" collapsed="false">
      <c r="A149" s="4" t="n">
        <v>144</v>
      </c>
      <c r="B149" s="57" t="s">
        <v>883</v>
      </c>
      <c r="C149" s="58" t="s">
        <v>117</v>
      </c>
      <c r="D149" s="14" t="s">
        <v>891</v>
      </c>
      <c r="E149" s="4" t="s">
        <v>892</v>
      </c>
      <c r="F149" s="46" t="n">
        <v>2.28</v>
      </c>
      <c r="G149" s="34" t="n">
        <v>238.1</v>
      </c>
      <c r="H149" s="30" t="n">
        <v>1</v>
      </c>
      <c r="I149" s="38" t="n">
        <f aca="false">F149/(G149*H149)*100</f>
        <v>0.957580848383032</v>
      </c>
      <c r="J149" s="4"/>
      <c r="K149" s="4"/>
      <c r="L149" s="4"/>
      <c r="M149" s="40" t="n">
        <f aca="false">IF(AND(IF(Planner!$C$39="BLS U.S. average (Sep 2026)",1,0)=1,L149&lt;&gt;""),L149,I149)</f>
        <v>0.957580848383032</v>
      </c>
      <c r="N149" s="13" t="n">
        <v>24</v>
      </c>
      <c r="O149" s="4" t="s">
        <v>893</v>
      </c>
      <c r="P149" s="8" t="n">
        <v>2</v>
      </c>
      <c r="Q149" s="41"/>
      <c r="R149" s="13"/>
      <c r="S149" s="42" t="n">
        <v>0</v>
      </c>
      <c r="T149" s="42" t="n">
        <v>0</v>
      </c>
      <c r="U149" s="42" t="n">
        <v>0</v>
      </c>
      <c r="V149" s="42" t="n">
        <v>0</v>
      </c>
      <c r="W149" s="42" t="n">
        <v>0</v>
      </c>
      <c r="X149" s="42" t="n">
        <v>1</v>
      </c>
      <c r="Y149" s="42" t="n">
        <v>1</v>
      </c>
      <c r="Z149" s="42" t="n">
        <v>0</v>
      </c>
      <c r="AA149" s="42" t="n">
        <v>0</v>
      </c>
      <c r="AB149" s="42" t="n">
        <v>0</v>
      </c>
      <c r="AC149" s="42" t="n">
        <v>0</v>
      </c>
      <c r="AD149" s="43" t="n">
        <f aca="false">SUMPRODUCT(S149:AC149,INDEX(Diets!$I$5:$S$14,MATCH(Planner!$C$36,Diets!$A$5:$A$14,0),0))</f>
        <v>0</v>
      </c>
      <c r="AE149" s="44" t="n">
        <f aca="false">IF(OR(UPPER(Q149)="Y",AD149&gt;0,AND(Planner!$C$40="Core 71 foods",AY149=0)),0,1)</f>
        <v>1</v>
      </c>
      <c r="AF149" s="45" t="n">
        <v>0</v>
      </c>
      <c r="AG149" s="45" t="n">
        <v>0</v>
      </c>
      <c r="AH149" s="45" t="n">
        <v>0</v>
      </c>
      <c r="AI149" s="45" t="n">
        <v>1</v>
      </c>
      <c r="AJ149" s="8"/>
      <c r="AK149" s="4" t="s">
        <v>887</v>
      </c>
      <c r="AL149" s="31" t="n">
        <v>418</v>
      </c>
      <c r="AM149" s="31" t="n">
        <v>5.65</v>
      </c>
      <c r="AN149" s="31" t="n">
        <v>70.2</v>
      </c>
      <c r="AO149" s="31" t="n">
        <v>16.57</v>
      </c>
      <c r="AP149" s="31" t="n">
        <v>3.8</v>
      </c>
      <c r="AQ149" s="31" t="n">
        <v>28.92</v>
      </c>
      <c r="AR149" s="31" t="n">
        <v>41</v>
      </c>
      <c r="AS149" s="31" t="n">
        <v>2.19</v>
      </c>
      <c r="AT149" s="31" t="n">
        <v>237</v>
      </c>
      <c r="AU149" s="31" t="n">
        <v>251</v>
      </c>
      <c r="AV149" s="31" t="n">
        <v>0</v>
      </c>
      <c r="AW149" s="31" t="n">
        <v>6.061</v>
      </c>
      <c r="AX149" s="4" t="s">
        <v>218</v>
      </c>
      <c r="AY149" s="43" t="n">
        <v>1</v>
      </c>
      <c r="AZ149" s="23" t="n">
        <f aca="false">AM149/M149</f>
        <v>5.9002850877193</v>
      </c>
      <c r="BA149" s="18" t="n">
        <f aca="false">AL149/M149</f>
        <v>436.516666666667</v>
      </c>
      <c r="BB149" s="4" t="s">
        <v>894</v>
      </c>
      <c r="BC149" s="4" t="s">
        <v>895</v>
      </c>
      <c r="BD149" s="4" t="s">
        <v>387</v>
      </c>
    </row>
    <row r="150" customFormat="false" ht="15" hidden="false" customHeight="false" outlineLevel="0" collapsed="false">
      <c r="A150" s="4" t="n">
        <v>145</v>
      </c>
      <c r="B150" s="57" t="s">
        <v>883</v>
      </c>
      <c r="C150" s="58" t="s">
        <v>117</v>
      </c>
      <c r="D150" s="14" t="s">
        <v>896</v>
      </c>
      <c r="E150" s="4" t="s">
        <v>897</v>
      </c>
      <c r="F150" s="37" t="n">
        <v>1.87</v>
      </c>
      <c r="G150" s="34" t="n">
        <v>226.8</v>
      </c>
      <c r="H150" s="30" t="n">
        <v>1</v>
      </c>
      <c r="I150" s="38" t="n">
        <f aca="false">F150/(G150*H150)*100</f>
        <v>0.824514991181658</v>
      </c>
      <c r="J150" s="39" t="n">
        <v>6.668</v>
      </c>
      <c r="K150" s="34" t="n">
        <v>453.6</v>
      </c>
      <c r="L150" s="38" t="n">
        <f aca="false">J150/(K150*H150)*100</f>
        <v>1.4700176366843</v>
      </c>
      <c r="M150" s="40" t="n">
        <f aca="false">IF(AND(IF(Planner!$C$39="BLS U.S. average (Sep 2026)",1,0)=1,L150&lt;&gt;""),L150,I150)</f>
        <v>0.824514991181658</v>
      </c>
      <c r="N150" s="13" t="n">
        <v>28</v>
      </c>
      <c r="O150" s="4" t="s">
        <v>417</v>
      </c>
      <c r="P150" s="8" t="n">
        <v>1</v>
      </c>
      <c r="Q150" s="41"/>
      <c r="R150" s="13"/>
      <c r="S150" s="42" t="n">
        <v>0</v>
      </c>
      <c r="T150" s="42" t="n">
        <v>0</v>
      </c>
      <c r="U150" s="42" t="n">
        <v>0</v>
      </c>
      <c r="V150" s="42" t="n">
        <v>0</v>
      </c>
      <c r="W150" s="42" t="n">
        <v>0</v>
      </c>
      <c r="X150" s="42" t="n">
        <v>0</v>
      </c>
      <c r="Y150" s="42" t="n">
        <v>0</v>
      </c>
      <c r="Z150" s="42" t="n">
        <v>0</v>
      </c>
      <c r="AA150" s="42" t="n">
        <v>0</v>
      </c>
      <c r="AB150" s="42" t="n">
        <v>0</v>
      </c>
      <c r="AC150" s="42" t="n">
        <v>0</v>
      </c>
      <c r="AD150" s="43" t="n">
        <f aca="false">SUMPRODUCT(S150:AC150,INDEX(Diets!$I$5:$S$14,MATCH(Planner!$C$36,Diets!$A$5:$A$14,0),0))</f>
        <v>0</v>
      </c>
      <c r="AE150" s="44" t="n">
        <f aca="false">IF(OR(UPPER(Q150)="Y",AD150&gt;0,AND(Planner!$C$40="Core 71 foods",AY150=0)),0,1)</f>
        <v>1</v>
      </c>
      <c r="AF150" s="45" t="n">
        <v>0</v>
      </c>
      <c r="AG150" s="45" t="n">
        <v>0</v>
      </c>
      <c r="AH150" s="45" t="n">
        <v>0</v>
      </c>
      <c r="AI150" s="45" t="n">
        <v>1</v>
      </c>
      <c r="AJ150" s="8"/>
      <c r="AK150" s="4" t="s">
        <v>887</v>
      </c>
      <c r="AL150" s="31" t="n">
        <v>532</v>
      </c>
      <c r="AM150" s="31" t="n">
        <v>6.39</v>
      </c>
      <c r="AN150" s="31" t="n">
        <v>53.83</v>
      </c>
      <c r="AO150" s="31" t="n">
        <v>33.98</v>
      </c>
      <c r="AP150" s="31" t="n">
        <v>3.1</v>
      </c>
      <c r="AQ150" s="31" t="n">
        <v>0.33</v>
      </c>
      <c r="AR150" s="31" t="n">
        <v>21</v>
      </c>
      <c r="AS150" s="31" t="n">
        <v>1.28</v>
      </c>
      <c r="AT150" s="31" t="n">
        <v>1196</v>
      </c>
      <c r="AU150" s="31" t="n">
        <v>527</v>
      </c>
      <c r="AV150" s="31" t="n">
        <v>21.6</v>
      </c>
      <c r="AW150" s="31" t="n">
        <v>3.4</v>
      </c>
      <c r="AX150" s="4" t="s">
        <v>218</v>
      </c>
      <c r="AY150" s="43" t="n">
        <v>1</v>
      </c>
      <c r="AZ150" s="23" t="n">
        <f aca="false">AM150/M150</f>
        <v>7.75001069518716</v>
      </c>
      <c r="BA150" s="18" t="n">
        <f aca="false">AL150/M150</f>
        <v>645.227807486631</v>
      </c>
      <c r="BB150" s="4" t="s">
        <v>898</v>
      </c>
      <c r="BC150" s="4" t="s">
        <v>899</v>
      </c>
      <c r="BD150" s="4" t="s">
        <v>900</v>
      </c>
    </row>
    <row r="151" customFormat="false" ht="15" hidden="false" customHeight="false" outlineLevel="0" collapsed="false">
      <c r="A151" s="4" t="n">
        <v>146</v>
      </c>
      <c r="B151" s="57" t="s">
        <v>883</v>
      </c>
      <c r="C151" s="58" t="s">
        <v>117</v>
      </c>
      <c r="D151" s="14" t="s">
        <v>901</v>
      </c>
      <c r="E151" s="4" t="s">
        <v>861</v>
      </c>
      <c r="F151" s="37" t="n">
        <v>3.12</v>
      </c>
      <c r="G151" s="34" t="n">
        <v>792</v>
      </c>
      <c r="H151" s="30" t="n">
        <v>1</v>
      </c>
      <c r="I151" s="38" t="n">
        <f aca="false">F151/(G151*H151)*100</f>
        <v>0.393939393939394</v>
      </c>
      <c r="J151" s="39" t="n">
        <v>5.931</v>
      </c>
      <c r="K151" s="34" t="n">
        <v>1056</v>
      </c>
      <c r="L151" s="38" t="n">
        <f aca="false">J151/(K151*H151)*100</f>
        <v>0.561647727272727</v>
      </c>
      <c r="M151" s="40" t="n">
        <f aca="false">IF(AND(IF(Planner!$C$39="BLS U.S. average (Sep 2026)",1,0)=1,L151&lt;&gt;""),L151,I151)</f>
        <v>0.393939393939394</v>
      </c>
      <c r="N151" s="13" t="n">
        <v>66</v>
      </c>
      <c r="O151" s="4" t="s">
        <v>312</v>
      </c>
      <c r="P151" s="8" t="n">
        <v>1</v>
      </c>
      <c r="Q151" s="41"/>
      <c r="R151" s="13"/>
      <c r="S151" s="42" t="n">
        <v>0</v>
      </c>
      <c r="T151" s="42" t="n">
        <v>0</v>
      </c>
      <c r="U151" s="42" t="n">
        <v>0</v>
      </c>
      <c r="V151" s="42" t="n">
        <v>0</v>
      </c>
      <c r="W151" s="42" t="n">
        <v>0</v>
      </c>
      <c r="X151" s="42" t="n">
        <v>1</v>
      </c>
      <c r="Y151" s="42" t="n">
        <v>0</v>
      </c>
      <c r="Z151" s="42" t="n">
        <v>0</v>
      </c>
      <c r="AA151" s="42" t="n">
        <v>0</v>
      </c>
      <c r="AB151" s="42" t="n">
        <v>0</v>
      </c>
      <c r="AC151" s="42" t="n">
        <v>0</v>
      </c>
      <c r="AD151" s="43" t="n">
        <f aca="false">SUMPRODUCT(S151:AC151,INDEX(Diets!$I$5:$S$14,MATCH(Planner!$C$36,Diets!$A$5:$A$14,0),0))</f>
        <v>0</v>
      </c>
      <c r="AE151" s="44" t="n">
        <f aca="false">IF(OR(UPPER(Q151)="Y",AD151&gt;0,AND(Planner!$C$40="Core 71 foods",AY151=0)),0,1)</f>
        <v>1</v>
      </c>
      <c r="AF151" s="45" t="n">
        <v>0</v>
      </c>
      <c r="AG151" s="45" t="n">
        <v>0</v>
      </c>
      <c r="AH151" s="45" t="n">
        <v>0</v>
      </c>
      <c r="AI151" s="45" t="n">
        <v>1</v>
      </c>
      <c r="AJ151" s="8"/>
      <c r="AK151" s="4" t="s">
        <v>887</v>
      </c>
      <c r="AL151" s="31" t="n">
        <v>207</v>
      </c>
      <c r="AM151" s="31" t="n">
        <v>3.5</v>
      </c>
      <c r="AN151" s="31" t="n">
        <v>23.6</v>
      </c>
      <c r="AO151" s="31" t="n">
        <v>11</v>
      </c>
      <c r="AP151" s="31" t="n">
        <v>0.7</v>
      </c>
      <c r="AQ151" s="31" t="n">
        <v>21.22</v>
      </c>
      <c r="AR151" s="31" t="n">
        <v>128</v>
      </c>
      <c r="AS151" s="31" t="n">
        <v>0.09</v>
      </c>
      <c r="AT151" s="31" t="n">
        <v>199</v>
      </c>
      <c r="AU151" s="31" t="n">
        <v>80</v>
      </c>
      <c r="AV151" s="31" t="n">
        <v>0.6</v>
      </c>
      <c r="AW151" s="31" t="n">
        <v>6.79</v>
      </c>
      <c r="AX151" s="4" t="s">
        <v>218</v>
      </c>
      <c r="AY151" s="43" t="n">
        <v>1</v>
      </c>
      <c r="AZ151" s="23" t="n">
        <f aca="false">AM151/M151</f>
        <v>8.88461538461538</v>
      </c>
      <c r="BA151" s="18" t="n">
        <f aca="false">AL151/M151</f>
        <v>525.461538461539</v>
      </c>
      <c r="BB151" s="4" t="s">
        <v>902</v>
      </c>
      <c r="BC151" s="4" t="s">
        <v>903</v>
      </c>
      <c r="BD151" s="4" t="s">
        <v>904</v>
      </c>
    </row>
  </sheetData>
  <autoFilter ref="A5:BD151"/>
  <conditionalFormatting sqref="A6:D151">
    <cfRule type="expression" priority="2" aboveAverage="0" equalAverage="0" bottom="0" percent="0" rank="0" text="" dxfId="15">
      <formula>$AE6=0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0"/>
    <col collapsed="false" customWidth="true" hidden="false" outlineLevel="0" max="21" min="3" style="0" width="10"/>
  </cols>
  <sheetData>
    <row r="1" customFormat="false" ht="17.35" hidden="false" customHeight="false" outlineLevel="0" collapsed="false">
      <c r="A1" s="1" t="s">
        <v>905</v>
      </c>
    </row>
    <row r="2" customFormat="false" ht="15" hidden="false" customHeight="false" outlineLevel="0" collapsed="false">
      <c r="A2" s="2" t="s">
        <v>906</v>
      </c>
    </row>
    <row r="4" customFormat="false" ht="39.75" hidden="false" customHeight="true" outlineLevel="0" collapsed="false">
      <c r="A4" s="16" t="s">
        <v>80</v>
      </c>
      <c r="B4" s="16" t="s">
        <v>907</v>
      </c>
      <c r="C4" s="16" t="s">
        <v>908</v>
      </c>
      <c r="D4" s="16" t="s">
        <v>909</v>
      </c>
      <c r="E4" s="16" t="s">
        <v>910</v>
      </c>
      <c r="F4" s="16" t="s">
        <v>911</v>
      </c>
      <c r="G4" s="16" t="s">
        <v>912</v>
      </c>
      <c r="H4" s="16" t="s">
        <v>913</v>
      </c>
      <c r="I4" s="16" t="s">
        <v>914</v>
      </c>
      <c r="J4" s="16" t="s">
        <v>915</v>
      </c>
      <c r="K4" s="16" t="s">
        <v>916</v>
      </c>
      <c r="L4" s="16" t="s">
        <v>917</v>
      </c>
      <c r="M4" s="16" t="s">
        <v>918</v>
      </c>
      <c r="N4" s="16" t="s">
        <v>919</v>
      </c>
      <c r="O4" s="16" t="s">
        <v>920</v>
      </c>
      <c r="P4" s="16" t="s">
        <v>921</v>
      </c>
      <c r="Q4" s="16" t="s">
        <v>922</v>
      </c>
      <c r="R4" s="16" t="s">
        <v>923</v>
      </c>
      <c r="S4" s="16" t="s">
        <v>924</v>
      </c>
      <c r="T4" s="16" t="s">
        <v>925</v>
      </c>
      <c r="U4" s="16" t="s">
        <v>926</v>
      </c>
    </row>
    <row r="5" customFormat="false" ht="15" hidden="false" customHeight="false" outlineLevel="0" collapsed="false">
      <c r="A5" s="14" t="s">
        <v>81</v>
      </c>
      <c r="B5" s="27" t="s">
        <v>927</v>
      </c>
      <c r="C5" s="30" t="n">
        <v>0.1</v>
      </c>
      <c r="D5" s="30" t="n">
        <v>0.35</v>
      </c>
      <c r="E5" s="30" t="n">
        <v>0.45</v>
      </c>
      <c r="F5" s="30" t="n">
        <v>0.65</v>
      </c>
      <c r="G5" s="30" t="n">
        <v>0.2</v>
      </c>
      <c r="H5" s="30" t="n">
        <v>0.35</v>
      </c>
      <c r="I5" s="42" t="n">
        <v>0</v>
      </c>
      <c r="J5" s="42" t="n">
        <v>0</v>
      </c>
      <c r="K5" s="42" t="n">
        <v>0</v>
      </c>
      <c r="L5" s="42" t="n">
        <v>0</v>
      </c>
      <c r="M5" s="42" t="n">
        <v>0</v>
      </c>
      <c r="N5" s="42" t="n">
        <v>0</v>
      </c>
      <c r="O5" s="42" t="n">
        <v>0</v>
      </c>
      <c r="P5" s="42" t="n">
        <v>0</v>
      </c>
      <c r="Q5" s="42" t="n">
        <v>0</v>
      </c>
      <c r="R5" s="42" t="n">
        <v>0</v>
      </c>
      <c r="S5" s="42" t="n">
        <v>0</v>
      </c>
      <c r="T5" s="59"/>
      <c r="U5" s="45"/>
    </row>
    <row r="6" customFormat="false" ht="15" hidden="false" customHeight="false" outlineLevel="0" collapsed="false">
      <c r="A6" s="14" t="s">
        <v>928</v>
      </c>
      <c r="B6" s="27" t="s">
        <v>929</v>
      </c>
      <c r="C6" s="30" t="n">
        <v>0.25</v>
      </c>
      <c r="D6" s="30" t="n">
        <v>0.35</v>
      </c>
      <c r="E6" s="30" t="n">
        <v>0.4</v>
      </c>
      <c r="F6" s="30" t="n">
        <v>0.55</v>
      </c>
      <c r="G6" s="30" t="n">
        <v>0.2</v>
      </c>
      <c r="H6" s="30" t="n">
        <v>0.3</v>
      </c>
      <c r="I6" s="42" t="n">
        <v>0</v>
      </c>
      <c r="J6" s="42" t="n">
        <v>0</v>
      </c>
      <c r="K6" s="42" t="n">
        <v>0</v>
      </c>
      <c r="L6" s="42" t="n">
        <v>0</v>
      </c>
      <c r="M6" s="42" t="n">
        <v>0</v>
      </c>
      <c r="N6" s="42" t="n">
        <v>0</v>
      </c>
      <c r="O6" s="42" t="n">
        <v>0</v>
      </c>
      <c r="P6" s="42" t="n">
        <v>0</v>
      </c>
      <c r="Q6" s="42" t="n">
        <v>0</v>
      </c>
      <c r="R6" s="42" t="n">
        <v>0</v>
      </c>
      <c r="S6" s="42" t="n">
        <v>0</v>
      </c>
      <c r="T6" s="59"/>
      <c r="U6" s="45"/>
    </row>
    <row r="7" customFormat="false" ht="23.85" hidden="false" customHeight="false" outlineLevel="0" collapsed="false">
      <c r="A7" s="14" t="s">
        <v>930</v>
      </c>
      <c r="B7" s="27" t="s">
        <v>931</v>
      </c>
      <c r="C7" s="30" t="n">
        <v>0.2</v>
      </c>
      <c r="D7" s="30" t="n">
        <v>0.35</v>
      </c>
      <c r="E7" s="30" t="n">
        <v>0.2</v>
      </c>
      <c r="F7" s="30" t="n">
        <v>0.35</v>
      </c>
      <c r="G7" s="30" t="n">
        <v>0.35</v>
      </c>
      <c r="H7" s="30" t="n">
        <v>0.5</v>
      </c>
      <c r="I7" s="42" t="n">
        <v>0</v>
      </c>
      <c r="J7" s="42" t="n">
        <v>0</v>
      </c>
      <c r="K7" s="42" t="n">
        <v>0</v>
      </c>
      <c r="L7" s="42" t="n">
        <v>0</v>
      </c>
      <c r="M7" s="42" t="n">
        <v>0</v>
      </c>
      <c r="N7" s="42" t="n">
        <v>0</v>
      </c>
      <c r="O7" s="42" t="n">
        <v>0</v>
      </c>
      <c r="P7" s="42" t="n">
        <v>0</v>
      </c>
      <c r="Q7" s="42" t="n">
        <v>0</v>
      </c>
      <c r="R7" s="42" t="n">
        <v>0</v>
      </c>
      <c r="S7" s="42" t="n">
        <v>0</v>
      </c>
      <c r="T7" s="59"/>
      <c r="U7" s="45"/>
    </row>
    <row r="8" customFormat="false" ht="15" hidden="false" customHeight="false" outlineLevel="0" collapsed="false">
      <c r="A8" s="14" t="s">
        <v>932</v>
      </c>
      <c r="B8" s="27" t="s">
        <v>933</v>
      </c>
      <c r="C8" s="30" t="n">
        <v>0.1</v>
      </c>
      <c r="D8" s="30" t="n">
        <v>0.35</v>
      </c>
      <c r="E8" s="30" t="n">
        <v>0.45</v>
      </c>
      <c r="F8" s="30" t="n">
        <v>0.65</v>
      </c>
      <c r="G8" s="30" t="n">
        <v>0.2</v>
      </c>
      <c r="H8" s="30" t="n">
        <v>0.35</v>
      </c>
      <c r="I8" s="42" t="n">
        <v>1</v>
      </c>
      <c r="J8" s="42" t="n">
        <v>1</v>
      </c>
      <c r="K8" s="42" t="n">
        <v>1</v>
      </c>
      <c r="L8" s="42" t="n">
        <v>1</v>
      </c>
      <c r="M8" s="42" t="n">
        <v>0</v>
      </c>
      <c r="N8" s="42" t="n">
        <v>0</v>
      </c>
      <c r="O8" s="42" t="n">
        <v>0</v>
      </c>
      <c r="P8" s="42" t="n">
        <v>0</v>
      </c>
      <c r="Q8" s="42" t="n">
        <v>0</v>
      </c>
      <c r="R8" s="42" t="n">
        <v>0</v>
      </c>
      <c r="S8" s="42" t="n">
        <v>0</v>
      </c>
      <c r="T8" s="59"/>
      <c r="U8" s="45"/>
    </row>
    <row r="9" customFormat="false" ht="15" hidden="false" customHeight="false" outlineLevel="0" collapsed="false">
      <c r="A9" s="14" t="s">
        <v>934</v>
      </c>
      <c r="B9" s="27" t="s">
        <v>935</v>
      </c>
      <c r="C9" s="30" t="n">
        <v>0.1</v>
      </c>
      <c r="D9" s="30" t="n">
        <v>0.35</v>
      </c>
      <c r="E9" s="30" t="n">
        <v>0.45</v>
      </c>
      <c r="F9" s="30" t="n">
        <v>0.65</v>
      </c>
      <c r="G9" s="30" t="n">
        <v>0.2</v>
      </c>
      <c r="H9" s="30" t="n">
        <v>0.35</v>
      </c>
      <c r="I9" s="42" t="n">
        <v>1</v>
      </c>
      <c r="J9" s="42" t="n">
        <v>1</v>
      </c>
      <c r="K9" s="42" t="n">
        <v>1</v>
      </c>
      <c r="L9" s="42" t="n">
        <v>1</v>
      </c>
      <c r="M9" s="42" t="n">
        <v>1</v>
      </c>
      <c r="N9" s="42" t="n">
        <v>1</v>
      </c>
      <c r="O9" s="42" t="n">
        <v>0</v>
      </c>
      <c r="P9" s="42" t="n">
        <v>0</v>
      </c>
      <c r="Q9" s="42" t="n">
        <v>0</v>
      </c>
      <c r="R9" s="42" t="n">
        <v>0</v>
      </c>
      <c r="S9" s="42" t="n">
        <v>0</v>
      </c>
      <c r="T9" s="59"/>
      <c r="U9" s="45"/>
    </row>
    <row r="10" customFormat="false" ht="15" hidden="false" customHeight="false" outlineLevel="0" collapsed="false">
      <c r="A10" s="14" t="s">
        <v>936</v>
      </c>
      <c r="B10" s="27" t="s">
        <v>937</v>
      </c>
      <c r="C10" s="30" t="n">
        <v>0.1</v>
      </c>
      <c r="D10" s="30" t="n">
        <v>0.35</v>
      </c>
      <c r="E10" s="30" t="n">
        <v>0.45</v>
      </c>
      <c r="F10" s="30" t="n">
        <v>0.65</v>
      </c>
      <c r="G10" s="30" t="n">
        <v>0.2</v>
      </c>
      <c r="H10" s="30" t="n">
        <v>0.35</v>
      </c>
      <c r="I10" s="42" t="n">
        <v>1</v>
      </c>
      <c r="J10" s="42" t="n">
        <v>1</v>
      </c>
      <c r="K10" s="42" t="n">
        <v>1</v>
      </c>
      <c r="L10" s="42" t="n">
        <v>0</v>
      </c>
      <c r="M10" s="42" t="n">
        <v>0</v>
      </c>
      <c r="N10" s="42" t="n">
        <v>0</v>
      </c>
      <c r="O10" s="42" t="n">
        <v>0</v>
      </c>
      <c r="P10" s="42" t="n">
        <v>0</v>
      </c>
      <c r="Q10" s="42" t="n">
        <v>0</v>
      </c>
      <c r="R10" s="42" t="n">
        <v>0</v>
      </c>
      <c r="S10" s="42" t="n">
        <v>0</v>
      </c>
      <c r="T10" s="59"/>
      <c r="U10" s="45"/>
    </row>
    <row r="11" customFormat="false" ht="15" hidden="false" customHeight="false" outlineLevel="0" collapsed="false">
      <c r="A11" s="14" t="s">
        <v>938</v>
      </c>
      <c r="B11" s="27" t="s">
        <v>939</v>
      </c>
      <c r="C11" s="30" t="n">
        <v>0.1</v>
      </c>
      <c r="D11" s="30" t="n">
        <v>0.35</v>
      </c>
      <c r="E11" s="30" t="n">
        <v>0.45</v>
      </c>
      <c r="F11" s="30" t="n">
        <v>0.65</v>
      </c>
      <c r="G11" s="30" t="n">
        <v>0.2</v>
      </c>
      <c r="H11" s="30" t="n">
        <v>0.35</v>
      </c>
      <c r="I11" s="42" t="n">
        <v>0</v>
      </c>
      <c r="J11" s="42" t="n">
        <v>0</v>
      </c>
      <c r="K11" s="42" t="n">
        <v>0</v>
      </c>
      <c r="L11" s="42" t="n">
        <v>0</v>
      </c>
      <c r="M11" s="42" t="n">
        <v>0</v>
      </c>
      <c r="N11" s="42" t="n">
        <v>0</v>
      </c>
      <c r="O11" s="42" t="n">
        <v>1</v>
      </c>
      <c r="P11" s="42" t="n">
        <v>0</v>
      </c>
      <c r="Q11" s="42" t="n">
        <v>0</v>
      </c>
      <c r="R11" s="42" t="n">
        <v>0</v>
      </c>
      <c r="S11" s="42" t="n">
        <v>0</v>
      </c>
      <c r="T11" s="59"/>
      <c r="U11" s="45"/>
    </row>
    <row r="12" customFormat="false" ht="15" hidden="false" customHeight="false" outlineLevel="0" collapsed="false">
      <c r="A12" s="14" t="s">
        <v>940</v>
      </c>
      <c r="B12" s="27" t="s">
        <v>941</v>
      </c>
      <c r="C12" s="30" t="n">
        <v>0.1</v>
      </c>
      <c r="D12" s="30" t="n">
        <v>0.35</v>
      </c>
      <c r="E12" s="30" t="n">
        <v>0.45</v>
      </c>
      <c r="F12" s="30" t="n">
        <v>0.65</v>
      </c>
      <c r="G12" s="30" t="n">
        <v>0.2</v>
      </c>
      <c r="H12" s="30" t="n">
        <v>0.35</v>
      </c>
      <c r="I12" s="42" t="n">
        <v>0</v>
      </c>
      <c r="J12" s="42" t="n">
        <v>1</v>
      </c>
      <c r="K12" s="42" t="n">
        <v>0</v>
      </c>
      <c r="L12" s="42" t="n">
        <v>0</v>
      </c>
      <c r="M12" s="42" t="n">
        <v>0</v>
      </c>
      <c r="N12" s="42" t="n">
        <v>0</v>
      </c>
      <c r="O12" s="42" t="n">
        <v>0</v>
      </c>
      <c r="P12" s="42" t="n">
        <v>0</v>
      </c>
      <c r="Q12" s="42" t="n">
        <v>0</v>
      </c>
      <c r="R12" s="42" t="n">
        <v>0</v>
      </c>
      <c r="S12" s="42" t="n">
        <v>0</v>
      </c>
      <c r="T12" s="59"/>
      <c r="U12" s="45"/>
    </row>
    <row r="13" customFormat="false" ht="15" hidden="false" customHeight="false" outlineLevel="0" collapsed="false">
      <c r="A13" s="14" t="s">
        <v>942</v>
      </c>
      <c r="B13" s="27" t="s">
        <v>943</v>
      </c>
      <c r="C13" s="30" t="n">
        <v>0.1</v>
      </c>
      <c r="D13" s="30" t="n">
        <v>0.35</v>
      </c>
      <c r="E13" s="30" t="n">
        <v>0.45</v>
      </c>
      <c r="F13" s="30" t="n">
        <v>0.65</v>
      </c>
      <c r="G13" s="30" t="n">
        <v>0.2</v>
      </c>
      <c r="H13" s="30" t="n">
        <v>0.35</v>
      </c>
      <c r="I13" s="42" t="n">
        <v>0</v>
      </c>
      <c r="J13" s="42" t="n">
        <v>0</v>
      </c>
      <c r="K13" s="42" t="n">
        <v>0</v>
      </c>
      <c r="L13" s="42" t="n">
        <v>0</v>
      </c>
      <c r="M13" s="42" t="n">
        <v>0</v>
      </c>
      <c r="N13" s="42" t="n">
        <v>1</v>
      </c>
      <c r="O13" s="42" t="n">
        <v>0</v>
      </c>
      <c r="P13" s="42" t="n">
        <v>0</v>
      </c>
      <c r="Q13" s="42" t="n">
        <v>0</v>
      </c>
      <c r="R13" s="42" t="n">
        <v>0</v>
      </c>
      <c r="S13" s="42" t="n">
        <v>0</v>
      </c>
      <c r="T13" s="59"/>
      <c r="U13" s="45"/>
    </row>
    <row r="14" customFormat="false" ht="23.85" hidden="false" customHeight="false" outlineLevel="0" collapsed="false">
      <c r="A14" s="14" t="s">
        <v>944</v>
      </c>
      <c r="B14" s="27" t="s">
        <v>945</v>
      </c>
      <c r="C14" s="30" t="n">
        <v>0.15</v>
      </c>
      <c r="D14" s="30" t="n">
        <v>0.21</v>
      </c>
      <c r="E14" s="30" t="n">
        <v>0.52</v>
      </c>
      <c r="F14" s="30" t="n">
        <v>0.58</v>
      </c>
      <c r="G14" s="30" t="n">
        <v>0.24</v>
      </c>
      <c r="H14" s="30" t="n">
        <v>0.3</v>
      </c>
      <c r="I14" s="42" t="n">
        <v>0</v>
      </c>
      <c r="J14" s="42" t="n">
        <v>0</v>
      </c>
      <c r="K14" s="42" t="n">
        <v>0</v>
      </c>
      <c r="L14" s="42" t="n">
        <v>0</v>
      </c>
      <c r="M14" s="42" t="n">
        <v>0</v>
      </c>
      <c r="N14" s="42" t="n">
        <v>0</v>
      </c>
      <c r="O14" s="42" t="n">
        <v>0</v>
      </c>
      <c r="P14" s="42" t="n">
        <v>0</v>
      </c>
      <c r="Q14" s="42" t="n">
        <v>0</v>
      </c>
      <c r="R14" s="42" t="n">
        <v>0</v>
      </c>
      <c r="S14" s="42" t="n">
        <v>0</v>
      </c>
      <c r="T14" s="59" t="n">
        <v>1500</v>
      </c>
      <c r="U14" s="45" t="n">
        <v>0.06</v>
      </c>
    </row>
    <row r="16" customFormat="false" ht="15" hidden="false" customHeight="false" outlineLevel="0" collapsed="false">
      <c r="A16" s="2" t="s">
        <v>946</v>
      </c>
    </row>
    <row r="17" customFormat="false" ht="15" hidden="false" customHeight="false" outlineLevel="0" collapsed="false">
      <c r="A17" s="2" t="s">
        <v>947</v>
      </c>
    </row>
    <row r="18" customFormat="false" ht="15" hidden="false" customHeight="false" outlineLevel="0" collapsed="false">
      <c r="A18" s="2" t="s">
        <v>948</v>
      </c>
    </row>
    <row r="19" customFormat="false" ht="15" hidden="false" customHeight="false" outlineLevel="0" collapsed="false">
      <c r="A19" s="2" t="s">
        <v>949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2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3" topLeftCell="F14" activePane="bottomRight" state="frozen"/>
      <selection pane="topLeft" activeCell="A1" activeCellId="0" sqref="A1"/>
      <selection pane="topRight" activeCell="F1" activeCellId="0" sqref="F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5" min="3" style="0" width="13"/>
    <col collapsed="false" customWidth="true" hidden="false" outlineLevel="0" max="151" min="6" style="0" width="10"/>
  </cols>
  <sheetData>
    <row r="1" customFormat="false" ht="17.35" hidden="false" customHeight="false" outlineLevel="0" collapsed="false">
      <c r="A1" s="1" t="s">
        <v>950</v>
      </c>
    </row>
    <row r="2" customFormat="false" ht="15" hidden="false" customHeight="false" outlineLevel="0" collapsed="false">
      <c r="A2" s="2" t="s">
        <v>951</v>
      </c>
    </row>
    <row r="4" customFormat="false" ht="15" hidden="false" customHeight="false" outlineLevel="0" collapsed="false">
      <c r="B4" s="15" t="s">
        <v>952</v>
      </c>
      <c r="C4" s="60" t="str">
        <f aca="false">Planner!$C$36</f>
        <v>Balanced</v>
      </c>
    </row>
    <row r="7" customFormat="false" ht="15" hidden="false" customHeight="false" outlineLevel="0" collapsed="false">
      <c r="B7" s="16" t="s">
        <v>953</v>
      </c>
      <c r="C7" s="16" t="s">
        <v>954</v>
      </c>
      <c r="D7" s="16" t="s">
        <v>955</v>
      </c>
    </row>
    <row r="8" customFormat="false" ht="15" hidden="false" customHeight="false" outlineLevel="0" collapsed="false">
      <c r="B8" s="4" t="s">
        <v>956</v>
      </c>
      <c r="C8" s="61" t="n">
        <f aca="false">INDEX(Diets!$C$5:$C$14,MATCH(Planner!$C$36,Diets!$A$5:$A$14,0))</f>
        <v>0.1</v>
      </c>
      <c r="D8" s="61" t="n">
        <f aca="false">INDEX(Diets!$D$5:$D$14,MATCH(Planner!$C$36,Diets!$A$5:$A$14,0))</f>
        <v>0.35</v>
      </c>
    </row>
    <row r="9" customFormat="false" ht="15" hidden="false" customHeight="false" outlineLevel="0" collapsed="false">
      <c r="B9" s="4" t="s">
        <v>957</v>
      </c>
      <c r="C9" s="61" t="n">
        <f aca="false">INDEX(Diets!$E$5:$E$14,MATCH(Planner!$C$36,Diets!$A$5:$A$14,0))</f>
        <v>0.45</v>
      </c>
      <c r="D9" s="61" t="n">
        <f aca="false">INDEX(Diets!$F$5:$F$14,MATCH(Planner!$C$36,Diets!$A$5:$A$14,0))</f>
        <v>0.65</v>
      </c>
    </row>
    <row r="10" customFormat="false" ht="15" hidden="false" customHeight="false" outlineLevel="0" collapsed="false">
      <c r="B10" s="4" t="s">
        <v>958</v>
      </c>
      <c r="C10" s="61" t="n">
        <f aca="false">INDEX(Diets!$G$5:$G$14,MATCH(Planner!$C$36,Diets!$A$5:$A$14,0))</f>
        <v>0.2</v>
      </c>
      <c r="D10" s="61" t="n">
        <f aca="false">INDEX(Diets!$H$5:$H$14,MATCH(Planner!$C$36,Diets!$A$5:$A$14,0))</f>
        <v>0.35</v>
      </c>
    </row>
    <row r="11" customFormat="false" ht="15" hidden="false" customHeight="false" outlineLevel="0" collapsed="false">
      <c r="B11" s="4" t="s">
        <v>959</v>
      </c>
      <c r="D11" s="61" t="n">
        <f aca="false">IF(INDEX(Diets!$U$5:$U$14,MATCH(Planner!$C$36,Diets!$A$5:$A$14,0))="",1,INDEX(Diets!$U$5:$U$14,MATCH(Planner!$C$36,Diets!$A$5:$A$14,0)))</f>
        <v>1</v>
      </c>
    </row>
    <row r="12" customFormat="false" ht="15" hidden="false" customHeight="false" outlineLevel="0" collapsed="false">
      <c r="A12" s="3" t="s">
        <v>960</v>
      </c>
    </row>
    <row r="13" customFormat="false" ht="57.75" hidden="false" customHeight="true" outlineLevel="0" collapsed="false">
      <c r="B13" s="62" t="s">
        <v>161</v>
      </c>
      <c r="F13" s="63" t="str">
        <f aca="false">'Food Data'!D6</f>
        <v>Chicken breast (boneless, skinless)</v>
      </c>
      <c r="G13" s="63" t="str">
        <f aca="false">'Food Data'!D7</f>
        <v>Chicken drumsticks (bone-in)</v>
      </c>
      <c r="H13" s="63" t="str">
        <f aca="false">'Food Data'!D8</f>
        <v>Chicken thighs (boneless, skinless)</v>
      </c>
      <c r="I13" s="63" t="str">
        <f aca="false">'Food Data'!D9</f>
        <v>Deli turkey breast (sliced)</v>
      </c>
      <c r="J13" s="63" t="str">
        <f aca="false">'Food Data'!D10</f>
        <v>Ground turkey 93/7</v>
      </c>
      <c r="K13" s="63" t="str">
        <f aca="false">'Food Data'!D11</f>
        <v>Whole chicken</v>
      </c>
      <c r="L13" s="63" t="str">
        <f aca="false">'Food Data'!D12</f>
        <v>Bacon</v>
      </c>
      <c r="M13" s="63" t="str">
        <f aca="false">'Food Data'!D13</f>
        <v>Beef for stew (boneless)</v>
      </c>
      <c r="N13" s="63" t="str">
        <f aca="false">'Food Data'!D14</f>
        <v>Ground beef 80/20</v>
      </c>
      <c r="O13" s="63" t="str">
        <f aca="false">'Food Data'!D15</f>
        <v>Ground beef 93/7 (lean)</v>
      </c>
      <c r="P13" s="63" t="str">
        <f aca="false">'Food Data'!D16</f>
        <v>Ham (sliced, cooked)</v>
      </c>
      <c r="Q13" s="63" t="str">
        <f aca="false">'Food Data'!D17</f>
        <v>Pork loin chops (boneless)</v>
      </c>
      <c r="R13" s="63" t="str">
        <f aca="false">'Food Data'!D18</f>
        <v>Round steak (boneless)</v>
      </c>
      <c r="S13" s="63" t="str">
        <f aca="false">'Food Data'!D19</f>
        <v>Top sirloin steak</v>
      </c>
      <c r="T13" s="63" t="str">
        <f aca="false">'Food Data'!D20</f>
        <v>Canned light tuna (in water)</v>
      </c>
      <c r="U13" s="63" t="str">
        <f aca="false">'Food Data'!D21</f>
        <v>Salmon (Atlantic, fillet)</v>
      </c>
      <c r="V13" s="63" t="str">
        <f aca="false">'Food Data'!D22</f>
        <v>Shrimp (raw, peeled)</v>
      </c>
      <c r="W13" s="63" t="str">
        <f aca="false">'Food Data'!D23</f>
        <v>Tilapia (fillet)</v>
      </c>
      <c r="X13" s="63" t="str">
        <f aca="false">'Food Data'!D24</f>
        <v>Eggs (large)</v>
      </c>
      <c r="Y13" s="63" t="str">
        <f aca="false">'Food Data'!D25</f>
        <v>Black beans (canned)</v>
      </c>
      <c r="Z13" s="63" t="str">
        <f aca="false">'Food Data'!D26</f>
        <v>Black beans (dry)</v>
      </c>
      <c r="AA13" s="63" t="str">
        <f aca="false">'Food Data'!D27</f>
        <v>Black-eyed peas (canned)</v>
      </c>
      <c r="AB13" s="63" t="str">
        <f aca="false">'Food Data'!D28</f>
        <v>Black-eyed peas (dry)</v>
      </c>
      <c r="AC13" s="63" t="str">
        <f aca="false">'Food Data'!D29</f>
        <v>Chickpeas (canned)</v>
      </c>
      <c r="AD13" s="63" t="str">
        <f aca="false">'Food Data'!D30</f>
        <v>Great northern beans (canned)</v>
      </c>
      <c r="AE13" s="63" t="str">
        <f aca="false">'Food Data'!D31</f>
        <v>Great northern beans (dry)</v>
      </c>
      <c r="AF13" s="63" t="str">
        <f aca="false">'Food Data'!D32</f>
        <v>Kidney beans (canned)</v>
      </c>
      <c r="AG13" s="63" t="str">
        <f aca="false">'Food Data'!D33</f>
        <v>Kidney beans (dry)</v>
      </c>
      <c r="AH13" s="63" t="str">
        <f aca="false">'Food Data'!D34</f>
        <v>Lentils (dry)</v>
      </c>
      <c r="AI13" s="63" t="str">
        <f aca="false">'Food Data'!D35</f>
        <v>Lima beans (dry)</v>
      </c>
      <c r="AJ13" s="63" t="str">
        <f aca="false">'Food Data'!D36</f>
        <v>Navy beans (canned)</v>
      </c>
      <c r="AK13" s="63" t="str">
        <f aca="false">'Food Data'!D37</f>
        <v>Navy beans (dry)</v>
      </c>
      <c r="AL13" s="63" t="str">
        <f aca="false">'Food Data'!D38</f>
        <v>Peanut butter</v>
      </c>
      <c r="AM13" s="63" t="str">
        <f aca="false">'Food Data'!D39</f>
        <v>Pinto beans (canned)</v>
      </c>
      <c r="AN13" s="63" t="str">
        <f aca="false">'Food Data'!D40</f>
        <v>Pinto beans (dry)</v>
      </c>
      <c r="AO13" s="63" t="str">
        <f aca="false">'Food Data'!D41</f>
        <v>Tofu (extra firm)</v>
      </c>
      <c r="AP13" s="64" t="str">
        <f aca="false">'Food Data'!D42</f>
        <v>2% milk</v>
      </c>
      <c r="AQ13" s="64" t="str">
        <f aca="false">'Food Data'!D43</f>
        <v>Greek yogurt (plain, nonfat)</v>
      </c>
      <c r="AR13" s="64" t="str">
        <f aca="false">'Food Data'!D44</f>
        <v>Soy milk (calcium-fortified)</v>
      </c>
      <c r="AS13" s="64" t="str">
        <f aca="false">'Food Data'!D45</f>
        <v>Whole milk</v>
      </c>
      <c r="AT13" s="64" t="str">
        <f aca="false">'Food Data'!D46</f>
        <v>American cheese (singles)</v>
      </c>
      <c r="AU13" s="64" t="str">
        <f aca="false">'Food Data'!D47</f>
        <v>Cheddar cheese</v>
      </c>
      <c r="AV13" s="64" t="str">
        <f aca="false">'Food Data'!D48</f>
        <v>Cottage cheese (2%)</v>
      </c>
      <c r="AW13" s="64" t="str">
        <f aca="false">'Food Data'!D49</f>
        <v>Mozzarella string cheese</v>
      </c>
      <c r="AX13" s="65" t="str">
        <f aca="false">'Food Data'!D50</f>
        <v>Bagels (plain)</v>
      </c>
      <c r="AY13" s="65" t="str">
        <f aca="false">'Food Data'!D51</f>
        <v>Brown rice (dry)</v>
      </c>
      <c r="AZ13" s="65" t="str">
        <f aca="false">'Food Data'!D52</f>
        <v>Cheerios</v>
      </c>
      <c r="BA13" s="65" t="str">
        <f aca="false">'Food Data'!D53</f>
        <v>Corn tortillas</v>
      </c>
      <c r="BB13" s="65" t="str">
        <f aca="false">'Food Data'!D54</f>
        <v>Flour tortillas</v>
      </c>
      <c r="BC13" s="65" t="str">
        <f aca="false">'Food Data'!D55</f>
        <v>Quinoa (dry)</v>
      </c>
      <c r="BD13" s="65" t="str">
        <f aca="false">'Food Data'!D56</f>
        <v>Rolled oats (dry)</v>
      </c>
      <c r="BE13" s="65" t="str">
        <f aca="false">'Food Data'!D57</f>
        <v>Spaghetti (dry)</v>
      </c>
      <c r="BF13" s="65" t="str">
        <f aca="false">'Food Data'!D58</f>
        <v>White bread</v>
      </c>
      <c r="BG13" s="65" t="str">
        <f aca="false">'Food Data'!D59</f>
        <v>White rice (dry)</v>
      </c>
      <c r="BH13" s="65" t="str">
        <f aca="false">'Food Data'!D60</f>
        <v>Whole-wheat bread</v>
      </c>
      <c r="BI13" s="65" t="str">
        <f aca="false">'Food Data'!D61</f>
        <v>Whole-wheat spaghetti (dry)</v>
      </c>
      <c r="BJ13" s="65" t="str">
        <f aca="false">'Food Data'!D62</f>
        <v>Baby lima beans (frozen)</v>
      </c>
      <c r="BK13" s="65" t="str">
        <f aca="false">'Food Data'!D63</f>
        <v>Corn (canned)</v>
      </c>
      <c r="BL13" s="65" t="str">
        <f aca="false">'Food Data'!D64</f>
        <v>Corn (frozen)</v>
      </c>
      <c r="BM13" s="65" t="str">
        <f aca="false">'Food Data'!D65</f>
        <v>French fries (frozen)</v>
      </c>
      <c r="BN13" s="65" t="str">
        <f aca="false">'Food Data'!D66</f>
        <v>Green peas (canned)</v>
      </c>
      <c r="BO13" s="65" t="str">
        <f aca="false">'Food Data'!D67</f>
        <v>Green peas (frozen)</v>
      </c>
      <c r="BP13" s="65" t="str">
        <f aca="false">'Food Data'!D68</f>
        <v>Potatoes (russet)</v>
      </c>
      <c r="BQ13" s="65" t="str">
        <f aca="false">'Food Data'!D69</f>
        <v>Sweet potatoes</v>
      </c>
      <c r="BR13" s="66" t="str">
        <f aca="false">'Food Data'!D70</f>
        <v>Apples (Gala)</v>
      </c>
      <c r="BS13" s="66" t="str">
        <f aca="false">'Food Data'!D71</f>
        <v>Applesauce (unsweetened)</v>
      </c>
      <c r="BT13" s="66" t="str">
        <f aca="false">'Food Data'!D72</f>
        <v>Bananas</v>
      </c>
      <c r="BU13" s="66" t="str">
        <f aca="false">'Food Data'!D73</f>
        <v>Blackberries</v>
      </c>
      <c r="BV13" s="66" t="str">
        <f aca="false">'Food Data'!D74</f>
        <v>Blueberries (frozen)</v>
      </c>
      <c r="BW13" s="66" t="str">
        <f aca="false">'Food Data'!D75</f>
        <v>Cantaloupe</v>
      </c>
      <c r="BX13" s="66" t="str">
        <f aca="false">'Food Data'!D76</f>
        <v>Cherries</v>
      </c>
      <c r="BY13" s="66" t="str">
        <f aca="false">'Food Data'!D77</f>
        <v>Clementines</v>
      </c>
      <c r="BZ13" s="66" t="str">
        <f aca="false">'Food Data'!D78</f>
        <v>Dates (pitted)</v>
      </c>
      <c r="CA13" s="66" t="str">
        <f aca="false">'Food Data'!D79</f>
        <v>Dried apricots</v>
      </c>
      <c r="CB13" s="66" t="str">
        <f aca="false">'Food Data'!D80</f>
        <v>Dried cranberries (sweetened)</v>
      </c>
      <c r="CC13" s="66" t="str">
        <f aca="false">'Food Data'!D81</f>
        <v>Fruit cocktail (canned in juice)</v>
      </c>
      <c r="CD13" s="66" t="str">
        <f aca="false">'Food Data'!D82</f>
        <v>Grapefruit</v>
      </c>
      <c r="CE13" s="66" t="str">
        <f aca="false">'Food Data'!D83</f>
        <v>Grapes (red seedless)</v>
      </c>
      <c r="CF13" s="66" t="str">
        <f aca="false">'Food Data'!D84</f>
        <v>Honeydew melon</v>
      </c>
      <c r="CG13" s="66" t="str">
        <f aca="false">'Food Data'!D85</f>
        <v>Kiwifruit</v>
      </c>
      <c r="CH13" s="66" t="str">
        <f aca="false">'Food Data'!D86</f>
        <v>Mango</v>
      </c>
      <c r="CI13" s="66" t="str">
        <f aca="false">'Food Data'!D87</f>
        <v>Nectarines</v>
      </c>
      <c r="CJ13" s="66" t="str">
        <f aca="false">'Food Data'!D88</f>
        <v>Orange juice (100%)</v>
      </c>
      <c r="CK13" s="66" t="str">
        <f aca="false">'Food Data'!D89</f>
        <v>Oranges (navel)</v>
      </c>
      <c r="CL13" s="66" t="str">
        <f aca="false">'Food Data'!D90</f>
        <v>Papaya</v>
      </c>
      <c r="CM13" s="66" t="str">
        <f aca="false">'Food Data'!D91</f>
        <v>Peaches</v>
      </c>
      <c r="CN13" s="66" t="str">
        <f aca="false">'Food Data'!D92</f>
        <v>Peaches (canned in juice)</v>
      </c>
      <c r="CO13" s="66" t="str">
        <f aca="false">'Food Data'!D93</f>
        <v>Pears</v>
      </c>
      <c r="CP13" s="66" t="str">
        <f aca="false">'Food Data'!D94</f>
        <v>Pears (canned in juice)</v>
      </c>
      <c r="CQ13" s="66" t="str">
        <f aca="false">'Food Data'!D95</f>
        <v>Pineapple</v>
      </c>
      <c r="CR13" s="66" t="str">
        <f aca="false">'Food Data'!D96</f>
        <v>Pineapple (canned in juice)</v>
      </c>
      <c r="CS13" s="66" t="str">
        <f aca="false">'Food Data'!D97</f>
        <v>Plums</v>
      </c>
      <c r="CT13" s="66" t="str">
        <f aca="false">'Food Data'!D98</f>
        <v>Prunes (pitted)</v>
      </c>
      <c r="CU13" s="66" t="str">
        <f aca="false">'Food Data'!D99</f>
        <v>Raisins</v>
      </c>
      <c r="CV13" s="66" t="str">
        <f aca="false">'Food Data'!D100</f>
        <v>Raspberries</v>
      </c>
      <c r="CW13" s="66" t="str">
        <f aca="false">'Food Data'!D101</f>
        <v>Strawberries</v>
      </c>
      <c r="CX13" s="66" t="str">
        <f aca="false">'Food Data'!D102</f>
        <v>Strawberries (frozen)</v>
      </c>
      <c r="CY13" s="66" t="str">
        <f aca="false">'Food Data'!D103</f>
        <v>Watermelon</v>
      </c>
      <c r="CZ13" s="67" t="str">
        <f aca="false">'Food Data'!D104</f>
        <v>Acorn squash</v>
      </c>
      <c r="DA13" s="67" t="str">
        <f aca="false">'Food Data'!D105</f>
        <v>Asparagus</v>
      </c>
      <c r="DB13" s="67" t="str">
        <f aca="false">'Food Data'!D106</f>
        <v>Baby carrots</v>
      </c>
      <c r="DC13" s="67" t="str">
        <f aca="false">'Food Data'!D107</f>
        <v>Beets (canned)</v>
      </c>
      <c r="DD13" s="67" t="str">
        <f aca="false">'Food Data'!D108</f>
        <v>Broccoli (frozen)</v>
      </c>
      <c r="DE13" s="67" t="str">
        <f aca="false">'Food Data'!D109</f>
        <v>Brussels sprouts (frozen)</v>
      </c>
      <c r="DF13" s="67" t="str">
        <f aca="false">'Food Data'!D110</f>
        <v>Butternut squash</v>
      </c>
      <c r="DG13" s="67" t="str">
        <f aca="false">'Food Data'!D111</f>
        <v>Cabbage (green)</v>
      </c>
      <c r="DH13" s="67" t="str">
        <f aca="false">'Food Data'!D112</f>
        <v>Cabbage (red)</v>
      </c>
      <c r="DI13" s="67" t="str">
        <f aca="false">'Food Data'!D113</f>
        <v>Carrots</v>
      </c>
      <c r="DJ13" s="67" t="str">
        <f aca="false">'Food Data'!D114</f>
        <v>Carrots (canned)</v>
      </c>
      <c r="DK13" s="67" t="str">
        <f aca="false">'Food Data'!D115</f>
        <v>Carrots (frozen)</v>
      </c>
      <c r="DL13" s="67" t="str">
        <f aca="false">'Food Data'!D116</f>
        <v>Cauliflower (frozen)</v>
      </c>
      <c r="DM13" s="67" t="str">
        <f aca="false">'Food Data'!D117</f>
        <v>Celery</v>
      </c>
      <c r="DN13" s="67" t="str">
        <f aca="false">'Food Data'!D118</f>
        <v>Collard greens</v>
      </c>
      <c r="DO13" s="67" t="str">
        <f aca="false">'Food Data'!D119</f>
        <v>Collard greens (frozen)</v>
      </c>
      <c r="DP13" s="67" t="str">
        <f aca="false">'Food Data'!D120</f>
        <v>Cucumber</v>
      </c>
      <c r="DQ13" s="67" t="str">
        <f aca="false">'Food Data'!D121</f>
        <v>Green beans (canned)</v>
      </c>
      <c r="DR13" s="67" t="str">
        <f aca="false">'Food Data'!D122</f>
        <v>Green beans (frozen)</v>
      </c>
      <c r="DS13" s="67" t="str">
        <f aca="false">'Food Data'!D123</f>
        <v>Green bell pepper</v>
      </c>
      <c r="DT13" s="67" t="str">
        <f aca="false">'Food Data'!D124</f>
        <v>Iceberg lettuce</v>
      </c>
      <c r="DU13" s="67" t="str">
        <f aca="false">'Food Data'!D125</f>
        <v>Kale (frozen)</v>
      </c>
      <c r="DV13" s="67" t="str">
        <f aca="false">'Food Data'!D126</f>
        <v>Mixed vegetables (frozen)</v>
      </c>
      <c r="DW13" s="67" t="str">
        <f aca="false">'Food Data'!D127</f>
        <v>Mushrooms (white)</v>
      </c>
      <c r="DX13" s="67" t="str">
        <f aca="false">'Food Data'!D128</f>
        <v>Mustard greens (frozen)</v>
      </c>
      <c r="DY13" s="67" t="str">
        <f aca="false">'Food Data'!D129</f>
        <v>Okra (frozen)</v>
      </c>
      <c r="DZ13" s="67" t="str">
        <f aca="false">'Food Data'!D130</f>
        <v>Onions (yellow)</v>
      </c>
      <c r="EA13" s="67" t="str">
        <f aca="false">'Food Data'!D131</f>
        <v>Pumpkin (canned)</v>
      </c>
      <c r="EB13" s="67" t="str">
        <f aca="false">'Food Data'!D132</f>
        <v>Radishes</v>
      </c>
      <c r="EC13" s="67" t="str">
        <f aca="false">'Food Data'!D133</f>
        <v>Red bell pepper</v>
      </c>
      <c r="ED13" s="67" t="str">
        <f aca="false">'Food Data'!D134</f>
        <v>Romaine lettuce</v>
      </c>
      <c r="EE13" s="67" t="str">
        <f aca="false">'Food Data'!D135</f>
        <v>Sauerkraut (canned)</v>
      </c>
      <c r="EF13" s="67" t="str">
        <f aca="false">'Food Data'!D136</f>
        <v>Spinach (canned)</v>
      </c>
      <c r="EG13" s="67" t="str">
        <f aca="false">'Food Data'!D137</f>
        <v>Spinach (fresh)</v>
      </c>
      <c r="EH13" s="67" t="str">
        <f aca="false">'Food Data'!D138</f>
        <v>Spinach (frozen)</v>
      </c>
      <c r="EI13" s="67" t="str">
        <f aca="false">'Food Data'!D139</f>
        <v>Tomatoes (canned)</v>
      </c>
      <c r="EJ13" s="67" t="str">
        <f aca="false">'Food Data'!D140</f>
        <v>Tomatoes (roma)</v>
      </c>
      <c r="EK13" s="67" t="str">
        <f aca="false">'Food Data'!D141</f>
        <v>Turnip greens (frozen)</v>
      </c>
      <c r="EL13" s="67" t="str">
        <f aca="false">'Food Data'!D142</f>
        <v>Zucchini</v>
      </c>
      <c r="EM13" s="68" t="str">
        <f aca="false">'Food Data'!D143</f>
        <v>Butter (salted)</v>
      </c>
      <c r="EN13" s="68" t="str">
        <f aca="false">'Food Data'!D144</f>
        <v>Canola oil</v>
      </c>
      <c r="EO13" s="68" t="str">
        <f aca="false">'Food Data'!D145</f>
        <v>Olive oil (extra virgin)</v>
      </c>
      <c r="EP13" s="68" t="str">
        <f aca="false">'Food Data'!D146</f>
        <v>Almonds</v>
      </c>
      <c r="EQ13" s="68" t="str">
        <f aca="false">'Food Data'!D147</f>
        <v>Avocado (Hass)</v>
      </c>
      <c r="ER13" s="69" t="str">
        <f aca="false">'Food Data'!D148</f>
        <v>Chocolate chip cookies</v>
      </c>
      <c r="ES13" s="69" t="str">
        <f aca="false">'Food Data'!D149</f>
        <v>Granola bars (chocolate chip)</v>
      </c>
      <c r="ET13" s="69" t="str">
        <f aca="false">'Food Data'!D150</f>
        <v>Potato chips</v>
      </c>
      <c r="EU13" s="69" t="str">
        <f aca="false">'Food Data'!D151</f>
        <v>Vanilla ice cream</v>
      </c>
    </row>
    <row r="14" customFormat="false" ht="15" hidden="false" customHeight="false" outlineLevel="0" collapsed="false">
      <c r="B14" s="62" t="s">
        <v>961</v>
      </c>
      <c r="F14" s="70" t="n">
        <f aca="false">'Food Data'!M6</f>
        <v>0.72310405643739</v>
      </c>
      <c r="G14" s="70" t="n">
        <f aca="false">'Food Data'!M7</f>
        <v>0.397318960751797</v>
      </c>
      <c r="H14" s="70" t="n">
        <f aca="false">'Food Data'!M8</f>
        <v>0.725308641975309</v>
      </c>
      <c r="I14" s="70" t="n">
        <f aca="false">'Food Data'!M9</f>
        <v>1.31613756613757</v>
      </c>
      <c r="J14" s="70" t="n">
        <f aca="false">'Food Data'!M10</f>
        <v>1.22574955908289</v>
      </c>
      <c r="K14" s="70" t="n">
        <f aca="false">'Food Data'!M11</f>
        <v>0.669156551509493</v>
      </c>
      <c r="L14" s="70" t="n">
        <f aca="false">'Food Data'!M12</f>
        <v>0.934744268077602</v>
      </c>
      <c r="M14" s="70" t="n">
        <f aca="false">'Food Data'!M13</f>
        <v>1.88117283950617</v>
      </c>
      <c r="N14" s="70" t="n">
        <f aca="false">'Food Data'!M14</f>
        <v>1.41754850088183</v>
      </c>
      <c r="O14" s="70" t="n">
        <f aca="false">'Food Data'!M15</f>
        <v>1.73500881834215</v>
      </c>
      <c r="P14" s="70" t="n">
        <f aca="false">'Food Data'!M16</f>
        <v>1.09567901234568</v>
      </c>
      <c r="Q14" s="70" t="n">
        <f aca="false">'Food Data'!M17</f>
        <v>0.919312169312169</v>
      </c>
      <c r="R14" s="70" t="n">
        <f aca="false">'Food Data'!M18</f>
        <v>2.16887125220459</v>
      </c>
      <c r="S14" s="70" t="n">
        <f aca="false">'Food Data'!M19</f>
        <v>2.94096256295569</v>
      </c>
      <c r="T14" s="70" t="n">
        <f aca="false">'Food Data'!M20</f>
        <v>0.857579303752803</v>
      </c>
      <c r="U14" s="70" t="n">
        <f aca="false">'Food Data'!M21</f>
        <v>2.418430335097</v>
      </c>
      <c r="V14" s="70" t="n">
        <f aca="false">'Food Data'!M22</f>
        <v>1.75925925925926</v>
      </c>
      <c r="W14" s="70" t="n">
        <f aca="false">'Food Data'!M23</f>
        <v>0.977733686067019</v>
      </c>
      <c r="X14" s="70" t="n">
        <f aca="false">'Food Data'!M24</f>
        <v>0.278340755753487</v>
      </c>
      <c r="Y14" s="70" t="n">
        <f aca="false">'Food Data'!M25</f>
        <v>0.216368767638758</v>
      </c>
      <c r="Z14" s="70" t="n">
        <f aca="false">'Food Data'!M26</f>
        <v>0.394620811287478</v>
      </c>
      <c r="AA14" s="70" t="n">
        <f aca="false">'Food Data'!M27</f>
        <v>0.345679012345679</v>
      </c>
      <c r="AB14" s="70" t="n">
        <f aca="false">'Food Data'!M28</f>
        <v>0.505731922398589</v>
      </c>
      <c r="AC14" s="70" t="n">
        <f aca="false">'Food Data'!M29</f>
        <v>0.209376422394174</v>
      </c>
      <c r="AD14" s="70" t="n">
        <f aca="false">'Food Data'!M30</f>
        <v>0.283950617283951</v>
      </c>
      <c r="AE14" s="70" t="n">
        <f aca="false">'Food Data'!M31</f>
        <v>0.445767195767196</v>
      </c>
      <c r="AF14" s="70" t="n">
        <f aca="false">'Food Data'!M32</f>
        <v>0.291887125220459</v>
      </c>
      <c r="AG14" s="70" t="n">
        <f aca="false">'Food Data'!M33</f>
        <v>0.475088183421517</v>
      </c>
      <c r="AH14" s="70" t="n">
        <f aca="false">'Food Data'!M34</f>
        <v>0.423280423280423</v>
      </c>
      <c r="AI14" s="70" t="n">
        <f aca="false">'Food Data'!M35</f>
        <v>0.631613756613757</v>
      </c>
      <c r="AJ14" s="70" t="n">
        <f aca="false">'Food Data'!M36</f>
        <v>0.30026455026455</v>
      </c>
      <c r="AK14" s="70" t="n">
        <f aca="false">'Food Data'!M37</f>
        <v>0.405864197530864</v>
      </c>
      <c r="AL14" s="70" t="n">
        <f aca="false">'Food Data'!M38</f>
        <v>0.350970017636684</v>
      </c>
      <c r="AM14" s="70" t="n">
        <f aca="false">'Food Data'!M39</f>
        <v>0.294753086419753</v>
      </c>
      <c r="AN14" s="70" t="n">
        <f aca="false">'Food Data'!M40</f>
        <v>0.218253968253968</v>
      </c>
      <c r="AO14" s="70" t="n">
        <f aca="false">'Food Data'!M41</f>
        <v>0.748299319727891</v>
      </c>
      <c r="AP14" s="70" t="n">
        <f aca="false">'Food Data'!M42</f>
        <v>0.0847848360655738</v>
      </c>
      <c r="AQ14" s="70" t="n">
        <f aca="false">'Food Data'!M43</f>
        <v>0.361552028218695</v>
      </c>
      <c r="AR14" s="70" t="n">
        <f aca="false">'Food Data'!M44</f>
        <v>0.235082304526749</v>
      </c>
      <c r="AS14" s="70" t="n">
        <f aca="false">'Food Data'!M45</f>
        <v>0.0891393442622951</v>
      </c>
      <c r="AT14" s="70" t="n">
        <f aca="false">'Food Data'!M46</f>
        <v>0.54673721340388</v>
      </c>
      <c r="AU14" s="70" t="n">
        <f aca="false">'Food Data'!M47</f>
        <v>0.824514991181658</v>
      </c>
      <c r="AV14" s="70" t="n">
        <f aca="false">'Food Data'!M48</f>
        <v>0.421810699588477</v>
      </c>
      <c r="AW14" s="70" t="n">
        <f aca="false">'Food Data'!M49</f>
        <v>0.96413874191652</v>
      </c>
      <c r="AX14" s="70" t="n">
        <f aca="false">'Food Data'!M50</f>
        <v>0.377425044091711</v>
      </c>
      <c r="AY14" s="70" t="n">
        <f aca="false">'Food Data'!M51</f>
        <v>0.189594356261023</v>
      </c>
      <c r="AZ14" s="70" t="n">
        <f aca="false">'Food Data'!M52</f>
        <v>0.973936899862826</v>
      </c>
      <c r="BA14" s="70" t="n">
        <f aca="false">'Food Data'!M53</f>
        <v>0.313527180783818</v>
      </c>
      <c r="BB14" s="70" t="n">
        <f aca="false">'Food Data'!M54</f>
        <v>0.436507936507937</v>
      </c>
      <c r="BC14" s="70" t="n">
        <f aca="false">'Food Data'!M55</f>
        <v>0.758377425044092</v>
      </c>
      <c r="BD14" s="70" t="n">
        <f aca="false">'Food Data'!M56</f>
        <v>0.36785084404132</v>
      </c>
      <c r="BE14" s="70" t="n">
        <f aca="false">'Food Data'!M57</f>
        <v>0.299823633156967</v>
      </c>
      <c r="BF14" s="70" t="n">
        <f aca="false">'Food Data'!M58</f>
        <v>0.268077601410935</v>
      </c>
      <c r="BG14" s="70" t="n">
        <f aca="false">'Food Data'!M59</f>
        <v>0.109347442680776</v>
      </c>
      <c r="BH14" s="70" t="n">
        <f aca="false">'Food Data'!M60</f>
        <v>0.35626102292769</v>
      </c>
      <c r="BI14" s="70" t="n">
        <f aca="false">'Food Data'!M61</f>
        <v>0.383597883597884</v>
      </c>
      <c r="BJ14" s="70" t="n">
        <f aca="false">'Food Data'!M62</f>
        <v>0.637345679012346</v>
      </c>
      <c r="BK14" s="70" t="n">
        <f aca="false">'Food Data'!M63</f>
        <v>0.296516754850088</v>
      </c>
      <c r="BL14" s="70" t="n">
        <f aca="false">'Food Data'!M64</f>
        <v>0.288065843621399</v>
      </c>
      <c r="BM14" s="70" t="n">
        <f aca="false">'Food Data'!M65</f>
        <v>0.566798941798942</v>
      </c>
      <c r="BN14" s="70" t="n">
        <f aca="false">'Food Data'!M66</f>
        <v>0.345899470899471</v>
      </c>
      <c r="BO14" s="70" t="n">
        <f aca="false">'Food Data'!M67</f>
        <v>0.492724867724868</v>
      </c>
      <c r="BP14" s="70" t="n">
        <f aca="false">'Food Data'!M68</f>
        <v>0.285714285714286</v>
      </c>
      <c r="BQ14" s="70" t="n">
        <f aca="false">'Food Data'!M69</f>
        <v>0.369472205891959</v>
      </c>
      <c r="BR14" s="70" t="n">
        <f aca="false">'Food Data'!M70</f>
        <v>0.320073159579332</v>
      </c>
      <c r="BS14" s="70" t="n">
        <f aca="false">'Food Data'!M71</f>
        <v>0.293871252204586</v>
      </c>
      <c r="BT14" s="70" t="n">
        <f aca="false">'Food Data'!M72</f>
        <v>0.172233245149912</v>
      </c>
      <c r="BU14" s="70" t="n">
        <f aca="false">'Food Data'!M73</f>
        <v>1.66469172545561</v>
      </c>
      <c r="BV14" s="70" t="n">
        <f aca="false">'Food Data'!M74</f>
        <v>0.585684891240447</v>
      </c>
      <c r="BW14" s="70" t="n">
        <f aca="false">'Food Data'!M75</f>
        <v>0.363108206245461</v>
      </c>
      <c r="BX14" s="70" t="n">
        <f aca="false">'Food Data'!M76</f>
        <v>0.930239245456637</v>
      </c>
      <c r="BY14" s="70" t="n">
        <f aca="false">'Food Data'!M77</f>
        <v>0.48157310062072</v>
      </c>
      <c r="BZ14" s="70" t="n">
        <f aca="false">'Food Data'!M78</f>
        <v>1.40123456790123</v>
      </c>
      <c r="CA14" s="70" t="n">
        <f aca="false">'Food Data'!M79</f>
        <v>2.05467372134039</v>
      </c>
      <c r="CB14" s="70" t="n">
        <f aca="false">'Food Data'!M80</f>
        <v>1.2526455026455</v>
      </c>
      <c r="CC14" s="70" t="n">
        <f aca="false">'Food Data'!M81</f>
        <v>0.64484126984127</v>
      </c>
      <c r="CD14" s="70" t="n">
        <f aca="false">'Food Data'!M82</f>
        <v>0.71604938271605</v>
      </c>
      <c r="CE14" s="70" t="n">
        <f aca="false">'Food Data'!M83</f>
        <v>0.429434891240447</v>
      </c>
      <c r="CF14" s="70" t="n">
        <f aca="false">'Food Data'!M84</f>
        <v>0.635495744191396</v>
      </c>
      <c r="CG14" s="70" t="n">
        <f aca="false">'Food Data'!M85</f>
        <v>0.871971595655806</v>
      </c>
      <c r="CH14" s="70" t="n">
        <f aca="false">'Food Data'!M86</f>
        <v>0.480351243262041</v>
      </c>
      <c r="CI14" s="70" t="n">
        <f aca="false">'Food Data'!M87</f>
        <v>0.635938135938136</v>
      </c>
      <c r="CJ14" s="70" t="n">
        <f aca="false">'Food Data'!M88</f>
        <v>0.244670991658943</v>
      </c>
      <c r="CK14" s="70" t="n">
        <f aca="false">'Food Data'!M89</f>
        <v>0.483874105197635</v>
      </c>
      <c r="CL14" s="70" t="n">
        <f aca="false">'Food Data'!M90</f>
        <v>0.49247596290607</v>
      </c>
      <c r="CM14" s="70" t="n">
        <f aca="false">'Food Data'!M91</f>
        <v>0.598453115814227</v>
      </c>
      <c r="CN14" s="70" t="n">
        <f aca="false">'Food Data'!M92</f>
        <v>0.604938271604938</v>
      </c>
      <c r="CO14" s="70" t="n">
        <f aca="false">'Food Data'!M93</f>
        <v>0.497991377621007</v>
      </c>
      <c r="CP14" s="70" t="n">
        <f aca="false">'Food Data'!M94</f>
        <v>0.56657848324515</v>
      </c>
      <c r="CQ14" s="70" t="n">
        <f aca="false">'Food Data'!M95</f>
        <v>0.306480616938133</v>
      </c>
      <c r="CR14" s="70" t="n">
        <f aca="false">'Food Data'!M96</f>
        <v>0.418650793650794</v>
      </c>
      <c r="CS14" s="70" t="n">
        <f aca="false">'Food Data'!M97</f>
        <v>0.661141130999287</v>
      </c>
      <c r="CT14" s="70" t="n">
        <f aca="false">'Food Data'!M98</f>
        <v>1.64351851851852</v>
      </c>
      <c r="CU14" s="70" t="n">
        <f aca="false">'Food Data'!M99</f>
        <v>0.772486772486772</v>
      </c>
      <c r="CV14" s="70" t="n">
        <f aca="false">'Food Data'!M100</f>
        <v>1.94049456202234</v>
      </c>
      <c r="CW14" s="70" t="n">
        <f aca="false">'Food Data'!M101</f>
        <v>0.696555217831814</v>
      </c>
      <c r="CX14" s="70" t="n">
        <f aca="false">'Food Data'!M102</f>
        <v>0.779541446208113</v>
      </c>
      <c r="CY14" s="70" t="n">
        <f aca="false">'Food Data'!M103</f>
        <v>0.182302265635599</v>
      </c>
      <c r="CZ14" s="70" t="n">
        <f aca="false">'Food Data'!M104</f>
        <v>0.38174139051332</v>
      </c>
      <c r="DA14" s="70" t="n">
        <f aca="false">'Food Data'!M105</f>
        <v>1.41675817776447</v>
      </c>
      <c r="DB14" s="70" t="n">
        <f aca="false">'Food Data'!M106</f>
        <v>0.341931216931217</v>
      </c>
      <c r="DC14" s="70" t="n">
        <f aca="false">'Food Data'!M107</f>
        <v>0.305996472663139</v>
      </c>
      <c r="DD14" s="70" t="n">
        <f aca="false">'Food Data'!M108</f>
        <v>0.340975896531452</v>
      </c>
      <c r="DE14" s="70" t="n">
        <f aca="false">'Food Data'!M109</f>
        <v>0.648589065255732</v>
      </c>
      <c r="DF14" s="70" t="n">
        <f aca="false">'Food Data'!M110</f>
        <v>0.353783488704124</v>
      </c>
      <c r="DG14" s="70" t="n">
        <f aca="false">'Food Data'!M111</f>
        <v>0.241402116402116</v>
      </c>
      <c r="DH14" s="70" t="n">
        <f aca="false">'Food Data'!M112</f>
        <v>0.368441358024691</v>
      </c>
      <c r="DI14" s="70" t="n">
        <f aca="false">'Food Data'!M113</f>
        <v>0.279908051443632</v>
      </c>
      <c r="DJ14" s="70" t="n">
        <f aca="false">'Food Data'!M114</f>
        <v>0.32120811287478</v>
      </c>
      <c r="DK14" s="70" t="n">
        <f aca="false">'Food Data'!M115</f>
        <v>0.458112874779541</v>
      </c>
      <c r="DL14" s="70" t="n">
        <f aca="false">'Food Data'!M116</f>
        <v>0.611331569664903</v>
      </c>
      <c r="DM14" s="70" t="n">
        <f aca="false">'Food Data'!M117</f>
        <v>0.34877038622357</v>
      </c>
      <c r="DN14" s="70" t="n">
        <f aca="false">'Food Data'!M118</f>
        <v>1.01836381076147</v>
      </c>
      <c r="DO14" s="70" t="n">
        <f aca="false">'Food Data'!M119</f>
        <v>0.612433862433862</v>
      </c>
      <c r="DP14" s="70" t="n">
        <f aca="false">'Food Data'!M120</f>
        <v>0.263413880252368</v>
      </c>
      <c r="DQ14" s="70" t="n">
        <f aca="false">'Food Data'!M121</f>
        <v>0.204329846752615</v>
      </c>
      <c r="DR14" s="70" t="n">
        <f aca="false">'Food Data'!M122</f>
        <v>0.488756613756614</v>
      </c>
      <c r="DS14" s="70" t="n">
        <f aca="false">'Food Data'!M123</f>
        <v>0.723296888141295</v>
      </c>
      <c r="DT14" s="70" t="n">
        <f aca="false">'Food Data'!M124</f>
        <v>0.379652835793187</v>
      </c>
      <c r="DU14" s="70" t="n">
        <f aca="false">'Food Data'!M125</f>
        <v>0.512786596119929</v>
      </c>
      <c r="DV14" s="70" t="n">
        <f aca="false">'Food Data'!M126</f>
        <v>0.284391534391534</v>
      </c>
      <c r="DW14" s="70" t="n">
        <f aca="false">'Food Data'!M127</f>
        <v>1.00115456644666</v>
      </c>
      <c r="DX14" s="70" t="n">
        <f aca="false">'Food Data'!M128</f>
        <v>0.65652557319224</v>
      </c>
      <c r="DY14" s="70" t="n">
        <f aca="false">'Food Data'!M129</f>
        <v>0.596560846560847</v>
      </c>
      <c r="DZ14" s="70" t="n">
        <f aca="false">'Food Data'!M130</f>
        <v>0.241687896008884</v>
      </c>
      <c r="EA14" s="70" t="n">
        <f aca="false">'Food Data'!M131</f>
        <v>0.506172839506173</v>
      </c>
      <c r="EB14" s="70" t="n">
        <f aca="false">'Food Data'!M132</f>
        <v>0.480844601214972</v>
      </c>
      <c r="EC14" s="70" t="n">
        <f aca="false">'Food Data'!M133</f>
        <v>0.486084225921624</v>
      </c>
      <c r="ED14" s="70" t="n">
        <f aca="false">'Food Data'!M134</f>
        <v>0.776764606551841</v>
      </c>
      <c r="EE14" s="70" t="n">
        <f aca="false">'Food Data'!M135</f>
        <v>0.396604938271605</v>
      </c>
      <c r="EF14" s="70" t="n">
        <f aca="false">'Food Data'!M136</f>
        <v>0.40652557319224</v>
      </c>
      <c r="EG14" s="70" t="n">
        <f aca="false">'Food Data'!M137</f>
        <v>0.694885361552028</v>
      </c>
      <c r="EH14" s="70" t="n">
        <f aca="false">'Food Data'!M138</f>
        <v>0.555114638447972</v>
      </c>
      <c r="EI14" s="70" t="n">
        <f aca="false">'Food Data'!M139</f>
        <v>0.293871252204586</v>
      </c>
      <c r="EJ14" s="70" t="n">
        <f aca="false">'Food Data'!M140</f>
        <v>0.205922824970444</v>
      </c>
      <c r="EK14" s="70" t="n">
        <f aca="false">'Food Data'!M141</f>
        <v>0.65652557319224</v>
      </c>
      <c r="EL14" s="70" t="n">
        <f aca="false">'Food Data'!M142</f>
        <v>0.403323122621368</v>
      </c>
      <c r="EM14" s="70" t="n">
        <f aca="false">'Food Data'!M143</f>
        <v>0.656966490299824</v>
      </c>
      <c r="EN14" s="70" t="n">
        <f aca="false">'Food Data'!M144</f>
        <v>0.311926605504587</v>
      </c>
      <c r="EO14" s="70" t="n">
        <f aca="false">'Food Data'!M145</f>
        <v>1.29774872912128</v>
      </c>
      <c r="EP14" s="70" t="n">
        <f aca="false">'Food Data'!M146</f>
        <v>2.08994708994709</v>
      </c>
      <c r="EQ14" s="70" t="n">
        <f aca="false">'Food Data'!M147</f>
        <v>0.639658848614072</v>
      </c>
      <c r="ER14" s="70" t="n">
        <f aca="false">'Food Data'!M148</f>
        <v>0.819538670284939</v>
      </c>
      <c r="ES14" s="70" t="n">
        <f aca="false">'Food Data'!M149</f>
        <v>0.957580848383032</v>
      </c>
      <c r="ET14" s="70" t="n">
        <f aca="false">'Food Data'!M150</f>
        <v>0.824514991181658</v>
      </c>
      <c r="EU14" s="70" t="n">
        <f aca="false">'Food Data'!M151</f>
        <v>0.393939393939394</v>
      </c>
    </row>
    <row r="15" customFormat="false" ht="15" hidden="false" customHeight="false" outlineLevel="0" collapsed="false">
      <c r="B15" s="62" t="s">
        <v>962</v>
      </c>
      <c r="F15" s="71" t="n">
        <f aca="false">'Food Data'!N6*'Food Data'!P6/100*'Food Data'!AE6</f>
        <v>2.26</v>
      </c>
      <c r="G15" s="71" t="n">
        <f aca="false">'Food Data'!N7*'Food Data'!P7/100*'Food Data'!AE7</f>
        <v>2</v>
      </c>
      <c r="H15" s="71" t="n">
        <f aca="false">'Food Data'!N8*'Food Data'!P8/100*'Food Data'!AE8</f>
        <v>2.26</v>
      </c>
      <c r="I15" s="71" t="n">
        <f aca="false">'Food Data'!N9*'Food Data'!P9/100*'Food Data'!AE9</f>
        <v>1.12</v>
      </c>
      <c r="J15" s="71" t="n">
        <f aca="false">'Food Data'!N10*'Food Data'!P10/100*'Food Data'!AE10</f>
        <v>2.26</v>
      </c>
      <c r="K15" s="71" t="n">
        <f aca="false">'Food Data'!N11*'Food Data'!P11/100*'Food Data'!AE11</f>
        <v>2.26</v>
      </c>
      <c r="L15" s="71" t="n">
        <f aca="false">'Food Data'!N12*'Food Data'!P12/100*'Food Data'!AE12</f>
        <v>0.84</v>
      </c>
      <c r="M15" s="71" t="n">
        <f aca="false">'Food Data'!N13*'Food Data'!P13/100*'Food Data'!AE13</f>
        <v>2.26</v>
      </c>
      <c r="N15" s="71" t="n">
        <f aca="false">'Food Data'!N14*'Food Data'!P14/100*'Food Data'!AE14</f>
        <v>2.26</v>
      </c>
      <c r="O15" s="71" t="n">
        <f aca="false">'Food Data'!N15*'Food Data'!P15/100*'Food Data'!AE15</f>
        <v>2.26</v>
      </c>
      <c r="P15" s="71" t="n">
        <f aca="false">'Food Data'!N16*'Food Data'!P16/100*'Food Data'!AE16</f>
        <v>1.12</v>
      </c>
      <c r="Q15" s="71" t="n">
        <f aca="false">'Food Data'!N17*'Food Data'!P17/100*'Food Data'!AE17</f>
        <v>2.26</v>
      </c>
      <c r="R15" s="71" t="n">
        <f aca="false">'Food Data'!N18*'Food Data'!P18/100*'Food Data'!AE18</f>
        <v>2.26</v>
      </c>
      <c r="S15" s="71" t="n">
        <f aca="false">'Food Data'!N19*'Food Data'!P19/100*'Food Data'!AE19</f>
        <v>2.26</v>
      </c>
      <c r="T15" s="71" t="n">
        <f aca="false">'Food Data'!N20*'Food Data'!P20/100*'Food Data'!AE20</f>
        <v>1.7</v>
      </c>
      <c r="U15" s="71" t="n">
        <f aca="false">'Food Data'!N21*'Food Data'!P21/100*'Food Data'!AE21</f>
        <v>2.26</v>
      </c>
      <c r="V15" s="71" t="n">
        <f aca="false">'Food Data'!N22*'Food Data'!P22/100*'Food Data'!AE22</f>
        <v>2.26</v>
      </c>
      <c r="W15" s="71" t="n">
        <f aca="false">'Food Data'!N23*'Food Data'!P23/100*'Food Data'!AE23</f>
        <v>2.26</v>
      </c>
      <c r="X15" s="71" t="n">
        <f aca="false">'Food Data'!N24*'Food Data'!P24/100*'Food Data'!AE24</f>
        <v>1.5</v>
      </c>
      <c r="Y15" s="71" t="n">
        <f aca="false">'Food Data'!N25*'Food Data'!P25/100*'Food Data'!AE25</f>
        <v>3.6</v>
      </c>
      <c r="Z15" s="71" t="n">
        <f aca="false">'Food Data'!N26*'Food Data'!P26/100*'Food Data'!AE26</f>
        <v>1.44</v>
      </c>
      <c r="AA15" s="71" t="n">
        <f aca="false">'Food Data'!N27*'Food Data'!P27/100*'Food Data'!AE27</f>
        <v>3.6</v>
      </c>
      <c r="AB15" s="71" t="n">
        <f aca="false">'Food Data'!N28*'Food Data'!P28/100*'Food Data'!AE28</f>
        <v>1.44</v>
      </c>
      <c r="AC15" s="71" t="n">
        <f aca="false">'Food Data'!N29*'Food Data'!P29/100*'Food Data'!AE29</f>
        <v>3.6</v>
      </c>
      <c r="AD15" s="71" t="n">
        <f aca="false">'Food Data'!N30*'Food Data'!P30/100*'Food Data'!AE30</f>
        <v>3.6</v>
      </c>
      <c r="AE15" s="71" t="n">
        <f aca="false">'Food Data'!N31*'Food Data'!P31/100*'Food Data'!AE31</f>
        <v>1.44</v>
      </c>
      <c r="AF15" s="71" t="n">
        <f aca="false">'Food Data'!N32*'Food Data'!P32/100*'Food Data'!AE32</f>
        <v>3.6</v>
      </c>
      <c r="AG15" s="71" t="n">
        <f aca="false">'Food Data'!N33*'Food Data'!P33/100*'Food Data'!AE33</f>
        <v>1.44</v>
      </c>
      <c r="AH15" s="71" t="n">
        <f aca="false">'Food Data'!N34*'Food Data'!P34/100*'Food Data'!AE34</f>
        <v>1.44</v>
      </c>
      <c r="AI15" s="71" t="n">
        <f aca="false">'Food Data'!N35*'Food Data'!P35/100*'Food Data'!AE35</f>
        <v>1.44</v>
      </c>
      <c r="AJ15" s="71" t="n">
        <f aca="false">'Food Data'!N36*'Food Data'!P36/100*'Food Data'!AE36</f>
        <v>3.6</v>
      </c>
      <c r="AK15" s="71" t="n">
        <f aca="false">'Food Data'!N37*'Food Data'!P37/100*'Food Data'!AE37</f>
        <v>1.44</v>
      </c>
      <c r="AL15" s="71" t="n">
        <f aca="false">'Food Data'!N38*'Food Data'!P38/100*'Food Data'!AE38</f>
        <v>0.64</v>
      </c>
      <c r="AM15" s="71" t="n">
        <f aca="false">'Food Data'!N39*'Food Data'!P39/100*'Food Data'!AE39</f>
        <v>3.6</v>
      </c>
      <c r="AN15" s="71" t="n">
        <f aca="false">'Food Data'!N40*'Food Data'!P40/100*'Food Data'!AE40</f>
        <v>1.44</v>
      </c>
      <c r="AO15" s="71" t="n">
        <f aca="false">'Food Data'!N41*'Food Data'!P41/100*'Food Data'!AE41</f>
        <v>2.55</v>
      </c>
      <c r="AP15" s="71" t="n">
        <f aca="false">'Food Data'!N42*'Food Data'!P42/100*'Food Data'!AE42</f>
        <v>7.32</v>
      </c>
      <c r="AQ15" s="71" t="n">
        <f aca="false">'Food Data'!N43*'Food Data'!P43/100*'Food Data'!AE43</f>
        <v>3.4</v>
      </c>
      <c r="AR15" s="71" t="n">
        <f aca="false">'Food Data'!N44*'Food Data'!P44/100*'Food Data'!AE44</f>
        <v>7.29</v>
      </c>
      <c r="AS15" s="71" t="n">
        <f aca="false">'Food Data'!N45*'Food Data'!P45/100*'Food Data'!AE45</f>
        <v>7.32</v>
      </c>
      <c r="AT15" s="71" t="n">
        <f aca="false">'Food Data'!N46*'Food Data'!P46/100*'Food Data'!AE46</f>
        <v>0.57</v>
      </c>
      <c r="AU15" s="71" t="n">
        <f aca="false">'Food Data'!N47*'Food Data'!P47/100*'Food Data'!AE47</f>
        <v>0.56</v>
      </c>
      <c r="AV15" s="71" t="n">
        <f aca="false">'Food Data'!N48*'Food Data'!P48/100*'Food Data'!AE48</f>
        <v>2.26</v>
      </c>
      <c r="AW15" s="71" t="n">
        <f aca="false">'Food Data'!N49*'Food Data'!P49/100*'Food Data'!AE49</f>
        <v>0.56</v>
      </c>
      <c r="AX15" s="71" t="n">
        <f aca="false">'Food Data'!N50*'Food Data'!P50/100*'Food Data'!AE50</f>
        <v>0.94</v>
      </c>
      <c r="AY15" s="71" t="n">
        <f aca="false">'Food Data'!N51*'Food Data'!P51/100*'Food Data'!AE51</f>
        <v>1.84</v>
      </c>
      <c r="AZ15" s="71" t="n">
        <f aca="false">'Food Data'!N52*'Food Data'!P52/100*'Food Data'!AE52</f>
        <v>0.56</v>
      </c>
      <c r="BA15" s="71" t="n">
        <f aca="false">'Food Data'!N53*'Food Data'!P53/100*'Food Data'!AE53</f>
        <v>1.56</v>
      </c>
      <c r="BB15" s="71" t="n">
        <f aca="false">'Food Data'!N54*'Food Data'!P54/100*'Food Data'!AE54</f>
        <v>1.35</v>
      </c>
      <c r="BC15" s="71" t="n">
        <f aca="false">'Food Data'!N55*'Food Data'!P55/100*'Food Data'!AE55</f>
        <v>1.29</v>
      </c>
      <c r="BD15" s="71" t="n">
        <f aca="false">'Food Data'!N56*'Food Data'!P56/100*'Food Data'!AE56</f>
        <v>0.8</v>
      </c>
      <c r="BE15" s="71" t="n">
        <f aca="false">'Food Data'!N57*'Food Data'!P57/100*'Food Data'!AE57</f>
        <v>1.71</v>
      </c>
      <c r="BF15" s="71" t="n">
        <f aca="false">'Food Data'!N58*'Food Data'!P58/100*'Food Data'!AE58</f>
        <v>1.12</v>
      </c>
      <c r="BG15" s="71" t="n">
        <f aca="false">'Food Data'!N59*'Food Data'!P59/100*'Food Data'!AE59</f>
        <v>1.84</v>
      </c>
      <c r="BH15" s="71" t="n">
        <f aca="false">'Food Data'!N60*'Food Data'!P60/100*'Food Data'!AE60</f>
        <v>1.28</v>
      </c>
      <c r="BI15" s="71" t="n">
        <f aca="false">'Food Data'!N61*'Food Data'!P61/100*'Food Data'!AE61</f>
        <v>1.71</v>
      </c>
      <c r="BJ15" s="71" t="n">
        <f aca="false">'Food Data'!N62*'Food Data'!P62/100*'Food Data'!AE62</f>
        <v>1.64</v>
      </c>
      <c r="BK15" s="71" t="n">
        <f aca="false">'Food Data'!N63*'Food Data'!P63/100*'Food Data'!AE63</f>
        <v>2.56</v>
      </c>
      <c r="BL15" s="71" t="n">
        <f aca="false">'Food Data'!N64*'Food Data'!P64/100*'Food Data'!AE64</f>
        <v>2.04</v>
      </c>
      <c r="BM15" s="71" t="n">
        <f aca="false">'Food Data'!N65*'Food Data'!P65/100*'Food Data'!AE65</f>
        <v>0.85</v>
      </c>
      <c r="BN15" s="71" t="n">
        <f aca="false">'Food Data'!N66*'Food Data'!P66/100*'Food Data'!AE66</f>
        <v>2.48</v>
      </c>
      <c r="BO15" s="71" t="n">
        <f aca="false">'Food Data'!N67*'Food Data'!P67/100*'Food Data'!AE67</f>
        <v>2.01</v>
      </c>
      <c r="BP15" s="71" t="n">
        <f aca="false">'Food Data'!N68*'Food Data'!P68/100*'Food Data'!AE68</f>
        <v>3</v>
      </c>
      <c r="BQ15" s="71" t="n">
        <f aca="false">'Food Data'!N69*'Food Data'!P69/100*'Food Data'!AE69</f>
        <v>2.66</v>
      </c>
      <c r="BR15" s="71" t="n">
        <f aca="false">'Food Data'!N70*'Food Data'!P70/100*'Food Data'!AE70</f>
        <v>2.5</v>
      </c>
      <c r="BS15" s="71" t="n">
        <f aca="false">'Food Data'!N71*'Food Data'!P71/100*'Food Data'!AE71</f>
        <v>2.44</v>
      </c>
      <c r="BT15" s="71" t="n">
        <f aca="false">'Food Data'!N72*'Food Data'!P72/100*'Food Data'!AE72</f>
        <v>2.36</v>
      </c>
      <c r="BU15" s="71" t="n">
        <f aca="false">'Food Data'!N73*'Food Data'!P73/100*'Food Data'!AE73</f>
        <v>1.44</v>
      </c>
      <c r="BV15" s="71" t="n">
        <f aca="false">'Food Data'!N74*'Food Data'!P74/100*'Food Data'!AE74</f>
        <v>1.55</v>
      </c>
      <c r="BW15" s="71" t="n">
        <f aca="false">'Food Data'!N75*'Food Data'!P75/100*'Food Data'!AE75</f>
        <v>3.2</v>
      </c>
      <c r="BX15" s="71" t="n">
        <f aca="false">'Food Data'!N76*'Food Data'!P76/100*'Food Data'!AE76</f>
        <v>1.54</v>
      </c>
      <c r="BY15" s="71" t="n">
        <f aca="false">'Food Data'!N77*'Food Data'!P77/100*'Food Data'!AE77</f>
        <v>4.2</v>
      </c>
      <c r="BZ15" s="71" t="n">
        <f aca="false">'Food Data'!N78*'Food Data'!P78/100*'Food Data'!AE78</f>
        <v>0.37</v>
      </c>
      <c r="CA15" s="71" t="n">
        <f aca="false">'Food Data'!N79*'Food Data'!P79/100*'Food Data'!AE79</f>
        <v>0.33</v>
      </c>
      <c r="CB15" s="71" t="n">
        <f aca="false">'Food Data'!N80*'Food Data'!P80/100*'Food Data'!AE80</f>
        <v>0.4</v>
      </c>
      <c r="CC15" s="71" t="n">
        <f aca="false">'Food Data'!N81*'Food Data'!P81/100*'Food Data'!AE81</f>
        <v>2.38</v>
      </c>
      <c r="CD15" s="71" t="n">
        <f aca="false">'Food Data'!N82*'Food Data'!P82/100*'Food Data'!AE82</f>
        <v>4.6</v>
      </c>
      <c r="CE15" s="71" t="n">
        <f aca="false">'Food Data'!N83*'Food Data'!P83/100*'Food Data'!AE83</f>
        <v>3.02</v>
      </c>
      <c r="CF15" s="71" t="n">
        <f aca="false">'Food Data'!N84*'Food Data'!P84/100*'Food Data'!AE84</f>
        <v>3.4</v>
      </c>
      <c r="CG15" s="71" t="n">
        <f aca="false">'Food Data'!N85*'Food Data'!P85/100*'Food Data'!AE85</f>
        <v>3.6</v>
      </c>
      <c r="CH15" s="71" t="n">
        <f aca="false">'Food Data'!N86*'Food Data'!P86/100*'Food Data'!AE86</f>
        <v>3.3</v>
      </c>
      <c r="CI15" s="71" t="n">
        <f aca="false">'Food Data'!N87*'Food Data'!P87/100*'Food Data'!AE87</f>
        <v>2.86</v>
      </c>
      <c r="CJ15" s="71" t="n">
        <f aca="false">'Food Data'!N88*'Food Data'!P88/100*'Food Data'!AE88</f>
        <v>2.49</v>
      </c>
      <c r="CK15" s="71" t="n">
        <f aca="false">'Food Data'!N89*'Food Data'!P89/100*'Food Data'!AE89</f>
        <v>2.8</v>
      </c>
      <c r="CL15" s="71" t="n">
        <f aca="false">'Food Data'!N90*'Food Data'!P90/100*'Food Data'!AE90</f>
        <v>2.9</v>
      </c>
      <c r="CM15" s="71" t="n">
        <f aca="false">'Food Data'!N91*'Food Data'!P91/100*'Food Data'!AE91</f>
        <v>3.08</v>
      </c>
      <c r="CN15" s="71" t="n">
        <f aca="false">'Food Data'!N92*'Food Data'!P92/100*'Food Data'!AE92</f>
        <v>2.5</v>
      </c>
      <c r="CO15" s="71" t="n">
        <f aca="false">'Food Data'!N93*'Food Data'!P93/100*'Food Data'!AE93</f>
        <v>2.8</v>
      </c>
      <c r="CP15" s="71" t="n">
        <f aca="false">'Food Data'!N94*'Food Data'!P94/100*'Food Data'!AE94</f>
        <v>2.48</v>
      </c>
      <c r="CQ15" s="71" t="n">
        <f aca="false">'Food Data'!N95*'Food Data'!P95/100*'Food Data'!AE95</f>
        <v>3.3</v>
      </c>
      <c r="CR15" s="71" t="n">
        <f aca="false">'Food Data'!N96*'Food Data'!P96/100*'Food Data'!AE96</f>
        <v>2.5</v>
      </c>
      <c r="CS15" s="71" t="n">
        <f aca="false">'Food Data'!N97*'Food Data'!P97/100*'Food Data'!AE97</f>
        <v>3.3</v>
      </c>
      <c r="CT15" s="71" t="n">
        <f aca="false">'Food Data'!N98*'Food Data'!P98/100*'Food Data'!AE98</f>
        <v>0.44</v>
      </c>
      <c r="CU15" s="71" t="n">
        <f aca="false">'Food Data'!N99*'Food Data'!P99/100*'Food Data'!AE99</f>
        <v>0.41</v>
      </c>
      <c r="CV15" s="71" t="n">
        <f aca="false">'Food Data'!N100*'Food Data'!P100/100*'Food Data'!AE100</f>
        <v>1.23</v>
      </c>
      <c r="CW15" s="71" t="n">
        <f aca="false">'Food Data'!N101*'Food Data'!P101/100*'Food Data'!AE101</f>
        <v>3.04</v>
      </c>
      <c r="CX15" s="71" t="n">
        <f aca="false">'Food Data'!N102*'Food Data'!P102/100*'Food Data'!AE102</f>
        <v>2.98</v>
      </c>
      <c r="CY15" s="71" t="n">
        <f aca="false">'Food Data'!N103*'Food Data'!P103/100*'Food Data'!AE103</f>
        <v>3.04</v>
      </c>
      <c r="CZ15" s="71" t="n">
        <f aca="false">'Food Data'!N104*'Food Data'!P104/100*'Food Data'!AE104</f>
        <v>2.8</v>
      </c>
      <c r="DA15" s="71" t="n">
        <f aca="false">'Food Data'!N105*'Food Data'!P105/100*'Food Data'!AE105</f>
        <v>1.34</v>
      </c>
      <c r="DB15" s="71" t="n">
        <f aca="false">'Food Data'!N106*'Food Data'!P106/100*'Food Data'!AE106</f>
        <v>2.5</v>
      </c>
      <c r="DC15" s="71" t="n">
        <f aca="false">'Food Data'!N107*'Food Data'!P107/100*'Food Data'!AE107</f>
        <v>2.46</v>
      </c>
      <c r="DD15" s="71" t="n">
        <f aca="false">'Food Data'!N108*'Food Data'!P108/100*'Food Data'!AE108</f>
        <v>1.9</v>
      </c>
      <c r="DE15" s="71" t="n">
        <f aca="false">'Food Data'!N109*'Food Data'!P109/100*'Food Data'!AE109</f>
        <v>3.24</v>
      </c>
      <c r="DF15" s="71" t="n">
        <f aca="false">'Food Data'!N110*'Food Data'!P110/100*'Food Data'!AE110</f>
        <v>2.8</v>
      </c>
      <c r="DG15" s="71" t="n">
        <f aca="false">'Food Data'!N111*'Food Data'!P111/100*'Food Data'!AE111</f>
        <v>1.78</v>
      </c>
      <c r="DH15" s="71" t="n">
        <f aca="false">'Food Data'!N112*'Food Data'!P112/100*'Food Data'!AE112</f>
        <v>1.78</v>
      </c>
      <c r="DI15" s="71" t="n">
        <f aca="false">'Food Data'!N113*'Food Data'!P113/100*'Food Data'!AE113</f>
        <v>2.56</v>
      </c>
      <c r="DJ15" s="71" t="n">
        <f aca="false">'Food Data'!N114*'Food Data'!P114/100*'Food Data'!AE114</f>
        <v>4.92</v>
      </c>
      <c r="DK15" s="71" t="n">
        <f aca="false">'Food Data'!N115*'Food Data'!P115/100*'Food Data'!AE115</f>
        <v>2.56</v>
      </c>
      <c r="DL15" s="71" t="n">
        <f aca="false">'Food Data'!N116*'Food Data'!P116/100*'Food Data'!AE116</f>
        <v>2.64</v>
      </c>
      <c r="DM15" s="71" t="n">
        <f aca="false">'Food Data'!N117*'Food Data'!P117/100*'Food Data'!AE117</f>
        <v>2.02</v>
      </c>
      <c r="DN15" s="71" t="n">
        <f aca="false">'Food Data'!N118*'Food Data'!P118/100*'Food Data'!AE118</f>
        <v>1.44</v>
      </c>
      <c r="DO15" s="71" t="n">
        <f aca="false">'Food Data'!N119*'Food Data'!P119/100*'Food Data'!AE119</f>
        <v>3.74</v>
      </c>
      <c r="DP15" s="71" t="n">
        <f aca="false">'Food Data'!N120*'Food Data'!P120/100*'Food Data'!AE120</f>
        <v>2.08</v>
      </c>
      <c r="DQ15" s="71" t="n">
        <f aca="false">'Food Data'!N121*'Food Data'!P121/100*'Food Data'!AE121</f>
        <v>3.6</v>
      </c>
      <c r="DR15" s="71" t="n">
        <f aca="false">'Food Data'!N122*'Food Data'!P122/100*'Food Data'!AE122</f>
        <v>2.42</v>
      </c>
      <c r="DS15" s="71" t="n">
        <f aca="false">'Food Data'!N123*'Food Data'!P123/100*'Food Data'!AE123</f>
        <v>1.49</v>
      </c>
      <c r="DT15" s="71" t="n">
        <f aca="false">'Food Data'!N124*'Food Data'!P124/100*'Food Data'!AE124</f>
        <v>2.88</v>
      </c>
      <c r="DU15" s="71" t="n">
        <f aca="false">'Food Data'!N125*'Food Data'!P125/100*'Food Data'!AE125</f>
        <v>3.66</v>
      </c>
      <c r="DV15" s="71" t="n">
        <f aca="false">'Food Data'!N126*'Food Data'!P126/100*'Food Data'!AE126</f>
        <v>2.85</v>
      </c>
      <c r="DW15" s="71" t="n">
        <f aca="false">'Food Data'!N127*'Food Data'!P127/100*'Food Data'!AE127</f>
        <v>1.4</v>
      </c>
      <c r="DX15" s="71" t="n">
        <f aca="false">'Food Data'!N128*'Food Data'!P128/100*'Food Data'!AE128</f>
        <v>2.92</v>
      </c>
      <c r="DY15" s="71" t="n">
        <f aca="false">'Food Data'!N129*'Food Data'!P129/100*'Food Data'!AE129</f>
        <v>3.78</v>
      </c>
      <c r="DZ15" s="71" t="n">
        <f aca="false">'Food Data'!N130*'Food Data'!P130/100*'Food Data'!AE130</f>
        <v>1.6</v>
      </c>
      <c r="EA15" s="71" t="n">
        <f aca="false">'Food Data'!N131*'Food Data'!P131/100*'Food Data'!AE131</f>
        <v>2.45</v>
      </c>
      <c r="EB15" s="71" t="n">
        <f aca="false">'Food Data'!N132*'Food Data'!P132/100*'Food Data'!AE132</f>
        <v>1.16</v>
      </c>
      <c r="EC15" s="71" t="n">
        <f aca="false">'Food Data'!N133*'Food Data'!P133/100*'Food Data'!AE133</f>
        <v>1.49</v>
      </c>
      <c r="ED15" s="71" t="n">
        <f aca="false">'Food Data'!N134*'Food Data'!P134/100*'Food Data'!AE134</f>
        <v>1.88</v>
      </c>
      <c r="EE15" s="71" t="n">
        <f aca="false">'Food Data'!N135*'Food Data'!P135/100*'Food Data'!AE135</f>
        <v>2.36</v>
      </c>
      <c r="EF15" s="71" t="n">
        <f aca="false">'Food Data'!N136*'Food Data'!P136/100*'Food Data'!AE136</f>
        <v>4.68</v>
      </c>
      <c r="EG15" s="71" t="n">
        <f aca="false">'Food Data'!N137*'Food Data'!P137/100*'Food Data'!AE137</f>
        <v>1.8</v>
      </c>
      <c r="EH15" s="71" t="n">
        <f aca="false">'Food Data'!N138*'Food Data'!P138/100*'Food Data'!AE138</f>
        <v>3.12</v>
      </c>
      <c r="EI15" s="71" t="n">
        <f aca="false">'Food Data'!N139*'Food Data'!P139/100*'Food Data'!AE139</f>
        <v>4.8</v>
      </c>
      <c r="EJ15" s="71" t="n">
        <f aca="false">'Food Data'!N140*'Food Data'!P140/100*'Food Data'!AE140</f>
        <v>3.6</v>
      </c>
      <c r="EK15" s="71" t="n">
        <f aca="false">'Food Data'!N141*'Food Data'!P141/100*'Food Data'!AE141</f>
        <v>3.28</v>
      </c>
      <c r="EL15" s="71" t="n">
        <f aca="false">'Food Data'!N142*'Food Data'!P142/100*'Food Data'!AE142</f>
        <v>2.48</v>
      </c>
      <c r="EM15" s="71" t="n">
        <f aca="false">'Food Data'!N143*'Food Data'!P143/100*'Food Data'!AE143</f>
        <v>0.284</v>
      </c>
      <c r="EN15" s="71" t="n">
        <f aca="false">'Food Data'!N144*'Food Data'!P144/100*'Food Data'!AE144</f>
        <v>0.42</v>
      </c>
      <c r="EO15" s="71" t="n">
        <f aca="false">'Food Data'!N145*'Food Data'!P145/100*'Food Data'!AE145</f>
        <v>0.405</v>
      </c>
      <c r="EP15" s="71" t="n">
        <f aca="false">'Food Data'!N146*'Food Data'!P146/100*'Food Data'!AE146</f>
        <v>0.56</v>
      </c>
      <c r="EQ15" s="71" t="n">
        <f aca="false">'Food Data'!N147*'Food Data'!P147/100*'Food Data'!AE147</f>
        <v>1.36</v>
      </c>
      <c r="ER15" s="71" t="n">
        <f aca="false">'Food Data'!N148*'Food Data'!P148/100*'Food Data'!AE148</f>
        <v>0.26</v>
      </c>
      <c r="ES15" s="71" t="n">
        <f aca="false">'Food Data'!N149*'Food Data'!P149/100*'Food Data'!AE149</f>
        <v>0.48</v>
      </c>
      <c r="ET15" s="71" t="n">
        <f aca="false">'Food Data'!N150*'Food Data'!P150/100*'Food Data'!AE150</f>
        <v>0.28</v>
      </c>
      <c r="EU15" s="71" t="n">
        <f aca="false">'Food Data'!N151*'Food Data'!P151/100*'Food Data'!AE151</f>
        <v>0.66</v>
      </c>
    </row>
    <row r="16" customFormat="false" ht="15" hidden="false" customHeight="false" outlineLevel="0" collapsed="false">
      <c r="B16" s="62" t="s">
        <v>963</v>
      </c>
      <c r="F16" s="71" t="n">
        <f aca="false">MIN(F15,N('Food Data'!R6)*'Food Data'!N6/100)</f>
        <v>0</v>
      </c>
      <c r="G16" s="71" t="n">
        <f aca="false">MIN(G15,N('Food Data'!R7)*'Food Data'!N7/100)</f>
        <v>0</v>
      </c>
      <c r="H16" s="71" t="n">
        <f aca="false">MIN(H15,N('Food Data'!R8)*'Food Data'!N8/100)</f>
        <v>0</v>
      </c>
      <c r="I16" s="71" t="n">
        <f aca="false">MIN(I15,N('Food Data'!R9)*'Food Data'!N9/100)</f>
        <v>0</v>
      </c>
      <c r="J16" s="71" t="n">
        <f aca="false">MIN(J15,N('Food Data'!R10)*'Food Data'!N10/100)</f>
        <v>0</v>
      </c>
      <c r="K16" s="71" t="n">
        <f aca="false">MIN(K15,N('Food Data'!R11)*'Food Data'!N11/100)</f>
        <v>0</v>
      </c>
      <c r="L16" s="71" t="n">
        <f aca="false">MIN(L15,N('Food Data'!R12)*'Food Data'!N12/100)</f>
        <v>0</v>
      </c>
      <c r="M16" s="71" t="n">
        <f aca="false">MIN(M15,N('Food Data'!R13)*'Food Data'!N13/100)</f>
        <v>0</v>
      </c>
      <c r="N16" s="71" t="n">
        <f aca="false">MIN(N15,N('Food Data'!R14)*'Food Data'!N14/100)</f>
        <v>0</v>
      </c>
      <c r="O16" s="71" t="n">
        <f aca="false">MIN(O15,N('Food Data'!R15)*'Food Data'!N15/100)</f>
        <v>0</v>
      </c>
      <c r="P16" s="71" t="n">
        <f aca="false">MIN(P15,N('Food Data'!R16)*'Food Data'!N16/100)</f>
        <v>0</v>
      </c>
      <c r="Q16" s="71" t="n">
        <f aca="false">MIN(Q15,N('Food Data'!R17)*'Food Data'!N17/100)</f>
        <v>0</v>
      </c>
      <c r="R16" s="71" t="n">
        <f aca="false">MIN(R15,N('Food Data'!R18)*'Food Data'!N18/100)</f>
        <v>0</v>
      </c>
      <c r="S16" s="71" t="n">
        <f aca="false">MIN(S15,N('Food Data'!R19)*'Food Data'!N19/100)</f>
        <v>0</v>
      </c>
      <c r="T16" s="71" t="n">
        <f aca="false">MIN(T15,N('Food Data'!R20)*'Food Data'!N20/100)</f>
        <v>0</v>
      </c>
      <c r="U16" s="71" t="n">
        <f aca="false">MIN(U15,N('Food Data'!R21)*'Food Data'!N21/100)</f>
        <v>0</v>
      </c>
      <c r="V16" s="71" t="n">
        <f aca="false">MIN(V15,N('Food Data'!R22)*'Food Data'!N22/100)</f>
        <v>0</v>
      </c>
      <c r="W16" s="71" t="n">
        <f aca="false">MIN(W15,N('Food Data'!R23)*'Food Data'!N23/100)</f>
        <v>0</v>
      </c>
      <c r="X16" s="71" t="n">
        <f aca="false">MIN(X15,N('Food Data'!R24)*'Food Data'!N24/100)</f>
        <v>0</v>
      </c>
      <c r="Y16" s="71" t="n">
        <f aca="false">MIN(Y15,N('Food Data'!R25)*'Food Data'!N25/100)</f>
        <v>0</v>
      </c>
      <c r="Z16" s="71" t="n">
        <f aca="false">MIN(Z15,N('Food Data'!R26)*'Food Data'!N26/100)</f>
        <v>0</v>
      </c>
      <c r="AA16" s="71" t="n">
        <f aca="false">MIN(AA15,N('Food Data'!R27)*'Food Data'!N27/100)</f>
        <v>0</v>
      </c>
      <c r="AB16" s="71" t="n">
        <f aca="false">MIN(AB15,N('Food Data'!R28)*'Food Data'!N28/100)</f>
        <v>0</v>
      </c>
      <c r="AC16" s="71" t="n">
        <f aca="false">MIN(AC15,N('Food Data'!R29)*'Food Data'!N29/100)</f>
        <v>0</v>
      </c>
      <c r="AD16" s="71" t="n">
        <f aca="false">MIN(AD15,N('Food Data'!R30)*'Food Data'!N30/100)</f>
        <v>0</v>
      </c>
      <c r="AE16" s="71" t="n">
        <f aca="false">MIN(AE15,N('Food Data'!R31)*'Food Data'!N31/100)</f>
        <v>0</v>
      </c>
      <c r="AF16" s="71" t="n">
        <f aca="false">MIN(AF15,N('Food Data'!R32)*'Food Data'!N32/100)</f>
        <v>0</v>
      </c>
      <c r="AG16" s="71" t="n">
        <f aca="false">MIN(AG15,N('Food Data'!R33)*'Food Data'!N33/100)</f>
        <v>0</v>
      </c>
      <c r="AH16" s="71" t="n">
        <f aca="false">MIN(AH15,N('Food Data'!R34)*'Food Data'!N34/100)</f>
        <v>0</v>
      </c>
      <c r="AI16" s="71" t="n">
        <f aca="false">MIN(AI15,N('Food Data'!R35)*'Food Data'!N35/100)</f>
        <v>0</v>
      </c>
      <c r="AJ16" s="71" t="n">
        <f aca="false">MIN(AJ15,N('Food Data'!R36)*'Food Data'!N36/100)</f>
        <v>0</v>
      </c>
      <c r="AK16" s="71" t="n">
        <f aca="false">MIN(AK15,N('Food Data'!R37)*'Food Data'!N37/100)</f>
        <v>0</v>
      </c>
      <c r="AL16" s="71" t="n">
        <f aca="false">MIN(AL15,N('Food Data'!R38)*'Food Data'!N38/100)</f>
        <v>0</v>
      </c>
      <c r="AM16" s="71" t="n">
        <f aca="false">MIN(AM15,N('Food Data'!R39)*'Food Data'!N39/100)</f>
        <v>0</v>
      </c>
      <c r="AN16" s="71" t="n">
        <f aca="false">MIN(AN15,N('Food Data'!R40)*'Food Data'!N40/100)</f>
        <v>0</v>
      </c>
      <c r="AO16" s="71" t="n">
        <f aca="false">MIN(AO15,N('Food Data'!R41)*'Food Data'!N41/100)</f>
        <v>0</v>
      </c>
      <c r="AP16" s="71" t="n">
        <f aca="false">MIN(AP15,N('Food Data'!R42)*'Food Data'!N42/100)</f>
        <v>0</v>
      </c>
      <c r="AQ16" s="71" t="n">
        <f aca="false">MIN(AQ15,N('Food Data'!R43)*'Food Data'!N43/100)</f>
        <v>0</v>
      </c>
      <c r="AR16" s="71" t="n">
        <f aca="false">MIN(AR15,N('Food Data'!R44)*'Food Data'!N44/100)</f>
        <v>0</v>
      </c>
      <c r="AS16" s="71" t="n">
        <f aca="false">MIN(AS15,N('Food Data'!R45)*'Food Data'!N45/100)</f>
        <v>0</v>
      </c>
      <c r="AT16" s="71" t="n">
        <f aca="false">MIN(AT15,N('Food Data'!R46)*'Food Data'!N46/100)</f>
        <v>0</v>
      </c>
      <c r="AU16" s="71" t="n">
        <f aca="false">MIN(AU15,N('Food Data'!R47)*'Food Data'!N47/100)</f>
        <v>0</v>
      </c>
      <c r="AV16" s="71" t="n">
        <f aca="false">MIN(AV15,N('Food Data'!R48)*'Food Data'!N48/100)</f>
        <v>0</v>
      </c>
      <c r="AW16" s="71" t="n">
        <f aca="false">MIN(AW15,N('Food Data'!R49)*'Food Data'!N49/100)</f>
        <v>0</v>
      </c>
      <c r="AX16" s="71" t="n">
        <f aca="false">MIN(AX15,N('Food Data'!R50)*'Food Data'!N50/100)</f>
        <v>0</v>
      </c>
      <c r="AY16" s="71" t="n">
        <f aca="false">MIN(AY15,N('Food Data'!R51)*'Food Data'!N51/100)</f>
        <v>0</v>
      </c>
      <c r="AZ16" s="71" t="n">
        <f aca="false">MIN(AZ15,N('Food Data'!R52)*'Food Data'!N52/100)</f>
        <v>0</v>
      </c>
      <c r="BA16" s="71" t="n">
        <f aca="false">MIN(BA15,N('Food Data'!R53)*'Food Data'!N53/100)</f>
        <v>0</v>
      </c>
      <c r="BB16" s="71" t="n">
        <f aca="false">MIN(BB15,N('Food Data'!R54)*'Food Data'!N54/100)</f>
        <v>0</v>
      </c>
      <c r="BC16" s="71" t="n">
        <f aca="false">MIN(BC15,N('Food Data'!R55)*'Food Data'!N55/100)</f>
        <v>0</v>
      </c>
      <c r="BD16" s="71" t="n">
        <f aca="false">MIN(BD15,N('Food Data'!R56)*'Food Data'!N56/100)</f>
        <v>0</v>
      </c>
      <c r="BE16" s="71" t="n">
        <f aca="false">MIN(BE15,N('Food Data'!R57)*'Food Data'!N57/100)</f>
        <v>0</v>
      </c>
      <c r="BF16" s="71" t="n">
        <f aca="false">MIN(BF15,N('Food Data'!R58)*'Food Data'!N58/100)</f>
        <v>0</v>
      </c>
      <c r="BG16" s="71" t="n">
        <f aca="false">MIN(BG15,N('Food Data'!R59)*'Food Data'!N59/100)</f>
        <v>0</v>
      </c>
      <c r="BH16" s="71" t="n">
        <f aca="false">MIN(BH15,N('Food Data'!R60)*'Food Data'!N60/100)</f>
        <v>0</v>
      </c>
      <c r="BI16" s="71" t="n">
        <f aca="false">MIN(BI15,N('Food Data'!R61)*'Food Data'!N61/100)</f>
        <v>0</v>
      </c>
      <c r="BJ16" s="71" t="n">
        <f aca="false">MIN(BJ15,N('Food Data'!R62)*'Food Data'!N62/100)</f>
        <v>0</v>
      </c>
      <c r="BK16" s="71" t="n">
        <f aca="false">MIN(BK15,N('Food Data'!R63)*'Food Data'!N63/100)</f>
        <v>0</v>
      </c>
      <c r="BL16" s="71" t="n">
        <f aca="false">MIN(BL15,N('Food Data'!R64)*'Food Data'!N64/100)</f>
        <v>0</v>
      </c>
      <c r="BM16" s="71" t="n">
        <f aca="false">MIN(BM15,N('Food Data'!R65)*'Food Data'!N65/100)</f>
        <v>0</v>
      </c>
      <c r="BN16" s="71" t="n">
        <f aca="false">MIN(BN15,N('Food Data'!R66)*'Food Data'!N66/100)</f>
        <v>0</v>
      </c>
      <c r="BO16" s="71" t="n">
        <f aca="false">MIN(BO15,N('Food Data'!R67)*'Food Data'!N67/100)</f>
        <v>0</v>
      </c>
      <c r="BP16" s="71" t="n">
        <f aca="false">MIN(BP15,N('Food Data'!R68)*'Food Data'!N68/100)</f>
        <v>0</v>
      </c>
      <c r="BQ16" s="71" t="n">
        <f aca="false">MIN(BQ15,N('Food Data'!R69)*'Food Data'!N69/100)</f>
        <v>0</v>
      </c>
      <c r="BR16" s="71" t="n">
        <f aca="false">MIN(BR15,N('Food Data'!R70)*'Food Data'!N70/100)</f>
        <v>0</v>
      </c>
      <c r="BS16" s="71" t="n">
        <f aca="false">MIN(BS15,N('Food Data'!R71)*'Food Data'!N71/100)</f>
        <v>0</v>
      </c>
      <c r="BT16" s="71" t="n">
        <f aca="false">MIN(BT15,N('Food Data'!R72)*'Food Data'!N72/100)</f>
        <v>0</v>
      </c>
      <c r="BU16" s="71" t="n">
        <f aca="false">MIN(BU15,N('Food Data'!R73)*'Food Data'!N73/100)</f>
        <v>0</v>
      </c>
      <c r="BV16" s="71" t="n">
        <f aca="false">MIN(BV15,N('Food Data'!R74)*'Food Data'!N74/100)</f>
        <v>0</v>
      </c>
      <c r="BW16" s="71" t="n">
        <f aca="false">MIN(BW15,N('Food Data'!R75)*'Food Data'!N75/100)</f>
        <v>0</v>
      </c>
      <c r="BX16" s="71" t="n">
        <f aca="false">MIN(BX15,N('Food Data'!R76)*'Food Data'!N76/100)</f>
        <v>0</v>
      </c>
      <c r="BY16" s="71" t="n">
        <f aca="false">MIN(BY15,N('Food Data'!R77)*'Food Data'!N77/100)</f>
        <v>0</v>
      </c>
      <c r="BZ16" s="71" t="n">
        <f aca="false">MIN(BZ15,N('Food Data'!R78)*'Food Data'!N78/100)</f>
        <v>0</v>
      </c>
      <c r="CA16" s="71" t="n">
        <f aca="false">MIN(CA15,N('Food Data'!R79)*'Food Data'!N79/100)</f>
        <v>0</v>
      </c>
      <c r="CB16" s="71" t="n">
        <f aca="false">MIN(CB15,N('Food Data'!R80)*'Food Data'!N80/100)</f>
        <v>0</v>
      </c>
      <c r="CC16" s="71" t="n">
        <f aca="false">MIN(CC15,N('Food Data'!R81)*'Food Data'!N81/100)</f>
        <v>0</v>
      </c>
      <c r="CD16" s="71" t="n">
        <f aca="false">MIN(CD15,N('Food Data'!R82)*'Food Data'!N82/100)</f>
        <v>0</v>
      </c>
      <c r="CE16" s="71" t="n">
        <f aca="false">MIN(CE15,N('Food Data'!R83)*'Food Data'!N83/100)</f>
        <v>0</v>
      </c>
      <c r="CF16" s="71" t="n">
        <f aca="false">MIN(CF15,N('Food Data'!R84)*'Food Data'!N84/100)</f>
        <v>0</v>
      </c>
      <c r="CG16" s="71" t="n">
        <f aca="false">MIN(CG15,N('Food Data'!R85)*'Food Data'!N85/100)</f>
        <v>0</v>
      </c>
      <c r="CH16" s="71" t="n">
        <f aca="false">MIN(CH15,N('Food Data'!R86)*'Food Data'!N86/100)</f>
        <v>0</v>
      </c>
      <c r="CI16" s="71" t="n">
        <f aca="false">MIN(CI15,N('Food Data'!R87)*'Food Data'!N87/100)</f>
        <v>0</v>
      </c>
      <c r="CJ16" s="71" t="n">
        <f aca="false">MIN(CJ15,N('Food Data'!R88)*'Food Data'!N88/100)</f>
        <v>0</v>
      </c>
      <c r="CK16" s="71" t="n">
        <f aca="false">MIN(CK15,N('Food Data'!R89)*'Food Data'!N89/100)</f>
        <v>0</v>
      </c>
      <c r="CL16" s="71" t="n">
        <f aca="false">MIN(CL15,N('Food Data'!R90)*'Food Data'!N90/100)</f>
        <v>0</v>
      </c>
      <c r="CM16" s="71" t="n">
        <f aca="false">MIN(CM15,N('Food Data'!R91)*'Food Data'!N91/100)</f>
        <v>0</v>
      </c>
      <c r="CN16" s="71" t="n">
        <f aca="false">MIN(CN15,N('Food Data'!R92)*'Food Data'!N92/100)</f>
        <v>0</v>
      </c>
      <c r="CO16" s="71" t="n">
        <f aca="false">MIN(CO15,N('Food Data'!R93)*'Food Data'!N93/100)</f>
        <v>0</v>
      </c>
      <c r="CP16" s="71" t="n">
        <f aca="false">MIN(CP15,N('Food Data'!R94)*'Food Data'!N94/100)</f>
        <v>0</v>
      </c>
      <c r="CQ16" s="71" t="n">
        <f aca="false">MIN(CQ15,N('Food Data'!R95)*'Food Data'!N95/100)</f>
        <v>0</v>
      </c>
      <c r="CR16" s="71" t="n">
        <f aca="false">MIN(CR15,N('Food Data'!R96)*'Food Data'!N96/100)</f>
        <v>0</v>
      </c>
      <c r="CS16" s="71" t="n">
        <f aca="false">MIN(CS15,N('Food Data'!R97)*'Food Data'!N97/100)</f>
        <v>0</v>
      </c>
      <c r="CT16" s="71" t="n">
        <f aca="false">MIN(CT15,N('Food Data'!R98)*'Food Data'!N98/100)</f>
        <v>0</v>
      </c>
      <c r="CU16" s="71" t="n">
        <f aca="false">MIN(CU15,N('Food Data'!R99)*'Food Data'!N99/100)</f>
        <v>0</v>
      </c>
      <c r="CV16" s="71" t="n">
        <f aca="false">MIN(CV15,N('Food Data'!R100)*'Food Data'!N100/100)</f>
        <v>0</v>
      </c>
      <c r="CW16" s="71" t="n">
        <f aca="false">MIN(CW15,N('Food Data'!R101)*'Food Data'!N101/100)</f>
        <v>0</v>
      </c>
      <c r="CX16" s="71" t="n">
        <f aca="false">MIN(CX15,N('Food Data'!R102)*'Food Data'!N102/100)</f>
        <v>0</v>
      </c>
      <c r="CY16" s="71" t="n">
        <f aca="false">MIN(CY15,N('Food Data'!R103)*'Food Data'!N103/100)</f>
        <v>0</v>
      </c>
      <c r="CZ16" s="71" t="n">
        <f aca="false">MIN(CZ15,N('Food Data'!R104)*'Food Data'!N104/100)</f>
        <v>0</v>
      </c>
      <c r="DA16" s="71" t="n">
        <f aca="false">MIN(DA15,N('Food Data'!R105)*'Food Data'!N105/100)</f>
        <v>0</v>
      </c>
      <c r="DB16" s="71" t="n">
        <f aca="false">MIN(DB15,N('Food Data'!R106)*'Food Data'!N106/100)</f>
        <v>0</v>
      </c>
      <c r="DC16" s="71" t="n">
        <f aca="false">MIN(DC15,N('Food Data'!R107)*'Food Data'!N107/100)</f>
        <v>0</v>
      </c>
      <c r="DD16" s="71" t="n">
        <f aca="false">MIN(DD15,N('Food Data'!R108)*'Food Data'!N108/100)</f>
        <v>0</v>
      </c>
      <c r="DE16" s="71" t="n">
        <f aca="false">MIN(DE15,N('Food Data'!R109)*'Food Data'!N109/100)</f>
        <v>0</v>
      </c>
      <c r="DF16" s="71" t="n">
        <f aca="false">MIN(DF15,N('Food Data'!R110)*'Food Data'!N110/100)</f>
        <v>0</v>
      </c>
      <c r="DG16" s="71" t="n">
        <f aca="false">MIN(DG15,N('Food Data'!R111)*'Food Data'!N111/100)</f>
        <v>0</v>
      </c>
      <c r="DH16" s="71" t="n">
        <f aca="false">MIN(DH15,N('Food Data'!R112)*'Food Data'!N112/100)</f>
        <v>0</v>
      </c>
      <c r="DI16" s="71" t="n">
        <f aca="false">MIN(DI15,N('Food Data'!R113)*'Food Data'!N113/100)</f>
        <v>0</v>
      </c>
      <c r="DJ16" s="71" t="n">
        <f aca="false">MIN(DJ15,N('Food Data'!R114)*'Food Data'!N114/100)</f>
        <v>0</v>
      </c>
      <c r="DK16" s="71" t="n">
        <f aca="false">MIN(DK15,N('Food Data'!R115)*'Food Data'!N115/100)</f>
        <v>0</v>
      </c>
      <c r="DL16" s="71" t="n">
        <f aca="false">MIN(DL15,N('Food Data'!R116)*'Food Data'!N116/100)</f>
        <v>0</v>
      </c>
      <c r="DM16" s="71" t="n">
        <f aca="false">MIN(DM15,N('Food Data'!R117)*'Food Data'!N117/100)</f>
        <v>0</v>
      </c>
      <c r="DN16" s="71" t="n">
        <f aca="false">MIN(DN15,N('Food Data'!R118)*'Food Data'!N118/100)</f>
        <v>0</v>
      </c>
      <c r="DO16" s="71" t="n">
        <f aca="false">MIN(DO15,N('Food Data'!R119)*'Food Data'!N119/100)</f>
        <v>0</v>
      </c>
      <c r="DP16" s="71" t="n">
        <f aca="false">MIN(DP15,N('Food Data'!R120)*'Food Data'!N120/100)</f>
        <v>0</v>
      </c>
      <c r="DQ16" s="71" t="n">
        <f aca="false">MIN(DQ15,N('Food Data'!R121)*'Food Data'!N121/100)</f>
        <v>0</v>
      </c>
      <c r="DR16" s="71" t="n">
        <f aca="false">MIN(DR15,N('Food Data'!R122)*'Food Data'!N122/100)</f>
        <v>0</v>
      </c>
      <c r="DS16" s="71" t="n">
        <f aca="false">MIN(DS15,N('Food Data'!R123)*'Food Data'!N123/100)</f>
        <v>0</v>
      </c>
      <c r="DT16" s="71" t="n">
        <f aca="false">MIN(DT15,N('Food Data'!R124)*'Food Data'!N124/100)</f>
        <v>0</v>
      </c>
      <c r="DU16" s="71" t="n">
        <f aca="false">MIN(DU15,N('Food Data'!R125)*'Food Data'!N125/100)</f>
        <v>0</v>
      </c>
      <c r="DV16" s="71" t="n">
        <f aca="false">MIN(DV15,N('Food Data'!R126)*'Food Data'!N126/100)</f>
        <v>0</v>
      </c>
      <c r="DW16" s="71" t="n">
        <f aca="false">MIN(DW15,N('Food Data'!R127)*'Food Data'!N127/100)</f>
        <v>0</v>
      </c>
      <c r="DX16" s="71" t="n">
        <f aca="false">MIN(DX15,N('Food Data'!R128)*'Food Data'!N128/100)</f>
        <v>0</v>
      </c>
      <c r="DY16" s="71" t="n">
        <f aca="false">MIN(DY15,N('Food Data'!R129)*'Food Data'!N129/100)</f>
        <v>0</v>
      </c>
      <c r="DZ16" s="71" t="n">
        <f aca="false">MIN(DZ15,N('Food Data'!R130)*'Food Data'!N130/100)</f>
        <v>0</v>
      </c>
      <c r="EA16" s="71" t="n">
        <f aca="false">MIN(EA15,N('Food Data'!R131)*'Food Data'!N131/100)</f>
        <v>0</v>
      </c>
      <c r="EB16" s="71" t="n">
        <f aca="false">MIN(EB15,N('Food Data'!R132)*'Food Data'!N132/100)</f>
        <v>0</v>
      </c>
      <c r="EC16" s="71" t="n">
        <f aca="false">MIN(EC15,N('Food Data'!R133)*'Food Data'!N133/100)</f>
        <v>0</v>
      </c>
      <c r="ED16" s="71" t="n">
        <f aca="false">MIN(ED15,N('Food Data'!R134)*'Food Data'!N134/100)</f>
        <v>0</v>
      </c>
      <c r="EE16" s="71" t="n">
        <f aca="false">MIN(EE15,N('Food Data'!R135)*'Food Data'!N135/100)</f>
        <v>0</v>
      </c>
      <c r="EF16" s="71" t="n">
        <f aca="false">MIN(EF15,N('Food Data'!R136)*'Food Data'!N136/100)</f>
        <v>0</v>
      </c>
      <c r="EG16" s="71" t="n">
        <f aca="false">MIN(EG15,N('Food Data'!R137)*'Food Data'!N137/100)</f>
        <v>0</v>
      </c>
      <c r="EH16" s="71" t="n">
        <f aca="false">MIN(EH15,N('Food Data'!R138)*'Food Data'!N138/100)</f>
        <v>0</v>
      </c>
      <c r="EI16" s="71" t="n">
        <f aca="false">MIN(EI15,N('Food Data'!R139)*'Food Data'!N139/100)</f>
        <v>0</v>
      </c>
      <c r="EJ16" s="71" t="n">
        <f aca="false">MIN(EJ15,N('Food Data'!R140)*'Food Data'!N140/100)</f>
        <v>0</v>
      </c>
      <c r="EK16" s="71" t="n">
        <f aca="false">MIN(EK15,N('Food Data'!R141)*'Food Data'!N141/100)</f>
        <v>0</v>
      </c>
      <c r="EL16" s="71" t="n">
        <f aca="false">MIN(EL15,N('Food Data'!R142)*'Food Data'!N142/100)</f>
        <v>0</v>
      </c>
      <c r="EM16" s="71" t="n">
        <f aca="false">MIN(EM15,N('Food Data'!R143)*'Food Data'!N143/100)</f>
        <v>0</v>
      </c>
      <c r="EN16" s="71" t="n">
        <f aca="false">MIN(EN15,N('Food Data'!R144)*'Food Data'!N144/100)</f>
        <v>0</v>
      </c>
      <c r="EO16" s="71" t="n">
        <f aca="false">MIN(EO15,N('Food Data'!R145)*'Food Data'!N145/100)</f>
        <v>0</v>
      </c>
      <c r="EP16" s="71" t="n">
        <f aca="false">MIN(EP15,N('Food Data'!R146)*'Food Data'!N146/100)</f>
        <v>0</v>
      </c>
      <c r="EQ16" s="71" t="n">
        <f aca="false">MIN(EQ15,N('Food Data'!R147)*'Food Data'!N147/100)</f>
        <v>0</v>
      </c>
      <c r="ER16" s="71" t="n">
        <f aca="false">MIN(ER15,N('Food Data'!R148)*'Food Data'!N148/100)</f>
        <v>0</v>
      </c>
      <c r="ES16" s="71" t="n">
        <f aca="false">MIN(ES15,N('Food Data'!R149)*'Food Data'!N149/100)</f>
        <v>0</v>
      </c>
      <c r="ET16" s="71" t="n">
        <f aca="false">MIN(ET15,N('Food Data'!R150)*'Food Data'!N150/100)</f>
        <v>0</v>
      </c>
      <c r="EU16" s="71" t="n">
        <f aca="false">MIN(EU15,N('Food Data'!R151)*'Food Data'!N151/100)</f>
        <v>0</v>
      </c>
    </row>
    <row r="17" customFormat="false" ht="15" hidden="false" customHeight="false" outlineLevel="0" collapsed="false">
      <c r="B17" s="62" t="s">
        <v>964</v>
      </c>
      <c r="F17" s="72" t="n">
        <f aca="false">'Food Data'!AE6</f>
        <v>1</v>
      </c>
      <c r="G17" s="72" t="n">
        <f aca="false">'Food Data'!AE7</f>
        <v>1</v>
      </c>
      <c r="H17" s="72" t="n">
        <f aca="false">'Food Data'!AE8</f>
        <v>1</v>
      </c>
      <c r="I17" s="72" t="n">
        <f aca="false">'Food Data'!AE9</f>
        <v>1</v>
      </c>
      <c r="J17" s="72" t="n">
        <f aca="false">'Food Data'!AE10</f>
        <v>1</v>
      </c>
      <c r="K17" s="72" t="n">
        <f aca="false">'Food Data'!AE11</f>
        <v>1</v>
      </c>
      <c r="L17" s="72" t="n">
        <f aca="false">'Food Data'!AE12</f>
        <v>1</v>
      </c>
      <c r="M17" s="72" t="n">
        <f aca="false">'Food Data'!AE13</f>
        <v>1</v>
      </c>
      <c r="N17" s="72" t="n">
        <f aca="false">'Food Data'!AE14</f>
        <v>1</v>
      </c>
      <c r="O17" s="72" t="n">
        <f aca="false">'Food Data'!AE15</f>
        <v>1</v>
      </c>
      <c r="P17" s="72" t="n">
        <f aca="false">'Food Data'!AE16</f>
        <v>1</v>
      </c>
      <c r="Q17" s="72" t="n">
        <f aca="false">'Food Data'!AE17</f>
        <v>1</v>
      </c>
      <c r="R17" s="72" t="n">
        <f aca="false">'Food Data'!AE18</f>
        <v>1</v>
      </c>
      <c r="S17" s="72" t="n">
        <f aca="false">'Food Data'!AE19</f>
        <v>1</v>
      </c>
      <c r="T17" s="72" t="n">
        <f aca="false">'Food Data'!AE20</f>
        <v>1</v>
      </c>
      <c r="U17" s="72" t="n">
        <f aca="false">'Food Data'!AE21</f>
        <v>1</v>
      </c>
      <c r="V17" s="72" t="n">
        <f aca="false">'Food Data'!AE22</f>
        <v>1</v>
      </c>
      <c r="W17" s="72" t="n">
        <f aca="false">'Food Data'!AE23</f>
        <v>1</v>
      </c>
      <c r="X17" s="72" t="n">
        <f aca="false">'Food Data'!AE24</f>
        <v>1</v>
      </c>
      <c r="Y17" s="72" t="n">
        <f aca="false">'Food Data'!AE25</f>
        <v>1</v>
      </c>
      <c r="Z17" s="72" t="n">
        <f aca="false">'Food Data'!AE26</f>
        <v>1</v>
      </c>
      <c r="AA17" s="72" t="n">
        <f aca="false">'Food Data'!AE27</f>
        <v>1</v>
      </c>
      <c r="AB17" s="72" t="n">
        <f aca="false">'Food Data'!AE28</f>
        <v>1</v>
      </c>
      <c r="AC17" s="72" t="n">
        <f aca="false">'Food Data'!AE29</f>
        <v>1</v>
      </c>
      <c r="AD17" s="72" t="n">
        <f aca="false">'Food Data'!AE30</f>
        <v>1</v>
      </c>
      <c r="AE17" s="72" t="n">
        <f aca="false">'Food Data'!AE31</f>
        <v>1</v>
      </c>
      <c r="AF17" s="72" t="n">
        <f aca="false">'Food Data'!AE32</f>
        <v>1</v>
      </c>
      <c r="AG17" s="72" t="n">
        <f aca="false">'Food Data'!AE33</f>
        <v>1</v>
      </c>
      <c r="AH17" s="72" t="n">
        <f aca="false">'Food Data'!AE34</f>
        <v>1</v>
      </c>
      <c r="AI17" s="72" t="n">
        <f aca="false">'Food Data'!AE35</f>
        <v>1</v>
      </c>
      <c r="AJ17" s="72" t="n">
        <f aca="false">'Food Data'!AE36</f>
        <v>1</v>
      </c>
      <c r="AK17" s="72" t="n">
        <f aca="false">'Food Data'!AE37</f>
        <v>1</v>
      </c>
      <c r="AL17" s="72" t="n">
        <f aca="false">'Food Data'!AE38</f>
        <v>1</v>
      </c>
      <c r="AM17" s="72" t="n">
        <f aca="false">'Food Data'!AE39</f>
        <v>1</v>
      </c>
      <c r="AN17" s="72" t="n">
        <f aca="false">'Food Data'!AE40</f>
        <v>1</v>
      </c>
      <c r="AO17" s="72" t="n">
        <f aca="false">'Food Data'!AE41</f>
        <v>1</v>
      </c>
      <c r="AP17" s="72" t="n">
        <f aca="false">'Food Data'!AE42</f>
        <v>1</v>
      </c>
      <c r="AQ17" s="72" t="n">
        <f aca="false">'Food Data'!AE43</f>
        <v>1</v>
      </c>
      <c r="AR17" s="72" t="n">
        <f aca="false">'Food Data'!AE44</f>
        <v>1</v>
      </c>
      <c r="AS17" s="72" t="n">
        <f aca="false">'Food Data'!AE45</f>
        <v>1</v>
      </c>
      <c r="AT17" s="72" t="n">
        <f aca="false">'Food Data'!AE46</f>
        <v>1</v>
      </c>
      <c r="AU17" s="72" t="n">
        <f aca="false">'Food Data'!AE47</f>
        <v>1</v>
      </c>
      <c r="AV17" s="72" t="n">
        <f aca="false">'Food Data'!AE48</f>
        <v>1</v>
      </c>
      <c r="AW17" s="72" t="n">
        <f aca="false">'Food Data'!AE49</f>
        <v>1</v>
      </c>
      <c r="AX17" s="72" t="n">
        <f aca="false">'Food Data'!AE50</f>
        <v>1</v>
      </c>
      <c r="AY17" s="72" t="n">
        <f aca="false">'Food Data'!AE51</f>
        <v>1</v>
      </c>
      <c r="AZ17" s="72" t="n">
        <f aca="false">'Food Data'!AE52</f>
        <v>1</v>
      </c>
      <c r="BA17" s="72" t="n">
        <f aca="false">'Food Data'!AE53</f>
        <v>1</v>
      </c>
      <c r="BB17" s="72" t="n">
        <f aca="false">'Food Data'!AE54</f>
        <v>1</v>
      </c>
      <c r="BC17" s="72" t="n">
        <f aca="false">'Food Data'!AE55</f>
        <v>1</v>
      </c>
      <c r="BD17" s="72" t="n">
        <f aca="false">'Food Data'!AE56</f>
        <v>1</v>
      </c>
      <c r="BE17" s="72" t="n">
        <f aca="false">'Food Data'!AE57</f>
        <v>1</v>
      </c>
      <c r="BF17" s="72" t="n">
        <f aca="false">'Food Data'!AE58</f>
        <v>1</v>
      </c>
      <c r="BG17" s="72" t="n">
        <f aca="false">'Food Data'!AE59</f>
        <v>1</v>
      </c>
      <c r="BH17" s="72" t="n">
        <f aca="false">'Food Data'!AE60</f>
        <v>1</v>
      </c>
      <c r="BI17" s="72" t="n">
        <f aca="false">'Food Data'!AE61</f>
        <v>1</v>
      </c>
      <c r="BJ17" s="72" t="n">
        <f aca="false">'Food Data'!AE62</f>
        <v>1</v>
      </c>
      <c r="BK17" s="72" t="n">
        <f aca="false">'Food Data'!AE63</f>
        <v>1</v>
      </c>
      <c r="BL17" s="72" t="n">
        <f aca="false">'Food Data'!AE64</f>
        <v>1</v>
      </c>
      <c r="BM17" s="72" t="n">
        <f aca="false">'Food Data'!AE65</f>
        <v>1</v>
      </c>
      <c r="BN17" s="72" t="n">
        <f aca="false">'Food Data'!AE66</f>
        <v>1</v>
      </c>
      <c r="BO17" s="72" t="n">
        <f aca="false">'Food Data'!AE67</f>
        <v>1</v>
      </c>
      <c r="BP17" s="72" t="n">
        <f aca="false">'Food Data'!AE68</f>
        <v>1</v>
      </c>
      <c r="BQ17" s="72" t="n">
        <f aca="false">'Food Data'!AE69</f>
        <v>1</v>
      </c>
      <c r="BR17" s="72" t="n">
        <f aca="false">'Food Data'!AE70</f>
        <v>1</v>
      </c>
      <c r="BS17" s="72" t="n">
        <f aca="false">'Food Data'!AE71</f>
        <v>1</v>
      </c>
      <c r="BT17" s="72" t="n">
        <f aca="false">'Food Data'!AE72</f>
        <v>1</v>
      </c>
      <c r="BU17" s="72" t="n">
        <f aca="false">'Food Data'!AE73</f>
        <v>1</v>
      </c>
      <c r="BV17" s="72" t="n">
        <f aca="false">'Food Data'!AE74</f>
        <v>1</v>
      </c>
      <c r="BW17" s="72" t="n">
        <f aca="false">'Food Data'!AE75</f>
        <v>1</v>
      </c>
      <c r="BX17" s="72" t="n">
        <f aca="false">'Food Data'!AE76</f>
        <v>1</v>
      </c>
      <c r="BY17" s="72" t="n">
        <f aca="false">'Food Data'!AE77</f>
        <v>1</v>
      </c>
      <c r="BZ17" s="72" t="n">
        <f aca="false">'Food Data'!AE78</f>
        <v>1</v>
      </c>
      <c r="CA17" s="72" t="n">
        <f aca="false">'Food Data'!AE79</f>
        <v>1</v>
      </c>
      <c r="CB17" s="72" t="n">
        <f aca="false">'Food Data'!AE80</f>
        <v>1</v>
      </c>
      <c r="CC17" s="72" t="n">
        <f aca="false">'Food Data'!AE81</f>
        <v>1</v>
      </c>
      <c r="CD17" s="72" t="n">
        <f aca="false">'Food Data'!AE82</f>
        <v>1</v>
      </c>
      <c r="CE17" s="72" t="n">
        <f aca="false">'Food Data'!AE83</f>
        <v>1</v>
      </c>
      <c r="CF17" s="72" t="n">
        <f aca="false">'Food Data'!AE84</f>
        <v>1</v>
      </c>
      <c r="CG17" s="72" t="n">
        <f aca="false">'Food Data'!AE85</f>
        <v>1</v>
      </c>
      <c r="CH17" s="72" t="n">
        <f aca="false">'Food Data'!AE86</f>
        <v>1</v>
      </c>
      <c r="CI17" s="72" t="n">
        <f aca="false">'Food Data'!AE87</f>
        <v>1</v>
      </c>
      <c r="CJ17" s="72" t="n">
        <f aca="false">'Food Data'!AE88</f>
        <v>1</v>
      </c>
      <c r="CK17" s="72" t="n">
        <f aca="false">'Food Data'!AE89</f>
        <v>1</v>
      </c>
      <c r="CL17" s="72" t="n">
        <f aca="false">'Food Data'!AE90</f>
        <v>1</v>
      </c>
      <c r="CM17" s="72" t="n">
        <f aca="false">'Food Data'!AE91</f>
        <v>1</v>
      </c>
      <c r="CN17" s="72" t="n">
        <f aca="false">'Food Data'!AE92</f>
        <v>1</v>
      </c>
      <c r="CO17" s="72" t="n">
        <f aca="false">'Food Data'!AE93</f>
        <v>1</v>
      </c>
      <c r="CP17" s="72" t="n">
        <f aca="false">'Food Data'!AE94</f>
        <v>1</v>
      </c>
      <c r="CQ17" s="72" t="n">
        <f aca="false">'Food Data'!AE95</f>
        <v>1</v>
      </c>
      <c r="CR17" s="72" t="n">
        <f aca="false">'Food Data'!AE96</f>
        <v>1</v>
      </c>
      <c r="CS17" s="72" t="n">
        <f aca="false">'Food Data'!AE97</f>
        <v>1</v>
      </c>
      <c r="CT17" s="72" t="n">
        <f aca="false">'Food Data'!AE98</f>
        <v>1</v>
      </c>
      <c r="CU17" s="72" t="n">
        <f aca="false">'Food Data'!AE99</f>
        <v>1</v>
      </c>
      <c r="CV17" s="72" t="n">
        <f aca="false">'Food Data'!AE100</f>
        <v>1</v>
      </c>
      <c r="CW17" s="72" t="n">
        <f aca="false">'Food Data'!AE101</f>
        <v>1</v>
      </c>
      <c r="CX17" s="72" t="n">
        <f aca="false">'Food Data'!AE102</f>
        <v>1</v>
      </c>
      <c r="CY17" s="72" t="n">
        <f aca="false">'Food Data'!AE103</f>
        <v>1</v>
      </c>
      <c r="CZ17" s="72" t="n">
        <f aca="false">'Food Data'!AE104</f>
        <v>1</v>
      </c>
      <c r="DA17" s="72" t="n">
        <f aca="false">'Food Data'!AE105</f>
        <v>1</v>
      </c>
      <c r="DB17" s="72" t="n">
        <f aca="false">'Food Data'!AE106</f>
        <v>1</v>
      </c>
      <c r="DC17" s="72" t="n">
        <f aca="false">'Food Data'!AE107</f>
        <v>1</v>
      </c>
      <c r="DD17" s="72" t="n">
        <f aca="false">'Food Data'!AE108</f>
        <v>1</v>
      </c>
      <c r="DE17" s="72" t="n">
        <f aca="false">'Food Data'!AE109</f>
        <v>1</v>
      </c>
      <c r="DF17" s="72" t="n">
        <f aca="false">'Food Data'!AE110</f>
        <v>1</v>
      </c>
      <c r="DG17" s="72" t="n">
        <f aca="false">'Food Data'!AE111</f>
        <v>1</v>
      </c>
      <c r="DH17" s="72" t="n">
        <f aca="false">'Food Data'!AE112</f>
        <v>1</v>
      </c>
      <c r="DI17" s="72" t="n">
        <f aca="false">'Food Data'!AE113</f>
        <v>1</v>
      </c>
      <c r="DJ17" s="72" t="n">
        <f aca="false">'Food Data'!AE114</f>
        <v>1</v>
      </c>
      <c r="DK17" s="72" t="n">
        <f aca="false">'Food Data'!AE115</f>
        <v>1</v>
      </c>
      <c r="DL17" s="72" t="n">
        <f aca="false">'Food Data'!AE116</f>
        <v>1</v>
      </c>
      <c r="DM17" s="72" t="n">
        <f aca="false">'Food Data'!AE117</f>
        <v>1</v>
      </c>
      <c r="DN17" s="72" t="n">
        <f aca="false">'Food Data'!AE118</f>
        <v>1</v>
      </c>
      <c r="DO17" s="72" t="n">
        <f aca="false">'Food Data'!AE119</f>
        <v>1</v>
      </c>
      <c r="DP17" s="72" t="n">
        <f aca="false">'Food Data'!AE120</f>
        <v>1</v>
      </c>
      <c r="DQ17" s="72" t="n">
        <f aca="false">'Food Data'!AE121</f>
        <v>1</v>
      </c>
      <c r="DR17" s="72" t="n">
        <f aca="false">'Food Data'!AE122</f>
        <v>1</v>
      </c>
      <c r="DS17" s="72" t="n">
        <f aca="false">'Food Data'!AE123</f>
        <v>1</v>
      </c>
      <c r="DT17" s="72" t="n">
        <f aca="false">'Food Data'!AE124</f>
        <v>1</v>
      </c>
      <c r="DU17" s="72" t="n">
        <f aca="false">'Food Data'!AE125</f>
        <v>1</v>
      </c>
      <c r="DV17" s="72" t="n">
        <f aca="false">'Food Data'!AE126</f>
        <v>1</v>
      </c>
      <c r="DW17" s="72" t="n">
        <f aca="false">'Food Data'!AE127</f>
        <v>1</v>
      </c>
      <c r="DX17" s="72" t="n">
        <f aca="false">'Food Data'!AE128</f>
        <v>1</v>
      </c>
      <c r="DY17" s="72" t="n">
        <f aca="false">'Food Data'!AE129</f>
        <v>1</v>
      </c>
      <c r="DZ17" s="72" t="n">
        <f aca="false">'Food Data'!AE130</f>
        <v>1</v>
      </c>
      <c r="EA17" s="72" t="n">
        <f aca="false">'Food Data'!AE131</f>
        <v>1</v>
      </c>
      <c r="EB17" s="72" t="n">
        <f aca="false">'Food Data'!AE132</f>
        <v>1</v>
      </c>
      <c r="EC17" s="72" t="n">
        <f aca="false">'Food Data'!AE133</f>
        <v>1</v>
      </c>
      <c r="ED17" s="72" t="n">
        <f aca="false">'Food Data'!AE134</f>
        <v>1</v>
      </c>
      <c r="EE17" s="72" t="n">
        <f aca="false">'Food Data'!AE135</f>
        <v>1</v>
      </c>
      <c r="EF17" s="72" t="n">
        <f aca="false">'Food Data'!AE136</f>
        <v>1</v>
      </c>
      <c r="EG17" s="72" t="n">
        <f aca="false">'Food Data'!AE137</f>
        <v>1</v>
      </c>
      <c r="EH17" s="72" t="n">
        <f aca="false">'Food Data'!AE138</f>
        <v>1</v>
      </c>
      <c r="EI17" s="72" t="n">
        <f aca="false">'Food Data'!AE139</f>
        <v>1</v>
      </c>
      <c r="EJ17" s="72" t="n">
        <f aca="false">'Food Data'!AE140</f>
        <v>1</v>
      </c>
      <c r="EK17" s="72" t="n">
        <f aca="false">'Food Data'!AE141</f>
        <v>1</v>
      </c>
      <c r="EL17" s="72" t="n">
        <f aca="false">'Food Data'!AE142</f>
        <v>1</v>
      </c>
      <c r="EM17" s="72" t="n">
        <f aca="false">'Food Data'!AE143</f>
        <v>1</v>
      </c>
      <c r="EN17" s="72" t="n">
        <f aca="false">'Food Data'!AE144</f>
        <v>1</v>
      </c>
      <c r="EO17" s="72" t="n">
        <f aca="false">'Food Data'!AE145</f>
        <v>1</v>
      </c>
      <c r="EP17" s="72" t="n">
        <f aca="false">'Food Data'!AE146</f>
        <v>1</v>
      </c>
      <c r="EQ17" s="72" t="n">
        <f aca="false">'Food Data'!AE147</f>
        <v>1</v>
      </c>
      <c r="ER17" s="72" t="n">
        <f aca="false">'Food Data'!AE148</f>
        <v>1</v>
      </c>
      <c r="ES17" s="72" t="n">
        <f aca="false">'Food Data'!AE149</f>
        <v>1</v>
      </c>
      <c r="ET17" s="72" t="n">
        <f aca="false">'Food Data'!AE150</f>
        <v>1</v>
      </c>
      <c r="EU17" s="72" t="n">
        <f aca="false">'Food Data'!AE151</f>
        <v>1</v>
      </c>
    </row>
    <row r="19" customFormat="false" ht="15" hidden="false" customHeight="false" outlineLevel="0" collapsed="false">
      <c r="A19" s="3" t="s">
        <v>965</v>
      </c>
    </row>
    <row r="20" customFormat="false" ht="15" hidden="false" customHeight="false" outlineLevel="0" collapsed="false">
      <c r="B20" s="14" t="s">
        <v>34</v>
      </c>
      <c r="F20" s="73" t="n">
        <f aca="false">'Food Data'!AL6</f>
        <v>120</v>
      </c>
      <c r="G20" s="73" t="n">
        <f aca="false">'Food Data'!AL7</f>
        <v>161</v>
      </c>
      <c r="H20" s="73" t="n">
        <f aca="false">'Food Data'!AL8</f>
        <v>121</v>
      </c>
      <c r="I20" s="73" t="n">
        <f aca="false">'Food Data'!AL9</f>
        <v>100</v>
      </c>
      <c r="J20" s="73" t="n">
        <f aca="false">'Food Data'!AL10</f>
        <v>150</v>
      </c>
      <c r="K20" s="73" t="n">
        <f aca="false">'Food Data'!AL11</f>
        <v>215</v>
      </c>
      <c r="L20" s="73" t="n">
        <f aca="false">'Food Data'!AL12</f>
        <v>417</v>
      </c>
      <c r="M20" s="73" t="n">
        <f aca="false">'Food Data'!AL13</f>
        <v>128</v>
      </c>
      <c r="N20" s="73" t="n">
        <f aca="false">'Food Data'!AL14</f>
        <v>254</v>
      </c>
      <c r="O20" s="73" t="n">
        <f aca="false">'Food Data'!AL15</f>
        <v>152</v>
      </c>
      <c r="P20" s="73" t="n">
        <f aca="false">'Food Data'!AL16</f>
        <v>163</v>
      </c>
      <c r="Q20" s="73" t="n">
        <f aca="false">'Food Data'!AL17</f>
        <v>201</v>
      </c>
      <c r="R20" s="73" t="n">
        <f aca="false">'Food Data'!AL18</f>
        <v>168</v>
      </c>
      <c r="S20" s="73" t="n">
        <f aca="false">'Food Data'!AL19</f>
        <v>214</v>
      </c>
      <c r="T20" s="73" t="n">
        <f aca="false">'Food Data'!AL20</f>
        <v>86</v>
      </c>
      <c r="U20" s="73" t="n">
        <f aca="false">'Food Data'!AL21</f>
        <v>208</v>
      </c>
      <c r="V20" s="73" t="n">
        <f aca="false">'Food Data'!AL22</f>
        <v>71</v>
      </c>
      <c r="W20" s="73" t="n">
        <f aca="false">'Food Data'!AL23</f>
        <v>96</v>
      </c>
      <c r="X20" s="73" t="n">
        <f aca="false">'Food Data'!AL24</f>
        <v>143</v>
      </c>
      <c r="Y20" s="73" t="n">
        <f aca="false">'Food Data'!AL25</f>
        <v>91</v>
      </c>
      <c r="Z20" s="73" t="n">
        <f aca="false">'Food Data'!AL26</f>
        <v>341</v>
      </c>
      <c r="AA20" s="73" t="n">
        <f aca="false">'Food Data'!AL27</f>
        <v>77</v>
      </c>
      <c r="AB20" s="73" t="n">
        <f aca="false">'Food Data'!AL28</f>
        <v>336</v>
      </c>
      <c r="AC20" s="73" t="n">
        <f aca="false">'Food Data'!AL29</f>
        <v>88</v>
      </c>
      <c r="AD20" s="73" t="n">
        <f aca="false">'Food Data'!AL30</f>
        <v>114</v>
      </c>
      <c r="AE20" s="73" t="n">
        <f aca="false">'Food Data'!AL31</f>
        <v>339</v>
      </c>
      <c r="AF20" s="73" t="n">
        <f aca="false">'Food Data'!AL32</f>
        <v>81</v>
      </c>
      <c r="AG20" s="73" t="n">
        <f aca="false">'Food Data'!AL33</f>
        <v>333</v>
      </c>
      <c r="AH20" s="73" t="n">
        <f aca="false">'Food Data'!AL34</f>
        <v>352</v>
      </c>
      <c r="AI20" s="73" t="n">
        <f aca="false">'Food Data'!AL35</f>
        <v>338</v>
      </c>
      <c r="AJ20" s="73" t="n">
        <f aca="false">'Food Data'!AL36</f>
        <v>113</v>
      </c>
      <c r="AK20" s="73" t="n">
        <f aca="false">'Food Data'!AL37</f>
        <v>337</v>
      </c>
      <c r="AL20" s="73" t="n">
        <f aca="false">'Food Data'!AL38</f>
        <v>598</v>
      </c>
      <c r="AM20" s="73" t="n">
        <f aca="false">'Food Data'!AL39</f>
        <v>82</v>
      </c>
      <c r="AN20" s="73" t="n">
        <f aca="false">'Food Data'!AL40</f>
        <v>347</v>
      </c>
      <c r="AO20" s="73" t="n">
        <f aca="false">'Food Data'!AL41</f>
        <v>98</v>
      </c>
      <c r="AP20" s="73" t="n">
        <f aca="false">'Food Data'!AL42</f>
        <v>50</v>
      </c>
      <c r="AQ20" s="73" t="n">
        <f aca="false">'Food Data'!AL43</f>
        <v>59</v>
      </c>
      <c r="AR20" s="73" t="n">
        <f aca="false">'Food Data'!AL44</f>
        <v>43</v>
      </c>
      <c r="AS20" s="73" t="n">
        <f aca="false">'Food Data'!AL45</f>
        <v>61</v>
      </c>
      <c r="AT20" s="73" t="n">
        <f aca="false">'Food Data'!AL46</f>
        <v>366</v>
      </c>
      <c r="AU20" s="73" t="n">
        <f aca="false">'Food Data'!AL47</f>
        <v>404</v>
      </c>
      <c r="AV20" s="73" t="n">
        <f aca="false">'Food Data'!AL48</f>
        <v>81</v>
      </c>
      <c r="AW20" s="73" t="n">
        <f aca="false">'Food Data'!AL49</f>
        <v>295</v>
      </c>
      <c r="AX20" s="73" t="n">
        <f aca="false">'Food Data'!AL50</f>
        <v>264</v>
      </c>
      <c r="AY20" s="73" t="n">
        <f aca="false">'Food Data'!AL51</f>
        <v>367</v>
      </c>
      <c r="AZ20" s="73" t="n">
        <f aca="false">'Food Data'!AL52</f>
        <v>376</v>
      </c>
      <c r="BA20" s="73" t="n">
        <f aca="false">'Food Data'!AL53</f>
        <v>218</v>
      </c>
      <c r="BB20" s="73" t="n">
        <f aca="false">'Food Data'!AL54</f>
        <v>297</v>
      </c>
      <c r="BC20" s="73" t="n">
        <f aca="false">'Food Data'!AL55</f>
        <v>368</v>
      </c>
      <c r="BD20" s="73" t="n">
        <f aca="false">'Food Data'!AL56</f>
        <v>379</v>
      </c>
      <c r="BE20" s="73" t="n">
        <f aca="false">'Food Data'!AL57</f>
        <v>371</v>
      </c>
      <c r="BF20" s="73" t="n">
        <f aca="false">'Food Data'!AL58</f>
        <v>266</v>
      </c>
      <c r="BG20" s="73" t="n">
        <f aca="false">'Food Data'!AL59</f>
        <v>365</v>
      </c>
      <c r="BH20" s="73" t="n">
        <f aca="false">'Food Data'!AL60</f>
        <v>252</v>
      </c>
      <c r="BI20" s="73" t="n">
        <f aca="false">'Food Data'!AL61</f>
        <v>352</v>
      </c>
      <c r="BJ20" s="73" t="n">
        <f aca="false">'Food Data'!AL62</f>
        <v>132</v>
      </c>
      <c r="BK20" s="73" t="n">
        <f aca="false">'Food Data'!AL63</f>
        <v>61</v>
      </c>
      <c r="BL20" s="73" t="n">
        <f aca="false">'Food Data'!AL64</f>
        <v>88</v>
      </c>
      <c r="BM20" s="73" t="n">
        <f aca="false">'Food Data'!AL65</f>
        <v>150</v>
      </c>
      <c r="BN20" s="73" t="n">
        <f aca="false">'Food Data'!AL66</f>
        <v>58</v>
      </c>
      <c r="BO20" s="73" t="n">
        <f aca="false">'Food Data'!AL67</f>
        <v>77</v>
      </c>
      <c r="BP20" s="73" t="n">
        <f aca="false">'Food Data'!AL68</f>
        <v>77</v>
      </c>
      <c r="BQ20" s="73" t="n">
        <f aca="false">'Food Data'!AL69</f>
        <v>86</v>
      </c>
      <c r="BR20" s="73" t="n">
        <f aca="false">'Food Data'!AL70</f>
        <v>52</v>
      </c>
      <c r="BS20" s="73" t="n">
        <f aca="false">'Food Data'!AL71</f>
        <v>42</v>
      </c>
      <c r="BT20" s="73" t="n">
        <f aca="false">'Food Data'!AL72</f>
        <v>89</v>
      </c>
      <c r="BU20" s="73" t="n">
        <f aca="false">'Food Data'!AL73</f>
        <v>43</v>
      </c>
      <c r="BV20" s="73" t="n">
        <f aca="false">'Food Data'!AL74</f>
        <v>51</v>
      </c>
      <c r="BW20" s="73" t="n">
        <f aca="false">'Food Data'!AL75</f>
        <v>34</v>
      </c>
      <c r="BX20" s="73" t="n">
        <f aca="false">'Food Data'!AL76</f>
        <v>63</v>
      </c>
      <c r="BY20" s="73" t="n">
        <f aca="false">'Food Data'!AL77</f>
        <v>47</v>
      </c>
      <c r="BZ20" s="73" t="n">
        <f aca="false">'Food Data'!AL78</f>
        <v>282</v>
      </c>
      <c r="CA20" s="73" t="n">
        <f aca="false">'Food Data'!AL79</f>
        <v>241</v>
      </c>
      <c r="CB20" s="73" t="n">
        <f aca="false">'Food Data'!AL80</f>
        <v>308</v>
      </c>
      <c r="CC20" s="73" t="n">
        <f aca="false">'Food Data'!AL81</f>
        <v>46</v>
      </c>
      <c r="CD20" s="73" t="n">
        <f aca="false">'Food Data'!AL82</f>
        <v>32</v>
      </c>
      <c r="CE20" s="73" t="n">
        <f aca="false">'Food Data'!AL83</f>
        <v>69</v>
      </c>
      <c r="CF20" s="73" t="n">
        <f aca="false">'Food Data'!AL84</f>
        <v>36</v>
      </c>
      <c r="CG20" s="73" t="n">
        <f aca="false">'Food Data'!AL85</f>
        <v>61</v>
      </c>
      <c r="CH20" s="73" t="n">
        <f aca="false">'Food Data'!AL86</f>
        <v>60</v>
      </c>
      <c r="CI20" s="73" t="n">
        <f aca="false">'Food Data'!AL87</f>
        <v>44</v>
      </c>
      <c r="CJ20" s="73" t="n">
        <f aca="false">'Food Data'!AL88</f>
        <v>49</v>
      </c>
      <c r="CK20" s="73" t="n">
        <f aca="false">'Food Data'!AL89</f>
        <v>49</v>
      </c>
      <c r="CL20" s="73" t="n">
        <f aca="false">'Food Data'!AL90</f>
        <v>43</v>
      </c>
      <c r="CM20" s="73" t="n">
        <f aca="false">'Food Data'!AL91</f>
        <v>39</v>
      </c>
      <c r="CN20" s="73" t="n">
        <f aca="false">'Food Data'!AL92</f>
        <v>44</v>
      </c>
      <c r="CO20" s="73" t="n">
        <f aca="false">'Food Data'!AL93</f>
        <v>57</v>
      </c>
      <c r="CP20" s="73" t="n">
        <f aca="false">'Food Data'!AL94</f>
        <v>50</v>
      </c>
      <c r="CQ20" s="73" t="n">
        <f aca="false">'Food Data'!AL95</f>
        <v>50</v>
      </c>
      <c r="CR20" s="73" t="n">
        <f aca="false">'Food Data'!AL96</f>
        <v>60</v>
      </c>
      <c r="CS20" s="73" t="n">
        <f aca="false">'Food Data'!AL97</f>
        <v>46</v>
      </c>
      <c r="CT20" s="73" t="n">
        <f aca="false">'Food Data'!AL98</f>
        <v>240</v>
      </c>
      <c r="CU20" s="73" t="n">
        <f aca="false">'Food Data'!AL99</f>
        <v>299</v>
      </c>
      <c r="CV20" s="73" t="n">
        <f aca="false">'Food Data'!AL100</f>
        <v>52</v>
      </c>
      <c r="CW20" s="73" t="n">
        <f aca="false">'Food Data'!AL101</f>
        <v>32</v>
      </c>
      <c r="CX20" s="73" t="n">
        <f aca="false">'Food Data'!AL102</f>
        <v>35</v>
      </c>
      <c r="CY20" s="73" t="n">
        <f aca="false">'Food Data'!AL103</f>
        <v>30</v>
      </c>
      <c r="CZ20" s="73" t="n">
        <f aca="false">'Food Data'!AL104</f>
        <v>40</v>
      </c>
      <c r="DA20" s="73" t="n">
        <f aca="false">'Food Data'!AL105</f>
        <v>20</v>
      </c>
      <c r="DB20" s="73" t="n">
        <f aca="false">'Food Data'!AL106</f>
        <v>35</v>
      </c>
      <c r="DC20" s="73" t="n">
        <f aca="false">'Food Data'!AL107</f>
        <v>30</v>
      </c>
      <c r="DD20" s="73" t="n">
        <f aca="false">'Food Data'!AL108</f>
        <v>29</v>
      </c>
      <c r="DE20" s="73" t="n">
        <f aca="false">'Food Data'!AL109</f>
        <v>41</v>
      </c>
      <c r="DF20" s="73" t="n">
        <f aca="false">'Food Data'!AL110</f>
        <v>45</v>
      </c>
      <c r="DG20" s="73" t="n">
        <f aca="false">'Food Data'!AL111</f>
        <v>25</v>
      </c>
      <c r="DH20" s="73" t="n">
        <f aca="false">'Food Data'!AL112</f>
        <v>31</v>
      </c>
      <c r="DI20" s="73" t="n">
        <f aca="false">'Food Data'!AL113</f>
        <v>41</v>
      </c>
      <c r="DJ20" s="73" t="n">
        <f aca="false">'Food Data'!AL114</f>
        <v>23</v>
      </c>
      <c r="DK20" s="73" t="n">
        <f aca="false">'Food Data'!AL115</f>
        <v>36</v>
      </c>
      <c r="DL20" s="73" t="n">
        <f aca="false">'Food Data'!AL116</f>
        <v>24</v>
      </c>
      <c r="DM20" s="73" t="n">
        <f aca="false">'Food Data'!AL117</f>
        <v>16</v>
      </c>
      <c r="DN20" s="73" t="n">
        <f aca="false">'Food Data'!AL118</f>
        <v>32</v>
      </c>
      <c r="DO20" s="73" t="n">
        <f aca="false">'Food Data'!AL119</f>
        <v>33</v>
      </c>
      <c r="DP20" s="73" t="n">
        <f aca="false">'Food Data'!AL120</f>
        <v>15</v>
      </c>
      <c r="DQ20" s="73" t="n">
        <f aca="false">'Food Data'!AL121</f>
        <v>15</v>
      </c>
      <c r="DR20" s="73" t="n">
        <f aca="false">'Food Data'!AL122</f>
        <v>39</v>
      </c>
      <c r="DS20" s="73" t="n">
        <f aca="false">'Food Data'!AL123</f>
        <v>20</v>
      </c>
      <c r="DT20" s="73" t="n">
        <f aca="false">'Food Data'!AL124</f>
        <v>14</v>
      </c>
      <c r="DU20" s="73" t="n">
        <f aca="false">'Food Data'!AL125</f>
        <v>28</v>
      </c>
      <c r="DV20" s="73" t="n">
        <f aca="false">'Food Data'!AL126</f>
        <v>72</v>
      </c>
      <c r="DW20" s="73" t="n">
        <f aca="false">'Food Data'!AL127</f>
        <v>22</v>
      </c>
      <c r="DX20" s="73" t="n">
        <f aca="false">'Food Data'!AL128</f>
        <v>20</v>
      </c>
      <c r="DY20" s="73" t="n">
        <f aca="false">'Food Data'!AL129</f>
        <v>30</v>
      </c>
      <c r="DZ20" s="73" t="n">
        <f aca="false">'Food Data'!AL130</f>
        <v>40</v>
      </c>
      <c r="EA20" s="73" t="n">
        <f aca="false">'Food Data'!AL131</f>
        <v>34</v>
      </c>
      <c r="EB20" s="73" t="n">
        <f aca="false">'Food Data'!AL132</f>
        <v>16</v>
      </c>
      <c r="EC20" s="73" t="n">
        <f aca="false">'Food Data'!AL133</f>
        <v>31</v>
      </c>
      <c r="ED20" s="73" t="n">
        <f aca="false">'Food Data'!AL134</f>
        <v>17</v>
      </c>
      <c r="EE20" s="73" t="n">
        <f aca="false">'Food Data'!AL135</f>
        <v>19</v>
      </c>
      <c r="EF20" s="73" t="n">
        <f aca="false">'Food Data'!AL136</f>
        <v>19</v>
      </c>
      <c r="EG20" s="73" t="n">
        <f aca="false">'Food Data'!AL137</f>
        <v>23</v>
      </c>
      <c r="EH20" s="73" t="n">
        <f aca="false">'Food Data'!AL138</f>
        <v>29</v>
      </c>
      <c r="EI20" s="73" t="n">
        <f aca="false">'Food Data'!AL139</f>
        <v>16</v>
      </c>
      <c r="EJ20" s="73" t="n">
        <f aca="false">'Food Data'!AL140</f>
        <v>18</v>
      </c>
      <c r="EK20" s="73" t="n">
        <f aca="false">'Food Data'!AL141</f>
        <v>22</v>
      </c>
      <c r="EL20" s="73" t="n">
        <f aca="false">'Food Data'!AL142</f>
        <v>17</v>
      </c>
      <c r="EM20" s="73" t="n">
        <f aca="false">'Food Data'!AL143</f>
        <v>717</v>
      </c>
      <c r="EN20" s="73" t="n">
        <f aca="false">'Food Data'!AL144</f>
        <v>884</v>
      </c>
      <c r="EO20" s="73" t="n">
        <f aca="false">'Food Data'!AL145</f>
        <v>884</v>
      </c>
      <c r="EP20" s="73" t="n">
        <f aca="false">'Food Data'!AL146</f>
        <v>579</v>
      </c>
      <c r="EQ20" s="73" t="n">
        <f aca="false">'Food Data'!AL147</f>
        <v>167</v>
      </c>
      <c r="ER20" s="73" t="n">
        <f aca="false">'Food Data'!AL148</f>
        <v>492</v>
      </c>
      <c r="ES20" s="73" t="n">
        <f aca="false">'Food Data'!AL149</f>
        <v>418</v>
      </c>
      <c r="ET20" s="73" t="n">
        <f aca="false">'Food Data'!AL150</f>
        <v>532</v>
      </c>
      <c r="EU20" s="73" t="n">
        <f aca="false">'Food Data'!AL151</f>
        <v>207</v>
      </c>
    </row>
    <row r="21" customFormat="false" ht="15" hidden="false" customHeight="false" outlineLevel="0" collapsed="false">
      <c r="B21" s="14" t="s">
        <v>36</v>
      </c>
      <c r="F21" s="73" t="n">
        <f aca="false">'Food Data'!AM6</f>
        <v>22.5</v>
      </c>
      <c r="G21" s="73" t="n">
        <f aca="false">'Food Data'!AM7</f>
        <v>18.08</v>
      </c>
      <c r="H21" s="73" t="n">
        <f aca="false">'Food Data'!AM8</f>
        <v>19.66</v>
      </c>
      <c r="I21" s="73" t="n">
        <f aca="false">'Food Data'!AM9</f>
        <v>16.33</v>
      </c>
      <c r="J21" s="73" t="n">
        <f aca="false">'Food Data'!AM10</f>
        <v>18.73</v>
      </c>
      <c r="K21" s="73" t="n">
        <f aca="false">'Food Data'!AM11</f>
        <v>18.6</v>
      </c>
      <c r="L21" s="73" t="n">
        <f aca="false">'Food Data'!AM12</f>
        <v>12.62</v>
      </c>
      <c r="M21" s="73" t="n">
        <f aca="false">'Food Data'!AM13</f>
        <v>21.75</v>
      </c>
      <c r="N21" s="73" t="n">
        <f aca="false">'Food Data'!AM14</f>
        <v>17.17</v>
      </c>
      <c r="O21" s="73" t="n">
        <f aca="false">'Food Data'!AM15</f>
        <v>20.85</v>
      </c>
      <c r="P21" s="73" t="n">
        <f aca="false">'Food Data'!AM16</f>
        <v>16.6</v>
      </c>
      <c r="Q21" s="73" t="n">
        <f aca="false">'Food Data'!AM17</f>
        <v>21.14</v>
      </c>
      <c r="R21" s="73" t="n">
        <f aca="false">'Food Data'!AM18</f>
        <v>21.94</v>
      </c>
      <c r="S21" s="73" t="n">
        <f aca="false">'Food Data'!AM19</f>
        <v>19.92</v>
      </c>
      <c r="T21" s="73" t="n">
        <f aca="false">'Food Data'!AM20</f>
        <v>19.44</v>
      </c>
      <c r="U21" s="73" t="n">
        <f aca="false">'Food Data'!AM21</f>
        <v>20.42</v>
      </c>
      <c r="V21" s="73" t="n">
        <f aca="false">'Food Data'!AM22</f>
        <v>13.61</v>
      </c>
      <c r="W21" s="73" t="n">
        <f aca="false">'Food Data'!AM23</f>
        <v>20.08</v>
      </c>
      <c r="X21" s="73" t="n">
        <f aca="false">'Food Data'!AM24</f>
        <v>12.56</v>
      </c>
      <c r="Y21" s="73" t="n">
        <f aca="false">'Food Data'!AM25</f>
        <v>6.03</v>
      </c>
      <c r="Z21" s="73" t="n">
        <f aca="false">'Food Data'!AM26</f>
        <v>21.6</v>
      </c>
      <c r="AA21" s="73" t="n">
        <f aca="false">'Food Data'!AM27</f>
        <v>4.74</v>
      </c>
      <c r="AB21" s="73" t="n">
        <f aca="false">'Food Data'!AM28</f>
        <v>23.52</v>
      </c>
      <c r="AC21" s="73" t="n">
        <f aca="false">'Food Data'!AM29</f>
        <v>4.92</v>
      </c>
      <c r="AD21" s="73" t="n">
        <f aca="false">'Food Data'!AM30</f>
        <v>7.37</v>
      </c>
      <c r="AE21" s="73" t="n">
        <f aca="false">'Food Data'!AM31</f>
        <v>21.86</v>
      </c>
      <c r="AF21" s="73" t="n">
        <f aca="false">'Food Data'!AM32</f>
        <v>5.22</v>
      </c>
      <c r="AG21" s="73" t="n">
        <f aca="false">'Food Data'!AM33</f>
        <v>23.58</v>
      </c>
      <c r="AH21" s="73" t="n">
        <f aca="false">'Food Data'!AM34</f>
        <v>24.63</v>
      </c>
      <c r="AI21" s="73" t="n">
        <f aca="false">'Food Data'!AM35</f>
        <v>21.46</v>
      </c>
      <c r="AJ21" s="73" t="n">
        <f aca="false">'Food Data'!AM36</f>
        <v>7.53</v>
      </c>
      <c r="AK21" s="73" t="n">
        <f aca="false">'Food Data'!AM37</f>
        <v>22.33</v>
      </c>
      <c r="AL21" s="73" t="n">
        <f aca="false">'Food Data'!AM38</f>
        <v>22.21</v>
      </c>
      <c r="AM21" s="73" t="n">
        <f aca="false">'Food Data'!AM39</f>
        <v>4.6</v>
      </c>
      <c r="AN21" s="73" t="n">
        <f aca="false">'Food Data'!AM40</f>
        <v>21.42</v>
      </c>
      <c r="AO21" s="73" t="n">
        <f aca="false">'Food Data'!AM41</f>
        <v>10.1</v>
      </c>
      <c r="AP21" s="73" t="n">
        <f aca="false">'Food Data'!AM42</f>
        <v>3.3</v>
      </c>
      <c r="AQ21" s="73" t="n">
        <f aca="false">'Food Data'!AM43</f>
        <v>10.19</v>
      </c>
      <c r="AR21" s="73" t="n">
        <f aca="false">'Food Data'!AM44</f>
        <v>2.6</v>
      </c>
      <c r="AS21" s="73" t="n">
        <f aca="false">'Food Data'!AM45</f>
        <v>3.15</v>
      </c>
      <c r="AT21" s="73" t="n">
        <f aca="false">'Food Data'!AM46</f>
        <v>18.13</v>
      </c>
      <c r="AU21" s="73" t="n">
        <f aca="false">'Food Data'!AM47</f>
        <v>22.87</v>
      </c>
      <c r="AV21" s="73" t="n">
        <f aca="false">'Food Data'!AM48</f>
        <v>10.45</v>
      </c>
      <c r="AW21" s="73" t="n">
        <f aca="false">'Food Data'!AM49</f>
        <v>23.75</v>
      </c>
      <c r="AX21" s="73" t="n">
        <f aca="false">'Food Data'!AM50</f>
        <v>10.56</v>
      </c>
      <c r="AY21" s="73" t="n">
        <f aca="false">'Food Data'!AM51</f>
        <v>7.54</v>
      </c>
      <c r="AZ21" s="73" t="n">
        <f aca="false">'Food Data'!AM52</f>
        <v>12.09</v>
      </c>
      <c r="BA21" s="73" t="n">
        <f aca="false">'Food Data'!AM53</f>
        <v>5.7</v>
      </c>
      <c r="BB21" s="73" t="n">
        <f aca="false">'Food Data'!AM54</f>
        <v>8.01</v>
      </c>
      <c r="BC21" s="73" t="n">
        <f aca="false">'Food Data'!AM55</f>
        <v>14.12</v>
      </c>
      <c r="BD21" s="73" t="n">
        <f aca="false">'Food Data'!AM56</f>
        <v>13.15</v>
      </c>
      <c r="BE21" s="73" t="n">
        <f aca="false">'Food Data'!AM57</f>
        <v>13.04</v>
      </c>
      <c r="BF21" s="73" t="n">
        <f aca="false">'Food Data'!AM58</f>
        <v>8.85</v>
      </c>
      <c r="BG21" s="73" t="n">
        <f aca="false">'Food Data'!AM59</f>
        <v>7.13</v>
      </c>
      <c r="BH21" s="73" t="n">
        <f aca="false">'Food Data'!AM60</f>
        <v>12.45</v>
      </c>
      <c r="BI21" s="73" t="n">
        <f aca="false">'Food Data'!AM61</f>
        <v>13.87</v>
      </c>
      <c r="BJ21" s="73" t="n">
        <f aca="false">'Food Data'!AM62</f>
        <v>7.59</v>
      </c>
      <c r="BK21" s="73" t="n">
        <f aca="false">'Food Data'!AM63</f>
        <v>1.95</v>
      </c>
      <c r="BL21" s="73" t="n">
        <f aca="false">'Food Data'!AM64</f>
        <v>3.02</v>
      </c>
      <c r="BM21" s="73" t="n">
        <f aca="false">'Food Data'!AM65</f>
        <v>2.24</v>
      </c>
      <c r="BN21" s="73" t="n">
        <f aca="false">'Food Data'!AM66</f>
        <v>3.01</v>
      </c>
      <c r="BO21" s="73" t="n">
        <f aca="false">'Food Data'!AM67</f>
        <v>5.22</v>
      </c>
      <c r="BP21" s="73" t="n">
        <f aca="false">'Food Data'!AM68</f>
        <v>2.05</v>
      </c>
      <c r="BQ21" s="73" t="n">
        <f aca="false">'Food Data'!AM69</f>
        <v>1.57</v>
      </c>
      <c r="BR21" s="73" t="n">
        <f aca="false">'Food Data'!AM70</f>
        <v>0.26</v>
      </c>
      <c r="BS21" s="73" t="n">
        <f aca="false">'Food Data'!AM71</f>
        <v>0.17</v>
      </c>
      <c r="BT21" s="73" t="n">
        <f aca="false">'Food Data'!AM72</f>
        <v>1.09</v>
      </c>
      <c r="BU21" s="73" t="n">
        <f aca="false">'Food Data'!AM73</f>
        <v>1.39</v>
      </c>
      <c r="BV21" s="73" t="n">
        <f aca="false">'Food Data'!AM74</f>
        <v>0.42</v>
      </c>
      <c r="BW21" s="73" t="n">
        <f aca="false">'Food Data'!AM75</f>
        <v>0.84</v>
      </c>
      <c r="BX21" s="73" t="n">
        <f aca="false">'Food Data'!AM76</f>
        <v>1.06</v>
      </c>
      <c r="BY21" s="73" t="n">
        <f aca="false">'Food Data'!AM77</f>
        <v>0.85</v>
      </c>
      <c r="BZ21" s="73" t="n">
        <f aca="false">'Food Data'!AM78</f>
        <v>2.45</v>
      </c>
      <c r="CA21" s="73" t="n">
        <f aca="false">'Food Data'!AM79</f>
        <v>3.39</v>
      </c>
      <c r="CB21" s="73" t="n">
        <f aca="false">'Food Data'!AM80</f>
        <v>0.17</v>
      </c>
      <c r="CC21" s="73" t="n">
        <f aca="false">'Food Data'!AM81</f>
        <v>0.46</v>
      </c>
      <c r="CD21" s="73" t="n">
        <f aca="false">'Food Data'!AM82</f>
        <v>0.63</v>
      </c>
      <c r="CE21" s="73" t="n">
        <f aca="false">'Food Data'!AM83</f>
        <v>0.72</v>
      </c>
      <c r="CF21" s="73" t="n">
        <f aca="false">'Food Data'!AM84</f>
        <v>0.54</v>
      </c>
      <c r="CG21" s="73" t="n">
        <f aca="false">'Food Data'!AM85</f>
        <v>1.14</v>
      </c>
      <c r="CH21" s="73" t="n">
        <f aca="false">'Food Data'!AM86</f>
        <v>0.82</v>
      </c>
      <c r="CI21" s="73" t="n">
        <f aca="false">'Food Data'!AM87</f>
        <v>1.06</v>
      </c>
      <c r="CJ21" s="73" t="n">
        <f aca="false">'Food Data'!AM88</f>
        <v>0.68</v>
      </c>
      <c r="CK21" s="73" t="n">
        <f aca="false">'Food Data'!AM89</f>
        <v>0.91</v>
      </c>
      <c r="CL21" s="73" t="n">
        <f aca="false">'Food Data'!AM90</f>
        <v>0.47</v>
      </c>
      <c r="CM21" s="73" t="n">
        <f aca="false">'Food Data'!AM91</f>
        <v>0.91</v>
      </c>
      <c r="CN21" s="73" t="n">
        <f aca="false">'Food Data'!AM92</f>
        <v>0.63</v>
      </c>
      <c r="CO21" s="73" t="n">
        <f aca="false">'Food Data'!AM93</f>
        <v>0.36</v>
      </c>
      <c r="CP21" s="73" t="n">
        <f aca="false">'Food Data'!AM94</f>
        <v>0.34</v>
      </c>
      <c r="CQ21" s="73" t="n">
        <f aca="false">'Food Data'!AM95</f>
        <v>0.54</v>
      </c>
      <c r="CR21" s="73" t="n">
        <f aca="false">'Food Data'!AM96</f>
        <v>0.42</v>
      </c>
      <c r="CS21" s="73" t="n">
        <f aca="false">'Food Data'!AM97</f>
        <v>0.7</v>
      </c>
      <c r="CT21" s="73" t="n">
        <f aca="false">'Food Data'!AM98</f>
        <v>2.18</v>
      </c>
      <c r="CU21" s="73" t="n">
        <f aca="false">'Food Data'!AM99</f>
        <v>3.07</v>
      </c>
      <c r="CV21" s="73" t="n">
        <f aca="false">'Food Data'!AM100</f>
        <v>1.2</v>
      </c>
      <c r="CW21" s="73" t="n">
        <f aca="false">'Food Data'!AM101</f>
        <v>0.67</v>
      </c>
      <c r="CX21" s="73" t="n">
        <f aca="false">'Food Data'!AM102</f>
        <v>0.43</v>
      </c>
      <c r="CY21" s="73" t="n">
        <f aca="false">'Food Data'!AM103</f>
        <v>0.61</v>
      </c>
      <c r="CZ21" s="73" t="n">
        <f aca="false">'Food Data'!AM104</f>
        <v>0.8</v>
      </c>
      <c r="DA21" s="73" t="n">
        <f aca="false">'Food Data'!AM105</f>
        <v>2.2</v>
      </c>
      <c r="DB21" s="73" t="n">
        <f aca="false">'Food Data'!AM106</f>
        <v>0.64</v>
      </c>
      <c r="DC21" s="73" t="n">
        <f aca="false">'Food Data'!AM107</f>
        <v>0.73</v>
      </c>
      <c r="DD21" s="73" t="n">
        <f aca="false">'Food Data'!AM108</f>
        <v>3.06</v>
      </c>
      <c r="DE21" s="73" t="n">
        <f aca="false">'Food Data'!AM109</f>
        <v>3.78</v>
      </c>
      <c r="DF21" s="73" t="n">
        <f aca="false">'Food Data'!AM110</f>
        <v>1</v>
      </c>
      <c r="DG21" s="73" t="n">
        <f aca="false">'Food Data'!AM111</f>
        <v>1.28</v>
      </c>
      <c r="DH21" s="73" t="n">
        <f aca="false">'Food Data'!AM112</f>
        <v>1.43</v>
      </c>
      <c r="DI21" s="73" t="n">
        <f aca="false">'Food Data'!AM113</f>
        <v>0.93</v>
      </c>
      <c r="DJ21" s="73" t="n">
        <f aca="false">'Food Data'!AM114</f>
        <v>0.58</v>
      </c>
      <c r="DK21" s="73" t="n">
        <f aca="false">'Food Data'!AM115</f>
        <v>0.78</v>
      </c>
      <c r="DL21" s="73" t="n">
        <f aca="false">'Food Data'!AM116</f>
        <v>2.01</v>
      </c>
      <c r="DM21" s="73" t="n">
        <f aca="false">'Food Data'!AM117</f>
        <v>0.69</v>
      </c>
      <c r="DN21" s="73" t="n">
        <f aca="false">'Food Data'!AM118</f>
        <v>3.02</v>
      </c>
      <c r="DO21" s="73" t="n">
        <f aca="false">'Food Data'!AM119</f>
        <v>2.69</v>
      </c>
      <c r="DP21" s="73" t="n">
        <f aca="false">'Food Data'!AM120</f>
        <v>0.65</v>
      </c>
      <c r="DQ21" s="73" t="n">
        <f aca="false">'Food Data'!AM121</f>
        <v>0.72</v>
      </c>
      <c r="DR21" s="73" t="n">
        <f aca="false">'Food Data'!AM122</f>
        <v>1.79</v>
      </c>
      <c r="DS21" s="73" t="n">
        <f aca="false">'Food Data'!AM123</f>
        <v>0.86</v>
      </c>
      <c r="DT21" s="73" t="n">
        <f aca="false">'Food Data'!AM124</f>
        <v>0.9</v>
      </c>
      <c r="DU21" s="73" t="n">
        <f aca="false">'Food Data'!AM125</f>
        <v>2.66</v>
      </c>
      <c r="DV21" s="73" t="n">
        <f aca="false">'Food Data'!AM126</f>
        <v>3.33</v>
      </c>
      <c r="DW21" s="73" t="n">
        <f aca="false">'Food Data'!AM127</f>
        <v>3.09</v>
      </c>
      <c r="DX21" s="73" t="n">
        <f aca="false">'Food Data'!AM128</f>
        <v>2.49</v>
      </c>
      <c r="DY21" s="73" t="n">
        <f aca="false">'Food Data'!AM129</f>
        <v>1.69</v>
      </c>
      <c r="DZ21" s="73" t="n">
        <f aca="false">'Food Data'!AM130</f>
        <v>1.1</v>
      </c>
      <c r="EA21" s="73" t="n">
        <f aca="false">'Food Data'!AM131</f>
        <v>1.1</v>
      </c>
      <c r="EB21" s="73" t="n">
        <f aca="false">'Food Data'!AM132</f>
        <v>0.68</v>
      </c>
      <c r="EC21" s="73" t="n">
        <f aca="false">'Food Data'!AM133</f>
        <v>0.99</v>
      </c>
      <c r="ED21" s="73" t="n">
        <f aca="false">'Food Data'!AM134</f>
        <v>1.23</v>
      </c>
      <c r="EE21" s="73" t="n">
        <f aca="false">'Food Data'!AM135</f>
        <v>0.91</v>
      </c>
      <c r="EF21" s="73" t="n">
        <f aca="false">'Food Data'!AM136</f>
        <v>2.11</v>
      </c>
      <c r="EG21" s="73" t="n">
        <f aca="false">'Food Data'!AM137</f>
        <v>2.86</v>
      </c>
      <c r="EH21" s="73" t="n">
        <f aca="false">'Food Data'!AM138</f>
        <v>3.63</v>
      </c>
      <c r="EI21" s="73" t="n">
        <f aca="false">'Food Data'!AM139</f>
        <v>0.79</v>
      </c>
      <c r="EJ21" s="73" t="n">
        <f aca="false">'Food Data'!AM140</f>
        <v>0.88</v>
      </c>
      <c r="EK21" s="73" t="n">
        <f aca="false">'Food Data'!AM141</f>
        <v>2.47</v>
      </c>
      <c r="EL21" s="73" t="n">
        <f aca="false">'Food Data'!AM142</f>
        <v>1.21</v>
      </c>
      <c r="EM21" s="73" t="n">
        <f aca="false">'Food Data'!AM143</f>
        <v>0.85</v>
      </c>
      <c r="EN21" s="73" t="n">
        <f aca="false">'Food Data'!AM144</f>
        <v>0</v>
      </c>
      <c r="EO21" s="73" t="n">
        <f aca="false">'Food Data'!AM145</f>
        <v>0</v>
      </c>
      <c r="EP21" s="73" t="n">
        <f aca="false">'Food Data'!AM146</f>
        <v>21.15</v>
      </c>
      <c r="EQ21" s="73" t="n">
        <f aca="false">'Food Data'!AM147</f>
        <v>1.96</v>
      </c>
      <c r="ER21" s="73" t="n">
        <f aca="false">'Food Data'!AM148</f>
        <v>5.1</v>
      </c>
      <c r="ES21" s="73" t="n">
        <f aca="false">'Food Data'!AM149</f>
        <v>5.65</v>
      </c>
      <c r="ET21" s="73" t="n">
        <f aca="false">'Food Data'!AM150</f>
        <v>6.39</v>
      </c>
      <c r="EU21" s="73" t="n">
        <f aca="false">'Food Data'!AM151</f>
        <v>3.5</v>
      </c>
    </row>
    <row r="22" customFormat="false" ht="15" hidden="false" customHeight="false" outlineLevel="0" collapsed="false">
      <c r="B22" s="14" t="s">
        <v>39</v>
      </c>
      <c r="F22" s="73" t="n">
        <f aca="false">'Food Data'!AN6</f>
        <v>0</v>
      </c>
      <c r="G22" s="73" t="n">
        <f aca="false">'Food Data'!AN7</f>
        <v>0.11</v>
      </c>
      <c r="H22" s="73" t="n">
        <f aca="false">'Food Data'!AN8</f>
        <v>0</v>
      </c>
      <c r="I22" s="73" t="n">
        <f aca="false">'Food Data'!AN9</f>
        <v>2.34</v>
      </c>
      <c r="J22" s="73" t="n">
        <f aca="false">'Food Data'!AN10</f>
        <v>0</v>
      </c>
      <c r="K22" s="73" t="n">
        <f aca="false">'Food Data'!AN11</f>
        <v>0</v>
      </c>
      <c r="L22" s="73" t="n">
        <f aca="false">'Food Data'!AN12</f>
        <v>1.28</v>
      </c>
      <c r="M22" s="73" t="n">
        <f aca="false">'Food Data'!AN13</f>
        <v>0.16</v>
      </c>
      <c r="N22" s="73" t="n">
        <f aca="false">'Food Data'!AN14</f>
        <v>0</v>
      </c>
      <c r="O22" s="73" t="n">
        <f aca="false">'Food Data'!AN15</f>
        <v>0</v>
      </c>
      <c r="P22" s="73" t="n">
        <f aca="false">'Food Data'!AN16</f>
        <v>3.83</v>
      </c>
      <c r="Q22" s="73" t="n">
        <f aca="false">'Food Data'!AN17</f>
        <v>0</v>
      </c>
      <c r="R22" s="73" t="n">
        <f aca="false">'Food Data'!AN18</f>
        <v>0</v>
      </c>
      <c r="S22" s="73" t="n">
        <f aca="false">'Food Data'!AN19</f>
        <v>0</v>
      </c>
      <c r="T22" s="73" t="n">
        <f aca="false">'Food Data'!AN20</f>
        <v>0</v>
      </c>
      <c r="U22" s="73" t="n">
        <f aca="false">'Food Data'!AN21</f>
        <v>0</v>
      </c>
      <c r="V22" s="73" t="n">
        <f aca="false">'Food Data'!AN22</f>
        <v>0.91</v>
      </c>
      <c r="W22" s="73" t="n">
        <f aca="false">'Food Data'!AN23</f>
        <v>0</v>
      </c>
      <c r="X22" s="73" t="n">
        <f aca="false">'Food Data'!AN24</f>
        <v>0.72</v>
      </c>
      <c r="Y22" s="73" t="n">
        <f aca="false">'Food Data'!AN25</f>
        <v>16.55</v>
      </c>
      <c r="Z22" s="73" t="n">
        <f aca="false">'Food Data'!AN26</f>
        <v>62.36</v>
      </c>
      <c r="AA22" s="73" t="n">
        <f aca="false">'Food Data'!AN27</f>
        <v>13.63</v>
      </c>
      <c r="AB22" s="73" t="n">
        <f aca="false">'Food Data'!AN28</f>
        <v>60.03</v>
      </c>
      <c r="AC22" s="73" t="n">
        <f aca="false">'Food Data'!AN29</f>
        <v>13.49</v>
      </c>
      <c r="AD22" s="73" t="n">
        <f aca="false">'Food Data'!AN30</f>
        <v>21.02</v>
      </c>
      <c r="AE22" s="73" t="n">
        <f aca="false">'Food Data'!AN31</f>
        <v>62.37</v>
      </c>
      <c r="AF22" s="73" t="n">
        <f aca="false">'Food Data'!AN32</f>
        <v>14.83</v>
      </c>
      <c r="AG22" s="73" t="n">
        <f aca="false">'Food Data'!AN33</f>
        <v>60.01</v>
      </c>
      <c r="AH22" s="73" t="n">
        <f aca="false">'Food Data'!AN34</f>
        <v>63.35</v>
      </c>
      <c r="AI22" s="73" t="n">
        <f aca="false">'Food Data'!AN35</f>
        <v>63.38</v>
      </c>
      <c r="AJ22" s="73" t="n">
        <f aca="false">'Food Data'!AN36</f>
        <v>20.45</v>
      </c>
      <c r="AK22" s="73" t="n">
        <f aca="false">'Food Data'!AN37</f>
        <v>60.75</v>
      </c>
      <c r="AL22" s="73" t="n">
        <f aca="false">'Food Data'!AN38</f>
        <v>22.31</v>
      </c>
      <c r="AM22" s="73" t="n">
        <f aca="false">'Food Data'!AN39</f>
        <v>15.18</v>
      </c>
      <c r="AN22" s="73" t="n">
        <f aca="false">'Food Data'!AN40</f>
        <v>62.55</v>
      </c>
      <c r="AO22" s="73" t="n">
        <f aca="false">'Food Data'!AN41</f>
        <v>2.6</v>
      </c>
      <c r="AP22" s="73" t="n">
        <f aca="false">'Food Data'!AN42</f>
        <v>4.8</v>
      </c>
      <c r="AQ22" s="73" t="n">
        <f aca="false">'Food Data'!AN43</f>
        <v>3.6</v>
      </c>
      <c r="AR22" s="73" t="n">
        <f aca="false">'Food Data'!AN44</f>
        <v>4.92</v>
      </c>
      <c r="AS22" s="73" t="n">
        <f aca="false">'Food Data'!AN45</f>
        <v>4.8</v>
      </c>
      <c r="AT22" s="73" t="n">
        <f aca="false">'Food Data'!AN46</f>
        <v>4.78</v>
      </c>
      <c r="AU22" s="73" t="n">
        <f aca="false">'Food Data'!AN47</f>
        <v>3.09</v>
      </c>
      <c r="AV22" s="73" t="n">
        <f aca="false">'Food Data'!AN48</f>
        <v>4.76</v>
      </c>
      <c r="AW22" s="73" t="n">
        <f aca="false">'Food Data'!AN49</f>
        <v>5.58</v>
      </c>
      <c r="AX22" s="73" t="n">
        <f aca="false">'Food Data'!AN50</f>
        <v>52.38</v>
      </c>
      <c r="AY22" s="73" t="n">
        <f aca="false">'Food Data'!AN51</f>
        <v>76.25</v>
      </c>
      <c r="AZ22" s="73" t="n">
        <f aca="false">'Food Data'!AN52</f>
        <v>73.23</v>
      </c>
      <c r="BA22" s="73" t="n">
        <f aca="false">'Food Data'!AN53</f>
        <v>44.64</v>
      </c>
      <c r="BB22" s="73" t="n">
        <f aca="false">'Food Data'!AN54</f>
        <v>49.27</v>
      </c>
      <c r="BC22" s="73" t="n">
        <f aca="false">'Food Data'!AN55</f>
        <v>64.16</v>
      </c>
      <c r="BD22" s="73" t="n">
        <f aca="false">'Food Data'!AN56</f>
        <v>67.7</v>
      </c>
      <c r="BE22" s="73" t="n">
        <f aca="false">'Food Data'!AN57</f>
        <v>74.67</v>
      </c>
      <c r="BF22" s="73" t="n">
        <f aca="false">'Food Data'!AN58</f>
        <v>49.42</v>
      </c>
      <c r="BG22" s="73" t="n">
        <f aca="false">'Food Data'!AN59</f>
        <v>79.95</v>
      </c>
      <c r="BH22" s="73" t="n">
        <f aca="false">'Food Data'!AN60</f>
        <v>42.71</v>
      </c>
      <c r="BI22" s="73" t="n">
        <f aca="false">'Food Data'!AN61</f>
        <v>73.37</v>
      </c>
      <c r="BJ22" s="73" t="n">
        <f aca="false">'Food Data'!AN62</f>
        <v>25.14</v>
      </c>
      <c r="BK22" s="73" t="n">
        <f aca="false">'Food Data'!AN63</f>
        <v>13.86</v>
      </c>
      <c r="BL22" s="73" t="n">
        <f aca="false">'Food Data'!AN64</f>
        <v>20.71</v>
      </c>
      <c r="BM22" s="73" t="n">
        <f aca="false">'Food Data'!AN65</f>
        <v>24.81</v>
      </c>
      <c r="BN22" s="73" t="n">
        <f aca="false">'Food Data'!AN66</f>
        <v>10.6</v>
      </c>
      <c r="BO22" s="73" t="n">
        <f aca="false">'Food Data'!AN67</f>
        <v>13.62</v>
      </c>
      <c r="BP22" s="73" t="n">
        <f aca="false">'Food Data'!AN68</f>
        <v>17.49</v>
      </c>
      <c r="BQ22" s="73" t="n">
        <f aca="false">'Food Data'!AN69</f>
        <v>20.12</v>
      </c>
      <c r="BR22" s="73" t="n">
        <f aca="false">'Food Data'!AN70</f>
        <v>13.81</v>
      </c>
      <c r="BS22" s="73" t="n">
        <f aca="false">'Food Data'!AN71</f>
        <v>11.27</v>
      </c>
      <c r="BT22" s="73" t="n">
        <f aca="false">'Food Data'!AN72</f>
        <v>22.84</v>
      </c>
      <c r="BU22" s="73" t="n">
        <f aca="false">'Food Data'!AN73</f>
        <v>9.61</v>
      </c>
      <c r="BV22" s="73" t="n">
        <f aca="false">'Food Data'!AN74</f>
        <v>12.17</v>
      </c>
      <c r="BW22" s="73" t="n">
        <f aca="false">'Food Data'!AN75</f>
        <v>8.16</v>
      </c>
      <c r="BX22" s="73" t="n">
        <f aca="false">'Food Data'!AN76</f>
        <v>16.01</v>
      </c>
      <c r="BY22" s="73" t="n">
        <f aca="false">'Food Data'!AN77</f>
        <v>12.02</v>
      </c>
      <c r="BZ22" s="73" t="n">
        <f aca="false">'Food Data'!AN78</f>
        <v>75.03</v>
      </c>
      <c r="CA22" s="73" t="n">
        <f aca="false">'Food Data'!AN79</f>
        <v>62.64</v>
      </c>
      <c r="CB22" s="73" t="n">
        <f aca="false">'Food Data'!AN80</f>
        <v>82.8</v>
      </c>
      <c r="CC22" s="73" t="n">
        <f aca="false">'Food Data'!AN81</f>
        <v>11.86</v>
      </c>
      <c r="CD22" s="73" t="n">
        <f aca="false">'Food Data'!AN82</f>
        <v>8.08</v>
      </c>
      <c r="CE22" s="73" t="n">
        <f aca="false">'Food Data'!AN83</f>
        <v>18.1</v>
      </c>
      <c r="CF22" s="73" t="n">
        <f aca="false">'Food Data'!AN84</f>
        <v>9.09</v>
      </c>
      <c r="CG22" s="73" t="n">
        <f aca="false">'Food Data'!AN85</f>
        <v>14.66</v>
      </c>
      <c r="CH22" s="73" t="n">
        <f aca="false">'Food Data'!AN86</f>
        <v>14.98</v>
      </c>
      <c r="CI22" s="73" t="n">
        <f aca="false">'Food Data'!AN87</f>
        <v>10.55</v>
      </c>
      <c r="CJ22" s="73" t="n">
        <f aca="false">'Food Data'!AN88</f>
        <v>11.54</v>
      </c>
      <c r="CK22" s="73" t="n">
        <f aca="false">'Food Data'!AN89</f>
        <v>12.54</v>
      </c>
      <c r="CL22" s="73" t="n">
        <f aca="false">'Food Data'!AN90</f>
        <v>10.82</v>
      </c>
      <c r="CM22" s="73" t="n">
        <f aca="false">'Food Data'!AN91</f>
        <v>9.54</v>
      </c>
      <c r="CN22" s="73" t="n">
        <f aca="false">'Food Data'!AN92</f>
        <v>11.57</v>
      </c>
      <c r="CO22" s="73" t="n">
        <f aca="false">'Food Data'!AN93</f>
        <v>15.23</v>
      </c>
      <c r="CP22" s="73" t="n">
        <f aca="false">'Food Data'!AN94</f>
        <v>12.94</v>
      </c>
      <c r="CQ22" s="73" t="n">
        <f aca="false">'Food Data'!AN95</f>
        <v>13.12</v>
      </c>
      <c r="CR22" s="73" t="n">
        <f aca="false">'Food Data'!AN96</f>
        <v>15.7</v>
      </c>
      <c r="CS22" s="73" t="n">
        <f aca="false">'Food Data'!AN97</f>
        <v>11.42</v>
      </c>
      <c r="CT22" s="73" t="n">
        <f aca="false">'Food Data'!AN98</f>
        <v>63.88</v>
      </c>
      <c r="CU22" s="73" t="n">
        <f aca="false">'Food Data'!AN99</f>
        <v>79.18</v>
      </c>
      <c r="CV22" s="73" t="n">
        <f aca="false">'Food Data'!AN100</f>
        <v>11.94</v>
      </c>
      <c r="CW22" s="73" t="n">
        <f aca="false">'Food Data'!AN101</f>
        <v>7.68</v>
      </c>
      <c r="CX22" s="73" t="n">
        <f aca="false">'Food Data'!AN102</f>
        <v>9.13</v>
      </c>
      <c r="CY22" s="73" t="n">
        <f aca="false">'Food Data'!AN103</f>
        <v>7.55</v>
      </c>
      <c r="CZ22" s="73" t="n">
        <f aca="false">'Food Data'!AN104</f>
        <v>10.42</v>
      </c>
      <c r="DA22" s="73" t="n">
        <f aca="false">'Food Data'!AN105</f>
        <v>3.88</v>
      </c>
      <c r="DB22" s="73" t="n">
        <f aca="false">'Food Data'!AN106</f>
        <v>8.24</v>
      </c>
      <c r="DC22" s="73" t="n">
        <f aca="false">'Food Data'!AN107</f>
        <v>7.14</v>
      </c>
      <c r="DD22" s="73" t="n">
        <f aca="false">'Food Data'!AN108</f>
        <v>5.35</v>
      </c>
      <c r="DE22" s="73" t="n">
        <f aca="false">'Food Data'!AN109</f>
        <v>7.86</v>
      </c>
      <c r="DF22" s="73" t="n">
        <f aca="false">'Food Data'!AN110</f>
        <v>11.69</v>
      </c>
      <c r="DG22" s="73" t="n">
        <f aca="false">'Food Data'!AN111</f>
        <v>5.8</v>
      </c>
      <c r="DH22" s="73" t="n">
        <f aca="false">'Food Data'!AN112</f>
        <v>7.37</v>
      </c>
      <c r="DI22" s="73" t="n">
        <f aca="false">'Food Data'!AN113</f>
        <v>9.58</v>
      </c>
      <c r="DJ22" s="73" t="n">
        <f aca="false">'Food Data'!AN114</f>
        <v>5.37</v>
      </c>
      <c r="DK22" s="73" t="n">
        <f aca="false">'Food Data'!AN115</f>
        <v>7.9</v>
      </c>
      <c r="DL22" s="73" t="n">
        <f aca="false">'Food Data'!AN116</f>
        <v>4.68</v>
      </c>
      <c r="DM22" s="73" t="n">
        <f aca="false">'Food Data'!AN117</f>
        <v>2.97</v>
      </c>
      <c r="DN22" s="73" t="n">
        <f aca="false">'Food Data'!AN118</f>
        <v>5.42</v>
      </c>
      <c r="DO22" s="73" t="n">
        <f aca="false">'Food Data'!AN119</f>
        <v>6.46</v>
      </c>
      <c r="DP22" s="73" t="n">
        <f aca="false">'Food Data'!AN120</f>
        <v>3.63</v>
      </c>
      <c r="DQ22" s="73" t="n">
        <f aca="false">'Food Data'!AN121</f>
        <v>3.27</v>
      </c>
      <c r="DR22" s="73" t="n">
        <f aca="false">'Food Data'!AN122</f>
        <v>7.54</v>
      </c>
      <c r="DS22" s="73" t="n">
        <f aca="false">'Food Data'!AN123</f>
        <v>4.64</v>
      </c>
      <c r="DT22" s="73" t="n">
        <f aca="false">'Food Data'!AN124</f>
        <v>2.97</v>
      </c>
      <c r="DU22" s="73" t="n">
        <f aca="false">'Food Data'!AN125</f>
        <v>4.9</v>
      </c>
      <c r="DV22" s="73" t="n">
        <f aca="false">'Food Data'!AN126</f>
        <v>13.47</v>
      </c>
      <c r="DW22" s="73" t="n">
        <f aca="false">'Food Data'!AN127</f>
        <v>3.26</v>
      </c>
      <c r="DX22" s="73" t="n">
        <f aca="false">'Food Data'!AN128</f>
        <v>3.41</v>
      </c>
      <c r="DY22" s="73" t="n">
        <f aca="false">'Food Data'!AN129</f>
        <v>6.63</v>
      </c>
      <c r="DZ22" s="73" t="n">
        <f aca="false">'Food Data'!AN130</f>
        <v>9.34</v>
      </c>
      <c r="EA22" s="73" t="n">
        <f aca="false">'Food Data'!AN131</f>
        <v>8.09</v>
      </c>
      <c r="EB22" s="73" t="n">
        <f aca="false">'Food Data'!AN132</f>
        <v>3.4</v>
      </c>
      <c r="EC22" s="73" t="n">
        <f aca="false">'Food Data'!AN133</f>
        <v>6.03</v>
      </c>
      <c r="ED22" s="73" t="n">
        <f aca="false">'Food Data'!AN134</f>
        <v>3.29</v>
      </c>
      <c r="EE22" s="73" t="n">
        <f aca="false">'Food Data'!AN135</f>
        <v>4.28</v>
      </c>
      <c r="EF22" s="73" t="n">
        <f aca="false">'Food Data'!AN136</f>
        <v>2.92</v>
      </c>
      <c r="EG22" s="73" t="n">
        <f aca="false">'Food Data'!AN137</f>
        <v>3.63</v>
      </c>
      <c r="EH22" s="73" t="n">
        <f aca="false">'Food Data'!AN138</f>
        <v>4.21</v>
      </c>
      <c r="EI22" s="73" t="n">
        <f aca="false">'Food Data'!AN139</f>
        <v>3.47</v>
      </c>
      <c r="EJ22" s="73" t="n">
        <f aca="false">'Food Data'!AN140</f>
        <v>3.89</v>
      </c>
      <c r="EK22" s="73" t="n">
        <f aca="false">'Food Data'!AN141</f>
        <v>3.67</v>
      </c>
      <c r="EL22" s="73" t="n">
        <f aca="false">'Food Data'!AN142</f>
        <v>3.11</v>
      </c>
      <c r="EM22" s="73" t="n">
        <f aca="false">'Food Data'!AN143</f>
        <v>0.06</v>
      </c>
      <c r="EN22" s="73" t="n">
        <f aca="false">'Food Data'!AN144</f>
        <v>0</v>
      </c>
      <c r="EO22" s="73" t="n">
        <f aca="false">'Food Data'!AN145</f>
        <v>0</v>
      </c>
      <c r="EP22" s="73" t="n">
        <f aca="false">'Food Data'!AN146</f>
        <v>21.55</v>
      </c>
      <c r="EQ22" s="73" t="n">
        <f aca="false">'Food Data'!AN147</f>
        <v>8.64</v>
      </c>
      <c r="ER22" s="73" t="n">
        <f aca="false">'Food Data'!AN148</f>
        <v>65.36</v>
      </c>
      <c r="ES22" s="73" t="n">
        <f aca="false">'Food Data'!AN149</f>
        <v>70.2</v>
      </c>
      <c r="ET22" s="73" t="n">
        <f aca="false">'Food Data'!AN150</f>
        <v>53.83</v>
      </c>
      <c r="EU22" s="73" t="n">
        <f aca="false">'Food Data'!AN151</f>
        <v>23.6</v>
      </c>
    </row>
    <row r="23" customFormat="false" ht="15" hidden="false" customHeight="false" outlineLevel="0" collapsed="false">
      <c r="B23" s="14" t="s">
        <v>45</v>
      </c>
      <c r="F23" s="73" t="n">
        <f aca="false">'Food Data'!AO6</f>
        <v>2.62</v>
      </c>
      <c r="G23" s="73" t="n">
        <f aca="false">'Food Data'!AO7</f>
        <v>9.2</v>
      </c>
      <c r="H23" s="73" t="n">
        <f aca="false">'Food Data'!AO8</f>
        <v>4.12</v>
      </c>
      <c r="I23" s="73" t="n">
        <f aca="false">'Food Data'!AO9</f>
        <v>2.37</v>
      </c>
      <c r="J23" s="73" t="n">
        <f aca="false">'Food Data'!AO10</f>
        <v>8.34</v>
      </c>
      <c r="K23" s="73" t="n">
        <f aca="false">'Food Data'!AO11</f>
        <v>15.06</v>
      </c>
      <c r="L23" s="73" t="n">
        <f aca="false">'Food Data'!AO12</f>
        <v>39.69</v>
      </c>
      <c r="M23" s="73" t="n">
        <f aca="false">'Food Data'!AO13</f>
        <v>4.48</v>
      </c>
      <c r="N23" s="73" t="n">
        <f aca="false">'Food Data'!AO14</f>
        <v>20</v>
      </c>
      <c r="O23" s="73" t="n">
        <f aca="false">'Food Data'!AO15</f>
        <v>7</v>
      </c>
      <c r="P23" s="73" t="n">
        <f aca="false">'Food Data'!AO16</f>
        <v>8.6</v>
      </c>
      <c r="Q23" s="73" t="n">
        <f aca="false">'Food Data'!AO17</f>
        <v>12.96</v>
      </c>
      <c r="R23" s="73" t="n">
        <f aca="false">'Food Data'!AO18</f>
        <v>8.19</v>
      </c>
      <c r="S23" s="73" t="n">
        <f aca="false">'Food Data'!AO19</f>
        <v>14.28</v>
      </c>
      <c r="T23" s="73" t="n">
        <f aca="false">'Food Data'!AO20</f>
        <v>0.96</v>
      </c>
      <c r="U23" s="73" t="n">
        <f aca="false">'Food Data'!AO21</f>
        <v>13.42</v>
      </c>
      <c r="V23" s="73" t="n">
        <f aca="false">'Food Data'!AO22</f>
        <v>1.01</v>
      </c>
      <c r="W23" s="73" t="n">
        <f aca="false">'Food Data'!AO23</f>
        <v>1.7</v>
      </c>
      <c r="X23" s="73" t="n">
        <f aca="false">'Food Data'!AO24</f>
        <v>9.51</v>
      </c>
      <c r="Y23" s="73" t="n">
        <f aca="false">'Food Data'!AO25</f>
        <v>0.29</v>
      </c>
      <c r="Z23" s="73" t="n">
        <f aca="false">'Food Data'!AO26</f>
        <v>1.42</v>
      </c>
      <c r="AA23" s="73" t="n">
        <f aca="false">'Food Data'!AO27</f>
        <v>0.55</v>
      </c>
      <c r="AB23" s="73" t="n">
        <f aca="false">'Food Data'!AO28</f>
        <v>1.26</v>
      </c>
      <c r="AC23" s="73" t="n">
        <f aca="false">'Food Data'!AO29</f>
        <v>1.95</v>
      </c>
      <c r="AD23" s="73" t="n">
        <f aca="false">'Food Data'!AO30</f>
        <v>0.39</v>
      </c>
      <c r="AE23" s="73" t="n">
        <f aca="false">'Food Data'!AO31</f>
        <v>1.14</v>
      </c>
      <c r="AF23" s="73" t="n">
        <f aca="false">'Food Data'!AO32</f>
        <v>0.36</v>
      </c>
      <c r="AG23" s="73" t="n">
        <f aca="false">'Food Data'!AO33</f>
        <v>0.83</v>
      </c>
      <c r="AH23" s="73" t="n">
        <f aca="false">'Food Data'!AO34</f>
        <v>1.06</v>
      </c>
      <c r="AI23" s="73" t="n">
        <f aca="false">'Food Data'!AO35</f>
        <v>0.69</v>
      </c>
      <c r="AJ23" s="73" t="n">
        <f aca="false">'Food Data'!AO36</f>
        <v>0.43</v>
      </c>
      <c r="AK23" s="73" t="n">
        <f aca="false">'Food Data'!AO37</f>
        <v>1.5</v>
      </c>
      <c r="AL23" s="73" t="n">
        <f aca="false">'Food Data'!AO38</f>
        <v>51.36</v>
      </c>
      <c r="AM23" s="73" t="n">
        <f aca="false">'Food Data'!AO39</f>
        <v>0.56</v>
      </c>
      <c r="AN23" s="73" t="n">
        <f aca="false">'Food Data'!AO40</f>
        <v>1.23</v>
      </c>
      <c r="AO23" s="73" t="n">
        <f aca="false">'Food Data'!AO41</f>
        <v>5.2</v>
      </c>
      <c r="AP23" s="73" t="n">
        <f aca="false">'Food Data'!AO42</f>
        <v>1.98</v>
      </c>
      <c r="AQ23" s="73" t="n">
        <f aca="false">'Food Data'!AO43</f>
        <v>0.39</v>
      </c>
      <c r="AR23" s="73" t="n">
        <f aca="false">'Food Data'!AO44</f>
        <v>1.47</v>
      </c>
      <c r="AS23" s="73" t="n">
        <f aca="false">'Food Data'!AO45</f>
        <v>3.25</v>
      </c>
      <c r="AT23" s="73" t="n">
        <f aca="false">'Food Data'!AO46</f>
        <v>30.71</v>
      </c>
      <c r="AU23" s="73" t="n">
        <f aca="false">'Food Data'!AO47</f>
        <v>33.31</v>
      </c>
      <c r="AV23" s="73" t="n">
        <f aca="false">'Food Data'!AO48</f>
        <v>2.27</v>
      </c>
      <c r="AW23" s="73" t="n">
        <f aca="false">'Food Data'!AO49</f>
        <v>19.78</v>
      </c>
      <c r="AX23" s="73" t="n">
        <f aca="false">'Food Data'!AO50</f>
        <v>1.32</v>
      </c>
      <c r="AY23" s="73" t="n">
        <f aca="false">'Food Data'!AO51</f>
        <v>3.2</v>
      </c>
      <c r="AZ23" s="73" t="n">
        <f aca="false">'Food Data'!AO52</f>
        <v>6.73</v>
      </c>
      <c r="BA23" s="73" t="n">
        <f aca="false">'Food Data'!AO53</f>
        <v>2.85</v>
      </c>
      <c r="BB23" s="73" t="n">
        <f aca="false">'Food Data'!AO54</f>
        <v>7.58</v>
      </c>
      <c r="BC23" s="73" t="n">
        <f aca="false">'Food Data'!AO55</f>
        <v>6.07</v>
      </c>
      <c r="BD23" s="73" t="n">
        <f aca="false">'Food Data'!AO56</f>
        <v>6.52</v>
      </c>
      <c r="BE23" s="73" t="n">
        <f aca="false">'Food Data'!AO57</f>
        <v>1.51</v>
      </c>
      <c r="BF23" s="73" t="n">
        <f aca="false">'Food Data'!AO58</f>
        <v>3.33</v>
      </c>
      <c r="BG23" s="73" t="n">
        <f aca="false">'Food Data'!AO59</f>
        <v>0.66</v>
      </c>
      <c r="BH23" s="73" t="n">
        <f aca="false">'Food Data'!AO60</f>
        <v>3.5</v>
      </c>
      <c r="BI23" s="73" t="n">
        <f aca="false">'Food Data'!AO61</f>
        <v>2.93</v>
      </c>
      <c r="BJ23" s="73" t="n">
        <f aca="false">'Food Data'!AO62</f>
        <v>0.44</v>
      </c>
      <c r="BK23" s="73" t="n">
        <f aca="false">'Food Data'!AO63</f>
        <v>0.77</v>
      </c>
      <c r="BL23" s="73" t="n">
        <f aca="false">'Food Data'!AO64</f>
        <v>0.78</v>
      </c>
      <c r="BM23" s="73" t="n">
        <f aca="false">'Food Data'!AO65</f>
        <v>4.66</v>
      </c>
      <c r="BN23" s="73" t="n">
        <f aca="false">'Food Data'!AO66</f>
        <v>0.48</v>
      </c>
      <c r="BO23" s="73" t="n">
        <f aca="false">'Food Data'!AO67</f>
        <v>0.4</v>
      </c>
      <c r="BP23" s="73" t="n">
        <f aca="false">'Food Data'!AO68</f>
        <v>0.09</v>
      </c>
      <c r="BQ23" s="73" t="n">
        <f aca="false">'Food Data'!AO69</f>
        <v>0.05</v>
      </c>
      <c r="BR23" s="73" t="n">
        <f aca="false">'Food Data'!AO70</f>
        <v>0.17</v>
      </c>
      <c r="BS23" s="73" t="n">
        <f aca="false">'Food Data'!AO71</f>
        <v>0.1</v>
      </c>
      <c r="BT23" s="73" t="n">
        <f aca="false">'Food Data'!AO72</f>
        <v>0.33</v>
      </c>
      <c r="BU23" s="73" t="n">
        <f aca="false">'Food Data'!AO73</f>
        <v>0.49</v>
      </c>
      <c r="BV23" s="73" t="n">
        <f aca="false">'Food Data'!AO74</f>
        <v>0.64</v>
      </c>
      <c r="BW23" s="73" t="n">
        <f aca="false">'Food Data'!AO75</f>
        <v>0.19</v>
      </c>
      <c r="BX23" s="73" t="n">
        <f aca="false">'Food Data'!AO76</f>
        <v>0.2</v>
      </c>
      <c r="BY23" s="73" t="n">
        <f aca="false">'Food Data'!AO77</f>
        <v>0.15</v>
      </c>
      <c r="BZ23" s="73" t="n">
        <f aca="false">'Food Data'!AO78</f>
        <v>0.39</v>
      </c>
      <c r="CA23" s="73" t="n">
        <f aca="false">'Food Data'!AO79</f>
        <v>0.51</v>
      </c>
      <c r="CB23" s="73" t="n">
        <f aca="false">'Food Data'!AO80</f>
        <v>1.09</v>
      </c>
      <c r="CC23" s="73" t="n">
        <f aca="false">'Food Data'!AO81</f>
        <v>0.01</v>
      </c>
      <c r="CD23" s="73" t="n">
        <f aca="false">'Food Data'!AO82</f>
        <v>0.1</v>
      </c>
      <c r="CE23" s="73" t="n">
        <f aca="false">'Food Data'!AO83</f>
        <v>0.16</v>
      </c>
      <c r="CF23" s="73" t="n">
        <f aca="false">'Food Data'!AO84</f>
        <v>0.14</v>
      </c>
      <c r="CG23" s="73" t="n">
        <f aca="false">'Food Data'!AO85</f>
        <v>0.52</v>
      </c>
      <c r="CH23" s="73" t="n">
        <f aca="false">'Food Data'!AO86</f>
        <v>0.38</v>
      </c>
      <c r="CI23" s="73" t="n">
        <f aca="false">'Food Data'!AO87</f>
        <v>0.32</v>
      </c>
      <c r="CJ23" s="73" t="n">
        <f aca="false">'Food Data'!AO88</f>
        <v>0.12</v>
      </c>
      <c r="CK23" s="73" t="n">
        <f aca="false">'Food Data'!AO89</f>
        <v>0.15</v>
      </c>
      <c r="CL23" s="73" t="n">
        <f aca="false">'Food Data'!AO90</f>
        <v>0.26</v>
      </c>
      <c r="CM23" s="73" t="n">
        <f aca="false">'Food Data'!AO91</f>
        <v>0.25</v>
      </c>
      <c r="CN23" s="73" t="n">
        <f aca="false">'Food Data'!AO92</f>
        <v>0.03</v>
      </c>
      <c r="CO23" s="73" t="n">
        <f aca="false">'Food Data'!AO93</f>
        <v>0.14</v>
      </c>
      <c r="CP23" s="73" t="n">
        <f aca="false">'Food Data'!AO94</f>
        <v>0.07</v>
      </c>
      <c r="CQ23" s="73" t="n">
        <f aca="false">'Food Data'!AO95</f>
        <v>0.12</v>
      </c>
      <c r="CR23" s="73" t="n">
        <f aca="false">'Food Data'!AO96</f>
        <v>0.08</v>
      </c>
      <c r="CS23" s="73" t="n">
        <f aca="false">'Food Data'!AO97</f>
        <v>0.28</v>
      </c>
      <c r="CT23" s="73" t="n">
        <f aca="false">'Food Data'!AO98</f>
        <v>0.38</v>
      </c>
      <c r="CU23" s="73" t="n">
        <f aca="false">'Food Data'!AO99</f>
        <v>0.46</v>
      </c>
      <c r="CV23" s="73" t="n">
        <f aca="false">'Food Data'!AO100</f>
        <v>0.65</v>
      </c>
      <c r="CW23" s="73" t="n">
        <f aca="false">'Food Data'!AO101</f>
        <v>0.3</v>
      </c>
      <c r="CX23" s="73" t="n">
        <f aca="false">'Food Data'!AO102</f>
        <v>0.11</v>
      </c>
      <c r="CY23" s="73" t="n">
        <f aca="false">'Food Data'!AO103</f>
        <v>0.15</v>
      </c>
      <c r="CZ23" s="73" t="n">
        <f aca="false">'Food Data'!AO104</f>
        <v>0.1</v>
      </c>
      <c r="DA23" s="73" t="n">
        <f aca="false">'Food Data'!AO105</f>
        <v>0.12</v>
      </c>
      <c r="DB23" s="73" t="n">
        <f aca="false">'Food Data'!AO106</f>
        <v>0.13</v>
      </c>
      <c r="DC23" s="73" t="n">
        <f aca="false">'Food Data'!AO107</f>
        <v>0.09</v>
      </c>
      <c r="DD23" s="73" t="n">
        <f aca="false">'Food Data'!AO108</f>
        <v>0.34</v>
      </c>
      <c r="DE23" s="73" t="n">
        <f aca="false">'Food Data'!AO109</f>
        <v>0.41</v>
      </c>
      <c r="DF23" s="73" t="n">
        <f aca="false">'Food Data'!AO110</f>
        <v>0.1</v>
      </c>
      <c r="DG23" s="73" t="n">
        <f aca="false">'Food Data'!AO111</f>
        <v>0.1</v>
      </c>
      <c r="DH23" s="73" t="n">
        <f aca="false">'Food Data'!AO112</f>
        <v>0.16</v>
      </c>
      <c r="DI23" s="73" t="n">
        <f aca="false">'Food Data'!AO113</f>
        <v>0.24</v>
      </c>
      <c r="DJ23" s="73" t="n">
        <f aca="false">'Food Data'!AO114</f>
        <v>0.14</v>
      </c>
      <c r="DK23" s="73" t="n">
        <f aca="false">'Food Data'!AO115</f>
        <v>0.46</v>
      </c>
      <c r="DL23" s="73" t="n">
        <f aca="false">'Food Data'!AO116</f>
        <v>0.27</v>
      </c>
      <c r="DM23" s="73" t="n">
        <f aca="false">'Food Data'!AO117</f>
        <v>0.17</v>
      </c>
      <c r="DN23" s="73" t="n">
        <f aca="false">'Food Data'!AO118</f>
        <v>0.61</v>
      </c>
      <c r="DO23" s="73" t="n">
        <f aca="false">'Food Data'!AO119</f>
        <v>0.37</v>
      </c>
      <c r="DP23" s="73" t="n">
        <f aca="false">'Food Data'!AO120</f>
        <v>0.11</v>
      </c>
      <c r="DQ23" s="73" t="n">
        <f aca="false">'Food Data'!AO121</f>
        <v>0.17</v>
      </c>
      <c r="DR23" s="73" t="n">
        <f aca="false">'Food Data'!AO122</f>
        <v>0.21</v>
      </c>
      <c r="DS23" s="73" t="n">
        <f aca="false">'Food Data'!AO123</f>
        <v>0.17</v>
      </c>
      <c r="DT23" s="73" t="n">
        <f aca="false">'Food Data'!AO124</f>
        <v>0.14</v>
      </c>
      <c r="DU23" s="73" t="n">
        <f aca="false">'Food Data'!AO125</f>
        <v>0.46</v>
      </c>
      <c r="DV23" s="73" t="n">
        <f aca="false">'Food Data'!AO126</f>
        <v>0.52</v>
      </c>
      <c r="DW23" s="73" t="n">
        <f aca="false">'Food Data'!AO127</f>
        <v>0.34</v>
      </c>
      <c r="DX23" s="73" t="n">
        <f aca="false">'Food Data'!AO128</f>
        <v>0.27</v>
      </c>
      <c r="DY23" s="73" t="n">
        <f aca="false">'Food Data'!AO129</f>
        <v>0.25</v>
      </c>
      <c r="DZ23" s="73" t="n">
        <f aca="false">'Food Data'!AO130</f>
        <v>0.1</v>
      </c>
      <c r="EA23" s="73" t="n">
        <f aca="false">'Food Data'!AO131</f>
        <v>0.28</v>
      </c>
      <c r="EB23" s="73" t="n">
        <f aca="false">'Food Data'!AO132</f>
        <v>0.1</v>
      </c>
      <c r="EC23" s="73" t="n">
        <f aca="false">'Food Data'!AO133</f>
        <v>0.3</v>
      </c>
      <c r="ED23" s="73" t="n">
        <f aca="false">'Food Data'!AO134</f>
        <v>0.3</v>
      </c>
      <c r="EE23" s="73" t="n">
        <f aca="false">'Food Data'!AO135</f>
        <v>0.14</v>
      </c>
      <c r="EF23" s="73" t="n">
        <f aca="false">'Food Data'!AO136</f>
        <v>0.37</v>
      </c>
      <c r="EG23" s="73" t="n">
        <f aca="false">'Food Data'!AO137</f>
        <v>0.39</v>
      </c>
      <c r="EH23" s="73" t="n">
        <f aca="false">'Food Data'!AO138</f>
        <v>0.57</v>
      </c>
      <c r="EI23" s="73" t="n">
        <f aca="false">'Food Data'!AO139</f>
        <v>0.25</v>
      </c>
      <c r="EJ23" s="73" t="n">
        <f aca="false">'Food Data'!AO140</f>
        <v>0.2</v>
      </c>
      <c r="EK23" s="73" t="n">
        <f aca="false">'Food Data'!AO141</f>
        <v>0.31</v>
      </c>
      <c r="EL23" s="73" t="n">
        <f aca="false">'Food Data'!AO142</f>
        <v>0.32</v>
      </c>
      <c r="EM23" s="73" t="n">
        <f aca="false">'Food Data'!AO143</f>
        <v>81.11</v>
      </c>
      <c r="EN23" s="73" t="n">
        <f aca="false">'Food Data'!AO144</f>
        <v>100</v>
      </c>
      <c r="EO23" s="73" t="n">
        <f aca="false">'Food Data'!AO145</f>
        <v>100</v>
      </c>
      <c r="EP23" s="73" t="n">
        <f aca="false">'Food Data'!AO146</f>
        <v>49.93</v>
      </c>
      <c r="EQ23" s="73" t="n">
        <f aca="false">'Food Data'!AO147</f>
        <v>15.41</v>
      </c>
      <c r="ER23" s="73" t="n">
        <f aca="false">'Food Data'!AO148</f>
        <v>24.72</v>
      </c>
      <c r="ES23" s="73" t="n">
        <f aca="false">'Food Data'!AO149</f>
        <v>16.57</v>
      </c>
      <c r="ET23" s="73" t="n">
        <f aca="false">'Food Data'!AO150</f>
        <v>33.98</v>
      </c>
      <c r="EU23" s="73" t="n">
        <f aca="false">'Food Data'!AO151</f>
        <v>11</v>
      </c>
    </row>
    <row r="24" customFormat="false" ht="15" hidden="false" customHeight="false" outlineLevel="0" collapsed="false">
      <c r="B24" s="14" t="s">
        <v>48</v>
      </c>
      <c r="F24" s="73" t="n">
        <f aca="false">'Food Data'!AP6</f>
        <v>0</v>
      </c>
      <c r="G24" s="73" t="n">
        <f aca="false">'Food Data'!AP7</f>
        <v>0</v>
      </c>
      <c r="H24" s="73" t="n">
        <f aca="false">'Food Data'!AP8</f>
        <v>0</v>
      </c>
      <c r="I24" s="73" t="n">
        <f aca="false">'Food Data'!AP9</f>
        <v>0</v>
      </c>
      <c r="J24" s="73" t="n">
        <f aca="false">'Food Data'!AP10</f>
        <v>0</v>
      </c>
      <c r="K24" s="73" t="n">
        <f aca="false">'Food Data'!AP11</f>
        <v>0</v>
      </c>
      <c r="L24" s="73" t="n">
        <f aca="false">'Food Data'!AP12</f>
        <v>0</v>
      </c>
      <c r="M24" s="73" t="n">
        <f aca="false">'Food Data'!AP13</f>
        <v>0</v>
      </c>
      <c r="N24" s="73" t="n">
        <f aca="false">'Food Data'!AP14</f>
        <v>0</v>
      </c>
      <c r="O24" s="73" t="n">
        <f aca="false">'Food Data'!AP15</f>
        <v>0</v>
      </c>
      <c r="P24" s="73" t="n">
        <f aca="false">'Food Data'!AP16</f>
        <v>1.3</v>
      </c>
      <c r="Q24" s="73" t="n">
        <f aca="false">'Food Data'!AP17</f>
        <v>0</v>
      </c>
      <c r="R24" s="73" t="n">
        <f aca="false">'Food Data'!AP18</f>
        <v>0</v>
      </c>
      <c r="S24" s="73" t="n">
        <f aca="false">'Food Data'!AP19</f>
        <v>0</v>
      </c>
      <c r="T24" s="73" t="n">
        <f aca="false">'Food Data'!AP20</f>
        <v>0</v>
      </c>
      <c r="U24" s="73" t="n">
        <f aca="false">'Food Data'!AP21</f>
        <v>0</v>
      </c>
      <c r="V24" s="73" t="n">
        <f aca="false">'Food Data'!AP22</f>
        <v>0</v>
      </c>
      <c r="W24" s="73" t="n">
        <f aca="false">'Food Data'!AP23</f>
        <v>0</v>
      </c>
      <c r="X24" s="73" t="n">
        <f aca="false">'Food Data'!AP24</f>
        <v>0</v>
      </c>
      <c r="Y24" s="73" t="n">
        <f aca="false">'Food Data'!AP25</f>
        <v>6.9</v>
      </c>
      <c r="Z24" s="73" t="n">
        <f aca="false">'Food Data'!AP26</f>
        <v>15.5</v>
      </c>
      <c r="AA24" s="73" t="n">
        <f aca="false">'Food Data'!AP27</f>
        <v>3.3</v>
      </c>
      <c r="AB24" s="73" t="n">
        <f aca="false">'Food Data'!AP28</f>
        <v>10.6</v>
      </c>
      <c r="AC24" s="73" t="n">
        <f aca="false">'Food Data'!AP29</f>
        <v>4.4</v>
      </c>
      <c r="AD24" s="73" t="n">
        <f aca="false">'Food Data'!AP30</f>
        <v>4.9</v>
      </c>
      <c r="AE24" s="73" t="n">
        <f aca="false">'Food Data'!AP31</f>
        <v>20.2</v>
      </c>
      <c r="AF24" s="73" t="n">
        <f aca="false">'Food Data'!AP32</f>
        <v>4.3</v>
      </c>
      <c r="AG24" s="73" t="n">
        <f aca="false">'Food Data'!AP33</f>
        <v>24.9</v>
      </c>
      <c r="AH24" s="73" t="n">
        <f aca="false">'Food Data'!AP34</f>
        <v>10.7</v>
      </c>
      <c r="AI24" s="73" t="n">
        <f aca="false">'Food Data'!AP35</f>
        <v>19</v>
      </c>
      <c r="AJ24" s="73" t="n">
        <f aca="false">'Food Data'!AP36</f>
        <v>5.1</v>
      </c>
      <c r="AK24" s="73" t="n">
        <f aca="false">'Food Data'!AP37</f>
        <v>15.3</v>
      </c>
      <c r="AL24" s="73" t="n">
        <f aca="false">'Food Data'!AP38</f>
        <v>5</v>
      </c>
      <c r="AM24" s="73" t="n">
        <f aca="false">'Food Data'!AP39</f>
        <v>4.6</v>
      </c>
      <c r="AN24" s="73" t="n">
        <f aca="false">'Food Data'!AP40</f>
        <v>15.5</v>
      </c>
      <c r="AO24" s="73" t="n">
        <f aca="false">'Food Data'!AP41</f>
        <v>1.3</v>
      </c>
      <c r="AP24" s="73" t="n">
        <f aca="false">'Food Data'!AP42</f>
        <v>0</v>
      </c>
      <c r="AQ24" s="73" t="n">
        <f aca="false">'Food Data'!AP43</f>
        <v>0</v>
      </c>
      <c r="AR24" s="73" t="n">
        <f aca="false">'Food Data'!AP44</f>
        <v>0.2</v>
      </c>
      <c r="AS24" s="73" t="n">
        <f aca="false">'Food Data'!AP45</f>
        <v>0</v>
      </c>
      <c r="AT24" s="73" t="n">
        <f aca="false">'Food Data'!AP46</f>
        <v>0</v>
      </c>
      <c r="AU24" s="73" t="n">
        <f aca="false">'Food Data'!AP47</f>
        <v>0</v>
      </c>
      <c r="AV24" s="73" t="n">
        <f aca="false">'Food Data'!AP48</f>
        <v>0</v>
      </c>
      <c r="AW24" s="73" t="n">
        <f aca="false">'Food Data'!AP49</f>
        <v>0</v>
      </c>
      <c r="AX24" s="73" t="n">
        <f aca="false">'Food Data'!AP50</f>
        <v>1.6</v>
      </c>
      <c r="AY24" s="73" t="n">
        <f aca="false">'Food Data'!AP51</f>
        <v>3.6</v>
      </c>
      <c r="AZ24" s="73" t="n">
        <f aca="false">'Food Data'!AP52</f>
        <v>9.4</v>
      </c>
      <c r="BA24" s="73" t="n">
        <f aca="false">'Food Data'!AP53</f>
        <v>6.3</v>
      </c>
      <c r="BB24" s="73" t="n">
        <f aca="false">'Food Data'!AP54</f>
        <v>2.4</v>
      </c>
      <c r="BC24" s="73" t="n">
        <f aca="false">'Food Data'!AP55</f>
        <v>7</v>
      </c>
      <c r="BD24" s="73" t="n">
        <f aca="false">'Food Data'!AP56</f>
        <v>10.1</v>
      </c>
      <c r="BE24" s="73" t="n">
        <f aca="false">'Food Data'!AP57</f>
        <v>3.2</v>
      </c>
      <c r="BF24" s="73" t="n">
        <f aca="false">'Food Data'!AP58</f>
        <v>2.7</v>
      </c>
      <c r="BG24" s="73" t="n">
        <f aca="false">'Food Data'!AP59</f>
        <v>1.3</v>
      </c>
      <c r="BH24" s="73" t="n">
        <f aca="false">'Food Data'!AP60</f>
        <v>6</v>
      </c>
      <c r="BI24" s="73" t="n">
        <f aca="false">'Food Data'!AP61</f>
        <v>9.2</v>
      </c>
      <c r="BJ24" s="73" t="n">
        <f aca="false">'Food Data'!AP62</f>
        <v>6</v>
      </c>
      <c r="BK24" s="73" t="n">
        <f aca="false">'Food Data'!AP63</f>
        <v>1.7</v>
      </c>
      <c r="BL24" s="73" t="n">
        <f aca="false">'Food Data'!AP64</f>
        <v>2.1</v>
      </c>
      <c r="BM24" s="73" t="n">
        <f aca="false">'Food Data'!AP65</f>
        <v>1.9</v>
      </c>
      <c r="BN24" s="73" t="n">
        <f aca="false">'Food Data'!AP66</f>
        <v>3.3</v>
      </c>
      <c r="BO24" s="73" t="n">
        <f aca="false">'Food Data'!AP67</f>
        <v>4.5</v>
      </c>
      <c r="BP24" s="73" t="n">
        <f aca="false">'Food Data'!AP68</f>
        <v>2.1</v>
      </c>
      <c r="BQ24" s="73" t="n">
        <f aca="false">'Food Data'!AP69</f>
        <v>3</v>
      </c>
      <c r="BR24" s="73" t="n">
        <f aca="false">'Food Data'!AP70</f>
        <v>2.4</v>
      </c>
      <c r="BS24" s="73" t="n">
        <f aca="false">'Food Data'!AP71</f>
        <v>1.1</v>
      </c>
      <c r="BT24" s="73" t="n">
        <f aca="false">'Food Data'!AP72</f>
        <v>2.6</v>
      </c>
      <c r="BU24" s="73" t="n">
        <f aca="false">'Food Data'!AP73</f>
        <v>5.3</v>
      </c>
      <c r="BV24" s="73" t="n">
        <f aca="false">'Food Data'!AP74</f>
        <v>2.7</v>
      </c>
      <c r="BW24" s="73" t="n">
        <f aca="false">'Food Data'!AP75</f>
        <v>0.9</v>
      </c>
      <c r="BX24" s="73" t="n">
        <f aca="false">'Food Data'!AP76</f>
        <v>2.1</v>
      </c>
      <c r="BY24" s="73" t="n">
        <f aca="false">'Food Data'!AP77</f>
        <v>1.7</v>
      </c>
      <c r="BZ24" s="73" t="n">
        <f aca="false">'Food Data'!AP78</f>
        <v>8</v>
      </c>
      <c r="CA24" s="73" t="n">
        <f aca="false">'Food Data'!AP79</f>
        <v>7.3</v>
      </c>
      <c r="CB24" s="73" t="n">
        <f aca="false">'Food Data'!AP80</f>
        <v>5.3</v>
      </c>
      <c r="CC24" s="73" t="n">
        <f aca="false">'Food Data'!AP81</f>
        <v>1</v>
      </c>
      <c r="CD24" s="73" t="n">
        <f aca="false">'Food Data'!AP82</f>
        <v>1.1</v>
      </c>
      <c r="CE24" s="73" t="n">
        <f aca="false">'Food Data'!AP83</f>
        <v>0.9</v>
      </c>
      <c r="CF24" s="73" t="n">
        <f aca="false">'Food Data'!AP84</f>
        <v>0.8</v>
      </c>
      <c r="CG24" s="73" t="n">
        <f aca="false">'Food Data'!AP85</f>
        <v>3</v>
      </c>
      <c r="CH24" s="73" t="n">
        <f aca="false">'Food Data'!AP86</f>
        <v>1.6</v>
      </c>
      <c r="CI24" s="73" t="n">
        <f aca="false">'Food Data'!AP87</f>
        <v>1.7</v>
      </c>
      <c r="CJ24" s="73" t="n">
        <f aca="false">'Food Data'!AP88</f>
        <v>0.3</v>
      </c>
      <c r="CK24" s="73" t="n">
        <f aca="false">'Food Data'!AP89</f>
        <v>2.2</v>
      </c>
      <c r="CL24" s="73" t="n">
        <f aca="false">'Food Data'!AP90</f>
        <v>1.7</v>
      </c>
      <c r="CM24" s="73" t="n">
        <f aca="false">'Food Data'!AP91</f>
        <v>1.5</v>
      </c>
      <c r="CN24" s="73" t="n">
        <f aca="false">'Food Data'!AP92</f>
        <v>1.3</v>
      </c>
      <c r="CO24" s="73" t="n">
        <f aca="false">'Food Data'!AP93</f>
        <v>3.1</v>
      </c>
      <c r="CP24" s="73" t="n">
        <f aca="false">'Food Data'!AP94</f>
        <v>1.6</v>
      </c>
      <c r="CQ24" s="73" t="n">
        <f aca="false">'Food Data'!AP95</f>
        <v>1.4</v>
      </c>
      <c r="CR24" s="73" t="n">
        <f aca="false">'Food Data'!AP96</f>
        <v>0.8</v>
      </c>
      <c r="CS24" s="73" t="n">
        <f aca="false">'Food Data'!AP97</f>
        <v>1.4</v>
      </c>
      <c r="CT24" s="73" t="n">
        <f aca="false">'Food Data'!AP98</f>
        <v>7.1</v>
      </c>
      <c r="CU24" s="73" t="n">
        <f aca="false">'Food Data'!AP99</f>
        <v>3.7</v>
      </c>
      <c r="CV24" s="73" t="n">
        <f aca="false">'Food Data'!AP100</f>
        <v>6.5</v>
      </c>
      <c r="CW24" s="73" t="n">
        <f aca="false">'Food Data'!AP101</f>
        <v>2</v>
      </c>
      <c r="CX24" s="73" t="n">
        <f aca="false">'Food Data'!AP102</f>
        <v>2.1</v>
      </c>
      <c r="CY24" s="73" t="n">
        <f aca="false">'Food Data'!AP103</f>
        <v>0.4</v>
      </c>
      <c r="CZ24" s="73" t="n">
        <f aca="false">'Food Data'!AP104</f>
        <v>1.5</v>
      </c>
      <c r="DA24" s="73" t="n">
        <f aca="false">'Food Data'!AP105</f>
        <v>2.1</v>
      </c>
      <c r="DB24" s="73" t="n">
        <f aca="false">'Food Data'!AP106</f>
        <v>2.9</v>
      </c>
      <c r="DC24" s="73" t="n">
        <f aca="false">'Food Data'!AP107</f>
        <v>1.2</v>
      </c>
      <c r="DD24" s="73" t="n">
        <f aca="false">'Food Data'!AP108</f>
        <v>3</v>
      </c>
      <c r="DE24" s="73" t="n">
        <f aca="false">'Food Data'!AP109</f>
        <v>3.8</v>
      </c>
      <c r="DF24" s="73" t="n">
        <f aca="false">'Food Data'!AP110</f>
        <v>2</v>
      </c>
      <c r="DG24" s="73" t="n">
        <f aca="false">'Food Data'!AP111</f>
        <v>2.5</v>
      </c>
      <c r="DH24" s="73" t="n">
        <f aca="false">'Food Data'!AP112</f>
        <v>2.1</v>
      </c>
      <c r="DI24" s="73" t="n">
        <f aca="false">'Food Data'!AP113</f>
        <v>2.8</v>
      </c>
      <c r="DJ24" s="73" t="n">
        <f aca="false">'Food Data'!AP114</f>
        <v>1.8</v>
      </c>
      <c r="DK24" s="73" t="n">
        <f aca="false">'Food Data'!AP115</f>
        <v>3.3</v>
      </c>
      <c r="DL24" s="73" t="n">
        <f aca="false">'Food Data'!AP116</f>
        <v>2.3</v>
      </c>
      <c r="DM24" s="73" t="n">
        <f aca="false">'Food Data'!AP117</f>
        <v>1.6</v>
      </c>
      <c r="DN24" s="73" t="n">
        <f aca="false">'Food Data'!AP118</f>
        <v>4</v>
      </c>
      <c r="DO24" s="73" t="n">
        <f aca="false">'Food Data'!AP119</f>
        <v>3.6</v>
      </c>
      <c r="DP24" s="73" t="n">
        <f aca="false">'Food Data'!AP120</f>
        <v>0.5</v>
      </c>
      <c r="DQ24" s="73" t="n">
        <f aca="false">'Food Data'!AP121</f>
        <v>1.5</v>
      </c>
      <c r="DR24" s="73" t="n">
        <f aca="false">'Food Data'!AP122</f>
        <v>2.6</v>
      </c>
      <c r="DS24" s="73" t="n">
        <f aca="false">'Food Data'!AP123</f>
        <v>1.7</v>
      </c>
      <c r="DT24" s="73" t="n">
        <f aca="false">'Food Data'!AP124</f>
        <v>1.2</v>
      </c>
      <c r="DU24" s="73" t="n">
        <f aca="false">'Food Data'!AP125</f>
        <v>2</v>
      </c>
      <c r="DV24" s="73" t="n">
        <f aca="false">'Food Data'!AP126</f>
        <v>4</v>
      </c>
      <c r="DW24" s="73" t="n">
        <f aca="false">'Food Data'!AP127</f>
        <v>1</v>
      </c>
      <c r="DX24" s="73" t="n">
        <f aca="false">'Food Data'!AP128</f>
        <v>3.3</v>
      </c>
      <c r="DY24" s="73" t="n">
        <f aca="false">'Food Data'!AP129</f>
        <v>2.2</v>
      </c>
      <c r="DZ24" s="73" t="n">
        <f aca="false">'Food Data'!AP130</f>
        <v>1.7</v>
      </c>
      <c r="EA24" s="73" t="n">
        <f aca="false">'Food Data'!AP131</f>
        <v>2.9</v>
      </c>
      <c r="EB24" s="73" t="n">
        <f aca="false">'Food Data'!AP132</f>
        <v>1.6</v>
      </c>
      <c r="EC24" s="73" t="n">
        <f aca="false">'Food Data'!AP133</f>
        <v>2.1</v>
      </c>
      <c r="ED24" s="73" t="n">
        <f aca="false">'Food Data'!AP134</f>
        <v>2.1</v>
      </c>
      <c r="EE24" s="73" t="n">
        <f aca="false">'Food Data'!AP135</f>
        <v>2.9</v>
      </c>
      <c r="EF24" s="73" t="n">
        <f aca="false">'Food Data'!AP136</f>
        <v>1.6</v>
      </c>
      <c r="EG24" s="73" t="n">
        <f aca="false">'Food Data'!AP137</f>
        <v>2.2</v>
      </c>
      <c r="EH24" s="73" t="n">
        <f aca="false">'Food Data'!AP138</f>
        <v>2.9</v>
      </c>
      <c r="EI24" s="73" t="n">
        <f aca="false">'Food Data'!AP139</f>
        <v>1.9</v>
      </c>
      <c r="EJ24" s="73" t="n">
        <f aca="false">'Food Data'!AP140</f>
        <v>1.2</v>
      </c>
      <c r="EK24" s="73" t="n">
        <f aca="false">'Food Data'!AP141</f>
        <v>2.5</v>
      </c>
      <c r="EL24" s="73" t="n">
        <f aca="false">'Food Data'!AP142</f>
        <v>1</v>
      </c>
      <c r="EM24" s="73" t="n">
        <f aca="false">'Food Data'!AP143</f>
        <v>0</v>
      </c>
      <c r="EN24" s="73" t="n">
        <f aca="false">'Food Data'!AP144</f>
        <v>0</v>
      </c>
      <c r="EO24" s="73" t="n">
        <f aca="false">'Food Data'!AP145</f>
        <v>0</v>
      </c>
      <c r="EP24" s="73" t="n">
        <f aca="false">'Food Data'!AP146</f>
        <v>12.5</v>
      </c>
      <c r="EQ24" s="73" t="n">
        <f aca="false">'Food Data'!AP147</f>
        <v>6.8</v>
      </c>
      <c r="ER24" s="73" t="n">
        <f aca="false">'Food Data'!AP148</f>
        <v>2</v>
      </c>
      <c r="ES24" s="73" t="n">
        <f aca="false">'Food Data'!AP149</f>
        <v>3.8</v>
      </c>
      <c r="ET24" s="73" t="n">
        <f aca="false">'Food Data'!AP150</f>
        <v>3.1</v>
      </c>
      <c r="EU24" s="73" t="n">
        <f aca="false">'Food Data'!AP151</f>
        <v>0.7</v>
      </c>
    </row>
    <row r="25" customFormat="false" ht="15" hidden="false" customHeight="false" outlineLevel="0" collapsed="false">
      <c r="B25" s="14" t="s">
        <v>51</v>
      </c>
      <c r="F25" s="73" t="n">
        <f aca="false">'Food Data'!AQ6</f>
        <v>0</v>
      </c>
      <c r="G25" s="73" t="n">
        <f aca="false">'Food Data'!AQ7</f>
        <v>0</v>
      </c>
      <c r="H25" s="73" t="n">
        <f aca="false">'Food Data'!AQ8</f>
        <v>0</v>
      </c>
      <c r="I25" s="73" t="n">
        <f aca="false">'Food Data'!AQ9</f>
        <v>3.28</v>
      </c>
      <c r="J25" s="73" t="n">
        <f aca="false">'Food Data'!AQ10</f>
        <v>0</v>
      </c>
      <c r="K25" s="73" t="n">
        <f aca="false">'Food Data'!AQ11</f>
        <v>0</v>
      </c>
      <c r="L25" s="73" t="n">
        <f aca="false">'Food Data'!AQ12</f>
        <v>1</v>
      </c>
      <c r="M25" s="73" t="n">
        <f aca="false">'Food Data'!AQ13</f>
        <v>0</v>
      </c>
      <c r="N25" s="73" t="n">
        <f aca="false">'Food Data'!AQ14</f>
        <v>0</v>
      </c>
      <c r="O25" s="73" t="n">
        <f aca="false">'Food Data'!AQ15</f>
        <v>0</v>
      </c>
      <c r="P25" s="73" t="n">
        <f aca="false">'Food Data'!AQ16</f>
        <v>0</v>
      </c>
      <c r="Q25" s="73" t="n">
        <f aca="false">'Food Data'!AQ17</f>
        <v>0</v>
      </c>
      <c r="R25" s="73" t="n">
        <f aca="false">'Food Data'!AQ18</f>
        <v>0</v>
      </c>
      <c r="S25" s="73" t="n">
        <f aca="false">'Food Data'!AQ19</f>
        <v>0</v>
      </c>
      <c r="T25" s="73" t="n">
        <f aca="false">'Food Data'!AQ20</f>
        <v>0</v>
      </c>
      <c r="U25" s="73" t="n">
        <f aca="false">'Food Data'!AQ21</f>
        <v>0</v>
      </c>
      <c r="V25" s="73" t="n">
        <f aca="false">'Food Data'!AQ22</f>
        <v>0</v>
      </c>
      <c r="W25" s="73" t="n">
        <f aca="false">'Food Data'!AQ23</f>
        <v>0</v>
      </c>
      <c r="X25" s="73" t="n">
        <f aca="false">'Food Data'!AQ24</f>
        <v>0.37</v>
      </c>
      <c r="Y25" s="73" t="n">
        <f aca="false">'Food Data'!AQ25</f>
        <v>0.23</v>
      </c>
      <c r="Z25" s="73" t="n">
        <f aca="false">'Food Data'!AQ26</f>
        <v>2.12</v>
      </c>
      <c r="AA25" s="73" t="n">
        <f aca="false">'Food Data'!AQ27</f>
        <v>0</v>
      </c>
      <c r="AB25" s="73" t="n">
        <f aca="false">'Food Data'!AQ28</f>
        <v>6.9</v>
      </c>
      <c r="AC25" s="73" t="n">
        <f aca="false">'Food Data'!AQ29</f>
        <v>0</v>
      </c>
      <c r="AD25" s="73" t="n">
        <f aca="false">'Food Data'!AQ30</f>
        <v>1.41</v>
      </c>
      <c r="AE25" s="73" t="n">
        <f aca="false">'Food Data'!AQ31</f>
        <v>2.26</v>
      </c>
      <c r="AF25" s="73" t="n">
        <f aca="false">'Food Data'!AQ32</f>
        <v>1.85</v>
      </c>
      <c r="AG25" s="73" t="n">
        <f aca="false">'Food Data'!AQ33</f>
        <v>2.23</v>
      </c>
      <c r="AH25" s="73" t="n">
        <f aca="false">'Food Data'!AQ34</f>
        <v>2.03</v>
      </c>
      <c r="AI25" s="73" t="n">
        <f aca="false">'Food Data'!AQ35</f>
        <v>8.5</v>
      </c>
      <c r="AJ25" s="73" t="n">
        <f aca="false">'Food Data'!AQ36</f>
        <v>0.28</v>
      </c>
      <c r="AK25" s="73" t="n">
        <f aca="false">'Food Data'!AQ37</f>
        <v>3.88</v>
      </c>
      <c r="AL25" s="73" t="n">
        <f aca="false">'Food Data'!AQ38</f>
        <v>10.49</v>
      </c>
      <c r="AM25" s="73" t="n">
        <f aca="false">'Food Data'!AQ39</f>
        <v>1.02</v>
      </c>
      <c r="AN25" s="73" t="n">
        <f aca="false">'Food Data'!AQ40</f>
        <v>2.11</v>
      </c>
      <c r="AO25" s="73" t="n">
        <f aca="false">'Food Data'!AQ41</f>
        <v>0.4</v>
      </c>
      <c r="AP25" s="73" t="n">
        <f aca="false">'Food Data'!AQ42</f>
        <v>5.06</v>
      </c>
      <c r="AQ25" s="73" t="n">
        <f aca="false">'Food Data'!AQ43</f>
        <v>3.24</v>
      </c>
      <c r="AR25" s="73" t="n">
        <f aca="false">'Food Data'!AQ44</f>
        <v>3.65</v>
      </c>
      <c r="AS25" s="73" t="n">
        <f aca="false">'Food Data'!AQ45</f>
        <v>5.05</v>
      </c>
      <c r="AT25" s="73" t="n">
        <f aca="false">'Food Data'!AQ46</f>
        <v>2.26</v>
      </c>
      <c r="AU25" s="73" t="n">
        <f aca="false">'Food Data'!AQ47</f>
        <v>0.48</v>
      </c>
      <c r="AV25" s="73" t="n">
        <f aca="false">'Food Data'!AQ48</f>
        <v>4</v>
      </c>
      <c r="AW25" s="73" t="n">
        <f aca="false">'Food Data'!AQ49</f>
        <v>1.9</v>
      </c>
      <c r="AX25" s="73" t="n">
        <f aca="false">'Food Data'!AQ50</f>
        <v>8.43</v>
      </c>
      <c r="AY25" s="73" t="n">
        <f aca="false">'Food Data'!AQ51</f>
        <v>0.66</v>
      </c>
      <c r="AZ25" s="73" t="n">
        <f aca="false">'Food Data'!AQ52</f>
        <v>4.36</v>
      </c>
      <c r="BA25" s="73" t="n">
        <f aca="false">'Food Data'!AQ53</f>
        <v>0.88</v>
      </c>
      <c r="BB25" s="73" t="n">
        <f aca="false">'Food Data'!AQ54</f>
        <v>2.66</v>
      </c>
      <c r="BC25" s="73" t="n">
        <f aca="false">'Food Data'!AQ55</f>
        <v>0</v>
      </c>
      <c r="BD25" s="73" t="n">
        <f aca="false">'Food Data'!AQ56</f>
        <v>0.99</v>
      </c>
      <c r="BE25" s="73" t="n">
        <f aca="false">'Food Data'!AQ57</f>
        <v>2.67</v>
      </c>
      <c r="BF25" s="73" t="n">
        <f aca="false">'Food Data'!AQ58</f>
        <v>5.67</v>
      </c>
      <c r="BG25" s="73" t="n">
        <f aca="false">'Food Data'!AQ59</f>
        <v>0.12</v>
      </c>
      <c r="BH25" s="73" t="n">
        <f aca="false">'Food Data'!AQ60</f>
        <v>4.34</v>
      </c>
      <c r="BI25" s="73" t="n">
        <f aca="false">'Food Data'!AQ61</f>
        <v>2.74</v>
      </c>
      <c r="BJ25" s="73" t="n">
        <f aca="false">'Food Data'!AQ62</f>
        <v>0</v>
      </c>
      <c r="BK25" s="73" t="n">
        <f aca="false">'Food Data'!AQ63</f>
        <v>4.15</v>
      </c>
      <c r="BL25" s="73" t="n">
        <f aca="false">'Food Data'!AQ64</f>
        <v>2.5</v>
      </c>
      <c r="BM25" s="73" t="n">
        <f aca="false">'Food Data'!AQ65</f>
        <v>0.2</v>
      </c>
      <c r="BN25" s="73" t="n">
        <f aca="false">'Food Data'!AQ66</f>
        <v>3.2</v>
      </c>
      <c r="BO25" s="73" t="n">
        <f aca="false">'Food Data'!AQ67</f>
        <v>5</v>
      </c>
      <c r="BP25" s="73" t="n">
        <f aca="false">'Food Data'!AQ68</f>
        <v>0.82</v>
      </c>
      <c r="BQ25" s="73" t="n">
        <f aca="false">'Food Data'!AQ69</f>
        <v>4.18</v>
      </c>
      <c r="BR25" s="73" t="n">
        <f aca="false">'Food Data'!AQ70</f>
        <v>10.39</v>
      </c>
      <c r="BS25" s="73" t="n">
        <f aca="false">'Food Data'!AQ71</f>
        <v>9.39</v>
      </c>
      <c r="BT25" s="73" t="n">
        <f aca="false">'Food Data'!AQ72</f>
        <v>12.23</v>
      </c>
      <c r="BU25" s="73" t="n">
        <f aca="false">'Food Data'!AQ73</f>
        <v>4.88</v>
      </c>
      <c r="BV25" s="73" t="n">
        <f aca="false">'Food Data'!AQ74</f>
        <v>8.45</v>
      </c>
      <c r="BW25" s="73" t="n">
        <f aca="false">'Food Data'!AQ75</f>
        <v>7.86</v>
      </c>
      <c r="BX25" s="73" t="n">
        <f aca="false">'Food Data'!AQ76</f>
        <v>12.82</v>
      </c>
      <c r="BY25" s="73" t="n">
        <f aca="false">'Food Data'!AQ77</f>
        <v>9.18</v>
      </c>
      <c r="BZ25" s="73" t="n">
        <f aca="false">'Food Data'!AQ78</f>
        <v>63.35</v>
      </c>
      <c r="CA25" s="73" t="n">
        <f aca="false">'Food Data'!AQ79</f>
        <v>53.44</v>
      </c>
      <c r="CB25" s="73" t="n">
        <f aca="false">'Food Data'!AQ80</f>
        <v>72.56</v>
      </c>
      <c r="CC25" s="73" t="n">
        <f aca="false">'Food Data'!AQ81</f>
        <v>10.86</v>
      </c>
      <c r="CD25" s="73" t="n">
        <f aca="false">'Food Data'!AQ82</f>
        <v>6.98</v>
      </c>
      <c r="CE25" s="73" t="n">
        <f aca="false">'Food Data'!AQ83</f>
        <v>15.48</v>
      </c>
      <c r="CF25" s="73" t="n">
        <f aca="false">'Food Data'!AQ84</f>
        <v>8.12</v>
      </c>
      <c r="CG25" s="73" t="n">
        <f aca="false">'Food Data'!AQ85</f>
        <v>8.99</v>
      </c>
      <c r="CH25" s="73" t="n">
        <f aca="false">'Food Data'!AQ86</f>
        <v>13.66</v>
      </c>
      <c r="CI25" s="73" t="n">
        <f aca="false">'Food Data'!AQ87</f>
        <v>7.89</v>
      </c>
      <c r="CJ25" s="73" t="n">
        <f aca="false">'Food Data'!AQ88</f>
        <v>8.31</v>
      </c>
      <c r="CK25" s="73" t="n">
        <f aca="false">'Food Data'!AQ89</f>
        <v>8.5</v>
      </c>
      <c r="CL25" s="73" t="n">
        <f aca="false">'Food Data'!AQ90</f>
        <v>7.82</v>
      </c>
      <c r="CM25" s="73" t="n">
        <f aca="false">'Food Data'!AQ91</f>
        <v>8.39</v>
      </c>
      <c r="CN25" s="73" t="n">
        <f aca="false">'Food Data'!AQ92</f>
        <v>10.27</v>
      </c>
      <c r="CO25" s="73" t="n">
        <f aca="false">'Food Data'!AQ93</f>
        <v>9.75</v>
      </c>
      <c r="CP25" s="73" t="n">
        <f aca="false">'Food Data'!AQ94</f>
        <v>9.7</v>
      </c>
      <c r="CQ25" s="73" t="n">
        <f aca="false">'Food Data'!AQ95</f>
        <v>9.85</v>
      </c>
      <c r="CR25" s="73" t="n">
        <f aca="false">'Food Data'!AQ96</f>
        <v>14.45</v>
      </c>
      <c r="CS25" s="73" t="n">
        <f aca="false">'Food Data'!AQ97</f>
        <v>9.92</v>
      </c>
      <c r="CT25" s="73" t="n">
        <f aca="false">'Food Data'!AQ98</f>
        <v>38.13</v>
      </c>
      <c r="CU25" s="73" t="n">
        <f aca="false">'Food Data'!AQ99</f>
        <v>59.19</v>
      </c>
      <c r="CV25" s="73" t="n">
        <f aca="false">'Food Data'!AQ100</f>
        <v>4.42</v>
      </c>
      <c r="CW25" s="73" t="n">
        <f aca="false">'Food Data'!AQ101</f>
        <v>4.89</v>
      </c>
      <c r="CX25" s="73" t="n">
        <f aca="false">'Food Data'!AQ102</f>
        <v>4.56</v>
      </c>
      <c r="CY25" s="73" t="n">
        <f aca="false">'Food Data'!AQ103</f>
        <v>6.2</v>
      </c>
      <c r="CZ25" s="73" t="n">
        <f aca="false">'Food Data'!AQ104</f>
        <v>0</v>
      </c>
      <c r="DA25" s="73" t="n">
        <f aca="false">'Food Data'!AQ105</f>
        <v>1.88</v>
      </c>
      <c r="DB25" s="73" t="n">
        <f aca="false">'Food Data'!AQ106</f>
        <v>4.76</v>
      </c>
      <c r="DC25" s="73" t="n">
        <f aca="false">'Food Data'!AQ107</f>
        <v>6.53</v>
      </c>
      <c r="DD25" s="73" t="n">
        <f aca="false">'Food Data'!AQ108</f>
        <v>1.47</v>
      </c>
      <c r="DE25" s="73" t="n">
        <f aca="false">'Food Data'!AQ109</f>
        <v>0</v>
      </c>
      <c r="DF25" s="73" t="n">
        <f aca="false">'Food Data'!AQ110</f>
        <v>2.2</v>
      </c>
      <c r="DG25" s="73" t="n">
        <f aca="false">'Food Data'!AQ111</f>
        <v>3.2</v>
      </c>
      <c r="DH25" s="73" t="n">
        <f aca="false">'Food Data'!AQ112</f>
        <v>3.83</v>
      </c>
      <c r="DI25" s="73" t="n">
        <f aca="false">'Food Data'!AQ113</f>
        <v>4.74</v>
      </c>
      <c r="DJ25" s="73" t="n">
        <f aca="false">'Food Data'!AQ114</f>
        <v>2.46</v>
      </c>
      <c r="DK25" s="73" t="n">
        <f aca="false">'Food Data'!AQ115</f>
        <v>4.76</v>
      </c>
      <c r="DL25" s="73" t="n">
        <f aca="false">'Food Data'!AQ116</f>
        <v>2.22</v>
      </c>
      <c r="DM25" s="73" t="n">
        <f aca="false">'Food Data'!AQ117</f>
        <v>1.34</v>
      </c>
      <c r="DN25" s="73" t="n">
        <f aca="false">'Food Data'!AQ118</f>
        <v>0.46</v>
      </c>
      <c r="DO25" s="73" t="n">
        <f aca="false">'Food Data'!AQ119</f>
        <v>0</v>
      </c>
      <c r="DP25" s="73" t="n">
        <f aca="false">'Food Data'!AQ120</f>
        <v>1.67</v>
      </c>
      <c r="DQ25" s="73" t="n">
        <f aca="false">'Food Data'!AQ121</f>
        <v>1.25</v>
      </c>
      <c r="DR25" s="73" t="n">
        <f aca="false">'Food Data'!AQ122</f>
        <v>2.21</v>
      </c>
      <c r="DS25" s="73" t="n">
        <f aca="false">'Food Data'!AQ123</f>
        <v>2.4</v>
      </c>
      <c r="DT25" s="73" t="n">
        <f aca="false">'Food Data'!AQ124</f>
        <v>1.97</v>
      </c>
      <c r="DU25" s="73" t="n">
        <f aca="false">'Food Data'!AQ125</f>
        <v>0</v>
      </c>
      <c r="DV25" s="73" t="n">
        <f aca="false">'Food Data'!AQ126</f>
        <v>0</v>
      </c>
      <c r="DW25" s="73" t="n">
        <f aca="false">'Food Data'!AQ127</f>
        <v>1.98</v>
      </c>
      <c r="DX25" s="73" t="n">
        <f aca="false">'Food Data'!AQ128</f>
        <v>0</v>
      </c>
      <c r="DY25" s="73" t="n">
        <f aca="false">'Food Data'!AQ129</f>
        <v>2.97</v>
      </c>
      <c r="DZ25" s="73" t="n">
        <f aca="false">'Food Data'!AQ130</f>
        <v>4.24</v>
      </c>
      <c r="EA25" s="73" t="n">
        <f aca="false">'Food Data'!AQ131</f>
        <v>3.3</v>
      </c>
      <c r="EB25" s="73" t="n">
        <f aca="false">'Food Data'!AQ132</f>
        <v>1.86</v>
      </c>
      <c r="EC25" s="73" t="n">
        <f aca="false">'Food Data'!AQ133</f>
        <v>4.2</v>
      </c>
      <c r="ED25" s="73" t="n">
        <f aca="false">'Food Data'!AQ134</f>
        <v>1.19</v>
      </c>
      <c r="EE25" s="73" t="n">
        <f aca="false">'Food Data'!AQ135</f>
        <v>1.78</v>
      </c>
      <c r="EF25" s="73" t="n">
        <f aca="false">'Food Data'!AQ136</f>
        <v>0.33</v>
      </c>
      <c r="EG25" s="73" t="n">
        <f aca="false">'Food Data'!AQ137</f>
        <v>0.42</v>
      </c>
      <c r="EH25" s="73" t="n">
        <f aca="false">'Food Data'!AQ138</f>
        <v>0.65</v>
      </c>
      <c r="EI25" s="73" t="n">
        <f aca="false">'Food Data'!AQ139</f>
        <v>2.55</v>
      </c>
      <c r="EJ25" s="73" t="n">
        <f aca="false">'Food Data'!AQ140</f>
        <v>2.63</v>
      </c>
      <c r="EK25" s="73" t="n">
        <f aca="false">'Food Data'!AQ141</f>
        <v>0</v>
      </c>
      <c r="EL25" s="73" t="n">
        <f aca="false">'Food Data'!AQ142</f>
        <v>2.5</v>
      </c>
      <c r="EM25" s="73" t="n">
        <f aca="false">'Food Data'!AQ143</f>
        <v>0.06</v>
      </c>
      <c r="EN25" s="73" t="n">
        <f aca="false">'Food Data'!AQ144</f>
        <v>0</v>
      </c>
      <c r="EO25" s="73" t="n">
        <f aca="false">'Food Data'!AQ145</f>
        <v>0</v>
      </c>
      <c r="EP25" s="73" t="n">
        <f aca="false">'Food Data'!AQ146</f>
        <v>4.35</v>
      </c>
      <c r="EQ25" s="73" t="n">
        <f aca="false">'Food Data'!AQ147</f>
        <v>0.3</v>
      </c>
      <c r="ER25" s="73" t="n">
        <f aca="false">'Food Data'!AQ148</f>
        <v>32.9</v>
      </c>
      <c r="ES25" s="73" t="n">
        <f aca="false">'Food Data'!AQ149</f>
        <v>28.92</v>
      </c>
      <c r="ET25" s="73" t="n">
        <f aca="false">'Food Data'!AQ150</f>
        <v>0.33</v>
      </c>
      <c r="EU25" s="73" t="n">
        <f aca="false">'Food Data'!AQ151</f>
        <v>21.22</v>
      </c>
    </row>
    <row r="26" customFormat="false" ht="15" hidden="false" customHeight="false" outlineLevel="0" collapsed="false">
      <c r="B26" s="14" t="s">
        <v>53</v>
      </c>
      <c r="F26" s="73" t="n">
        <f aca="false">'Food Data'!AR6</f>
        <v>5</v>
      </c>
      <c r="G26" s="73" t="n">
        <f aca="false">'Food Data'!AR7</f>
        <v>8</v>
      </c>
      <c r="H26" s="73" t="n">
        <f aca="false">'Food Data'!AR8</f>
        <v>7</v>
      </c>
      <c r="I26" s="73" t="n">
        <f aca="false">'Food Data'!AR9</f>
        <v>7</v>
      </c>
      <c r="J26" s="73" t="n">
        <f aca="false">'Food Data'!AR10</f>
        <v>21</v>
      </c>
      <c r="K26" s="73" t="n">
        <f aca="false">'Food Data'!AR11</f>
        <v>11</v>
      </c>
      <c r="L26" s="73" t="n">
        <f aca="false">'Food Data'!AR12</f>
        <v>5</v>
      </c>
      <c r="M26" s="73" t="n">
        <f aca="false">'Food Data'!AR13</f>
        <v>13</v>
      </c>
      <c r="N26" s="73" t="n">
        <f aca="false">'Food Data'!AR14</f>
        <v>18</v>
      </c>
      <c r="O26" s="73" t="n">
        <f aca="false">'Food Data'!AR15</f>
        <v>10</v>
      </c>
      <c r="P26" s="73" t="n">
        <f aca="false">'Food Data'!AR16</f>
        <v>24</v>
      </c>
      <c r="Q26" s="73" t="n">
        <f aca="false">'Food Data'!AR17</f>
        <v>9</v>
      </c>
      <c r="R26" s="73" t="n">
        <f aca="false">'Food Data'!AR18</f>
        <v>17</v>
      </c>
      <c r="S26" s="73" t="n">
        <f aca="false">'Food Data'!AR19</f>
        <v>25</v>
      </c>
      <c r="T26" s="73" t="n">
        <f aca="false">'Food Data'!AR20</f>
        <v>17</v>
      </c>
      <c r="U26" s="73" t="n">
        <f aca="false">'Food Data'!AR21</f>
        <v>9</v>
      </c>
      <c r="V26" s="73" t="n">
        <f aca="false">'Food Data'!AR22</f>
        <v>54</v>
      </c>
      <c r="W26" s="73" t="n">
        <f aca="false">'Food Data'!AR23</f>
        <v>10</v>
      </c>
      <c r="X26" s="73" t="n">
        <f aca="false">'Food Data'!AR24</f>
        <v>56</v>
      </c>
      <c r="Y26" s="73" t="n">
        <f aca="false">'Food Data'!AR25</f>
        <v>35</v>
      </c>
      <c r="Z26" s="73" t="n">
        <f aca="false">'Food Data'!AR26</f>
        <v>123</v>
      </c>
      <c r="AA26" s="73" t="n">
        <f aca="false">'Food Data'!AR27</f>
        <v>20</v>
      </c>
      <c r="AB26" s="73" t="n">
        <f aca="false">'Food Data'!AR28</f>
        <v>110</v>
      </c>
      <c r="AC26" s="73" t="n">
        <f aca="false">'Food Data'!AR29</f>
        <v>35</v>
      </c>
      <c r="AD26" s="73" t="n">
        <f aca="false">'Food Data'!AR30</f>
        <v>53</v>
      </c>
      <c r="AE26" s="73" t="n">
        <f aca="false">'Food Data'!AR31</f>
        <v>175</v>
      </c>
      <c r="AF26" s="73" t="n">
        <f aca="false">'Food Data'!AR32</f>
        <v>29</v>
      </c>
      <c r="AG26" s="73" t="n">
        <f aca="false">'Food Data'!AR33</f>
        <v>143</v>
      </c>
      <c r="AH26" s="73" t="n">
        <f aca="false">'Food Data'!AR34</f>
        <v>35</v>
      </c>
      <c r="AI26" s="73" t="n">
        <f aca="false">'Food Data'!AR35</f>
        <v>81</v>
      </c>
      <c r="AJ26" s="73" t="n">
        <f aca="false">'Food Data'!AR36</f>
        <v>47</v>
      </c>
      <c r="AK26" s="73" t="n">
        <f aca="false">'Food Data'!AR37</f>
        <v>147</v>
      </c>
      <c r="AL26" s="73" t="n">
        <f aca="false">'Food Data'!AR38</f>
        <v>49</v>
      </c>
      <c r="AM26" s="73" t="n">
        <f aca="false">'Food Data'!AR39</f>
        <v>47</v>
      </c>
      <c r="AN26" s="73" t="n">
        <f aca="false">'Food Data'!AR40</f>
        <v>113</v>
      </c>
      <c r="AO26" s="73" t="n">
        <f aca="false">'Food Data'!AR41</f>
        <v>77</v>
      </c>
      <c r="AP26" s="73" t="n">
        <f aca="false">'Food Data'!AR42</f>
        <v>120</v>
      </c>
      <c r="AQ26" s="73" t="n">
        <f aca="false">'Food Data'!AR43</f>
        <v>110</v>
      </c>
      <c r="AR26" s="73" t="n">
        <f aca="false">'Food Data'!AR44</f>
        <v>123</v>
      </c>
      <c r="AS26" s="73" t="n">
        <f aca="false">'Food Data'!AR45</f>
        <v>113</v>
      </c>
      <c r="AT26" s="73" t="n">
        <f aca="false">'Food Data'!AR46</f>
        <v>1045</v>
      </c>
      <c r="AU26" s="73" t="n">
        <f aca="false">'Food Data'!AR47</f>
        <v>710</v>
      </c>
      <c r="AV26" s="73" t="n">
        <f aca="false">'Food Data'!AR48</f>
        <v>111</v>
      </c>
      <c r="AW26" s="73" t="n">
        <f aca="false">'Food Data'!AR49</f>
        <v>697</v>
      </c>
      <c r="AX26" s="73" t="n">
        <f aca="false">'Food Data'!AR50</f>
        <v>219</v>
      </c>
      <c r="AY26" s="73" t="n">
        <f aca="false">'Food Data'!AR51</f>
        <v>9</v>
      </c>
      <c r="AZ26" s="73" t="n">
        <f aca="false">'Food Data'!AR52</f>
        <v>401</v>
      </c>
      <c r="BA26" s="73" t="n">
        <f aca="false">'Food Data'!AR53</f>
        <v>81</v>
      </c>
      <c r="BB26" s="73" t="n">
        <f aca="false">'Food Data'!AR54</f>
        <v>163</v>
      </c>
      <c r="BC26" s="73" t="n">
        <f aca="false">'Food Data'!AR55</f>
        <v>47</v>
      </c>
      <c r="BD26" s="73" t="n">
        <f aca="false">'Food Data'!AR56</f>
        <v>52</v>
      </c>
      <c r="BE26" s="73" t="n">
        <f aca="false">'Food Data'!AR57</f>
        <v>21</v>
      </c>
      <c r="BF26" s="73" t="n">
        <f aca="false">'Food Data'!AR58</f>
        <v>144</v>
      </c>
      <c r="BG26" s="73" t="n">
        <f aca="false">'Food Data'!AR59</f>
        <v>28</v>
      </c>
      <c r="BH26" s="73" t="n">
        <f aca="false">'Food Data'!AR60</f>
        <v>161</v>
      </c>
      <c r="BI26" s="73" t="n">
        <f aca="false">'Food Data'!AR61</f>
        <v>29</v>
      </c>
      <c r="BJ26" s="73" t="n">
        <f aca="false">'Food Data'!AR62</f>
        <v>35</v>
      </c>
      <c r="BK26" s="73" t="n">
        <f aca="false">'Food Data'!AR63</f>
        <v>4</v>
      </c>
      <c r="BL26" s="73" t="n">
        <f aca="false">'Food Data'!AR64</f>
        <v>4</v>
      </c>
      <c r="BM26" s="73" t="n">
        <f aca="false">'Food Data'!AR65</f>
        <v>9</v>
      </c>
      <c r="BN26" s="73" t="n">
        <f aca="false">'Food Data'!AR66</f>
        <v>20</v>
      </c>
      <c r="BO26" s="73" t="n">
        <f aca="false">'Food Data'!AR67</f>
        <v>22</v>
      </c>
      <c r="BP26" s="73" t="n">
        <f aca="false">'Food Data'!AR68</f>
        <v>12</v>
      </c>
      <c r="BQ26" s="73" t="n">
        <f aca="false">'Food Data'!AR69</f>
        <v>30</v>
      </c>
      <c r="BR26" s="73" t="n">
        <f aca="false">'Food Data'!AR70</f>
        <v>6</v>
      </c>
      <c r="BS26" s="73" t="n">
        <f aca="false">'Food Data'!AR71</f>
        <v>4</v>
      </c>
      <c r="BT26" s="73" t="n">
        <f aca="false">'Food Data'!AR72</f>
        <v>5</v>
      </c>
      <c r="BU26" s="73" t="n">
        <f aca="false">'Food Data'!AR73</f>
        <v>29</v>
      </c>
      <c r="BV26" s="73" t="n">
        <f aca="false">'Food Data'!AR74</f>
        <v>8</v>
      </c>
      <c r="BW26" s="73" t="n">
        <f aca="false">'Food Data'!AR75</f>
        <v>9</v>
      </c>
      <c r="BX26" s="73" t="n">
        <f aca="false">'Food Data'!AR76</f>
        <v>13</v>
      </c>
      <c r="BY26" s="73" t="n">
        <f aca="false">'Food Data'!AR77</f>
        <v>30</v>
      </c>
      <c r="BZ26" s="73" t="n">
        <f aca="false">'Food Data'!AR78</f>
        <v>39</v>
      </c>
      <c r="CA26" s="73" t="n">
        <f aca="false">'Food Data'!AR79</f>
        <v>55</v>
      </c>
      <c r="CB26" s="73" t="n">
        <f aca="false">'Food Data'!AR80</f>
        <v>9</v>
      </c>
      <c r="CC26" s="73" t="n">
        <f aca="false">'Food Data'!AR81</f>
        <v>8</v>
      </c>
      <c r="CD26" s="73" t="n">
        <f aca="false">'Food Data'!AR82</f>
        <v>12</v>
      </c>
      <c r="CE26" s="73" t="n">
        <f aca="false">'Food Data'!AR83</f>
        <v>10</v>
      </c>
      <c r="CF26" s="73" t="n">
        <f aca="false">'Food Data'!AR84</f>
        <v>6</v>
      </c>
      <c r="CG26" s="73" t="n">
        <f aca="false">'Food Data'!AR85</f>
        <v>34</v>
      </c>
      <c r="CH26" s="73" t="n">
        <f aca="false">'Food Data'!AR86</f>
        <v>11</v>
      </c>
      <c r="CI26" s="73" t="n">
        <f aca="false">'Food Data'!AR87</f>
        <v>6</v>
      </c>
      <c r="CJ26" s="73" t="n">
        <f aca="false">'Food Data'!AR88</f>
        <v>11</v>
      </c>
      <c r="CK26" s="73" t="n">
        <f aca="false">'Food Data'!AR89</f>
        <v>43</v>
      </c>
      <c r="CL26" s="73" t="n">
        <f aca="false">'Food Data'!AR90</f>
        <v>20</v>
      </c>
      <c r="CM26" s="73" t="n">
        <f aca="false">'Food Data'!AR91</f>
        <v>6</v>
      </c>
      <c r="CN26" s="73" t="n">
        <f aca="false">'Food Data'!AR92</f>
        <v>6</v>
      </c>
      <c r="CO26" s="73" t="n">
        <f aca="false">'Food Data'!AR93</f>
        <v>9</v>
      </c>
      <c r="CP26" s="73" t="n">
        <f aca="false">'Food Data'!AR94</f>
        <v>9</v>
      </c>
      <c r="CQ26" s="73" t="n">
        <f aca="false">'Food Data'!AR95</f>
        <v>13</v>
      </c>
      <c r="CR26" s="73" t="n">
        <f aca="false">'Food Data'!AR96</f>
        <v>14</v>
      </c>
      <c r="CS26" s="73" t="n">
        <f aca="false">'Food Data'!AR97</f>
        <v>6</v>
      </c>
      <c r="CT26" s="73" t="n">
        <f aca="false">'Food Data'!AR98</f>
        <v>43</v>
      </c>
      <c r="CU26" s="73" t="n">
        <f aca="false">'Food Data'!AR99</f>
        <v>50</v>
      </c>
      <c r="CV26" s="73" t="n">
        <f aca="false">'Food Data'!AR100</f>
        <v>25</v>
      </c>
      <c r="CW26" s="73" t="n">
        <f aca="false">'Food Data'!AR101</f>
        <v>16</v>
      </c>
      <c r="CX26" s="73" t="n">
        <f aca="false">'Food Data'!AR102</f>
        <v>16</v>
      </c>
      <c r="CY26" s="73" t="n">
        <f aca="false">'Food Data'!AR103</f>
        <v>7</v>
      </c>
      <c r="CZ26" s="73" t="n">
        <f aca="false">'Food Data'!AR104</f>
        <v>33</v>
      </c>
      <c r="DA26" s="73" t="n">
        <f aca="false">'Food Data'!AR105</f>
        <v>24</v>
      </c>
      <c r="DB26" s="73" t="n">
        <f aca="false">'Food Data'!AR106</f>
        <v>32</v>
      </c>
      <c r="DC26" s="73" t="n">
        <f aca="false">'Food Data'!AR107</f>
        <v>18</v>
      </c>
      <c r="DD26" s="73" t="n">
        <f aca="false">'Food Data'!AR108</f>
        <v>41</v>
      </c>
      <c r="DE26" s="73" t="n">
        <f aca="false">'Food Data'!AR109</f>
        <v>26</v>
      </c>
      <c r="DF26" s="73" t="n">
        <f aca="false">'Food Data'!AR110</f>
        <v>48</v>
      </c>
      <c r="DG26" s="73" t="n">
        <f aca="false">'Food Data'!AR111</f>
        <v>40</v>
      </c>
      <c r="DH26" s="73" t="n">
        <f aca="false">'Food Data'!AR112</f>
        <v>45</v>
      </c>
      <c r="DI26" s="73" t="n">
        <f aca="false">'Food Data'!AR113</f>
        <v>33</v>
      </c>
      <c r="DJ26" s="73" t="n">
        <f aca="false">'Food Data'!AR114</f>
        <v>31</v>
      </c>
      <c r="DK26" s="73" t="n">
        <f aca="false">'Food Data'!AR115</f>
        <v>36</v>
      </c>
      <c r="DL26" s="73" t="n">
        <f aca="false">'Food Data'!AR116</f>
        <v>22</v>
      </c>
      <c r="DM26" s="73" t="n">
        <f aca="false">'Food Data'!AR117</f>
        <v>40</v>
      </c>
      <c r="DN26" s="73" t="n">
        <f aca="false">'Food Data'!AR118</f>
        <v>232</v>
      </c>
      <c r="DO26" s="73" t="n">
        <f aca="false">'Food Data'!AR119</f>
        <v>201</v>
      </c>
      <c r="DP26" s="73" t="n">
        <f aca="false">'Food Data'!AR120</f>
        <v>16</v>
      </c>
      <c r="DQ26" s="73" t="n">
        <f aca="false">'Food Data'!AR121</f>
        <v>29</v>
      </c>
      <c r="DR26" s="73" t="n">
        <f aca="false">'Food Data'!AR122</f>
        <v>42</v>
      </c>
      <c r="DS26" s="73" t="n">
        <f aca="false">'Food Data'!AR123</f>
        <v>10</v>
      </c>
      <c r="DT26" s="73" t="n">
        <f aca="false">'Food Data'!AR124</f>
        <v>18</v>
      </c>
      <c r="DU26" s="73" t="n">
        <f aca="false">'Food Data'!AR125</f>
        <v>136</v>
      </c>
      <c r="DV26" s="73" t="n">
        <f aca="false">'Food Data'!AR126</f>
        <v>25</v>
      </c>
      <c r="DW26" s="73" t="n">
        <f aca="false">'Food Data'!AR127</f>
        <v>3</v>
      </c>
      <c r="DX26" s="73" t="n">
        <f aca="false">'Food Data'!AR128</f>
        <v>116</v>
      </c>
      <c r="DY26" s="73" t="n">
        <f aca="false">'Food Data'!AR129</f>
        <v>81</v>
      </c>
      <c r="DZ26" s="73" t="n">
        <f aca="false">'Food Data'!AR130</f>
        <v>23</v>
      </c>
      <c r="EA26" s="73" t="n">
        <f aca="false">'Food Data'!AR131</f>
        <v>26</v>
      </c>
      <c r="EB26" s="73" t="n">
        <f aca="false">'Food Data'!AR132</f>
        <v>25</v>
      </c>
      <c r="EC26" s="73" t="n">
        <f aca="false">'Food Data'!AR133</f>
        <v>7</v>
      </c>
      <c r="ED26" s="73" t="n">
        <f aca="false">'Food Data'!AR134</f>
        <v>33</v>
      </c>
      <c r="EE26" s="73" t="n">
        <f aca="false">'Food Data'!AR135</f>
        <v>30</v>
      </c>
      <c r="EF26" s="73" t="n">
        <f aca="false">'Food Data'!AR136</f>
        <v>83</v>
      </c>
      <c r="EG26" s="73" t="n">
        <f aca="false">'Food Data'!AR137</f>
        <v>99</v>
      </c>
      <c r="EH26" s="73" t="n">
        <f aca="false">'Food Data'!AR138</f>
        <v>129</v>
      </c>
      <c r="EI26" s="73" t="n">
        <f aca="false">'Food Data'!AR139</f>
        <v>33</v>
      </c>
      <c r="EJ26" s="73" t="n">
        <f aca="false">'Food Data'!AR140</f>
        <v>10</v>
      </c>
      <c r="EK26" s="73" t="n">
        <f aca="false">'Food Data'!AR141</f>
        <v>118</v>
      </c>
      <c r="EL26" s="73" t="n">
        <f aca="false">'Food Data'!AR142</f>
        <v>16</v>
      </c>
      <c r="EM26" s="73" t="n">
        <f aca="false">'Food Data'!AR143</f>
        <v>24</v>
      </c>
      <c r="EN26" s="73" t="n">
        <f aca="false">'Food Data'!AR144</f>
        <v>0</v>
      </c>
      <c r="EO26" s="73" t="n">
        <f aca="false">'Food Data'!AR145</f>
        <v>1</v>
      </c>
      <c r="EP26" s="73" t="n">
        <f aca="false">'Food Data'!AR146</f>
        <v>269</v>
      </c>
      <c r="EQ26" s="73" t="n">
        <f aca="false">'Food Data'!AR147</f>
        <v>13</v>
      </c>
      <c r="ER26" s="73" t="n">
        <f aca="false">'Food Data'!AR148</f>
        <v>21</v>
      </c>
      <c r="ES26" s="73" t="n">
        <f aca="false">'Food Data'!AR149</f>
        <v>41</v>
      </c>
      <c r="ET26" s="73" t="n">
        <f aca="false">'Food Data'!AR150</f>
        <v>21</v>
      </c>
      <c r="EU26" s="73" t="n">
        <f aca="false">'Food Data'!AR151</f>
        <v>128</v>
      </c>
    </row>
    <row r="27" customFormat="false" ht="15" hidden="false" customHeight="false" outlineLevel="0" collapsed="false">
      <c r="B27" s="14" t="s">
        <v>55</v>
      </c>
      <c r="F27" s="73" t="n">
        <f aca="false">'Food Data'!AS6</f>
        <v>0.37</v>
      </c>
      <c r="G27" s="73" t="n">
        <f aca="false">'Food Data'!AS7</f>
        <v>0.71</v>
      </c>
      <c r="H27" s="73" t="n">
        <f aca="false">'Food Data'!AS8</f>
        <v>0.81</v>
      </c>
      <c r="I27" s="73" t="n">
        <f aca="false">'Food Data'!AS9</f>
        <v>0.34</v>
      </c>
      <c r="J27" s="73" t="n">
        <f aca="false">'Food Data'!AS10</f>
        <v>1.17</v>
      </c>
      <c r="K27" s="73" t="n">
        <f aca="false">'Food Data'!AS11</f>
        <v>0.9</v>
      </c>
      <c r="L27" s="73" t="n">
        <f aca="false">'Food Data'!AS12</f>
        <v>0.41</v>
      </c>
      <c r="M27" s="73" t="n">
        <f aca="false">'Food Data'!AS13</f>
        <v>2.12</v>
      </c>
      <c r="N27" s="73" t="n">
        <f aca="false">'Food Data'!AS14</f>
        <v>1.94</v>
      </c>
      <c r="O27" s="73" t="n">
        <f aca="false">'Food Data'!AS15</f>
        <v>2.33</v>
      </c>
      <c r="P27" s="73" t="n">
        <f aca="false">'Food Data'!AS16</f>
        <v>1.02</v>
      </c>
      <c r="Q27" s="73" t="n">
        <f aca="false">'Food Data'!AS17</f>
        <v>0.48</v>
      </c>
      <c r="R27" s="73" t="n">
        <f aca="false">'Food Data'!AS18</f>
        <v>1.97</v>
      </c>
      <c r="S27" s="73" t="n">
        <f aca="false">'Food Data'!AS19</f>
        <v>1.46</v>
      </c>
      <c r="T27" s="73" t="n">
        <f aca="false">'Food Data'!AS20</f>
        <v>1.63</v>
      </c>
      <c r="U27" s="73" t="n">
        <f aca="false">'Food Data'!AS21</f>
        <v>0.34</v>
      </c>
      <c r="V27" s="73" t="n">
        <f aca="false">'Food Data'!AS22</f>
        <v>0.21</v>
      </c>
      <c r="W27" s="73" t="n">
        <f aca="false">'Food Data'!AS23</f>
        <v>0.56</v>
      </c>
      <c r="X27" s="73" t="n">
        <f aca="false">'Food Data'!AS24</f>
        <v>1.75</v>
      </c>
      <c r="Y27" s="73" t="n">
        <f aca="false">'Food Data'!AS25</f>
        <v>1.9</v>
      </c>
      <c r="Z27" s="73" t="n">
        <f aca="false">'Food Data'!AS26</f>
        <v>5.02</v>
      </c>
      <c r="AA27" s="73" t="n">
        <f aca="false">'Food Data'!AS27</f>
        <v>0.97</v>
      </c>
      <c r="AB27" s="73" t="n">
        <f aca="false">'Food Data'!AS28</f>
        <v>8.27</v>
      </c>
      <c r="AC27" s="73" t="n">
        <f aca="false">'Food Data'!AS29</f>
        <v>1.23</v>
      </c>
      <c r="AD27" s="73" t="n">
        <f aca="false">'Food Data'!AS30</f>
        <v>1.57</v>
      </c>
      <c r="AE27" s="73" t="n">
        <f aca="false">'Food Data'!AS31</f>
        <v>5.47</v>
      </c>
      <c r="AF27" s="73" t="n">
        <f aca="false">'Food Data'!AS32</f>
        <v>1.25</v>
      </c>
      <c r="AG27" s="73" t="n">
        <f aca="false">'Food Data'!AS33</f>
        <v>8.2</v>
      </c>
      <c r="AH27" s="73" t="n">
        <f aca="false">'Food Data'!AS34</f>
        <v>6.51</v>
      </c>
      <c r="AI27" s="73" t="n">
        <f aca="false">'Food Data'!AS35</f>
        <v>7.51</v>
      </c>
      <c r="AJ27" s="73" t="n">
        <f aca="false">'Food Data'!AS36</f>
        <v>1.85</v>
      </c>
      <c r="AK27" s="73" t="n">
        <f aca="false">'Food Data'!AS37</f>
        <v>5.49</v>
      </c>
      <c r="AL27" s="73" t="n">
        <f aca="false">'Food Data'!AS38</f>
        <v>1.74</v>
      </c>
      <c r="AM27" s="73" t="n">
        <f aca="false">'Food Data'!AS39</f>
        <v>1.47</v>
      </c>
      <c r="AN27" s="73" t="n">
        <f aca="false">'Food Data'!AS40</f>
        <v>5.07</v>
      </c>
      <c r="AO27" s="73" t="n">
        <f aca="false">'Food Data'!AS41</f>
        <v>1.6</v>
      </c>
      <c r="AP27" s="73" t="n">
        <f aca="false">'Food Data'!AS42</f>
        <v>0.02</v>
      </c>
      <c r="AQ27" s="73" t="n">
        <f aca="false">'Food Data'!AS43</f>
        <v>0.07</v>
      </c>
      <c r="AR27" s="73" t="n">
        <f aca="false">'Food Data'!AS44</f>
        <v>0.42</v>
      </c>
      <c r="AS27" s="73" t="n">
        <f aca="false">'Food Data'!AS45</f>
        <v>0.03</v>
      </c>
      <c r="AT27" s="73" t="n">
        <f aca="false">'Food Data'!AS46</f>
        <v>0.63</v>
      </c>
      <c r="AU27" s="73" t="n">
        <f aca="false">'Food Data'!AS47</f>
        <v>0.14</v>
      </c>
      <c r="AV27" s="73" t="n">
        <f aca="false">'Food Data'!AS48</f>
        <v>0.13</v>
      </c>
      <c r="AW27" s="73" t="n">
        <f aca="false">'Food Data'!AS49</f>
        <v>0.22</v>
      </c>
      <c r="AX27" s="73" t="n">
        <f aca="false">'Food Data'!AS50</f>
        <v>3.57</v>
      </c>
      <c r="AY27" s="73" t="n">
        <f aca="false">'Food Data'!AS51</f>
        <v>1.29</v>
      </c>
      <c r="AZ27" s="73" t="n">
        <f aca="false">'Food Data'!AS52</f>
        <v>33.17</v>
      </c>
      <c r="BA27" s="73" t="n">
        <f aca="false">'Food Data'!AS53</f>
        <v>1.23</v>
      </c>
      <c r="BB27" s="73" t="n">
        <f aca="false">'Food Data'!AS54</f>
        <v>3.32</v>
      </c>
      <c r="BC27" s="73" t="n">
        <f aca="false">'Food Data'!AS55</f>
        <v>4.57</v>
      </c>
      <c r="BD27" s="73" t="n">
        <f aca="false">'Food Data'!AS56</f>
        <v>4.25</v>
      </c>
      <c r="BE27" s="73" t="n">
        <f aca="false">'Food Data'!AS57</f>
        <v>3.3</v>
      </c>
      <c r="BF27" s="73" t="n">
        <f aca="false">'Food Data'!AS58</f>
        <v>3.61</v>
      </c>
      <c r="BG27" s="73" t="n">
        <f aca="false">'Food Data'!AS59</f>
        <v>4.31</v>
      </c>
      <c r="BH27" s="73" t="n">
        <f aca="false">'Food Data'!AS60</f>
        <v>2.47</v>
      </c>
      <c r="BI27" s="73" t="n">
        <f aca="false">'Food Data'!AS61</f>
        <v>3.62</v>
      </c>
      <c r="BJ27" s="73" t="n">
        <f aca="false">'Food Data'!AS62</f>
        <v>2.21</v>
      </c>
      <c r="BK27" s="73" t="n">
        <f aca="false">'Food Data'!AS63</f>
        <v>0.36</v>
      </c>
      <c r="BL27" s="73" t="n">
        <f aca="false">'Food Data'!AS64</f>
        <v>0.42</v>
      </c>
      <c r="BM27" s="73" t="n">
        <f aca="false">'Food Data'!AS65</f>
        <v>0.62</v>
      </c>
      <c r="BN27" s="73" t="n">
        <f aca="false">'Food Data'!AS66</f>
        <v>1.29</v>
      </c>
      <c r="BO27" s="73" t="n">
        <f aca="false">'Food Data'!AS67</f>
        <v>1.53</v>
      </c>
      <c r="BP27" s="73" t="n">
        <f aca="false">'Food Data'!AS68</f>
        <v>0.81</v>
      </c>
      <c r="BQ27" s="73" t="n">
        <f aca="false">'Food Data'!AS69</f>
        <v>0.61</v>
      </c>
      <c r="BR27" s="73" t="n">
        <f aca="false">'Food Data'!AS70</f>
        <v>0.12</v>
      </c>
      <c r="BS27" s="73" t="n">
        <f aca="false">'Food Data'!AS71</f>
        <v>0.23</v>
      </c>
      <c r="BT27" s="73" t="n">
        <f aca="false">'Food Data'!AS72</f>
        <v>0.26</v>
      </c>
      <c r="BU27" s="73" t="n">
        <f aca="false">'Food Data'!AS73</f>
        <v>0.62</v>
      </c>
      <c r="BV27" s="73" t="n">
        <f aca="false">'Food Data'!AS74</f>
        <v>0.18</v>
      </c>
      <c r="BW27" s="73" t="n">
        <f aca="false">'Food Data'!AS75</f>
        <v>0.21</v>
      </c>
      <c r="BX27" s="73" t="n">
        <f aca="false">'Food Data'!AS76</f>
        <v>0.36</v>
      </c>
      <c r="BY27" s="73" t="n">
        <f aca="false">'Food Data'!AS77</f>
        <v>0.14</v>
      </c>
      <c r="BZ27" s="73" t="n">
        <f aca="false">'Food Data'!AS78</f>
        <v>1.02</v>
      </c>
      <c r="CA27" s="73" t="n">
        <f aca="false">'Food Data'!AS79</f>
        <v>2.66</v>
      </c>
      <c r="CB27" s="73" t="n">
        <f aca="false">'Food Data'!AS80</f>
        <v>0.39</v>
      </c>
      <c r="CC27" s="73" t="n">
        <f aca="false">'Food Data'!AS81</f>
        <v>0.21</v>
      </c>
      <c r="CD27" s="73" t="n">
        <f aca="false">'Food Data'!AS82</f>
        <v>0.09</v>
      </c>
      <c r="CE27" s="73" t="n">
        <f aca="false">'Food Data'!AS83</f>
        <v>0.36</v>
      </c>
      <c r="CF27" s="73" t="n">
        <f aca="false">'Food Data'!AS84</f>
        <v>0.17</v>
      </c>
      <c r="CG27" s="73" t="n">
        <f aca="false">'Food Data'!AS85</f>
        <v>0.31</v>
      </c>
      <c r="CH27" s="73" t="n">
        <f aca="false">'Food Data'!AS86</f>
        <v>0.16</v>
      </c>
      <c r="CI27" s="73" t="n">
        <f aca="false">'Food Data'!AS87</f>
        <v>0.28</v>
      </c>
      <c r="CJ27" s="73" t="n">
        <f aca="false">'Food Data'!AS88</f>
        <v>0.13</v>
      </c>
      <c r="CK27" s="73" t="n">
        <f aca="false">'Food Data'!AS89</f>
        <v>0.13</v>
      </c>
      <c r="CL27" s="73" t="n">
        <f aca="false">'Food Data'!AS90</f>
        <v>0.25</v>
      </c>
      <c r="CM27" s="73" t="n">
        <f aca="false">'Food Data'!AS91</f>
        <v>0.25</v>
      </c>
      <c r="CN27" s="73" t="n">
        <f aca="false">'Food Data'!AS92</f>
        <v>0.27</v>
      </c>
      <c r="CO27" s="73" t="n">
        <f aca="false">'Food Data'!AS93</f>
        <v>0.18</v>
      </c>
      <c r="CP27" s="73" t="n">
        <f aca="false">'Food Data'!AS94</f>
        <v>0.29</v>
      </c>
      <c r="CQ27" s="73" t="n">
        <f aca="false">'Food Data'!AS95</f>
        <v>0.29</v>
      </c>
      <c r="CR27" s="73" t="n">
        <f aca="false">'Food Data'!AS96</f>
        <v>0.28</v>
      </c>
      <c r="CS27" s="73" t="n">
        <f aca="false">'Food Data'!AS97</f>
        <v>0.17</v>
      </c>
      <c r="CT27" s="73" t="n">
        <f aca="false">'Food Data'!AS98</f>
        <v>0.93</v>
      </c>
      <c r="CU27" s="73" t="n">
        <f aca="false">'Food Data'!AS99</f>
        <v>1.88</v>
      </c>
      <c r="CV27" s="73" t="n">
        <f aca="false">'Food Data'!AS100</f>
        <v>0.69</v>
      </c>
      <c r="CW27" s="73" t="n">
        <f aca="false">'Food Data'!AS101</f>
        <v>0.41</v>
      </c>
      <c r="CX27" s="73" t="n">
        <f aca="false">'Food Data'!AS102</f>
        <v>0.75</v>
      </c>
      <c r="CY27" s="73" t="n">
        <f aca="false">'Food Data'!AS103</f>
        <v>0.24</v>
      </c>
      <c r="CZ27" s="73" t="n">
        <f aca="false">'Food Data'!AS104</f>
        <v>0.7</v>
      </c>
      <c r="DA27" s="73" t="n">
        <f aca="false">'Food Data'!AS105</f>
        <v>2.14</v>
      </c>
      <c r="DB27" s="73" t="n">
        <f aca="false">'Food Data'!AS106</f>
        <v>0.89</v>
      </c>
      <c r="DC27" s="73" t="n">
        <f aca="false">'Food Data'!AS107</f>
        <v>0.73</v>
      </c>
      <c r="DD27" s="73" t="n">
        <f aca="false">'Food Data'!AS108</f>
        <v>0.72</v>
      </c>
      <c r="DE27" s="73" t="n">
        <f aca="false">'Food Data'!AS109</f>
        <v>0.93</v>
      </c>
      <c r="DF27" s="73" t="n">
        <f aca="false">'Food Data'!AS110</f>
        <v>0.7</v>
      </c>
      <c r="DG27" s="73" t="n">
        <f aca="false">'Food Data'!AS111</f>
        <v>0.47</v>
      </c>
      <c r="DH27" s="73" t="n">
        <f aca="false">'Food Data'!AS112</f>
        <v>0.8</v>
      </c>
      <c r="DI27" s="73" t="n">
        <f aca="false">'Food Data'!AS113</f>
        <v>0.3</v>
      </c>
      <c r="DJ27" s="73" t="n">
        <f aca="false">'Food Data'!AS114</f>
        <v>0.52</v>
      </c>
      <c r="DK27" s="73" t="n">
        <f aca="false">'Food Data'!AS115</f>
        <v>0.44</v>
      </c>
      <c r="DL27" s="73" t="n">
        <f aca="false">'Food Data'!AS116</f>
        <v>0.54</v>
      </c>
      <c r="DM27" s="73" t="n">
        <f aca="false">'Food Data'!AS117</f>
        <v>0.2</v>
      </c>
      <c r="DN27" s="73" t="n">
        <f aca="false">'Food Data'!AS118</f>
        <v>0.47</v>
      </c>
      <c r="DO27" s="73" t="n">
        <f aca="false">'Food Data'!AS119</f>
        <v>1.07</v>
      </c>
      <c r="DP27" s="73" t="n">
        <f aca="false">'Food Data'!AS120</f>
        <v>0.28</v>
      </c>
      <c r="DQ27" s="73" t="n">
        <f aca="false">'Food Data'!AS121</f>
        <v>1.02</v>
      </c>
      <c r="DR27" s="73" t="n">
        <f aca="false">'Food Data'!AS122</f>
        <v>0.85</v>
      </c>
      <c r="DS27" s="73" t="n">
        <f aca="false">'Food Data'!AS123</f>
        <v>0.34</v>
      </c>
      <c r="DT27" s="73" t="n">
        <f aca="false">'Food Data'!AS124</f>
        <v>0.41</v>
      </c>
      <c r="DU27" s="73" t="n">
        <f aca="false">'Food Data'!AS125</f>
        <v>0.93</v>
      </c>
      <c r="DV27" s="73" t="n">
        <f aca="false">'Food Data'!AS126</f>
        <v>0.95</v>
      </c>
      <c r="DW27" s="73" t="n">
        <f aca="false">'Food Data'!AS127</f>
        <v>0.5</v>
      </c>
      <c r="DX27" s="73" t="n">
        <f aca="false">'Food Data'!AS128</f>
        <v>1.29</v>
      </c>
      <c r="DY27" s="73" t="n">
        <f aca="false">'Food Data'!AS129</f>
        <v>0.57</v>
      </c>
      <c r="DZ27" s="73" t="n">
        <f aca="false">'Food Data'!AS130</f>
        <v>0.21</v>
      </c>
      <c r="EA27" s="73" t="n">
        <f aca="false">'Food Data'!AS131</f>
        <v>1.39</v>
      </c>
      <c r="EB27" s="73" t="n">
        <f aca="false">'Food Data'!AS132</f>
        <v>0.34</v>
      </c>
      <c r="EC27" s="73" t="n">
        <f aca="false">'Food Data'!AS133</f>
        <v>0.43</v>
      </c>
      <c r="ED27" s="73" t="n">
        <f aca="false">'Food Data'!AS134</f>
        <v>0.97</v>
      </c>
      <c r="EE27" s="73" t="n">
        <f aca="false">'Food Data'!AS135</f>
        <v>1.47</v>
      </c>
      <c r="EF27" s="73" t="n">
        <f aca="false">'Food Data'!AS136</f>
        <v>1.58</v>
      </c>
      <c r="EG27" s="73" t="n">
        <f aca="false">'Food Data'!AS137</f>
        <v>2.71</v>
      </c>
      <c r="EH27" s="73" t="n">
        <f aca="false">'Food Data'!AS138</f>
        <v>1.89</v>
      </c>
      <c r="EI27" s="73" t="n">
        <f aca="false">'Food Data'!AS139</f>
        <v>0.57</v>
      </c>
      <c r="EJ27" s="73" t="n">
        <f aca="false">'Food Data'!AS140</f>
        <v>0.27</v>
      </c>
      <c r="EK27" s="73" t="n">
        <f aca="false">'Food Data'!AS141</f>
        <v>1.51</v>
      </c>
      <c r="EL27" s="73" t="n">
        <f aca="false">'Food Data'!AS142</f>
        <v>0.37</v>
      </c>
      <c r="EM27" s="73" t="n">
        <f aca="false">'Food Data'!AS143</f>
        <v>0.02</v>
      </c>
      <c r="EN27" s="73" t="n">
        <f aca="false">'Food Data'!AS144</f>
        <v>0</v>
      </c>
      <c r="EO27" s="73" t="n">
        <f aca="false">'Food Data'!AS145</f>
        <v>0.56</v>
      </c>
      <c r="EP27" s="73" t="n">
        <f aca="false">'Food Data'!AS146</f>
        <v>3.71</v>
      </c>
      <c r="EQ27" s="73" t="n">
        <f aca="false">'Food Data'!AS147</f>
        <v>0.61</v>
      </c>
      <c r="ER27" s="73" t="n">
        <f aca="false">'Food Data'!AS148</f>
        <v>5.58</v>
      </c>
      <c r="ES27" s="73" t="n">
        <f aca="false">'Food Data'!AS149</f>
        <v>2.19</v>
      </c>
      <c r="ET27" s="73" t="n">
        <f aca="false">'Food Data'!AS150</f>
        <v>1.28</v>
      </c>
      <c r="EU27" s="73" t="n">
        <f aca="false">'Food Data'!AS151</f>
        <v>0.09</v>
      </c>
    </row>
    <row r="28" customFormat="false" ht="15" hidden="false" customHeight="false" outlineLevel="0" collapsed="false">
      <c r="B28" s="14" t="s">
        <v>57</v>
      </c>
      <c r="F28" s="73" t="n">
        <f aca="false">'Food Data'!AT6</f>
        <v>334</v>
      </c>
      <c r="G28" s="73" t="n">
        <f aca="false">'Food Data'!AT7</f>
        <v>211</v>
      </c>
      <c r="H28" s="73" t="n">
        <f aca="false">'Food Data'!AT8</f>
        <v>242</v>
      </c>
      <c r="I28" s="73" t="n">
        <f aca="false">'Food Data'!AT9</f>
        <v>401</v>
      </c>
      <c r="J28" s="73" t="n">
        <f aca="false">'Food Data'!AT10</f>
        <v>213</v>
      </c>
      <c r="K28" s="73" t="n">
        <f aca="false">'Food Data'!AT11</f>
        <v>189</v>
      </c>
      <c r="L28" s="73" t="n">
        <f aca="false">'Food Data'!AT12</f>
        <v>198</v>
      </c>
      <c r="M28" s="73" t="n">
        <f aca="false">'Food Data'!AT13</f>
        <v>367</v>
      </c>
      <c r="N28" s="73" t="n">
        <f aca="false">'Food Data'!AT14</f>
        <v>270</v>
      </c>
      <c r="O28" s="73" t="n">
        <f aca="false">'Food Data'!AT15</f>
        <v>336</v>
      </c>
      <c r="P28" s="73" t="n">
        <f aca="false">'Food Data'!AT16</f>
        <v>287</v>
      </c>
      <c r="Q28" s="73" t="n">
        <f aca="false">'Food Data'!AT17</f>
        <v>345</v>
      </c>
      <c r="R28" s="73" t="n">
        <f aca="false">'Food Data'!AT18</f>
        <v>341</v>
      </c>
      <c r="S28" s="73" t="n">
        <f aca="false">'Food Data'!AT19</f>
        <v>309</v>
      </c>
      <c r="T28" s="73" t="n">
        <f aca="false">'Food Data'!AT20</f>
        <v>179</v>
      </c>
      <c r="U28" s="73" t="n">
        <f aca="false">'Food Data'!AT21</f>
        <v>363</v>
      </c>
      <c r="V28" s="73" t="n">
        <f aca="false">'Food Data'!AT22</f>
        <v>113</v>
      </c>
      <c r="W28" s="73" t="n">
        <f aca="false">'Food Data'!AT23</f>
        <v>302</v>
      </c>
      <c r="X28" s="73" t="n">
        <f aca="false">'Food Data'!AT24</f>
        <v>138</v>
      </c>
      <c r="Y28" s="73" t="n">
        <f aca="false">'Food Data'!AT25</f>
        <v>308</v>
      </c>
      <c r="Z28" s="73" t="n">
        <f aca="false">'Food Data'!AT26</f>
        <v>1483</v>
      </c>
      <c r="AA28" s="73" t="n">
        <f aca="false">'Food Data'!AT27</f>
        <v>172</v>
      </c>
      <c r="AB28" s="73" t="n">
        <f aca="false">'Food Data'!AT28</f>
        <v>1112</v>
      </c>
      <c r="AC28" s="73" t="n">
        <f aca="false">'Food Data'!AT29</f>
        <v>144</v>
      </c>
      <c r="AD28" s="73" t="n">
        <f aca="false">'Food Data'!AT30</f>
        <v>351</v>
      </c>
      <c r="AE28" s="73" t="n">
        <f aca="false">'Food Data'!AT31</f>
        <v>1387</v>
      </c>
      <c r="AF28" s="73" t="n">
        <f aca="false">'Food Data'!AT32</f>
        <v>260</v>
      </c>
      <c r="AG28" s="73" t="n">
        <f aca="false">'Food Data'!AT33</f>
        <v>1406</v>
      </c>
      <c r="AH28" s="73" t="n">
        <f aca="false">'Food Data'!AT34</f>
        <v>677</v>
      </c>
      <c r="AI28" s="73" t="n">
        <f aca="false">'Food Data'!AT35</f>
        <v>1724</v>
      </c>
      <c r="AJ28" s="73" t="n">
        <f aca="false">'Food Data'!AT36</f>
        <v>288</v>
      </c>
      <c r="AK28" s="73" t="n">
        <f aca="false">'Food Data'!AT37</f>
        <v>1185</v>
      </c>
      <c r="AL28" s="73" t="n">
        <f aca="false">'Food Data'!AT38</f>
        <v>558</v>
      </c>
      <c r="AM28" s="73" t="n">
        <f aca="false">'Food Data'!AT39</f>
        <v>276</v>
      </c>
      <c r="AN28" s="73" t="n">
        <f aca="false">'Food Data'!AT40</f>
        <v>1393</v>
      </c>
      <c r="AO28" s="73" t="n">
        <f aca="false">'Food Data'!AT41</f>
        <v>0</v>
      </c>
      <c r="AP28" s="73" t="n">
        <f aca="false">'Food Data'!AT42</f>
        <v>140</v>
      </c>
      <c r="AQ28" s="73" t="n">
        <f aca="false">'Food Data'!AT43</f>
        <v>141</v>
      </c>
      <c r="AR28" s="73" t="n">
        <f aca="false">'Food Data'!AT44</f>
        <v>122</v>
      </c>
      <c r="AS28" s="73" t="n">
        <f aca="false">'Food Data'!AT45</f>
        <v>132</v>
      </c>
      <c r="AT28" s="73" t="n">
        <f aca="false">'Food Data'!AT46</f>
        <v>132</v>
      </c>
      <c r="AU28" s="73" t="n">
        <f aca="false">'Food Data'!AT47</f>
        <v>76</v>
      </c>
      <c r="AV28" s="73" t="n">
        <f aca="false">'Food Data'!AT48</f>
        <v>125</v>
      </c>
      <c r="AW28" s="73" t="n">
        <f aca="false">'Food Data'!AT49</f>
        <v>188</v>
      </c>
      <c r="AX28" s="73" t="n">
        <f aca="false">'Food Data'!AT50</f>
        <v>107</v>
      </c>
      <c r="AY28" s="73" t="n">
        <f aca="false">'Food Data'!AT51</f>
        <v>250</v>
      </c>
      <c r="AZ28" s="73" t="n">
        <f aca="false">'Food Data'!AT52</f>
        <v>641</v>
      </c>
      <c r="BA28" s="73" t="n">
        <f aca="false">'Food Data'!AT53</f>
        <v>186</v>
      </c>
      <c r="BB28" s="73" t="n">
        <f aca="false">'Food Data'!AT54</f>
        <v>133</v>
      </c>
      <c r="BC28" s="73" t="n">
        <f aca="false">'Food Data'!AT55</f>
        <v>563</v>
      </c>
      <c r="BD28" s="73" t="n">
        <f aca="false">'Food Data'!AT56</f>
        <v>362</v>
      </c>
      <c r="BE28" s="73" t="n">
        <f aca="false">'Food Data'!AT57</f>
        <v>223</v>
      </c>
      <c r="BF28" s="73" t="n">
        <f aca="false">'Food Data'!AT58</f>
        <v>126</v>
      </c>
      <c r="BG28" s="73" t="n">
        <f aca="false">'Food Data'!AT59</f>
        <v>115</v>
      </c>
      <c r="BH28" s="73" t="n">
        <f aca="false">'Food Data'!AT60</f>
        <v>254</v>
      </c>
      <c r="BI28" s="73" t="n">
        <f aca="false">'Food Data'!AT61</f>
        <v>434</v>
      </c>
      <c r="BJ28" s="73" t="n">
        <f aca="false">'Food Data'!AT62</f>
        <v>452</v>
      </c>
      <c r="BK28" s="73" t="n">
        <f aca="false">'Food Data'!AT63</f>
        <v>136</v>
      </c>
      <c r="BL28" s="73" t="n">
        <f aca="false">'Food Data'!AT64</f>
        <v>213</v>
      </c>
      <c r="BM28" s="73" t="n">
        <f aca="false">'Food Data'!AT65</f>
        <v>408</v>
      </c>
      <c r="BN28" s="73" t="n">
        <f aca="false">'Food Data'!AT66</f>
        <v>106</v>
      </c>
      <c r="BO28" s="73" t="n">
        <f aca="false">'Food Data'!AT67</f>
        <v>153</v>
      </c>
      <c r="BP28" s="73" t="n">
        <f aca="false">'Food Data'!AT68</f>
        <v>425</v>
      </c>
      <c r="BQ28" s="73" t="n">
        <f aca="false">'Food Data'!AT69</f>
        <v>337</v>
      </c>
      <c r="BR28" s="73" t="n">
        <f aca="false">'Food Data'!AT70</f>
        <v>107</v>
      </c>
      <c r="BS28" s="73" t="n">
        <f aca="false">'Food Data'!AT71</f>
        <v>74</v>
      </c>
      <c r="BT28" s="73" t="n">
        <f aca="false">'Food Data'!AT72</f>
        <v>358</v>
      </c>
      <c r="BU28" s="73" t="n">
        <f aca="false">'Food Data'!AT73</f>
        <v>162</v>
      </c>
      <c r="BV28" s="73" t="n">
        <f aca="false">'Food Data'!AT74</f>
        <v>54</v>
      </c>
      <c r="BW28" s="73" t="n">
        <f aca="false">'Food Data'!AT75</f>
        <v>267</v>
      </c>
      <c r="BX28" s="73" t="n">
        <f aca="false">'Food Data'!AT76</f>
        <v>222</v>
      </c>
      <c r="BY28" s="73" t="n">
        <f aca="false">'Food Data'!AT77</f>
        <v>177</v>
      </c>
      <c r="BZ28" s="73" t="n">
        <f aca="false">'Food Data'!AT78</f>
        <v>656</v>
      </c>
      <c r="CA28" s="73" t="n">
        <f aca="false">'Food Data'!AT79</f>
        <v>1162</v>
      </c>
      <c r="CB28" s="73" t="n">
        <f aca="false">'Food Data'!AT80</f>
        <v>49</v>
      </c>
      <c r="CC28" s="73" t="n">
        <f aca="false">'Food Data'!AT81</f>
        <v>95</v>
      </c>
      <c r="CD28" s="73" t="n">
        <f aca="false">'Food Data'!AT82</f>
        <v>139</v>
      </c>
      <c r="CE28" s="73" t="n">
        <f aca="false">'Food Data'!AT83</f>
        <v>191</v>
      </c>
      <c r="CF28" s="73" t="n">
        <f aca="false">'Food Data'!AT84</f>
        <v>228</v>
      </c>
      <c r="CG28" s="73" t="n">
        <f aca="false">'Food Data'!AT85</f>
        <v>312</v>
      </c>
      <c r="CH28" s="73" t="n">
        <f aca="false">'Food Data'!AT86</f>
        <v>168</v>
      </c>
      <c r="CI28" s="73" t="n">
        <f aca="false">'Food Data'!AT87</f>
        <v>201</v>
      </c>
      <c r="CJ28" s="73" t="n">
        <f aca="false">'Food Data'!AT88</f>
        <v>178</v>
      </c>
      <c r="CK28" s="73" t="n">
        <f aca="false">'Food Data'!AT89</f>
        <v>166</v>
      </c>
      <c r="CL28" s="73" t="n">
        <f aca="false">'Food Data'!AT90</f>
        <v>182</v>
      </c>
      <c r="CM28" s="73" t="n">
        <f aca="false">'Food Data'!AT91</f>
        <v>190</v>
      </c>
      <c r="CN28" s="73" t="n">
        <f aca="false">'Food Data'!AT92</f>
        <v>128</v>
      </c>
      <c r="CO28" s="73" t="n">
        <f aca="false">'Food Data'!AT93</f>
        <v>116</v>
      </c>
      <c r="CP28" s="73" t="n">
        <f aca="false">'Food Data'!AT94</f>
        <v>96</v>
      </c>
      <c r="CQ28" s="73" t="n">
        <f aca="false">'Food Data'!AT95</f>
        <v>109</v>
      </c>
      <c r="CR28" s="73" t="n">
        <f aca="false">'Food Data'!AT96</f>
        <v>122</v>
      </c>
      <c r="CS28" s="73" t="n">
        <f aca="false">'Food Data'!AT97</f>
        <v>157</v>
      </c>
      <c r="CT28" s="73" t="n">
        <f aca="false">'Food Data'!AT98</f>
        <v>732</v>
      </c>
      <c r="CU28" s="73" t="n">
        <f aca="false">'Food Data'!AT99</f>
        <v>749</v>
      </c>
      <c r="CV28" s="73" t="n">
        <f aca="false">'Food Data'!AT100</f>
        <v>151</v>
      </c>
      <c r="CW28" s="73" t="n">
        <f aca="false">'Food Data'!AT101</f>
        <v>153</v>
      </c>
      <c r="CX28" s="73" t="n">
        <f aca="false">'Food Data'!AT102</f>
        <v>148</v>
      </c>
      <c r="CY28" s="73" t="n">
        <f aca="false">'Food Data'!AT103</f>
        <v>112</v>
      </c>
      <c r="CZ28" s="73" t="n">
        <f aca="false">'Food Data'!AT104</f>
        <v>347</v>
      </c>
      <c r="DA28" s="73" t="n">
        <f aca="false">'Food Data'!AT105</f>
        <v>202</v>
      </c>
      <c r="DB28" s="73" t="n">
        <f aca="false">'Food Data'!AT106</f>
        <v>237</v>
      </c>
      <c r="DC28" s="73" t="n">
        <f aca="false">'Food Data'!AT107</f>
        <v>159</v>
      </c>
      <c r="DD28" s="73" t="n">
        <f aca="false">'Food Data'!AT108</f>
        <v>250</v>
      </c>
      <c r="DE28" s="73" t="n">
        <f aca="false">'Food Data'!AT109</f>
        <v>370</v>
      </c>
      <c r="DF28" s="73" t="n">
        <f aca="false">'Food Data'!AT110</f>
        <v>352</v>
      </c>
      <c r="DG28" s="73" t="n">
        <f aca="false">'Food Data'!AT111</f>
        <v>170</v>
      </c>
      <c r="DH28" s="73" t="n">
        <f aca="false">'Food Data'!AT112</f>
        <v>243</v>
      </c>
      <c r="DI28" s="73" t="n">
        <f aca="false">'Food Data'!AT113</f>
        <v>320</v>
      </c>
      <c r="DJ28" s="73" t="n">
        <f aca="false">'Food Data'!AT114</f>
        <v>173</v>
      </c>
      <c r="DK28" s="73" t="n">
        <f aca="false">'Food Data'!AT115</f>
        <v>235</v>
      </c>
      <c r="DL28" s="73" t="n">
        <f aca="false">'Food Data'!AT116</f>
        <v>193</v>
      </c>
      <c r="DM28" s="73" t="n">
        <f aca="false">'Food Data'!AT117</f>
        <v>260</v>
      </c>
      <c r="DN28" s="73" t="n">
        <f aca="false">'Food Data'!AT118</f>
        <v>213</v>
      </c>
      <c r="DO28" s="73" t="n">
        <f aca="false">'Food Data'!AT119</f>
        <v>253</v>
      </c>
      <c r="DP28" s="73" t="n">
        <f aca="false">'Food Data'!AT120</f>
        <v>147</v>
      </c>
      <c r="DQ28" s="73" t="n">
        <f aca="false">'Food Data'!AT121</f>
        <v>92</v>
      </c>
      <c r="DR28" s="73" t="n">
        <f aca="false">'Food Data'!AT122</f>
        <v>186</v>
      </c>
      <c r="DS28" s="73" t="n">
        <f aca="false">'Food Data'!AT123</f>
        <v>175</v>
      </c>
      <c r="DT28" s="73" t="n">
        <f aca="false">'Food Data'!AT124</f>
        <v>141</v>
      </c>
      <c r="DU28" s="73" t="n">
        <f aca="false">'Food Data'!AT125</f>
        <v>333</v>
      </c>
      <c r="DV28" s="73" t="n">
        <f aca="false">'Food Data'!AT126</f>
        <v>212</v>
      </c>
      <c r="DW28" s="73" t="n">
        <f aca="false">'Food Data'!AT127</f>
        <v>318</v>
      </c>
      <c r="DX28" s="73" t="n">
        <f aca="false">'Food Data'!AT128</f>
        <v>170</v>
      </c>
      <c r="DY28" s="73" t="n">
        <f aca="false">'Food Data'!AT129</f>
        <v>211</v>
      </c>
      <c r="DZ28" s="73" t="n">
        <f aca="false">'Food Data'!AT130</f>
        <v>146</v>
      </c>
      <c r="EA28" s="73" t="n">
        <f aca="false">'Food Data'!AT131</f>
        <v>206</v>
      </c>
      <c r="EB28" s="73" t="n">
        <f aca="false">'Food Data'!AT132</f>
        <v>233</v>
      </c>
      <c r="EC28" s="73" t="n">
        <f aca="false">'Food Data'!AT133</f>
        <v>211</v>
      </c>
      <c r="ED28" s="73" t="n">
        <f aca="false">'Food Data'!AT134</f>
        <v>247</v>
      </c>
      <c r="EE28" s="73" t="n">
        <f aca="false">'Food Data'!AT135</f>
        <v>170</v>
      </c>
      <c r="EF28" s="73" t="n">
        <f aca="false">'Food Data'!AT136</f>
        <v>230</v>
      </c>
      <c r="EG28" s="73" t="n">
        <f aca="false">'Food Data'!AT137</f>
        <v>558</v>
      </c>
      <c r="EH28" s="73" t="n">
        <f aca="false">'Food Data'!AT138</f>
        <v>346</v>
      </c>
      <c r="EI28" s="73" t="n">
        <f aca="false">'Food Data'!AT139</f>
        <v>191</v>
      </c>
      <c r="EJ28" s="73" t="n">
        <f aca="false">'Food Data'!AT140</f>
        <v>237</v>
      </c>
      <c r="EK28" s="73" t="n">
        <f aca="false">'Food Data'!AT141</f>
        <v>184</v>
      </c>
      <c r="EL28" s="73" t="n">
        <f aca="false">'Food Data'!AT142</f>
        <v>261</v>
      </c>
      <c r="EM28" s="73" t="n">
        <f aca="false">'Food Data'!AT143</f>
        <v>24</v>
      </c>
      <c r="EN28" s="73" t="n">
        <f aca="false">'Food Data'!AT144</f>
        <v>0</v>
      </c>
      <c r="EO28" s="73" t="n">
        <f aca="false">'Food Data'!AT145</f>
        <v>1</v>
      </c>
      <c r="EP28" s="73" t="n">
        <f aca="false">'Food Data'!AT146</f>
        <v>733</v>
      </c>
      <c r="EQ28" s="73" t="n">
        <f aca="false">'Food Data'!AT147</f>
        <v>507</v>
      </c>
      <c r="ER28" s="73" t="n">
        <f aca="false">'Food Data'!AT148</f>
        <v>171</v>
      </c>
      <c r="ES28" s="73" t="n">
        <f aca="false">'Food Data'!AT149</f>
        <v>237</v>
      </c>
      <c r="ET28" s="73" t="n">
        <f aca="false">'Food Data'!AT150</f>
        <v>1196</v>
      </c>
      <c r="EU28" s="73" t="n">
        <f aca="false">'Food Data'!AT151</f>
        <v>199</v>
      </c>
    </row>
    <row r="29" customFormat="false" ht="15" hidden="false" customHeight="false" outlineLevel="0" collapsed="false">
      <c r="B29" s="14" t="s">
        <v>59</v>
      </c>
      <c r="F29" s="73" t="n">
        <f aca="false">'Food Data'!AU6</f>
        <v>45</v>
      </c>
      <c r="G29" s="73" t="n">
        <f aca="false">'Food Data'!AU7</f>
        <v>106</v>
      </c>
      <c r="H29" s="73" t="n">
        <f aca="false">'Food Data'!AU8</f>
        <v>95</v>
      </c>
      <c r="I29" s="73" t="n">
        <f aca="false">'Food Data'!AU9</f>
        <v>922</v>
      </c>
      <c r="J29" s="73" t="n">
        <f aca="false">'Food Data'!AU10</f>
        <v>69</v>
      </c>
      <c r="K29" s="73" t="n">
        <f aca="false">'Food Data'!AU11</f>
        <v>70</v>
      </c>
      <c r="L29" s="73" t="n">
        <f aca="false">'Food Data'!AU12</f>
        <v>662</v>
      </c>
      <c r="M29" s="73" t="n">
        <f aca="false">'Food Data'!AU13</f>
        <v>80</v>
      </c>
      <c r="N29" s="73" t="n">
        <f aca="false">'Food Data'!AU14</f>
        <v>66</v>
      </c>
      <c r="O29" s="73" t="n">
        <f aca="false">'Food Data'!AU15</f>
        <v>66</v>
      </c>
      <c r="P29" s="73" t="n">
        <f aca="false">'Food Data'!AU16</f>
        <v>1143</v>
      </c>
      <c r="Q29" s="73" t="n">
        <f aca="false">'Food Data'!AU17</f>
        <v>82</v>
      </c>
      <c r="R29" s="73" t="n">
        <f aca="false">'Food Data'!AU18</f>
        <v>57</v>
      </c>
      <c r="S29" s="73" t="n">
        <f aca="false">'Food Data'!AU19</f>
        <v>51</v>
      </c>
      <c r="T29" s="73" t="n">
        <f aca="false">'Food Data'!AU20</f>
        <v>247</v>
      </c>
      <c r="U29" s="73" t="n">
        <f aca="false">'Food Data'!AU21</f>
        <v>59</v>
      </c>
      <c r="V29" s="73" t="n">
        <f aca="false">'Food Data'!AU22</f>
        <v>566</v>
      </c>
      <c r="W29" s="73" t="n">
        <f aca="false">'Food Data'!AU23</f>
        <v>52</v>
      </c>
      <c r="X29" s="73" t="n">
        <f aca="false">'Food Data'!AU24</f>
        <v>142</v>
      </c>
      <c r="Y29" s="73" t="n">
        <f aca="false">'Food Data'!AU25</f>
        <v>138</v>
      </c>
      <c r="Z29" s="73" t="n">
        <f aca="false">'Food Data'!AU26</f>
        <v>5</v>
      </c>
      <c r="AA29" s="73" t="n">
        <f aca="false">'Food Data'!AU27</f>
        <v>293</v>
      </c>
      <c r="AB29" s="73" t="n">
        <f aca="false">'Food Data'!AU28</f>
        <v>16</v>
      </c>
      <c r="AC29" s="73" t="n">
        <f aca="false">'Food Data'!AU29</f>
        <v>278</v>
      </c>
      <c r="AD29" s="73" t="n">
        <f aca="false">'Food Data'!AU30</f>
        <v>370</v>
      </c>
      <c r="AE29" s="73" t="n">
        <f aca="false">'Food Data'!AU31</f>
        <v>14</v>
      </c>
      <c r="AF29" s="73" t="n">
        <f aca="false">'Food Data'!AU32</f>
        <v>256</v>
      </c>
      <c r="AG29" s="73" t="n">
        <f aca="false">'Food Data'!AU33</f>
        <v>24</v>
      </c>
      <c r="AH29" s="73" t="n">
        <f aca="false">'Food Data'!AU34</f>
        <v>6</v>
      </c>
      <c r="AI29" s="73" t="n">
        <f aca="false">'Food Data'!AU35</f>
        <v>18</v>
      </c>
      <c r="AJ29" s="73" t="n">
        <f aca="false">'Food Data'!AU36</f>
        <v>336</v>
      </c>
      <c r="AK29" s="73" t="n">
        <f aca="false">'Food Data'!AU37</f>
        <v>5</v>
      </c>
      <c r="AL29" s="73" t="n">
        <f aca="false">'Food Data'!AU38</f>
        <v>426</v>
      </c>
      <c r="AM29" s="73" t="n">
        <f aca="false">'Food Data'!AU39</f>
        <v>268</v>
      </c>
      <c r="AN29" s="73" t="n">
        <f aca="false">'Food Data'!AU40</f>
        <v>12</v>
      </c>
      <c r="AO29" s="73" t="n">
        <f aca="false">'Food Data'!AU41</f>
        <v>4</v>
      </c>
      <c r="AP29" s="73" t="n">
        <f aca="false">'Food Data'!AU42</f>
        <v>47</v>
      </c>
      <c r="AQ29" s="73" t="n">
        <f aca="false">'Food Data'!AU43</f>
        <v>36</v>
      </c>
      <c r="AR29" s="73" t="n">
        <f aca="false">'Food Data'!AU44</f>
        <v>47</v>
      </c>
      <c r="AS29" s="73" t="n">
        <f aca="false">'Food Data'!AU45</f>
        <v>43</v>
      </c>
      <c r="AT29" s="73" t="n">
        <f aca="false">'Food Data'!AU46</f>
        <v>1671</v>
      </c>
      <c r="AU29" s="73" t="n">
        <f aca="false">'Food Data'!AU47</f>
        <v>653</v>
      </c>
      <c r="AV29" s="73" t="n">
        <f aca="false">'Food Data'!AU48</f>
        <v>308</v>
      </c>
      <c r="AW29" s="73" t="n">
        <f aca="false">'Food Data'!AU49</f>
        <v>666</v>
      </c>
      <c r="AX29" s="73" t="n">
        <f aca="false">'Food Data'!AU50</f>
        <v>422</v>
      </c>
      <c r="AY29" s="73" t="n">
        <f aca="false">'Food Data'!AU51</f>
        <v>5</v>
      </c>
      <c r="AZ29" s="73" t="n">
        <f aca="false">'Food Data'!AU52</f>
        <v>497</v>
      </c>
      <c r="BA29" s="73" t="n">
        <f aca="false">'Food Data'!AU53</f>
        <v>45</v>
      </c>
      <c r="BB29" s="73" t="n">
        <f aca="false">'Food Data'!AU54</f>
        <v>742</v>
      </c>
      <c r="BC29" s="73" t="n">
        <f aca="false">'Food Data'!AU55</f>
        <v>5</v>
      </c>
      <c r="BD29" s="73" t="n">
        <f aca="false">'Food Data'!AU56</f>
        <v>6</v>
      </c>
      <c r="BE29" s="73" t="n">
        <f aca="false">'Food Data'!AU57</f>
        <v>6</v>
      </c>
      <c r="BF29" s="73" t="n">
        <f aca="false">'Food Data'!AU58</f>
        <v>490</v>
      </c>
      <c r="BG29" s="73" t="n">
        <f aca="false">'Food Data'!AU59</f>
        <v>5</v>
      </c>
      <c r="BH29" s="73" t="n">
        <f aca="false">'Food Data'!AU60</f>
        <v>455</v>
      </c>
      <c r="BI29" s="73" t="n">
        <f aca="false">'Food Data'!AU61</f>
        <v>6</v>
      </c>
      <c r="BJ29" s="73" t="n">
        <f aca="false">'Food Data'!AU62</f>
        <v>52</v>
      </c>
      <c r="BK29" s="73" t="n">
        <f aca="false">'Food Data'!AU63</f>
        <v>195</v>
      </c>
      <c r="BL29" s="73" t="n">
        <f aca="false">'Food Data'!AU64</f>
        <v>3</v>
      </c>
      <c r="BM29" s="73" t="n">
        <f aca="false">'Food Data'!AU65</f>
        <v>23</v>
      </c>
      <c r="BN29" s="73" t="n">
        <f aca="false">'Food Data'!AU66</f>
        <v>185</v>
      </c>
      <c r="BO29" s="73" t="n">
        <f aca="false">'Food Data'!AU67</f>
        <v>108</v>
      </c>
      <c r="BP29" s="73" t="n">
        <f aca="false">'Food Data'!AU68</f>
        <v>6</v>
      </c>
      <c r="BQ29" s="73" t="n">
        <f aca="false">'Food Data'!AU69</f>
        <v>55</v>
      </c>
      <c r="BR29" s="73" t="n">
        <f aca="false">'Food Data'!AU70</f>
        <v>1</v>
      </c>
      <c r="BS29" s="73" t="n">
        <f aca="false">'Food Data'!AU71</f>
        <v>2</v>
      </c>
      <c r="BT29" s="73" t="n">
        <f aca="false">'Food Data'!AU72</f>
        <v>1</v>
      </c>
      <c r="BU29" s="73" t="n">
        <f aca="false">'Food Data'!AU73</f>
        <v>1</v>
      </c>
      <c r="BV29" s="73" t="n">
        <f aca="false">'Food Data'!AU74</f>
        <v>1</v>
      </c>
      <c r="BW29" s="73" t="n">
        <f aca="false">'Food Data'!AU75</f>
        <v>16</v>
      </c>
      <c r="BX29" s="73" t="n">
        <f aca="false">'Food Data'!AU76</f>
        <v>0</v>
      </c>
      <c r="BY29" s="73" t="n">
        <f aca="false">'Food Data'!AU77</f>
        <v>1</v>
      </c>
      <c r="BZ29" s="73" t="n">
        <f aca="false">'Food Data'!AU78</f>
        <v>2</v>
      </c>
      <c r="CA29" s="73" t="n">
        <f aca="false">'Food Data'!AU79</f>
        <v>10</v>
      </c>
      <c r="CB29" s="73" t="n">
        <f aca="false">'Food Data'!AU80</f>
        <v>5</v>
      </c>
      <c r="CC29" s="73" t="n">
        <f aca="false">'Food Data'!AU81</f>
        <v>4</v>
      </c>
      <c r="CD29" s="73" t="n">
        <f aca="false">'Food Data'!AU82</f>
        <v>0</v>
      </c>
      <c r="CE29" s="73" t="n">
        <f aca="false">'Food Data'!AU83</f>
        <v>2</v>
      </c>
      <c r="CF29" s="73" t="n">
        <f aca="false">'Food Data'!AU84</f>
        <v>18</v>
      </c>
      <c r="CG29" s="73" t="n">
        <f aca="false">'Food Data'!AU85</f>
        <v>3</v>
      </c>
      <c r="CH29" s="73" t="n">
        <f aca="false">'Food Data'!AU86</f>
        <v>1</v>
      </c>
      <c r="CI29" s="73" t="n">
        <f aca="false">'Food Data'!AU87</f>
        <v>0</v>
      </c>
      <c r="CJ29" s="73" t="n">
        <f aca="false">'Food Data'!AU88</f>
        <v>2</v>
      </c>
      <c r="CK29" s="73" t="n">
        <f aca="false">'Food Data'!AU89</f>
        <v>1</v>
      </c>
      <c r="CL29" s="73" t="n">
        <f aca="false">'Food Data'!AU90</f>
        <v>8</v>
      </c>
      <c r="CM29" s="73" t="n">
        <f aca="false">'Food Data'!AU91</f>
        <v>0</v>
      </c>
      <c r="CN29" s="73" t="n">
        <f aca="false">'Food Data'!AU92</f>
        <v>4</v>
      </c>
      <c r="CO29" s="73" t="n">
        <f aca="false">'Food Data'!AU93</f>
        <v>1</v>
      </c>
      <c r="CP29" s="73" t="n">
        <f aca="false">'Food Data'!AU94</f>
        <v>4</v>
      </c>
      <c r="CQ29" s="73" t="n">
        <f aca="false">'Food Data'!AU95</f>
        <v>1</v>
      </c>
      <c r="CR29" s="73" t="n">
        <f aca="false">'Food Data'!AU96</f>
        <v>1</v>
      </c>
      <c r="CS29" s="73" t="n">
        <f aca="false">'Food Data'!AU97</f>
        <v>0</v>
      </c>
      <c r="CT29" s="73" t="n">
        <f aca="false">'Food Data'!AU98</f>
        <v>2</v>
      </c>
      <c r="CU29" s="73" t="n">
        <f aca="false">'Food Data'!AU99</f>
        <v>11</v>
      </c>
      <c r="CV29" s="73" t="n">
        <f aca="false">'Food Data'!AU100</f>
        <v>1</v>
      </c>
      <c r="CW29" s="73" t="n">
        <f aca="false">'Food Data'!AU101</f>
        <v>1</v>
      </c>
      <c r="CX29" s="73" t="n">
        <f aca="false">'Food Data'!AU102</f>
        <v>2</v>
      </c>
      <c r="CY29" s="73" t="n">
        <f aca="false">'Food Data'!AU103</f>
        <v>1</v>
      </c>
      <c r="CZ29" s="73" t="n">
        <f aca="false">'Food Data'!AU104</f>
        <v>3</v>
      </c>
      <c r="DA29" s="73" t="n">
        <f aca="false">'Food Data'!AU105</f>
        <v>2</v>
      </c>
      <c r="DB29" s="73" t="n">
        <f aca="false">'Food Data'!AU106</f>
        <v>78</v>
      </c>
      <c r="DC29" s="73" t="n">
        <f aca="false">'Food Data'!AU107</f>
        <v>143</v>
      </c>
      <c r="DD29" s="73" t="n">
        <f aca="false">'Food Data'!AU108</f>
        <v>17</v>
      </c>
      <c r="DE29" s="73" t="n">
        <f aca="false">'Food Data'!AU109</f>
        <v>10</v>
      </c>
      <c r="DF29" s="73" t="n">
        <f aca="false">'Food Data'!AU110</f>
        <v>4</v>
      </c>
      <c r="DG29" s="73" t="n">
        <f aca="false">'Food Data'!AU111</f>
        <v>18</v>
      </c>
      <c r="DH29" s="73" t="n">
        <f aca="false">'Food Data'!AU112</f>
        <v>27</v>
      </c>
      <c r="DI29" s="73" t="n">
        <f aca="false">'Food Data'!AU113</f>
        <v>69</v>
      </c>
      <c r="DJ29" s="73" t="n">
        <f aca="false">'Food Data'!AU114</f>
        <v>240</v>
      </c>
      <c r="DK29" s="73" t="n">
        <f aca="false">'Food Data'!AU115</f>
        <v>68</v>
      </c>
      <c r="DL29" s="73" t="n">
        <f aca="false">'Food Data'!AU116</f>
        <v>24</v>
      </c>
      <c r="DM29" s="73" t="n">
        <f aca="false">'Food Data'!AU117</f>
        <v>80</v>
      </c>
      <c r="DN29" s="73" t="n">
        <f aca="false">'Food Data'!AU118</f>
        <v>17</v>
      </c>
      <c r="DO29" s="73" t="n">
        <f aca="false">'Food Data'!AU119</f>
        <v>48</v>
      </c>
      <c r="DP29" s="73" t="n">
        <f aca="false">'Food Data'!AU120</f>
        <v>2</v>
      </c>
      <c r="DQ29" s="73" t="n">
        <f aca="false">'Food Data'!AU121</f>
        <v>192</v>
      </c>
      <c r="DR29" s="73" t="n">
        <f aca="false">'Food Data'!AU122</f>
        <v>3</v>
      </c>
      <c r="DS29" s="73" t="n">
        <f aca="false">'Food Data'!AU123</f>
        <v>3</v>
      </c>
      <c r="DT29" s="73" t="n">
        <f aca="false">'Food Data'!AU124</f>
        <v>10</v>
      </c>
      <c r="DU29" s="73" t="n">
        <f aca="false">'Food Data'!AU125</f>
        <v>15</v>
      </c>
      <c r="DV29" s="73" t="n">
        <f aca="false">'Food Data'!AU126</f>
        <v>47</v>
      </c>
      <c r="DW29" s="73" t="n">
        <f aca="false">'Food Data'!AU127</f>
        <v>5</v>
      </c>
      <c r="DX29" s="73" t="n">
        <f aca="false">'Food Data'!AU128</f>
        <v>29</v>
      </c>
      <c r="DY29" s="73" t="n">
        <f aca="false">'Food Data'!AU129</f>
        <v>3</v>
      </c>
      <c r="DZ29" s="73" t="n">
        <f aca="false">'Food Data'!AU130</f>
        <v>4</v>
      </c>
      <c r="EA29" s="73" t="n">
        <f aca="false">'Food Data'!AU131</f>
        <v>5</v>
      </c>
      <c r="EB29" s="73" t="n">
        <f aca="false">'Food Data'!AU132</f>
        <v>39</v>
      </c>
      <c r="EC29" s="73" t="n">
        <f aca="false">'Food Data'!AU133</f>
        <v>4</v>
      </c>
      <c r="ED29" s="73" t="n">
        <f aca="false">'Food Data'!AU134</f>
        <v>8</v>
      </c>
      <c r="EE29" s="73" t="n">
        <f aca="false">'Food Data'!AU135</f>
        <v>661</v>
      </c>
      <c r="EF29" s="73" t="n">
        <f aca="false">'Food Data'!AU136</f>
        <v>319</v>
      </c>
      <c r="EG29" s="73" t="n">
        <f aca="false">'Food Data'!AU137</f>
        <v>79</v>
      </c>
      <c r="EH29" s="73" t="n">
        <f aca="false">'Food Data'!AU138</f>
        <v>74</v>
      </c>
      <c r="EI29" s="73" t="n">
        <f aca="false">'Food Data'!AU139</f>
        <v>115</v>
      </c>
      <c r="EJ29" s="73" t="n">
        <f aca="false">'Food Data'!AU140</f>
        <v>5</v>
      </c>
      <c r="EK29" s="73" t="n">
        <f aca="false">'Food Data'!AU141</f>
        <v>12</v>
      </c>
      <c r="EL29" s="73" t="n">
        <f aca="false">'Food Data'!AU142</f>
        <v>8</v>
      </c>
      <c r="EM29" s="73" t="n">
        <f aca="false">'Food Data'!AU143</f>
        <v>643</v>
      </c>
      <c r="EN29" s="73" t="n">
        <f aca="false">'Food Data'!AU144</f>
        <v>0</v>
      </c>
      <c r="EO29" s="73" t="n">
        <f aca="false">'Food Data'!AU145</f>
        <v>2</v>
      </c>
      <c r="EP29" s="73" t="n">
        <f aca="false">'Food Data'!AU146</f>
        <v>1</v>
      </c>
      <c r="EQ29" s="73" t="n">
        <f aca="false">'Food Data'!AU147</f>
        <v>8</v>
      </c>
      <c r="ER29" s="73" t="n">
        <f aca="false">'Food Data'!AU148</f>
        <v>311</v>
      </c>
      <c r="ES29" s="73" t="n">
        <f aca="false">'Food Data'!AU149</f>
        <v>251</v>
      </c>
      <c r="ET29" s="73" t="n">
        <f aca="false">'Food Data'!AU150</f>
        <v>527</v>
      </c>
      <c r="EU29" s="73" t="n">
        <f aca="false">'Food Data'!AU151</f>
        <v>80</v>
      </c>
    </row>
    <row r="30" customFormat="false" ht="15" hidden="false" customHeight="false" outlineLevel="0" collapsed="false">
      <c r="B30" s="14" t="s">
        <v>61</v>
      </c>
      <c r="F30" s="73" t="n">
        <f aca="false">'Food Data'!AV6</f>
        <v>0</v>
      </c>
      <c r="G30" s="73" t="n">
        <f aca="false">'Food Data'!AV7</f>
        <v>0</v>
      </c>
      <c r="H30" s="73" t="n">
        <f aca="false">'Food Data'!AV8</f>
        <v>0</v>
      </c>
      <c r="I30" s="73" t="n">
        <f aca="false">'Food Data'!AV9</f>
        <v>0</v>
      </c>
      <c r="J30" s="73" t="n">
        <f aca="false">'Food Data'!AV10</f>
        <v>0</v>
      </c>
      <c r="K30" s="73" t="n">
        <f aca="false">'Food Data'!AV11</f>
        <v>1.6</v>
      </c>
      <c r="L30" s="73" t="n">
        <f aca="false">'Food Data'!AV12</f>
        <v>0</v>
      </c>
      <c r="M30" s="73" t="n">
        <f aca="false">'Food Data'!AV13</f>
        <v>0</v>
      </c>
      <c r="N30" s="73" t="n">
        <f aca="false">'Food Data'!AV14</f>
        <v>0</v>
      </c>
      <c r="O30" s="73" t="n">
        <f aca="false">'Food Data'!AV15</f>
        <v>0</v>
      </c>
      <c r="P30" s="73" t="n">
        <f aca="false">'Food Data'!AV16</f>
        <v>4</v>
      </c>
      <c r="Q30" s="73" t="n">
        <f aca="false">'Food Data'!AV17</f>
        <v>0</v>
      </c>
      <c r="R30" s="73" t="n">
        <f aca="false">'Food Data'!AV18</f>
        <v>0</v>
      </c>
      <c r="S30" s="73" t="n">
        <f aca="false">'Food Data'!AV19</f>
        <v>0</v>
      </c>
      <c r="T30" s="73" t="n">
        <f aca="false">'Food Data'!AV20</f>
        <v>0</v>
      </c>
      <c r="U30" s="73" t="n">
        <f aca="false">'Food Data'!AV21</f>
        <v>3.9</v>
      </c>
      <c r="V30" s="73" t="n">
        <f aca="false">'Food Data'!AV22</f>
        <v>0</v>
      </c>
      <c r="W30" s="73" t="n">
        <f aca="false">'Food Data'!AV23</f>
        <v>0</v>
      </c>
      <c r="X30" s="73" t="n">
        <f aca="false">'Food Data'!AV24</f>
        <v>0</v>
      </c>
      <c r="Y30" s="73" t="n">
        <f aca="false">'Food Data'!AV25</f>
        <v>2.7</v>
      </c>
      <c r="Z30" s="73" t="n">
        <f aca="false">'Food Data'!AV26</f>
        <v>0</v>
      </c>
      <c r="AA30" s="73" t="n">
        <f aca="false">'Food Data'!AV27</f>
        <v>2.7</v>
      </c>
      <c r="AB30" s="73" t="n">
        <f aca="false">'Food Data'!AV28</f>
        <v>1.5</v>
      </c>
      <c r="AC30" s="73" t="n">
        <f aca="false">'Food Data'!AV29</f>
        <v>0.1</v>
      </c>
      <c r="AD30" s="73" t="n">
        <f aca="false">'Food Data'!AV30</f>
        <v>1.3</v>
      </c>
      <c r="AE30" s="73" t="n">
        <f aca="false">'Food Data'!AV31</f>
        <v>5.3</v>
      </c>
      <c r="AF30" s="73" t="n">
        <f aca="false">'Food Data'!AV32</f>
        <v>0.8</v>
      </c>
      <c r="AG30" s="73" t="n">
        <f aca="false">'Food Data'!AV33</f>
        <v>4.5</v>
      </c>
      <c r="AH30" s="73" t="n">
        <f aca="false">'Food Data'!AV34</f>
        <v>4.5</v>
      </c>
      <c r="AI30" s="73" t="n">
        <f aca="false">'Food Data'!AV35</f>
        <v>0</v>
      </c>
      <c r="AJ30" s="73" t="n">
        <f aca="false">'Food Data'!AV36</f>
        <v>0.7</v>
      </c>
      <c r="AK30" s="73" t="n">
        <f aca="false">'Food Data'!AV37</f>
        <v>0</v>
      </c>
      <c r="AL30" s="73" t="n">
        <f aca="false">'Food Data'!AV38</f>
        <v>0</v>
      </c>
      <c r="AM30" s="73" t="n">
        <f aca="false">'Food Data'!AV39</f>
        <v>0.7</v>
      </c>
      <c r="AN30" s="73" t="n">
        <f aca="false">'Food Data'!AV40</f>
        <v>6.3</v>
      </c>
      <c r="AO30" s="73" t="n">
        <f aca="false">'Food Data'!AV41</f>
        <v>0</v>
      </c>
      <c r="AP30" s="73" t="n">
        <f aca="false">'Food Data'!AV42</f>
        <v>0.2</v>
      </c>
      <c r="AQ30" s="73" t="n">
        <f aca="false">'Food Data'!AV43</f>
        <v>0</v>
      </c>
      <c r="AR30" s="73" t="n">
        <f aca="false">'Food Data'!AV44</f>
        <v>0</v>
      </c>
      <c r="AS30" s="73" t="n">
        <f aca="false">'Food Data'!AV45</f>
        <v>0</v>
      </c>
      <c r="AT30" s="73" t="n">
        <f aca="false">'Food Data'!AV46</f>
        <v>0</v>
      </c>
      <c r="AU30" s="73" t="n">
        <f aca="false">'Food Data'!AV47</f>
        <v>0</v>
      </c>
      <c r="AV30" s="73" t="n">
        <f aca="false">'Food Data'!AV48</f>
        <v>0</v>
      </c>
      <c r="AW30" s="73" t="n">
        <f aca="false">'Food Data'!AV49</f>
        <v>0</v>
      </c>
      <c r="AX30" s="73" t="n">
        <f aca="false">'Food Data'!AV50</f>
        <v>0</v>
      </c>
      <c r="AY30" s="73" t="n">
        <f aca="false">'Food Data'!AV51</f>
        <v>0</v>
      </c>
      <c r="AZ30" s="73" t="n">
        <f aca="false">'Food Data'!AV52</f>
        <v>21.6</v>
      </c>
      <c r="BA30" s="73" t="n">
        <f aca="false">'Food Data'!AV53</f>
        <v>0</v>
      </c>
      <c r="BB30" s="73" t="n">
        <f aca="false">'Food Data'!AV54</f>
        <v>0</v>
      </c>
      <c r="BC30" s="73" t="n">
        <f aca="false">'Food Data'!AV55</f>
        <v>0</v>
      </c>
      <c r="BD30" s="73" t="n">
        <f aca="false">'Food Data'!AV56</f>
        <v>0</v>
      </c>
      <c r="BE30" s="73" t="n">
        <f aca="false">'Food Data'!AV57</f>
        <v>0</v>
      </c>
      <c r="BF30" s="73" t="n">
        <f aca="false">'Food Data'!AV58</f>
        <v>0</v>
      </c>
      <c r="BG30" s="73" t="n">
        <f aca="false">'Food Data'!AV59</f>
        <v>0</v>
      </c>
      <c r="BH30" s="73" t="n">
        <f aca="false">'Food Data'!AV60</f>
        <v>0</v>
      </c>
      <c r="BI30" s="73" t="n">
        <f aca="false">'Food Data'!AV61</f>
        <v>0</v>
      </c>
      <c r="BJ30" s="73" t="n">
        <f aca="false">'Food Data'!AV62</f>
        <v>8.3</v>
      </c>
      <c r="BK30" s="73" t="n">
        <f aca="false">'Food Data'!AV63</f>
        <v>2.6</v>
      </c>
      <c r="BL30" s="73" t="n">
        <f aca="false">'Food Data'!AV64</f>
        <v>6.4</v>
      </c>
      <c r="BM30" s="73" t="n">
        <f aca="false">'Food Data'!AV65</f>
        <v>17.3</v>
      </c>
      <c r="BN30" s="73" t="n">
        <f aca="false">'Food Data'!AV66</f>
        <v>7.8</v>
      </c>
      <c r="BO30" s="73" t="n">
        <f aca="false">'Food Data'!AV67</f>
        <v>18</v>
      </c>
      <c r="BP30" s="73" t="n">
        <f aca="false">'Food Data'!AV68</f>
        <v>19.7</v>
      </c>
      <c r="BQ30" s="73" t="n">
        <f aca="false">'Food Data'!AV69</f>
        <v>2.4</v>
      </c>
      <c r="BR30" s="73" t="n">
        <f aca="false">'Food Data'!AV70</f>
        <v>4.6</v>
      </c>
      <c r="BS30" s="73" t="n">
        <f aca="false">'Food Data'!AV71</f>
        <v>1</v>
      </c>
      <c r="BT30" s="73" t="n">
        <f aca="false">'Food Data'!AV72</f>
        <v>8.7</v>
      </c>
      <c r="BU30" s="73" t="n">
        <f aca="false">'Food Data'!AV73</f>
        <v>21</v>
      </c>
      <c r="BV30" s="73" t="n">
        <f aca="false">'Food Data'!AV74</f>
        <v>2.5</v>
      </c>
      <c r="BW30" s="73" t="n">
        <f aca="false">'Food Data'!AV75</f>
        <v>36.7</v>
      </c>
      <c r="BX30" s="73" t="n">
        <f aca="false">'Food Data'!AV76</f>
        <v>7</v>
      </c>
      <c r="BY30" s="73" t="n">
        <f aca="false">'Food Data'!AV77</f>
        <v>48.8</v>
      </c>
      <c r="BZ30" s="73" t="n">
        <f aca="false">'Food Data'!AV78</f>
        <v>0.4</v>
      </c>
      <c r="CA30" s="73" t="n">
        <f aca="false">'Food Data'!AV79</f>
        <v>1</v>
      </c>
      <c r="CB30" s="73" t="n">
        <f aca="false">'Food Data'!AV80</f>
        <v>0.2</v>
      </c>
      <c r="CC30" s="73" t="n">
        <f aca="false">'Food Data'!AV81</f>
        <v>2.7</v>
      </c>
      <c r="CD30" s="73" t="n">
        <f aca="false">'Food Data'!AV82</f>
        <v>34.4</v>
      </c>
      <c r="CE30" s="73" t="n">
        <f aca="false">'Food Data'!AV83</f>
        <v>3.2</v>
      </c>
      <c r="CF30" s="73" t="n">
        <f aca="false">'Food Data'!AV84</f>
        <v>18</v>
      </c>
      <c r="CG30" s="73" t="n">
        <f aca="false">'Food Data'!AV85</f>
        <v>92.7</v>
      </c>
      <c r="CH30" s="73" t="n">
        <f aca="false">'Food Data'!AV86</f>
        <v>36.4</v>
      </c>
      <c r="CI30" s="73" t="n">
        <f aca="false">'Food Data'!AV87</f>
        <v>5.4</v>
      </c>
      <c r="CJ30" s="73" t="n">
        <f aca="false">'Food Data'!AV88</f>
        <v>33.6</v>
      </c>
      <c r="CK30" s="73" t="n">
        <f aca="false">'Food Data'!AV89</f>
        <v>59.1</v>
      </c>
      <c r="CL30" s="73" t="n">
        <f aca="false">'Food Data'!AV90</f>
        <v>60.9</v>
      </c>
      <c r="CM30" s="73" t="n">
        <f aca="false">'Food Data'!AV91</f>
        <v>6.6</v>
      </c>
      <c r="CN30" s="73" t="n">
        <f aca="false">'Food Data'!AV92</f>
        <v>3.6</v>
      </c>
      <c r="CO30" s="73" t="n">
        <f aca="false">'Food Data'!AV93</f>
        <v>4.3</v>
      </c>
      <c r="CP30" s="73" t="n">
        <f aca="false">'Food Data'!AV94</f>
        <v>1.6</v>
      </c>
      <c r="CQ30" s="73" t="n">
        <f aca="false">'Food Data'!AV95</f>
        <v>47.8</v>
      </c>
      <c r="CR30" s="73" t="n">
        <f aca="false">'Food Data'!AV96</f>
        <v>9.5</v>
      </c>
      <c r="CS30" s="73" t="n">
        <f aca="false">'Food Data'!AV97</f>
        <v>9.5</v>
      </c>
      <c r="CT30" s="73" t="n">
        <f aca="false">'Food Data'!AV98</f>
        <v>0.6</v>
      </c>
      <c r="CU30" s="73" t="n">
        <f aca="false">'Food Data'!AV99</f>
        <v>2.3</v>
      </c>
      <c r="CV30" s="73" t="n">
        <f aca="false">'Food Data'!AV100</f>
        <v>26.2</v>
      </c>
      <c r="CW30" s="73" t="n">
        <f aca="false">'Food Data'!AV101</f>
        <v>58.8</v>
      </c>
      <c r="CX30" s="73" t="n">
        <f aca="false">'Food Data'!AV102</f>
        <v>41.2</v>
      </c>
      <c r="CY30" s="73" t="n">
        <f aca="false">'Food Data'!AV103</f>
        <v>8.1</v>
      </c>
      <c r="CZ30" s="73" t="n">
        <f aca="false">'Food Data'!AV104</f>
        <v>11</v>
      </c>
      <c r="DA30" s="73" t="n">
        <f aca="false">'Food Data'!AV105</f>
        <v>5.6</v>
      </c>
      <c r="DB30" s="73" t="n">
        <f aca="false">'Food Data'!AV106</f>
        <v>2.6</v>
      </c>
      <c r="DC30" s="73" t="n">
        <f aca="false">'Food Data'!AV107</f>
        <v>2.8</v>
      </c>
      <c r="DD30" s="73" t="n">
        <f aca="false">'Food Data'!AV108</f>
        <v>68.3</v>
      </c>
      <c r="DE30" s="73" t="n">
        <f aca="false">'Food Data'!AV109</f>
        <v>74.1</v>
      </c>
      <c r="DF30" s="73" t="n">
        <f aca="false">'Food Data'!AV110</f>
        <v>21</v>
      </c>
      <c r="DG30" s="73" t="n">
        <f aca="false">'Food Data'!AV111</f>
        <v>36.6</v>
      </c>
      <c r="DH30" s="73" t="n">
        <f aca="false">'Food Data'!AV112</f>
        <v>57</v>
      </c>
      <c r="DI30" s="73" t="n">
        <f aca="false">'Food Data'!AV113</f>
        <v>5.9</v>
      </c>
      <c r="DJ30" s="73" t="n">
        <f aca="false">'Food Data'!AV114</f>
        <v>2</v>
      </c>
      <c r="DK30" s="73" t="n">
        <f aca="false">'Food Data'!AV115</f>
        <v>2.5</v>
      </c>
      <c r="DL30" s="73" t="n">
        <f aca="false">'Food Data'!AV116</f>
        <v>48.8</v>
      </c>
      <c r="DM30" s="73" t="n">
        <f aca="false">'Food Data'!AV117</f>
        <v>3.1</v>
      </c>
      <c r="DN30" s="73" t="n">
        <f aca="false">'Food Data'!AV118</f>
        <v>35.3</v>
      </c>
      <c r="DO30" s="73" t="n">
        <f aca="false">'Food Data'!AV119</f>
        <v>40</v>
      </c>
      <c r="DP30" s="73" t="n">
        <f aca="false">'Food Data'!AV120</f>
        <v>2.8</v>
      </c>
      <c r="DQ30" s="73" t="n">
        <f aca="false">'Food Data'!AV121</f>
        <v>2.2</v>
      </c>
      <c r="DR30" s="73" t="n">
        <f aca="false">'Food Data'!AV122</f>
        <v>12.9</v>
      </c>
      <c r="DS30" s="73" t="n">
        <f aca="false">'Food Data'!AV123</f>
        <v>80.4</v>
      </c>
      <c r="DT30" s="73" t="n">
        <f aca="false">'Food Data'!AV124</f>
        <v>2.8</v>
      </c>
      <c r="DU30" s="73" t="n">
        <f aca="false">'Food Data'!AV125</f>
        <v>39.3</v>
      </c>
      <c r="DV30" s="73" t="n">
        <f aca="false">'Food Data'!AV126</f>
        <v>10.4</v>
      </c>
      <c r="DW30" s="73" t="n">
        <f aca="false">'Food Data'!AV127</f>
        <v>2.1</v>
      </c>
      <c r="DX30" s="73" t="n">
        <f aca="false">'Food Data'!AV128</f>
        <v>25.3</v>
      </c>
      <c r="DY30" s="73" t="n">
        <f aca="false">'Food Data'!AV129</f>
        <v>12.4</v>
      </c>
      <c r="DZ30" s="73" t="n">
        <f aca="false">'Food Data'!AV130</f>
        <v>7.4</v>
      </c>
      <c r="EA30" s="73" t="n">
        <f aca="false">'Food Data'!AV131</f>
        <v>4.2</v>
      </c>
      <c r="EB30" s="73" t="n">
        <f aca="false">'Food Data'!AV132</f>
        <v>14.8</v>
      </c>
      <c r="EC30" s="73" t="n">
        <f aca="false">'Food Data'!AV133</f>
        <v>127.7</v>
      </c>
      <c r="ED30" s="73" t="n">
        <f aca="false">'Food Data'!AV134</f>
        <v>4</v>
      </c>
      <c r="EE30" s="73" t="n">
        <f aca="false">'Food Data'!AV135</f>
        <v>14.7</v>
      </c>
      <c r="EF30" s="73" t="n">
        <f aca="false">'Food Data'!AV136</f>
        <v>13.5</v>
      </c>
      <c r="EG30" s="73" t="n">
        <f aca="false">'Food Data'!AV137</f>
        <v>28.1</v>
      </c>
      <c r="EH30" s="73" t="n">
        <f aca="false">'Food Data'!AV138</f>
        <v>5.5</v>
      </c>
      <c r="EI30" s="73" t="n">
        <f aca="false">'Food Data'!AV139</f>
        <v>12.6</v>
      </c>
      <c r="EJ30" s="73" t="n">
        <f aca="false">'Food Data'!AV140</f>
        <v>13.7</v>
      </c>
      <c r="EK30" s="73" t="n">
        <f aca="false">'Food Data'!AV141</f>
        <v>26.8</v>
      </c>
      <c r="EL30" s="73" t="n">
        <f aca="false">'Food Data'!AV142</f>
        <v>17.9</v>
      </c>
      <c r="EM30" s="73" t="n">
        <f aca="false">'Food Data'!AV143</f>
        <v>0</v>
      </c>
      <c r="EN30" s="73" t="n">
        <f aca="false">'Food Data'!AV144</f>
        <v>0</v>
      </c>
      <c r="EO30" s="73" t="n">
        <f aca="false">'Food Data'!AV145</f>
        <v>0</v>
      </c>
      <c r="EP30" s="73" t="n">
        <f aca="false">'Food Data'!AV146</f>
        <v>0</v>
      </c>
      <c r="EQ30" s="73" t="n">
        <f aca="false">'Food Data'!AV147</f>
        <v>8.8</v>
      </c>
      <c r="ER30" s="73" t="n">
        <f aca="false">'Food Data'!AV148</f>
        <v>0</v>
      </c>
      <c r="ES30" s="73" t="n">
        <f aca="false">'Food Data'!AV149</f>
        <v>0</v>
      </c>
      <c r="ET30" s="73" t="n">
        <f aca="false">'Food Data'!AV150</f>
        <v>21.6</v>
      </c>
      <c r="EU30" s="73" t="n">
        <f aca="false">'Food Data'!AV151</f>
        <v>0.6</v>
      </c>
    </row>
    <row r="31" customFormat="false" ht="15" hidden="false" customHeight="false" outlineLevel="0" collapsed="false">
      <c r="B31" s="14" t="s">
        <v>63</v>
      </c>
      <c r="F31" s="73" t="n">
        <f aca="false">'Food Data'!AW6</f>
        <v>0.563</v>
      </c>
      <c r="G31" s="73" t="n">
        <f aca="false">'Food Data'!AW7</f>
        <v>2.459</v>
      </c>
      <c r="H31" s="73" t="n">
        <f aca="false">'Food Data'!AW8</f>
        <v>1.097</v>
      </c>
      <c r="I31" s="73" t="n">
        <f aca="false">'Food Data'!AW9</f>
        <v>0.318</v>
      </c>
      <c r="J31" s="73" t="n">
        <f aca="false">'Food Data'!AW10</f>
        <v>2.17</v>
      </c>
      <c r="K31" s="73" t="n">
        <f aca="false">'Food Data'!AW11</f>
        <v>4.31</v>
      </c>
      <c r="L31" s="73" t="n">
        <f aca="false">'Food Data'!AW12</f>
        <v>13.296</v>
      </c>
      <c r="M31" s="73" t="n">
        <f aca="false">'Food Data'!AW13</f>
        <v>1.86</v>
      </c>
      <c r="N31" s="73" t="n">
        <f aca="false">'Food Data'!AW14</f>
        <v>7.581</v>
      </c>
      <c r="O31" s="73" t="n">
        <f aca="false">'Food Data'!AW15</f>
        <v>2.878</v>
      </c>
      <c r="P31" s="73" t="n">
        <f aca="false">'Food Data'!AW16</f>
        <v>2.936</v>
      </c>
      <c r="Q31" s="73" t="n">
        <f aca="false">'Food Data'!AW17</f>
        <v>4.413</v>
      </c>
      <c r="R31" s="73" t="n">
        <f aca="false">'Food Data'!AW18</f>
        <v>3.224</v>
      </c>
      <c r="S31" s="73" t="n">
        <f aca="false">'Food Data'!AW19</f>
        <v>5.763</v>
      </c>
      <c r="T31" s="73" t="n">
        <f aca="false">'Food Data'!AW20</f>
        <v>0.211</v>
      </c>
      <c r="U31" s="73" t="n">
        <f aca="false">'Food Data'!AW21</f>
        <v>3.05</v>
      </c>
      <c r="V31" s="73" t="n">
        <f aca="false">'Food Data'!AW22</f>
        <v>0.261</v>
      </c>
      <c r="W31" s="73" t="n">
        <f aca="false">'Food Data'!AW23</f>
        <v>0.585</v>
      </c>
      <c r="X31" s="73" t="n">
        <f aca="false">'Food Data'!AW24</f>
        <v>3.126</v>
      </c>
      <c r="Y31" s="73" t="n">
        <f aca="false">'Food Data'!AW25</f>
        <v>0.075</v>
      </c>
      <c r="Z31" s="73" t="n">
        <f aca="false">'Food Data'!AW26</f>
        <v>0.366</v>
      </c>
      <c r="AA31" s="73" t="n">
        <f aca="false">'Food Data'!AW27</f>
        <v>0.144</v>
      </c>
      <c r="AB31" s="73" t="n">
        <f aca="false">'Food Data'!AW28</f>
        <v>0.331</v>
      </c>
      <c r="AC31" s="73" t="n">
        <f aca="false">'Food Data'!AW29</f>
        <v>0.204</v>
      </c>
      <c r="AD31" s="73" t="n">
        <f aca="false">'Food Data'!AW30</f>
        <v>0.12</v>
      </c>
      <c r="AE31" s="73" t="n">
        <f aca="false">'Food Data'!AW31</f>
        <v>0.356</v>
      </c>
      <c r="AF31" s="73" t="n">
        <f aca="false">'Food Data'!AW32</f>
        <v>0.125</v>
      </c>
      <c r="AG31" s="73" t="n">
        <f aca="false">'Food Data'!AW33</f>
        <v>0.12</v>
      </c>
      <c r="AH31" s="73" t="n">
        <f aca="false">'Food Data'!AW34</f>
        <v>0.154</v>
      </c>
      <c r="AI31" s="73" t="n">
        <f aca="false">'Food Data'!AW35</f>
        <v>0.161</v>
      </c>
      <c r="AJ31" s="73" t="n">
        <f aca="false">'Food Data'!AW36</f>
        <v>0.112</v>
      </c>
      <c r="AK31" s="73" t="n">
        <f aca="false">'Food Data'!AW37</f>
        <v>0.17</v>
      </c>
      <c r="AL31" s="73" t="n">
        <f aca="false">'Food Data'!AW38</f>
        <v>10.325</v>
      </c>
      <c r="AM31" s="73" t="n">
        <f aca="false">'Food Data'!AW39</f>
        <v>0.123</v>
      </c>
      <c r="AN31" s="73" t="n">
        <f aca="false">'Food Data'!AW40</f>
        <v>0.235</v>
      </c>
      <c r="AO31" s="73" t="n">
        <f aca="false">'Food Data'!AW41</f>
        <v>0.7</v>
      </c>
      <c r="AP31" s="73" t="n">
        <f aca="false">'Food Data'!AW42</f>
        <v>1.257</v>
      </c>
      <c r="AQ31" s="73" t="n">
        <f aca="false">'Food Data'!AW43</f>
        <v>0.117</v>
      </c>
      <c r="AR31" s="73" t="n">
        <f aca="false">'Food Data'!AW44</f>
        <v>0.205</v>
      </c>
      <c r="AS31" s="73" t="n">
        <f aca="false">'Food Data'!AW45</f>
        <v>1.865</v>
      </c>
      <c r="AT31" s="73" t="n">
        <f aca="false">'Food Data'!AW46</f>
        <v>18.057</v>
      </c>
      <c r="AU31" s="73" t="n">
        <f aca="false">'Food Data'!AW47</f>
        <v>18.867</v>
      </c>
      <c r="AV31" s="73" t="n">
        <f aca="false">'Food Data'!AW48</f>
        <v>1.235</v>
      </c>
      <c r="AW31" s="73" t="n">
        <f aca="false">'Food Data'!AW49</f>
        <v>11.295</v>
      </c>
      <c r="AX31" s="73" t="n">
        <f aca="false">'Food Data'!AW50</f>
        <v>0.36</v>
      </c>
      <c r="AY31" s="73" t="n">
        <f aca="false">'Food Data'!AW51</f>
        <v>0.591</v>
      </c>
      <c r="AZ31" s="73" t="n">
        <f aca="false">'Food Data'!AW52</f>
        <v>1.5</v>
      </c>
      <c r="BA31" s="73" t="n">
        <f aca="false">'Food Data'!AW53</f>
        <v>0.453</v>
      </c>
      <c r="BB31" s="73" t="n">
        <f aca="false">'Food Data'!AW54</f>
        <v>1.225</v>
      </c>
      <c r="BC31" s="73" t="n">
        <f aca="false">'Food Data'!AW55</f>
        <v>0.706</v>
      </c>
      <c r="BD31" s="73" t="n">
        <f aca="false">'Food Data'!AW56</f>
        <v>1.11</v>
      </c>
      <c r="BE31" s="73" t="n">
        <f aca="false">'Food Data'!AW57</f>
        <v>0.277</v>
      </c>
      <c r="BF31" s="73" t="n">
        <f aca="false">'Food Data'!AW58</f>
        <v>0.698</v>
      </c>
      <c r="BG31" s="73" t="n">
        <f aca="false">'Food Data'!AW59</f>
        <v>0.18</v>
      </c>
      <c r="BH31" s="73" t="n">
        <f aca="false">'Food Data'!AW60</f>
        <v>0.722</v>
      </c>
      <c r="BI31" s="73" t="n">
        <f aca="false">'Food Data'!AW61</f>
        <v>0.428</v>
      </c>
      <c r="BJ31" s="73" t="n">
        <f aca="false">'Food Data'!AW62</f>
        <v>0.102</v>
      </c>
      <c r="BK31" s="73" t="n">
        <f aca="false">'Food Data'!AW63</f>
        <v>0.077</v>
      </c>
      <c r="BL31" s="73" t="n">
        <f aca="false">'Food Data'!AW64</f>
        <v>0.119</v>
      </c>
      <c r="BM31" s="73" t="n">
        <f aca="false">'Food Data'!AW65</f>
        <v>0.94</v>
      </c>
      <c r="BN31" s="73" t="n">
        <f aca="false">'Food Data'!AW66</f>
        <v>0.086</v>
      </c>
      <c r="BO31" s="73" t="n">
        <f aca="false">'Food Data'!AW67</f>
        <v>0.066</v>
      </c>
      <c r="BP31" s="73" t="n">
        <f aca="false">'Food Data'!AW68</f>
        <v>0.025</v>
      </c>
      <c r="BQ31" s="73" t="n">
        <f aca="false">'Food Data'!AW69</f>
        <v>0.018</v>
      </c>
      <c r="BR31" s="73" t="n">
        <f aca="false">'Food Data'!AW70</f>
        <v>0.028</v>
      </c>
      <c r="BS31" s="73" t="n">
        <f aca="false">'Food Data'!AW71</f>
        <v>0.008</v>
      </c>
      <c r="BT31" s="73" t="n">
        <f aca="false">'Food Data'!AW72</f>
        <v>0.112</v>
      </c>
      <c r="BU31" s="73" t="n">
        <f aca="false">'Food Data'!AW73</f>
        <v>0.014</v>
      </c>
      <c r="BV31" s="73" t="n">
        <f aca="false">'Food Data'!AW74</f>
        <v>0.053</v>
      </c>
      <c r="BW31" s="73" t="n">
        <f aca="false">'Food Data'!AW75</f>
        <v>0.051</v>
      </c>
      <c r="BX31" s="73" t="n">
        <f aca="false">'Food Data'!AW76</f>
        <v>0.038</v>
      </c>
      <c r="BY31" s="73" t="n">
        <f aca="false">'Food Data'!AW77</f>
        <v>0</v>
      </c>
      <c r="BZ31" s="73" t="n">
        <f aca="false">'Food Data'!AW78</f>
        <v>0.032</v>
      </c>
      <c r="CA31" s="73" t="n">
        <f aca="false">'Food Data'!AW79</f>
        <v>0.017</v>
      </c>
      <c r="CB31" s="73" t="n">
        <f aca="false">'Food Data'!AW80</f>
        <v>0.088</v>
      </c>
      <c r="CC31" s="73" t="n">
        <f aca="false">'Food Data'!AW81</f>
        <v>0.001</v>
      </c>
      <c r="CD31" s="73" t="n">
        <f aca="false">'Food Data'!AW82</f>
        <v>0.014</v>
      </c>
      <c r="CE31" s="73" t="n">
        <f aca="false">'Food Data'!AW83</f>
        <v>0.054</v>
      </c>
      <c r="CF31" s="73" t="n">
        <f aca="false">'Food Data'!AW84</f>
        <v>0.038</v>
      </c>
      <c r="CG31" s="73" t="n">
        <f aca="false">'Food Data'!AW85</f>
        <v>0.029</v>
      </c>
      <c r="CH31" s="73" t="n">
        <f aca="false">'Food Data'!AW86</f>
        <v>0.092</v>
      </c>
      <c r="CI31" s="73" t="n">
        <f aca="false">'Food Data'!AW87</f>
        <v>0.025</v>
      </c>
      <c r="CJ31" s="73" t="n">
        <f aca="false">'Food Data'!AW88</f>
        <v>0.014</v>
      </c>
      <c r="CK31" s="73" t="n">
        <f aca="false">'Food Data'!AW89</f>
        <v>0.017</v>
      </c>
      <c r="CL31" s="73" t="n">
        <f aca="false">'Food Data'!AW90</f>
        <v>0.081</v>
      </c>
      <c r="CM31" s="73" t="n">
        <f aca="false">'Food Data'!AW91</f>
        <v>0.019</v>
      </c>
      <c r="CN31" s="73" t="n">
        <f aca="false">'Food Data'!AW92</f>
        <v>0.004</v>
      </c>
      <c r="CO31" s="73" t="n">
        <f aca="false">'Food Data'!AW93</f>
        <v>0.022</v>
      </c>
      <c r="CP31" s="73" t="n">
        <f aca="false">'Food Data'!AW94</f>
        <v>0.004</v>
      </c>
      <c r="CQ31" s="73" t="n">
        <f aca="false">'Food Data'!AW95</f>
        <v>0.009</v>
      </c>
      <c r="CR31" s="73" t="n">
        <f aca="false">'Food Data'!AW96</f>
        <v>0.006</v>
      </c>
      <c r="CS31" s="73" t="n">
        <f aca="false">'Food Data'!AW97</f>
        <v>0.017</v>
      </c>
      <c r="CT31" s="73" t="n">
        <f aca="false">'Food Data'!AW98</f>
        <v>0.088</v>
      </c>
      <c r="CU31" s="73" t="n">
        <f aca="false">'Food Data'!AW99</f>
        <v>0.058</v>
      </c>
      <c r="CV31" s="73" t="n">
        <f aca="false">'Food Data'!AW100</f>
        <v>0.019</v>
      </c>
      <c r="CW31" s="73" t="n">
        <f aca="false">'Food Data'!AW101</f>
        <v>0.015</v>
      </c>
      <c r="CX31" s="73" t="n">
        <f aca="false">'Food Data'!AW102</f>
        <v>0.006</v>
      </c>
      <c r="CY31" s="73" t="n">
        <f aca="false">'Food Data'!AW103</f>
        <v>0.016</v>
      </c>
      <c r="CZ31" s="73" t="n">
        <f aca="false">'Food Data'!AW104</f>
        <v>0.021</v>
      </c>
      <c r="DA31" s="73" t="n">
        <f aca="false">'Food Data'!AW105</f>
        <v>0.04</v>
      </c>
      <c r="DB31" s="73" t="n">
        <f aca="false">'Food Data'!AW106</f>
        <v>0.023</v>
      </c>
      <c r="DC31" s="73" t="n">
        <f aca="false">'Food Data'!AW107</f>
        <v>0.011</v>
      </c>
      <c r="DD31" s="73" t="n">
        <f aca="false">'Food Data'!AW108</f>
        <v>0.052</v>
      </c>
      <c r="DE31" s="73" t="n">
        <f aca="false">'Food Data'!AW109</f>
        <v>0.084</v>
      </c>
      <c r="DF31" s="73" t="n">
        <f aca="false">'Food Data'!AW110</f>
        <v>0.021</v>
      </c>
      <c r="DG31" s="73" t="n">
        <f aca="false">'Food Data'!AW111</f>
        <v>0.034</v>
      </c>
      <c r="DH31" s="73" t="n">
        <f aca="false">'Food Data'!AW112</f>
        <v>0.021</v>
      </c>
      <c r="DI31" s="73" t="n">
        <f aca="false">'Food Data'!AW113</f>
        <v>0.037</v>
      </c>
      <c r="DJ31" s="73" t="n">
        <f aca="false">'Food Data'!AW114</f>
        <v>0.025</v>
      </c>
      <c r="DK31" s="73" t="n">
        <f aca="false">'Food Data'!AW115</f>
        <v>0.047</v>
      </c>
      <c r="DL31" s="73" t="n">
        <f aca="false">'Food Data'!AW116</f>
        <v>0.041</v>
      </c>
      <c r="DM31" s="73" t="n">
        <f aca="false">'Food Data'!AW117</f>
        <v>0.042</v>
      </c>
      <c r="DN31" s="73" t="n">
        <f aca="false">'Food Data'!AW118</f>
        <v>0.055</v>
      </c>
      <c r="DO31" s="73" t="n">
        <f aca="false">'Food Data'!AW119</f>
        <v>0.048</v>
      </c>
      <c r="DP31" s="73" t="n">
        <f aca="false">'Food Data'!AW120</f>
        <v>0.037</v>
      </c>
      <c r="DQ31" s="73" t="n">
        <f aca="false">'Food Data'!AW121</f>
        <v>0.04</v>
      </c>
      <c r="DR31" s="73" t="n">
        <f aca="false">'Food Data'!AW122</f>
        <v>0.047</v>
      </c>
      <c r="DS31" s="73" t="n">
        <f aca="false">'Food Data'!AW123</f>
        <v>0.058</v>
      </c>
      <c r="DT31" s="73" t="n">
        <f aca="false">'Food Data'!AW124</f>
        <v>0.018</v>
      </c>
      <c r="DU31" s="73" t="n">
        <f aca="false">'Food Data'!AW125</f>
        <v>0.059</v>
      </c>
      <c r="DV31" s="73" t="n">
        <f aca="false">'Food Data'!AW126</f>
        <v>0.098</v>
      </c>
      <c r="DW31" s="73" t="n">
        <f aca="false">'Food Data'!AW127</f>
        <v>0.05</v>
      </c>
      <c r="DX31" s="73" t="n">
        <f aca="false">'Food Data'!AW128</f>
        <v>0.014</v>
      </c>
      <c r="DY31" s="73" t="n">
        <f aca="false">'Food Data'!AW129</f>
        <v>0.065</v>
      </c>
      <c r="DZ31" s="73" t="n">
        <f aca="false">'Food Data'!AW130</f>
        <v>0.042</v>
      </c>
      <c r="EA31" s="73" t="n">
        <f aca="false">'Food Data'!AW131</f>
        <v>0.146</v>
      </c>
      <c r="EB31" s="73" t="n">
        <f aca="false">'Food Data'!AW132</f>
        <v>0.032</v>
      </c>
      <c r="EC31" s="73" t="n">
        <f aca="false">'Food Data'!AW133</f>
        <v>0.027</v>
      </c>
      <c r="ED31" s="73" t="n">
        <f aca="false">'Food Data'!AW134</f>
        <v>0.039</v>
      </c>
      <c r="EE31" s="73" t="n">
        <f aca="false">'Food Data'!AW135</f>
        <v>0.034</v>
      </c>
      <c r="EF31" s="73" t="n">
        <f aca="false">'Food Data'!AW136</f>
        <v>0.06</v>
      </c>
      <c r="EG31" s="73" t="n">
        <f aca="false">'Food Data'!AW137</f>
        <v>0.063</v>
      </c>
      <c r="EH31" s="73" t="n">
        <f aca="false">'Food Data'!AW138</f>
        <v>0.041</v>
      </c>
      <c r="EI31" s="73" t="n">
        <f aca="false">'Food Data'!AW139</f>
        <v>0.034</v>
      </c>
      <c r="EJ31" s="73" t="n">
        <f aca="false">'Food Data'!AW140</f>
        <v>0.028</v>
      </c>
      <c r="EK31" s="73" t="n">
        <f aca="false">'Food Data'!AW141</f>
        <v>0.073</v>
      </c>
      <c r="EL31" s="73" t="n">
        <f aca="false">'Food Data'!AW142</f>
        <v>0.084</v>
      </c>
      <c r="EM31" s="73" t="n">
        <f aca="false">'Food Data'!AW143</f>
        <v>51.368</v>
      </c>
      <c r="EN31" s="73" t="n">
        <f aca="false">'Food Data'!AW144</f>
        <v>7.365</v>
      </c>
      <c r="EO31" s="73" t="n">
        <f aca="false">'Food Data'!AW145</f>
        <v>13.808</v>
      </c>
      <c r="EP31" s="73" t="n">
        <f aca="false">'Food Data'!AW146</f>
        <v>3.802</v>
      </c>
      <c r="EQ31" s="73" t="n">
        <f aca="false">'Food Data'!AW147</f>
        <v>2.126</v>
      </c>
      <c r="ER31" s="73" t="n">
        <f aca="false">'Food Data'!AW148</f>
        <v>8.091</v>
      </c>
      <c r="ES31" s="73" t="n">
        <f aca="false">'Food Data'!AW149</f>
        <v>6.061</v>
      </c>
      <c r="ET31" s="73" t="n">
        <f aca="false">'Food Data'!AW150</f>
        <v>3.4</v>
      </c>
      <c r="EU31" s="73" t="n">
        <f aca="false">'Food Data'!AW151</f>
        <v>6.79</v>
      </c>
    </row>
    <row r="33" customFormat="false" ht="15" hidden="false" customHeight="false" outlineLevel="0" collapsed="false">
      <c r="A33" s="3" t="s">
        <v>966</v>
      </c>
    </row>
    <row r="34" customFormat="false" ht="15" hidden="false" customHeight="false" outlineLevel="0" collapsed="false">
      <c r="B34" s="14" t="s">
        <v>68</v>
      </c>
      <c r="F34" s="61" t="n">
        <f aca="false">'Food Data'!AF6</f>
        <v>0</v>
      </c>
      <c r="G34" s="61" t="n">
        <f aca="false">'Food Data'!AF7</f>
        <v>0</v>
      </c>
      <c r="H34" s="61" t="n">
        <f aca="false">'Food Data'!AF8</f>
        <v>0</v>
      </c>
      <c r="I34" s="61" t="n">
        <f aca="false">'Food Data'!AF9</f>
        <v>0</v>
      </c>
      <c r="J34" s="61" t="n">
        <f aca="false">'Food Data'!AF10</f>
        <v>0</v>
      </c>
      <c r="K34" s="61" t="n">
        <f aca="false">'Food Data'!AF11</f>
        <v>0</v>
      </c>
      <c r="L34" s="61" t="n">
        <f aca="false">'Food Data'!AF12</f>
        <v>1</v>
      </c>
      <c r="M34" s="61" t="n">
        <f aca="false">'Food Data'!AF13</f>
        <v>0</v>
      </c>
      <c r="N34" s="61" t="n">
        <f aca="false">'Food Data'!AF14</f>
        <v>0</v>
      </c>
      <c r="O34" s="61" t="n">
        <f aca="false">'Food Data'!AF15</f>
        <v>0</v>
      </c>
      <c r="P34" s="61" t="n">
        <f aca="false">'Food Data'!AF16</f>
        <v>0</v>
      </c>
      <c r="Q34" s="61" t="n">
        <f aca="false">'Food Data'!AF17</f>
        <v>0</v>
      </c>
      <c r="R34" s="61" t="n">
        <f aca="false">'Food Data'!AF18</f>
        <v>0</v>
      </c>
      <c r="S34" s="61" t="n">
        <f aca="false">'Food Data'!AF19</f>
        <v>0</v>
      </c>
      <c r="T34" s="61" t="n">
        <f aca="false">'Food Data'!AF20</f>
        <v>0</v>
      </c>
      <c r="U34" s="61" t="n">
        <f aca="false">'Food Data'!AF21</f>
        <v>0</v>
      </c>
      <c r="V34" s="61" t="n">
        <f aca="false">'Food Data'!AF22</f>
        <v>0</v>
      </c>
      <c r="W34" s="61" t="n">
        <f aca="false">'Food Data'!AF23</f>
        <v>0</v>
      </c>
      <c r="X34" s="61" t="n">
        <f aca="false">'Food Data'!AF24</f>
        <v>1</v>
      </c>
      <c r="Y34" s="61" t="n">
        <f aca="false">'Food Data'!AF25</f>
        <v>0</v>
      </c>
      <c r="Z34" s="61" t="n">
        <f aca="false">'Food Data'!AF26</f>
        <v>0</v>
      </c>
      <c r="AA34" s="61" t="n">
        <f aca="false">'Food Data'!AF27</f>
        <v>0</v>
      </c>
      <c r="AB34" s="61" t="n">
        <f aca="false">'Food Data'!AF28</f>
        <v>0</v>
      </c>
      <c r="AC34" s="61" t="n">
        <f aca="false">'Food Data'!AF29</f>
        <v>0</v>
      </c>
      <c r="AD34" s="61" t="n">
        <f aca="false">'Food Data'!AF30</f>
        <v>0</v>
      </c>
      <c r="AE34" s="61" t="n">
        <f aca="false">'Food Data'!AF31</f>
        <v>0</v>
      </c>
      <c r="AF34" s="61" t="n">
        <f aca="false">'Food Data'!AF32</f>
        <v>0</v>
      </c>
      <c r="AG34" s="61" t="n">
        <f aca="false">'Food Data'!AF33</f>
        <v>0</v>
      </c>
      <c r="AH34" s="61" t="n">
        <f aca="false">'Food Data'!AF34</f>
        <v>0</v>
      </c>
      <c r="AI34" s="61" t="n">
        <f aca="false">'Food Data'!AF35</f>
        <v>0</v>
      </c>
      <c r="AJ34" s="61" t="n">
        <f aca="false">'Food Data'!AF36</f>
        <v>0</v>
      </c>
      <c r="AK34" s="61" t="n">
        <f aca="false">'Food Data'!AF37</f>
        <v>0</v>
      </c>
      <c r="AL34" s="61" t="n">
        <f aca="false">'Food Data'!AF38</f>
        <v>0.5</v>
      </c>
      <c r="AM34" s="61" t="n">
        <f aca="false">'Food Data'!AF39</f>
        <v>0</v>
      </c>
      <c r="AN34" s="61" t="n">
        <f aca="false">'Food Data'!AF40</f>
        <v>0</v>
      </c>
      <c r="AO34" s="61" t="n">
        <f aca="false">'Food Data'!AF41</f>
        <v>0</v>
      </c>
      <c r="AP34" s="61" t="n">
        <f aca="false">'Food Data'!AF42</f>
        <v>0.5</v>
      </c>
      <c r="AQ34" s="61" t="n">
        <f aca="false">'Food Data'!AF43</f>
        <v>0.5</v>
      </c>
      <c r="AR34" s="61" t="n">
        <f aca="false">'Food Data'!AF44</f>
        <v>0.5</v>
      </c>
      <c r="AS34" s="61" t="n">
        <f aca="false">'Food Data'!AF45</f>
        <v>0.5</v>
      </c>
      <c r="AT34" s="61" t="n">
        <f aca="false">'Food Data'!AF46</f>
        <v>0</v>
      </c>
      <c r="AU34" s="61" t="n">
        <f aca="false">'Food Data'!AF47</f>
        <v>0</v>
      </c>
      <c r="AV34" s="61" t="n">
        <f aca="false">'Food Data'!AF48</f>
        <v>0</v>
      </c>
      <c r="AW34" s="61" t="n">
        <f aca="false">'Food Data'!AF49</f>
        <v>0</v>
      </c>
      <c r="AX34" s="61" t="n">
        <f aca="false">'Food Data'!AF50</f>
        <v>1</v>
      </c>
      <c r="AY34" s="61" t="n">
        <f aca="false">'Food Data'!AF51</f>
        <v>0</v>
      </c>
      <c r="AZ34" s="61" t="n">
        <f aca="false">'Food Data'!AF52</f>
        <v>1</v>
      </c>
      <c r="BA34" s="61" t="n">
        <f aca="false">'Food Data'!AF53</f>
        <v>0</v>
      </c>
      <c r="BB34" s="61" t="n">
        <f aca="false">'Food Data'!AF54</f>
        <v>0</v>
      </c>
      <c r="BC34" s="61" t="n">
        <f aca="false">'Food Data'!AF55</f>
        <v>0</v>
      </c>
      <c r="BD34" s="61" t="n">
        <f aca="false">'Food Data'!AF56</f>
        <v>1</v>
      </c>
      <c r="BE34" s="61" t="n">
        <f aca="false">'Food Data'!AF57</f>
        <v>0</v>
      </c>
      <c r="BF34" s="61" t="n">
        <f aca="false">'Food Data'!AF58</f>
        <v>0.5</v>
      </c>
      <c r="BG34" s="61" t="n">
        <f aca="false">'Food Data'!AF59</f>
        <v>0</v>
      </c>
      <c r="BH34" s="61" t="n">
        <f aca="false">'Food Data'!AF60</f>
        <v>0.5</v>
      </c>
      <c r="BI34" s="61" t="n">
        <f aca="false">'Food Data'!AF61</f>
        <v>0</v>
      </c>
      <c r="BJ34" s="61" t="n">
        <f aca="false">'Food Data'!AF62</f>
        <v>0</v>
      </c>
      <c r="BK34" s="61" t="n">
        <f aca="false">'Food Data'!AF63</f>
        <v>0</v>
      </c>
      <c r="BL34" s="61" t="n">
        <f aca="false">'Food Data'!AF64</f>
        <v>0</v>
      </c>
      <c r="BM34" s="61" t="n">
        <f aca="false">'Food Data'!AF65</f>
        <v>0</v>
      </c>
      <c r="BN34" s="61" t="n">
        <f aca="false">'Food Data'!AF66</f>
        <v>0</v>
      </c>
      <c r="BO34" s="61" t="n">
        <f aca="false">'Food Data'!AF67</f>
        <v>0</v>
      </c>
      <c r="BP34" s="61" t="n">
        <f aca="false">'Food Data'!AF68</f>
        <v>0</v>
      </c>
      <c r="BQ34" s="61" t="n">
        <f aca="false">'Food Data'!AF69</f>
        <v>0</v>
      </c>
      <c r="BR34" s="61" t="n">
        <f aca="false">'Food Data'!AF70</f>
        <v>0</v>
      </c>
      <c r="BS34" s="61" t="n">
        <f aca="false">'Food Data'!AF71</f>
        <v>0.5</v>
      </c>
      <c r="BT34" s="61" t="n">
        <f aca="false">'Food Data'!AF72</f>
        <v>0.5</v>
      </c>
      <c r="BU34" s="61" t="n">
        <f aca="false">'Food Data'!AF73</f>
        <v>0.5</v>
      </c>
      <c r="BV34" s="61" t="n">
        <f aca="false">'Food Data'!AF74</f>
        <v>1</v>
      </c>
      <c r="BW34" s="61" t="n">
        <f aca="false">'Food Data'!AF75</f>
        <v>0.5</v>
      </c>
      <c r="BX34" s="61" t="n">
        <f aca="false">'Food Data'!AF76</f>
        <v>0</v>
      </c>
      <c r="BY34" s="61" t="n">
        <f aca="false">'Food Data'!AF77</f>
        <v>0</v>
      </c>
      <c r="BZ34" s="61" t="n">
        <f aca="false">'Food Data'!AF78</f>
        <v>0</v>
      </c>
      <c r="CA34" s="61" t="n">
        <f aca="false">'Food Data'!AF79</f>
        <v>0</v>
      </c>
      <c r="CB34" s="61" t="n">
        <f aca="false">'Food Data'!AF80</f>
        <v>0</v>
      </c>
      <c r="CC34" s="61" t="n">
        <f aca="false">'Food Data'!AF81</f>
        <v>0.5</v>
      </c>
      <c r="CD34" s="61" t="n">
        <f aca="false">'Food Data'!AF82</f>
        <v>0.5</v>
      </c>
      <c r="CE34" s="61" t="n">
        <f aca="false">'Food Data'!AF83</f>
        <v>0</v>
      </c>
      <c r="CF34" s="61" t="n">
        <f aca="false">'Food Data'!AF84</f>
        <v>0.5</v>
      </c>
      <c r="CG34" s="61" t="n">
        <f aca="false">'Food Data'!AF85</f>
        <v>0.5</v>
      </c>
      <c r="CH34" s="61" t="n">
        <f aca="false">'Food Data'!AF86</f>
        <v>0.5</v>
      </c>
      <c r="CI34" s="61" t="n">
        <f aca="false">'Food Data'!AF87</f>
        <v>0.5</v>
      </c>
      <c r="CJ34" s="61" t="n">
        <f aca="false">'Food Data'!AF88</f>
        <v>1</v>
      </c>
      <c r="CK34" s="61" t="n">
        <f aca="false">'Food Data'!AF89</f>
        <v>0</v>
      </c>
      <c r="CL34" s="61" t="n">
        <f aca="false">'Food Data'!AF90</f>
        <v>0.5</v>
      </c>
      <c r="CM34" s="61" t="n">
        <f aca="false">'Food Data'!AF91</f>
        <v>0.5</v>
      </c>
      <c r="CN34" s="61" t="n">
        <f aca="false">'Food Data'!AF92</f>
        <v>0.5</v>
      </c>
      <c r="CO34" s="61" t="n">
        <f aca="false">'Food Data'!AF93</f>
        <v>0</v>
      </c>
      <c r="CP34" s="61" t="n">
        <f aca="false">'Food Data'!AF94</f>
        <v>0.5</v>
      </c>
      <c r="CQ34" s="61" t="n">
        <f aca="false">'Food Data'!AF95</f>
        <v>0.5</v>
      </c>
      <c r="CR34" s="61" t="n">
        <f aca="false">'Food Data'!AF96</f>
        <v>0.5</v>
      </c>
      <c r="CS34" s="61" t="n">
        <f aca="false">'Food Data'!AF97</f>
        <v>0</v>
      </c>
      <c r="CT34" s="61" t="n">
        <f aca="false">'Food Data'!AF98</f>
        <v>0</v>
      </c>
      <c r="CU34" s="61" t="n">
        <f aca="false">'Food Data'!AF99</f>
        <v>0</v>
      </c>
      <c r="CV34" s="61" t="n">
        <f aca="false">'Food Data'!AF100</f>
        <v>0.5</v>
      </c>
      <c r="CW34" s="61" t="n">
        <f aca="false">'Food Data'!AF101</f>
        <v>0.5</v>
      </c>
      <c r="CX34" s="61" t="n">
        <f aca="false">'Food Data'!AF102</f>
        <v>0.5</v>
      </c>
      <c r="CY34" s="61" t="n">
        <f aca="false">'Food Data'!AF103</f>
        <v>0</v>
      </c>
      <c r="CZ34" s="61" t="n">
        <f aca="false">'Food Data'!AF104</f>
        <v>0</v>
      </c>
      <c r="DA34" s="61" t="n">
        <f aca="false">'Food Data'!AF105</f>
        <v>0</v>
      </c>
      <c r="DB34" s="61" t="n">
        <f aca="false">'Food Data'!AF106</f>
        <v>0</v>
      </c>
      <c r="DC34" s="61" t="n">
        <f aca="false">'Food Data'!AF107</f>
        <v>0</v>
      </c>
      <c r="DD34" s="61" t="n">
        <f aca="false">'Food Data'!AF108</f>
        <v>0</v>
      </c>
      <c r="DE34" s="61" t="n">
        <f aca="false">'Food Data'!AF109</f>
        <v>0</v>
      </c>
      <c r="DF34" s="61" t="n">
        <f aca="false">'Food Data'!AF110</f>
        <v>0</v>
      </c>
      <c r="DG34" s="61" t="n">
        <f aca="false">'Food Data'!AF111</f>
        <v>0</v>
      </c>
      <c r="DH34" s="61" t="n">
        <f aca="false">'Food Data'!AF112</f>
        <v>0</v>
      </c>
      <c r="DI34" s="61" t="n">
        <f aca="false">'Food Data'!AF113</f>
        <v>0</v>
      </c>
      <c r="DJ34" s="61" t="n">
        <f aca="false">'Food Data'!AF114</f>
        <v>0</v>
      </c>
      <c r="DK34" s="61" t="n">
        <f aca="false">'Food Data'!AF115</f>
        <v>0</v>
      </c>
      <c r="DL34" s="61" t="n">
        <f aca="false">'Food Data'!AF116</f>
        <v>0</v>
      </c>
      <c r="DM34" s="61" t="n">
        <f aca="false">'Food Data'!AF117</f>
        <v>0</v>
      </c>
      <c r="DN34" s="61" t="n">
        <f aca="false">'Food Data'!AF118</f>
        <v>0</v>
      </c>
      <c r="DO34" s="61" t="n">
        <f aca="false">'Food Data'!AF119</f>
        <v>0</v>
      </c>
      <c r="DP34" s="61" t="n">
        <f aca="false">'Food Data'!AF120</f>
        <v>0</v>
      </c>
      <c r="DQ34" s="61" t="n">
        <f aca="false">'Food Data'!AF121</f>
        <v>0</v>
      </c>
      <c r="DR34" s="61" t="n">
        <f aca="false">'Food Data'!AF122</f>
        <v>0</v>
      </c>
      <c r="DS34" s="61" t="n">
        <f aca="false">'Food Data'!AF123</f>
        <v>0</v>
      </c>
      <c r="DT34" s="61" t="n">
        <f aca="false">'Food Data'!AF124</f>
        <v>0</v>
      </c>
      <c r="DU34" s="61" t="n">
        <f aca="false">'Food Data'!AF125</f>
        <v>0</v>
      </c>
      <c r="DV34" s="61" t="n">
        <f aca="false">'Food Data'!AF126</f>
        <v>0</v>
      </c>
      <c r="DW34" s="61" t="n">
        <f aca="false">'Food Data'!AF127</f>
        <v>0</v>
      </c>
      <c r="DX34" s="61" t="n">
        <f aca="false">'Food Data'!AF128</f>
        <v>0</v>
      </c>
      <c r="DY34" s="61" t="n">
        <f aca="false">'Food Data'!AF129</f>
        <v>0</v>
      </c>
      <c r="DZ34" s="61" t="n">
        <f aca="false">'Food Data'!AF130</f>
        <v>0</v>
      </c>
      <c r="EA34" s="61" t="n">
        <f aca="false">'Food Data'!AF131</f>
        <v>0</v>
      </c>
      <c r="EB34" s="61" t="n">
        <f aca="false">'Food Data'!AF132</f>
        <v>0</v>
      </c>
      <c r="EC34" s="61" t="n">
        <f aca="false">'Food Data'!AF133</f>
        <v>0</v>
      </c>
      <c r="ED34" s="61" t="n">
        <f aca="false">'Food Data'!AF134</f>
        <v>0</v>
      </c>
      <c r="EE34" s="61" t="n">
        <f aca="false">'Food Data'!AF135</f>
        <v>0</v>
      </c>
      <c r="EF34" s="61" t="n">
        <f aca="false">'Food Data'!AF136</f>
        <v>0</v>
      </c>
      <c r="EG34" s="61" t="n">
        <f aca="false">'Food Data'!AF137</f>
        <v>0</v>
      </c>
      <c r="EH34" s="61" t="n">
        <f aca="false">'Food Data'!AF138</f>
        <v>0</v>
      </c>
      <c r="EI34" s="61" t="n">
        <f aca="false">'Food Data'!AF139</f>
        <v>0</v>
      </c>
      <c r="EJ34" s="61" t="n">
        <f aca="false">'Food Data'!AF140</f>
        <v>0</v>
      </c>
      <c r="EK34" s="61" t="n">
        <f aca="false">'Food Data'!AF141</f>
        <v>0</v>
      </c>
      <c r="EL34" s="61" t="n">
        <f aca="false">'Food Data'!AF142</f>
        <v>0</v>
      </c>
      <c r="EM34" s="61" t="n">
        <f aca="false">'Food Data'!AF143</f>
        <v>0.5</v>
      </c>
      <c r="EN34" s="61" t="n">
        <f aca="false">'Food Data'!AF144</f>
        <v>0</v>
      </c>
      <c r="EO34" s="61" t="n">
        <f aca="false">'Food Data'!AF145</f>
        <v>0</v>
      </c>
      <c r="EP34" s="61" t="n">
        <f aca="false">'Food Data'!AF146</f>
        <v>0</v>
      </c>
      <c r="EQ34" s="61" t="n">
        <f aca="false">'Food Data'!AF147</f>
        <v>0</v>
      </c>
      <c r="ER34" s="61" t="n">
        <f aca="false">'Food Data'!AF148</f>
        <v>0</v>
      </c>
      <c r="ES34" s="61" t="n">
        <f aca="false">'Food Data'!AF149</f>
        <v>0</v>
      </c>
      <c r="ET34" s="61" t="n">
        <f aca="false">'Food Data'!AF150</f>
        <v>0</v>
      </c>
      <c r="EU34" s="61" t="n">
        <f aca="false">'Food Data'!AF151</f>
        <v>0</v>
      </c>
    </row>
    <row r="35" customFormat="false" ht="15" hidden="false" customHeight="false" outlineLevel="0" collapsed="false">
      <c r="B35" s="14" t="s">
        <v>88</v>
      </c>
      <c r="F35" s="61" t="n">
        <f aca="false">'Food Data'!AG6</f>
        <v>0.5</v>
      </c>
      <c r="G35" s="61" t="n">
        <f aca="false">'Food Data'!AG7</f>
        <v>0.5</v>
      </c>
      <c r="H35" s="61" t="n">
        <f aca="false">'Food Data'!AG8</f>
        <v>0.5</v>
      </c>
      <c r="I35" s="61" t="n">
        <f aca="false">'Food Data'!AG9</f>
        <v>1</v>
      </c>
      <c r="J35" s="61" t="n">
        <f aca="false">'Food Data'!AG10</f>
        <v>0.5</v>
      </c>
      <c r="K35" s="61" t="n">
        <f aca="false">'Food Data'!AG11</f>
        <v>0.5</v>
      </c>
      <c r="L35" s="61" t="n">
        <f aca="false">'Food Data'!AG12</f>
        <v>0</v>
      </c>
      <c r="M35" s="61" t="n">
        <f aca="false">'Food Data'!AG13</f>
        <v>0</v>
      </c>
      <c r="N35" s="61" t="n">
        <f aca="false">'Food Data'!AG14</f>
        <v>0.5</v>
      </c>
      <c r="O35" s="61" t="n">
        <f aca="false">'Food Data'!AG15</f>
        <v>0.5</v>
      </c>
      <c r="P35" s="61" t="n">
        <f aca="false">'Food Data'!AG16</f>
        <v>1</v>
      </c>
      <c r="Q35" s="61" t="n">
        <f aca="false">'Food Data'!AG17</f>
        <v>0.5</v>
      </c>
      <c r="R35" s="61" t="n">
        <f aca="false">'Food Data'!AG18</f>
        <v>0</v>
      </c>
      <c r="S35" s="61" t="n">
        <f aca="false">'Food Data'!AG19</f>
        <v>0</v>
      </c>
      <c r="T35" s="61" t="n">
        <f aca="false">'Food Data'!AG20</f>
        <v>1</v>
      </c>
      <c r="U35" s="61" t="n">
        <f aca="false">'Food Data'!AG21</f>
        <v>0</v>
      </c>
      <c r="V35" s="61" t="n">
        <f aca="false">'Food Data'!AG22</f>
        <v>0</v>
      </c>
      <c r="W35" s="61" t="n">
        <f aca="false">'Food Data'!AG23</f>
        <v>0.5</v>
      </c>
      <c r="X35" s="61" t="n">
        <f aca="false">'Food Data'!AG24</f>
        <v>0</v>
      </c>
      <c r="Y35" s="61" t="n">
        <f aca="false">'Food Data'!AG25</f>
        <v>0.5</v>
      </c>
      <c r="Z35" s="61" t="n">
        <f aca="false">'Food Data'!AG26</f>
        <v>0.5</v>
      </c>
      <c r="AA35" s="61" t="n">
        <f aca="false">'Food Data'!AG27</f>
        <v>0.5</v>
      </c>
      <c r="AB35" s="61" t="n">
        <f aca="false">'Food Data'!AG28</f>
        <v>0.5</v>
      </c>
      <c r="AC35" s="61" t="n">
        <f aca="false">'Food Data'!AG29</f>
        <v>0.5</v>
      </c>
      <c r="AD35" s="61" t="n">
        <f aca="false">'Food Data'!AG30</f>
        <v>0.5</v>
      </c>
      <c r="AE35" s="61" t="n">
        <f aca="false">'Food Data'!AG31</f>
        <v>0.5</v>
      </c>
      <c r="AF35" s="61" t="n">
        <f aca="false">'Food Data'!AG32</f>
        <v>0.5</v>
      </c>
      <c r="AG35" s="61" t="n">
        <f aca="false">'Food Data'!AG33</f>
        <v>0.5</v>
      </c>
      <c r="AH35" s="61" t="n">
        <f aca="false">'Food Data'!AG34</f>
        <v>0.5</v>
      </c>
      <c r="AI35" s="61" t="n">
        <f aca="false">'Food Data'!AG35</f>
        <v>0.5</v>
      </c>
      <c r="AJ35" s="61" t="n">
        <f aca="false">'Food Data'!AG36</f>
        <v>0.5</v>
      </c>
      <c r="AK35" s="61" t="n">
        <f aca="false">'Food Data'!AG37</f>
        <v>0.5</v>
      </c>
      <c r="AL35" s="61" t="n">
        <f aca="false">'Food Data'!AG38</f>
        <v>0</v>
      </c>
      <c r="AM35" s="61" t="n">
        <f aca="false">'Food Data'!AG39</f>
        <v>0.5</v>
      </c>
      <c r="AN35" s="61" t="n">
        <f aca="false">'Food Data'!AG40</f>
        <v>0.5</v>
      </c>
      <c r="AO35" s="61" t="n">
        <f aca="false">'Food Data'!AG41</f>
        <v>0.5</v>
      </c>
      <c r="AP35" s="61" t="n">
        <f aca="false">'Food Data'!AG42</f>
        <v>0</v>
      </c>
      <c r="AQ35" s="61" t="n">
        <f aca="false">'Food Data'!AG43</f>
        <v>0</v>
      </c>
      <c r="AR35" s="61" t="n">
        <f aca="false">'Food Data'!AG44</f>
        <v>0</v>
      </c>
      <c r="AS35" s="61" t="n">
        <f aca="false">'Food Data'!AG45</f>
        <v>0</v>
      </c>
      <c r="AT35" s="61" t="n">
        <f aca="false">'Food Data'!AG46</f>
        <v>1</v>
      </c>
      <c r="AU35" s="61" t="n">
        <f aca="false">'Food Data'!AG47</f>
        <v>0.5</v>
      </c>
      <c r="AV35" s="61" t="n">
        <f aca="false">'Food Data'!AG48</f>
        <v>0.5</v>
      </c>
      <c r="AW35" s="61" t="n">
        <f aca="false">'Food Data'!AG49</f>
        <v>0</v>
      </c>
      <c r="AX35" s="61" t="n">
        <f aca="false">'Food Data'!AG50</f>
        <v>0</v>
      </c>
      <c r="AY35" s="61" t="n">
        <f aca="false">'Food Data'!AG51</f>
        <v>0.5</v>
      </c>
      <c r="AZ35" s="61" t="n">
        <f aca="false">'Food Data'!AG52</f>
        <v>0</v>
      </c>
      <c r="BA35" s="61" t="n">
        <f aca="false">'Food Data'!AG53</f>
        <v>0.5</v>
      </c>
      <c r="BB35" s="61" t="n">
        <f aca="false">'Food Data'!AG54</f>
        <v>0.5</v>
      </c>
      <c r="BC35" s="61" t="n">
        <f aca="false">'Food Data'!AG55</f>
        <v>0.5</v>
      </c>
      <c r="BD35" s="61" t="n">
        <f aca="false">'Food Data'!AG56</f>
        <v>0</v>
      </c>
      <c r="BE35" s="61" t="n">
        <f aca="false">'Food Data'!AG57</f>
        <v>0.5</v>
      </c>
      <c r="BF35" s="61" t="n">
        <f aca="false">'Food Data'!AG58</f>
        <v>0.5</v>
      </c>
      <c r="BG35" s="61" t="n">
        <f aca="false">'Food Data'!AG59</f>
        <v>0.5</v>
      </c>
      <c r="BH35" s="61" t="n">
        <f aca="false">'Food Data'!AG60</f>
        <v>0.5</v>
      </c>
      <c r="BI35" s="61" t="n">
        <f aca="false">'Food Data'!AG61</f>
        <v>0.5</v>
      </c>
      <c r="BJ35" s="61" t="n">
        <f aca="false">'Food Data'!AG62</f>
        <v>0.5</v>
      </c>
      <c r="BK35" s="61" t="n">
        <f aca="false">'Food Data'!AG63</f>
        <v>0.5</v>
      </c>
      <c r="BL35" s="61" t="n">
        <f aca="false">'Food Data'!AG64</f>
        <v>0.5</v>
      </c>
      <c r="BM35" s="61" t="n">
        <f aca="false">'Food Data'!AG65</f>
        <v>0.5</v>
      </c>
      <c r="BN35" s="61" t="n">
        <f aca="false">'Food Data'!AG66</f>
        <v>0.5</v>
      </c>
      <c r="BO35" s="61" t="n">
        <f aca="false">'Food Data'!AG67</f>
        <v>0.5</v>
      </c>
      <c r="BP35" s="61" t="n">
        <f aca="false">'Food Data'!AG68</f>
        <v>0.5</v>
      </c>
      <c r="BQ35" s="61" t="n">
        <f aca="false">'Food Data'!AG69</f>
        <v>0.5</v>
      </c>
      <c r="BR35" s="61" t="n">
        <f aca="false">'Food Data'!AG70</f>
        <v>0.5</v>
      </c>
      <c r="BS35" s="61" t="n">
        <f aca="false">'Food Data'!AG71</f>
        <v>0</v>
      </c>
      <c r="BT35" s="61" t="n">
        <f aca="false">'Food Data'!AG72</f>
        <v>0</v>
      </c>
      <c r="BU35" s="61" t="n">
        <f aca="false">'Food Data'!AG73</f>
        <v>0</v>
      </c>
      <c r="BV35" s="61" t="n">
        <f aca="false">'Food Data'!AG74</f>
        <v>0</v>
      </c>
      <c r="BW35" s="61" t="n">
        <f aca="false">'Food Data'!AG75</f>
        <v>0</v>
      </c>
      <c r="BX35" s="61" t="n">
        <f aca="false">'Food Data'!AG76</f>
        <v>0</v>
      </c>
      <c r="BY35" s="61" t="n">
        <f aca="false">'Food Data'!AG77</f>
        <v>0</v>
      </c>
      <c r="BZ35" s="61" t="n">
        <f aca="false">'Food Data'!AG78</f>
        <v>0</v>
      </c>
      <c r="CA35" s="61" t="n">
        <f aca="false">'Food Data'!AG79</f>
        <v>0</v>
      </c>
      <c r="CB35" s="61" t="n">
        <f aca="false">'Food Data'!AG80</f>
        <v>0</v>
      </c>
      <c r="CC35" s="61" t="n">
        <f aca="false">'Food Data'!AG81</f>
        <v>0</v>
      </c>
      <c r="CD35" s="61" t="n">
        <f aca="false">'Food Data'!AG82</f>
        <v>0</v>
      </c>
      <c r="CE35" s="61" t="n">
        <f aca="false">'Food Data'!AG83</f>
        <v>0</v>
      </c>
      <c r="CF35" s="61" t="n">
        <f aca="false">'Food Data'!AG84</f>
        <v>0</v>
      </c>
      <c r="CG35" s="61" t="n">
        <f aca="false">'Food Data'!AG85</f>
        <v>0</v>
      </c>
      <c r="CH35" s="61" t="n">
        <f aca="false">'Food Data'!AG86</f>
        <v>0</v>
      </c>
      <c r="CI35" s="61" t="n">
        <f aca="false">'Food Data'!AG87</f>
        <v>0</v>
      </c>
      <c r="CJ35" s="61" t="n">
        <f aca="false">'Food Data'!AG88</f>
        <v>0</v>
      </c>
      <c r="CK35" s="61" t="n">
        <f aca="false">'Food Data'!AG89</f>
        <v>0.5</v>
      </c>
      <c r="CL35" s="61" t="n">
        <f aca="false">'Food Data'!AG90</f>
        <v>0</v>
      </c>
      <c r="CM35" s="61" t="n">
        <f aca="false">'Food Data'!AG91</f>
        <v>0</v>
      </c>
      <c r="CN35" s="61" t="n">
        <f aca="false">'Food Data'!AG92</f>
        <v>0</v>
      </c>
      <c r="CO35" s="61" t="n">
        <f aca="false">'Food Data'!AG93</f>
        <v>0.5</v>
      </c>
      <c r="CP35" s="61" t="n">
        <f aca="false">'Food Data'!AG94</f>
        <v>0</v>
      </c>
      <c r="CQ35" s="61" t="n">
        <f aca="false">'Food Data'!AG95</f>
        <v>0</v>
      </c>
      <c r="CR35" s="61" t="n">
        <f aca="false">'Food Data'!AG96</f>
        <v>0</v>
      </c>
      <c r="CS35" s="61" t="n">
        <f aca="false">'Food Data'!AG97</f>
        <v>0</v>
      </c>
      <c r="CT35" s="61" t="n">
        <f aca="false">'Food Data'!AG98</f>
        <v>0</v>
      </c>
      <c r="CU35" s="61" t="n">
        <f aca="false">'Food Data'!AG99</f>
        <v>0</v>
      </c>
      <c r="CV35" s="61" t="n">
        <f aca="false">'Food Data'!AG100</f>
        <v>0</v>
      </c>
      <c r="CW35" s="61" t="n">
        <f aca="false">'Food Data'!AG101</f>
        <v>0</v>
      </c>
      <c r="CX35" s="61" t="n">
        <f aca="false">'Food Data'!AG102</f>
        <v>0</v>
      </c>
      <c r="CY35" s="61" t="n">
        <f aca="false">'Food Data'!AG103</f>
        <v>0</v>
      </c>
      <c r="CZ35" s="61" t="n">
        <f aca="false">'Food Data'!AG104</f>
        <v>0.5</v>
      </c>
      <c r="DA35" s="61" t="n">
        <f aca="false">'Food Data'!AG105</f>
        <v>0.5</v>
      </c>
      <c r="DB35" s="61" t="n">
        <f aca="false">'Food Data'!AG106</f>
        <v>0.5</v>
      </c>
      <c r="DC35" s="61" t="n">
        <f aca="false">'Food Data'!AG107</f>
        <v>0.5</v>
      </c>
      <c r="DD35" s="61" t="n">
        <f aca="false">'Food Data'!AG108</f>
        <v>0.5</v>
      </c>
      <c r="DE35" s="61" t="n">
        <f aca="false">'Food Data'!AG109</f>
        <v>0.5</v>
      </c>
      <c r="DF35" s="61" t="n">
        <f aca="false">'Food Data'!AG110</f>
        <v>0.5</v>
      </c>
      <c r="DG35" s="61" t="n">
        <f aca="false">'Food Data'!AG111</f>
        <v>0.5</v>
      </c>
      <c r="DH35" s="61" t="n">
        <f aca="false">'Food Data'!AG112</f>
        <v>0.5</v>
      </c>
      <c r="DI35" s="61" t="n">
        <f aca="false">'Food Data'!AG113</f>
        <v>0.5</v>
      </c>
      <c r="DJ35" s="61" t="n">
        <f aca="false">'Food Data'!AG114</f>
        <v>0.5</v>
      </c>
      <c r="DK35" s="61" t="n">
        <f aca="false">'Food Data'!AG115</f>
        <v>0.5</v>
      </c>
      <c r="DL35" s="61" t="n">
        <f aca="false">'Food Data'!AG116</f>
        <v>0.5</v>
      </c>
      <c r="DM35" s="61" t="n">
        <f aca="false">'Food Data'!AG117</f>
        <v>0.5</v>
      </c>
      <c r="DN35" s="61" t="n">
        <f aca="false">'Food Data'!AG118</f>
        <v>0.5</v>
      </c>
      <c r="DO35" s="61" t="n">
        <f aca="false">'Food Data'!AG119</f>
        <v>0.5</v>
      </c>
      <c r="DP35" s="61" t="n">
        <f aca="false">'Food Data'!AG120</f>
        <v>0.5</v>
      </c>
      <c r="DQ35" s="61" t="n">
        <f aca="false">'Food Data'!AG121</f>
        <v>0.5</v>
      </c>
      <c r="DR35" s="61" t="n">
        <f aca="false">'Food Data'!AG122</f>
        <v>0.5</v>
      </c>
      <c r="DS35" s="61" t="n">
        <f aca="false">'Food Data'!AG123</f>
        <v>0.5</v>
      </c>
      <c r="DT35" s="61" t="n">
        <f aca="false">'Food Data'!AG124</f>
        <v>0.5</v>
      </c>
      <c r="DU35" s="61" t="n">
        <f aca="false">'Food Data'!AG125</f>
        <v>0.5</v>
      </c>
      <c r="DV35" s="61" t="n">
        <f aca="false">'Food Data'!AG126</f>
        <v>0.5</v>
      </c>
      <c r="DW35" s="61" t="n">
        <f aca="false">'Food Data'!AG127</f>
        <v>0.5</v>
      </c>
      <c r="DX35" s="61" t="n">
        <f aca="false">'Food Data'!AG128</f>
        <v>0.5</v>
      </c>
      <c r="DY35" s="61" t="n">
        <f aca="false">'Food Data'!AG129</f>
        <v>0.5</v>
      </c>
      <c r="DZ35" s="61" t="n">
        <f aca="false">'Food Data'!AG130</f>
        <v>0.5</v>
      </c>
      <c r="EA35" s="61" t="n">
        <f aca="false">'Food Data'!AG131</f>
        <v>0.5</v>
      </c>
      <c r="EB35" s="61" t="n">
        <f aca="false">'Food Data'!AG132</f>
        <v>0.5</v>
      </c>
      <c r="EC35" s="61" t="n">
        <f aca="false">'Food Data'!AG133</f>
        <v>0.5</v>
      </c>
      <c r="ED35" s="61" t="n">
        <f aca="false">'Food Data'!AG134</f>
        <v>0.5</v>
      </c>
      <c r="EE35" s="61" t="n">
        <f aca="false">'Food Data'!AG135</f>
        <v>0.5</v>
      </c>
      <c r="EF35" s="61" t="n">
        <f aca="false">'Food Data'!AG136</f>
        <v>0.5</v>
      </c>
      <c r="EG35" s="61" t="n">
        <f aca="false">'Food Data'!AG137</f>
        <v>0.5</v>
      </c>
      <c r="EH35" s="61" t="n">
        <f aca="false">'Food Data'!AG138</f>
        <v>0.5</v>
      </c>
      <c r="EI35" s="61" t="n">
        <f aca="false">'Food Data'!AG139</f>
        <v>0.5</v>
      </c>
      <c r="EJ35" s="61" t="n">
        <f aca="false">'Food Data'!AG140</f>
        <v>0.5</v>
      </c>
      <c r="EK35" s="61" t="n">
        <f aca="false">'Food Data'!AG141</f>
        <v>0.5</v>
      </c>
      <c r="EL35" s="61" t="n">
        <f aca="false">'Food Data'!AG142</f>
        <v>0.5</v>
      </c>
      <c r="EM35" s="61" t="n">
        <f aca="false">'Food Data'!AG143</f>
        <v>0</v>
      </c>
      <c r="EN35" s="61" t="n">
        <f aca="false">'Food Data'!AG144</f>
        <v>0.5</v>
      </c>
      <c r="EO35" s="61" t="n">
        <f aca="false">'Food Data'!AG145</f>
        <v>0.5</v>
      </c>
      <c r="EP35" s="61" t="n">
        <f aca="false">'Food Data'!AG146</f>
        <v>0</v>
      </c>
      <c r="EQ35" s="61" t="n">
        <f aca="false">'Food Data'!AG147</f>
        <v>0.5</v>
      </c>
      <c r="ER35" s="61" t="n">
        <f aca="false">'Food Data'!AG148</f>
        <v>0</v>
      </c>
      <c r="ES35" s="61" t="n">
        <f aca="false">'Food Data'!AG149</f>
        <v>0</v>
      </c>
      <c r="ET35" s="61" t="n">
        <f aca="false">'Food Data'!AG150</f>
        <v>0</v>
      </c>
      <c r="EU35" s="61" t="n">
        <f aca="false">'Food Data'!AG151</f>
        <v>0</v>
      </c>
    </row>
    <row r="36" customFormat="false" ht="15" hidden="false" customHeight="false" outlineLevel="0" collapsed="false">
      <c r="B36" s="14" t="s">
        <v>106</v>
      </c>
      <c r="F36" s="61" t="n">
        <f aca="false">'Food Data'!AH6</f>
        <v>0.5</v>
      </c>
      <c r="G36" s="61" t="n">
        <f aca="false">'Food Data'!AH7</f>
        <v>0.5</v>
      </c>
      <c r="H36" s="61" t="n">
        <f aca="false">'Food Data'!AH8</f>
        <v>0.5</v>
      </c>
      <c r="I36" s="61" t="n">
        <f aca="false">'Food Data'!AH9</f>
        <v>0</v>
      </c>
      <c r="J36" s="61" t="n">
        <f aca="false">'Food Data'!AH10</f>
        <v>0.5</v>
      </c>
      <c r="K36" s="61" t="n">
        <f aca="false">'Food Data'!AH11</f>
        <v>0.5</v>
      </c>
      <c r="L36" s="61" t="n">
        <f aca="false">'Food Data'!AH12</f>
        <v>0</v>
      </c>
      <c r="M36" s="61" t="n">
        <f aca="false">'Food Data'!AH13</f>
        <v>1</v>
      </c>
      <c r="N36" s="61" t="n">
        <f aca="false">'Food Data'!AH14</f>
        <v>0.5</v>
      </c>
      <c r="O36" s="61" t="n">
        <f aca="false">'Food Data'!AH15</f>
        <v>0.5</v>
      </c>
      <c r="P36" s="61" t="n">
        <f aca="false">'Food Data'!AH16</f>
        <v>0</v>
      </c>
      <c r="Q36" s="61" t="n">
        <f aca="false">'Food Data'!AH17</f>
        <v>0.5</v>
      </c>
      <c r="R36" s="61" t="n">
        <f aca="false">'Food Data'!AH18</f>
        <v>1</v>
      </c>
      <c r="S36" s="61" t="n">
        <f aca="false">'Food Data'!AH19</f>
        <v>1</v>
      </c>
      <c r="T36" s="61" t="n">
        <f aca="false">'Food Data'!AH20</f>
        <v>0</v>
      </c>
      <c r="U36" s="61" t="n">
        <f aca="false">'Food Data'!AH21</f>
        <v>1</v>
      </c>
      <c r="V36" s="61" t="n">
        <f aca="false">'Food Data'!AH22</f>
        <v>1</v>
      </c>
      <c r="W36" s="61" t="n">
        <f aca="false">'Food Data'!AH23</f>
        <v>0.5</v>
      </c>
      <c r="X36" s="61" t="n">
        <f aca="false">'Food Data'!AH24</f>
        <v>0</v>
      </c>
      <c r="Y36" s="61" t="n">
        <f aca="false">'Food Data'!AH25</f>
        <v>0.5</v>
      </c>
      <c r="Z36" s="61" t="n">
        <f aca="false">'Food Data'!AH26</f>
        <v>0.5</v>
      </c>
      <c r="AA36" s="61" t="n">
        <f aca="false">'Food Data'!AH27</f>
        <v>0.5</v>
      </c>
      <c r="AB36" s="61" t="n">
        <f aca="false">'Food Data'!AH28</f>
        <v>0.5</v>
      </c>
      <c r="AC36" s="61" t="n">
        <f aca="false">'Food Data'!AH29</f>
        <v>0.5</v>
      </c>
      <c r="AD36" s="61" t="n">
        <f aca="false">'Food Data'!AH30</f>
        <v>0.5</v>
      </c>
      <c r="AE36" s="61" t="n">
        <f aca="false">'Food Data'!AH31</f>
        <v>0.5</v>
      </c>
      <c r="AF36" s="61" t="n">
        <f aca="false">'Food Data'!AH32</f>
        <v>0.5</v>
      </c>
      <c r="AG36" s="61" t="n">
        <f aca="false">'Food Data'!AH33</f>
        <v>0.5</v>
      </c>
      <c r="AH36" s="61" t="n">
        <f aca="false">'Food Data'!AH34</f>
        <v>0.5</v>
      </c>
      <c r="AI36" s="61" t="n">
        <f aca="false">'Food Data'!AH35</f>
        <v>0.5</v>
      </c>
      <c r="AJ36" s="61" t="n">
        <f aca="false">'Food Data'!AH36</f>
        <v>0.5</v>
      </c>
      <c r="AK36" s="61" t="n">
        <f aca="false">'Food Data'!AH37</f>
        <v>0.5</v>
      </c>
      <c r="AL36" s="61" t="n">
        <f aca="false">'Food Data'!AH38</f>
        <v>0</v>
      </c>
      <c r="AM36" s="61" t="n">
        <f aca="false">'Food Data'!AH39</f>
        <v>0.5</v>
      </c>
      <c r="AN36" s="61" t="n">
        <f aca="false">'Food Data'!AH40</f>
        <v>0.5</v>
      </c>
      <c r="AO36" s="61" t="n">
        <f aca="false">'Food Data'!AH41</f>
        <v>0.5</v>
      </c>
      <c r="AP36" s="61" t="n">
        <f aca="false">'Food Data'!AH42</f>
        <v>0</v>
      </c>
      <c r="AQ36" s="61" t="n">
        <f aca="false">'Food Data'!AH43</f>
        <v>0</v>
      </c>
      <c r="AR36" s="61" t="n">
        <f aca="false">'Food Data'!AH44</f>
        <v>0</v>
      </c>
      <c r="AS36" s="61" t="n">
        <f aca="false">'Food Data'!AH45</f>
        <v>0</v>
      </c>
      <c r="AT36" s="61" t="n">
        <f aca="false">'Food Data'!AH46</f>
        <v>0</v>
      </c>
      <c r="AU36" s="61" t="n">
        <f aca="false">'Food Data'!AH47</f>
        <v>0.5</v>
      </c>
      <c r="AV36" s="61" t="n">
        <f aca="false">'Food Data'!AH48</f>
        <v>0</v>
      </c>
      <c r="AW36" s="61" t="n">
        <f aca="false">'Food Data'!AH49</f>
        <v>0</v>
      </c>
      <c r="AX36" s="61" t="n">
        <f aca="false">'Food Data'!AH50</f>
        <v>0</v>
      </c>
      <c r="AY36" s="61" t="n">
        <f aca="false">'Food Data'!AH51</f>
        <v>0.5</v>
      </c>
      <c r="AZ36" s="61" t="n">
        <f aca="false">'Food Data'!AH52</f>
        <v>0</v>
      </c>
      <c r="BA36" s="61" t="n">
        <f aca="false">'Food Data'!AH53</f>
        <v>0.5</v>
      </c>
      <c r="BB36" s="61" t="n">
        <f aca="false">'Food Data'!AH54</f>
        <v>0.5</v>
      </c>
      <c r="BC36" s="61" t="n">
        <f aca="false">'Food Data'!AH55</f>
        <v>0.5</v>
      </c>
      <c r="BD36" s="61" t="n">
        <f aca="false">'Food Data'!AH56</f>
        <v>0</v>
      </c>
      <c r="BE36" s="61" t="n">
        <f aca="false">'Food Data'!AH57</f>
        <v>0.5</v>
      </c>
      <c r="BF36" s="61" t="n">
        <f aca="false">'Food Data'!AH58</f>
        <v>0</v>
      </c>
      <c r="BG36" s="61" t="n">
        <f aca="false">'Food Data'!AH59</f>
        <v>0.5</v>
      </c>
      <c r="BH36" s="61" t="n">
        <f aca="false">'Food Data'!AH60</f>
        <v>0</v>
      </c>
      <c r="BI36" s="61" t="n">
        <f aca="false">'Food Data'!AH61</f>
        <v>0.5</v>
      </c>
      <c r="BJ36" s="61" t="n">
        <f aca="false">'Food Data'!AH62</f>
        <v>0.5</v>
      </c>
      <c r="BK36" s="61" t="n">
        <f aca="false">'Food Data'!AH63</f>
        <v>0.5</v>
      </c>
      <c r="BL36" s="61" t="n">
        <f aca="false">'Food Data'!AH64</f>
        <v>0.5</v>
      </c>
      <c r="BM36" s="61" t="n">
        <f aca="false">'Food Data'!AH65</f>
        <v>0.5</v>
      </c>
      <c r="BN36" s="61" t="n">
        <f aca="false">'Food Data'!AH66</f>
        <v>0.5</v>
      </c>
      <c r="BO36" s="61" t="n">
        <f aca="false">'Food Data'!AH67</f>
        <v>0.5</v>
      </c>
      <c r="BP36" s="61" t="n">
        <f aca="false">'Food Data'!AH68</f>
        <v>0.5</v>
      </c>
      <c r="BQ36" s="61" t="n">
        <f aca="false">'Food Data'!AH69</f>
        <v>0.5</v>
      </c>
      <c r="BR36" s="61" t="n">
        <f aca="false">'Food Data'!AH70</f>
        <v>0</v>
      </c>
      <c r="BS36" s="61" t="n">
        <f aca="false">'Food Data'!AH71</f>
        <v>0</v>
      </c>
      <c r="BT36" s="61" t="n">
        <f aca="false">'Food Data'!AH72</f>
        <v>0</v>
      </c>
      <c r="BU36" s="61" t="n">
        <f aca="false">'Food Data'!AH73</f>
        <v>0</v>
      </c>
      <c r="BV36" s="61" t="n">
        <f aca="false">'Food Data'!AH74</f>
        <v>0</v>
      </c>
      <c r="BW36" s="61" t="n">
        <f aca="false">'Food Data'!AH75</f>
        <v>0</v>
      </c>
      <c r="BX36" s="61" t="n">
        <f aca="false">'Food Data'!AH76</f>
        <v>0</v>
      </c>
      <c r="BY36" s="61" t="n">
        <f aca="false">'Food Data'!AH77</f>
        <v>0</v>
      </c>
      <c r="BZ36" s="61" t="n">
        <f aca="false">'Food Data'!AH78</f>
        <v>0</v>
      </c>
      <c r="CA36" s="61" t="n">
        <f aca="false">'Food Data'!AH79</f>
        <v>0</v>
      </c>
      <c r="CB36" s="61" t="n">
        <f aca="false">'Food Data'!AH80</f>
        <v>0</v>
      </c>
      <c r="CC36" s="61" t="n">
        <f aca="false">'Food Data'!AH81</f>
        <v>0</v>
      </c>
      <c r="CD36" s="61" t="n">
        <f aca="false">'Food Data'!AH82</f>
        <v>0</v>
      </c>
      <c r="CE36" s="61" t="n">
        <f aca="false">'Food Data'!AH83</f>
        <v>0</v>
      </c>
      <c r="CF36" s="61" t="n">
        <f aca="false">'Food Data'!AH84</f>
        <v>0</v>
      </c>
      <c r="CG36" s="61" t="n">
        <f aca="false">'Food Data'!AH85</f>
        <v>0</v>
      </c>
      <c r="CH36" s="61" t="n">
        <f aca="false">'Food Data'!AH86</f>
        <v>0</v>
      </c>
      <c r="CI36" s="61" t="n">
        <f aca="false">'Food Data'!AH87</f>
        <v>0</v>
      </c>
      <c r="CJ36" s="61" t="n">
        <f aca="false">'Food Data'!AH88</f>
        <v>0</v>
      </c>
      <c r="CK36" s="61" t="n">
        <f aca="false">'Food Data'!AH89</f>
        <v>0</v>
      </c>
      <c r="CL36" s="61" t="n">
        <f aca="false">'Food Data'!AH90</f>
        <v>0</v>
      </c>
      <c r="CM36" s="61" t="n">
        <f aca="false">'Food Data'!AH91</f>
        <v>0</v>
      </c>
      <c r="CN36" s="61" t="n">
        <f aca="false">'Food Data'!AH92</f>
        <v>0</v>
      </c>
      <c r="CO36" s="61" t="n">
        <f aca="false">'Food Data'!AH93</f>
        <v>0</v>
      </c>
      <c r="CP36" s="61" t="n">
        <f aca="false">'Food Data'!AH94</f>
        <v>0</v>
      </c>
      <c r="CQ36" s="61" t="n">
        <f aca="false">'Food Data'!AH95</f>
        <v>0</v>
      </c>
      <c r="CR36" s="61" t="n">
        <f aca="false">'Food Data'!AH96</f>
        <v>0</v>
      </c>
      <c r="CS36" s="61" t="n">
        <f aca="false">'Food Data'!AH97</f>
        <v>0</v>
      </c>
      <c r="CT36" s="61" t="n">
        <f aca="false">'Food Data'!AH98</f>
        <v>0</v>
      </c>
      <c r="CU36" s="61" t="n">
        <f aca="false">'Food Data'!AH99</f>
        <v>0</v>
      </c>
      <c r="CV36" s="61" t="n">
        <f aca="false">'Food Data'!AH100</f>
        <v>0</v>
      </c>
      <c r="CW36" s="61" t="n">
        <f aca="false">'Food Data'!AH101</f>
        <v>0</v>
      </c>
      <c r="CX36" s="61" t="n">
        <f aca="false">'Food Data'!AH102</f>
        <v>0</v>
      </c>
      <c r="CY36" s="61" t="n">
        <f aca="false">'Food Data'!AH103</f>
        <v>0</v>
      </c>
      <c r="CZ36" s="61" t="n">
        <f aca="false">'Food Data'!AH104</f>
        <v>0.5</v>
      </c>
      <c r="DA36" s="61" t="n">
        <f aca="false">'Food Data'!AH105</f>
        <v>0.5</v>
      </c>
      <c r="DB36" s="61" t="n">
        <f aca="false">'Food Data'!AH106</f>
        <v>0</v>
      </c>
      <c r="DC36" s="61" t="n">
        <f aca="false">'Food Data'!AH107</f>
        <v>0.5</v>
      </c>
      <c r="DD36" s="61" t="n">
        <f aca="false">'Food Data'!AH108</f>
        <v>0.5</v>
      </c>
      <c r="DE36" s="61" t="n">
        <f aca="false">'Food Data'!AH109</f>
        <v>0.5</v>
      </c>
      <c r="DF36" s="61" t="n">
        <f aca="false">'Food Data'!AH110</f>
        <v>0.5</v>
      </c>
      <c r="DG36" s="61" t="n">
        <f aca="false">'Food Data'!AH111</f>
        <v>0.5</v>
      </c>
      <c r="DH36" s="61" t="n">
        <f aca="false">'Food Data'!AH112</f>
        <v>0.5</v>
      </c>
      <c r="DI36" s="61" t="n">
        <f aca="false">'Food Data'!AH113</f>
        <v>0</v>
      </c>
      <c r="DJ36" s="61" t="n">
        <f aca="false">'Food Data'!AH114</f>
        <v>0.5</v>
      </c>
      <c r="DK36" s="61" t="n">
        <f aca="false">'Food Data'!AH115</f>
        <v>0.5</v>
      </c>
      <c r="DL36" s="61" t="n">
        <f aca="false">'Food Data'!AH116</f>
        <v>0.5</v>
      </c>
      <c r="DM36" s="61" t="n">
        <f aca="false">'Food Data'!AH117</f>
        <v>0</v>
      </c>
      <c r="DN36" s="61" t="n">
        <f aca="false">'Food Data'!AH118</f>
        <v>0.5</v>
      </c>
      <c r="DO36" s="61" t="n">
        <f aca="false">'Food Data'!AH119</f>
        <v>0.5</v>
      </c>
      <c r="DP36" s="61" t="n">
        <f aca="false">'Food Data'!AH120</f>
        <v>0.5</v>
      </c>
      <c r="DQ36" s="61" t="n">
        <f aca="false">'Food Data'!AH121</f>
        <v>0.5</v>
      </c>
      <c r="DR36" s="61" t="n">
        <f aca="false">'Food Data'!AH122</f>
        <v>0.5</v>
      </c>
      <c r="DS36" s="61" t="n">
        <f aca="false">'Food Data'!AH123</f>
        <v>0.5</v>
      </c>
      <c r="DT36" s="61" t="n">
        <f aca="false">'Food Data'!AH124</f>
        <v>0.5</v>
      </c>
      <c r="DU36" s="61" t="n">
        <f aca="false">'Food Data'!AH125</f>
        <v>0.5</v>
      </c>
      <c r="DV36" s="61" t="n">
        <f aca="false">'Food Data'!AH126</f>
        <v>0.5</v>
      </c>
      <c r="DW36" s="61" t="n">
        <f aca="false">'Food Data'!AH127</f>
        <v>0.5</v>
      </c>
      <c r="DX36" s="61" t="n">
        <f aca="false">'Food Data'!AH128</f>
        <v>0.5</v>
      </c>
      <c r="DY36" s="61" t="n">
        <f aca="false">'Food Data'!AH129</f>
        <v>0.5</v>
      </c>
      <c r="DZ36" s="61" t="n">
        <f aca="false">'Food Data'!AH130</f>
        <v>0.5</v>
      </c>
      <c r="EA36" s="61" t="n">
        <f aca="false">'Food Data'!AH131</f>
        <v>0.5</v>
      </c>
      <c r="EB36" s="61" t="n">
        <f aca="false">'Food Data'!AH132</f>
        <v>0.5</v>
      </c>
      <c r="EC36" s="61" t="n">
        <f aca="false">'Food Data'!AH133</f>
        <v>0.5</v>
      </c>
      <c r="ED36" s="61" t="n">
        <f aca="false">'Food Data'!AH134</f>
        <v>0.5</v>
      </c>
      <c r="EE36" s="61" t="n">
        <f aca="false">'Food Data'!AH135</f>
        <v>0.5</v>
      </c>
      <c r="EF36" s="61" t="n">
        <f aca="false">'Food Data'!AH136</f>
        <v>0.5</v>
      </c>
      <c r="EG36" s="61" t="n">
        <f aca="false">'Food Data'!AH137</f>
        <v>0.5</v>
      </c>
      <c r="EH36" s="61" t="n">
        <f aca="false">'Food Data'!AH138</f>
        <v>0.5</v>
      </c>
      <c r="EI36" s="61" t="n">
        <f aca="false">'Food Data'!AH139</f>
        <v>0.5</v>
      </c>
      <c r="EJ36" s="61" t="n">
        <f aca="false">'Food Data'!AH140</f>
        <v>0.5</v>
      </c>
      <c r="EK36" s="61" t="n">
        <f aca="false">'Food Data'!AH141</f>
        <v>0.5</v>
      </c>
      <c r="EL36" s="61" t="n">
        <f aca="false">'Food Data'!AH142</f>
        <v>0.5</v>
      </c>
      <c r="EM36" s="61" t="n">
        <f aca="false">'Food Data'!AH143</f>
        <v>0.5</v>
      </c>
      <c r="EN36" s="61" t="n">
        <f aca="false">'Food Data'!AH144</f>
        <v>0.5</v>
      </c>
      <c r="EO36" s="61" t="n">
        <f aca="false">'Food Data'!AH145</f>
        <v>0.5</v>
      </c>
      <c r="EP36" s="61" t="n">
        <f aca="false">'Food Data'!AH146</f>
        <v>0</v>
      </c>
      <c r="EQ36" s="61" t="n">
        <f aca="false">'Food Data'!AH147</f>
        <v>0.5</v>
      </c>
      <c r="ER36" s="61" t="n">
        <f aca="false">'Food Data'!AH148</f>
        <v>0</v>
      </c>
      <c r="ES36" s="61" t="n">
        <f aca="false">'Food Data'!AH149</f>
        <v>0</v>
      </c>
      <c r="ET36" s="61" t="n">
        <f aca="false">'Food Data'!AH150</f>
        <v>0</v>
      </c>
      <c r="EU36" s="61" t="n">
        <f aca="false">'Food Data'!AH151</f>
        <v>0</v>
      </c>
    </row>
    <row r="37" customFormat="false" ht="15" hidden="false" customHeight="false" outlineLevel="0" collapsed="false">
      <c r="B37" s="14" t="s">
        <v>117</v>
      </c>
      <c r="F37" s="61" t="n">
        <f aca="false">'Food Data'!AI6</f>
        <v>0</v>
      </c>
      <c r="G37" s="61" t="n">
        <f aca="false">'Food Data'!AI7</f>
        <v>0</v>
      </c>
      <c r="H37" s="61" t="n">
        <f aca="false">'Food Data'!AI8</f>
        <v>0</v>
      </c>
      <c r="I37" s="61" t="n">
        <f aca="false">'Food Data'!AI9</f>
        <v>0</v>
      </c>
      <c r="J37" s="61" t="n">
        <f aca="false">'Food Data'!AI10</f>
        <v>0</v>
      </c>
      <c r="K37" s="61" t="n">
        <f aca="false">'Food Data'!AI11</f>
        <v>0</v>
      </c>
      <c r="L37" s="61" t="n">
        <f aca="false">'Food Data'!AI12</f>
        <v>0</v>
      </c>
      <c r="M37" s="61" t="n">
        <f aca="false">'Food Data'!AI13</f>
        <v>0</v>
      </c>
      <c r="N37" s="61" t="n">
        <f aca="false">'Food Data'!AI14</f>
        <v>0</v>
      </c>
      <c r="O37" s="61" t="n">
        <f aca="false">'Food Data'!AI15</f>
        <v>0</v>
      </c>
      <c r="P37" s="61" t="n">
        <f aca="false">'Food Data'!AI16</f>
        <v>0</v>
      </c>
      <c r="Q37" s="61" t="n">
        <f aca="false">'Food Data'!AI17</f>
        <v>0</v>
      </c>
      <c r="R37" s="61" t="n">
        <f aca="false">'Food Data'!AI18</f>
        <v>0</v>
      </c>
      <c r="S37" s="61" t="n">
        <f aca="false">'Food Data'!AI19</f>
        <v>0</v>
      </c>
      <c r="T37" s="61" t="n">
        <f aca="false">'Food Data'!AI20</f>
        <v>0</v>
      </c>
      <c r="U37" s="61" t="n">
        <f aca="false">'Food Data'!AI21</f>
        <v>0</v>
      </c>
      <c r="V37" s="61" t="n">
        <f aca="false">'Food Data'!AI22</f>
        <v>0</v>
      </c>
      <c r="W37" s="61" t="n">
        <f aca="false">'Food Data'!AI23</f>
        <v>0</v>
      </c>
      <c r="X37" s="61" t="n">
        <f aca="false">'Food Data'!AI24</f>
        <v>0</v>
      </c>
      <c r="Y37" s="61" t="n">
        <f aca="false">'Food Data'!AI25</f>
        <v>0</v>
      </c>
      <c r="Z37" s="61" t="n">
        <f aca="false">'Food Data'!AI26</f>
        <v>0</v>
      </c>
      <c r="AA37" s="61" t="n">
        <f aca="false">'Food Data'!AI27</f>
        <v>0</v>
      </c>
      <c r="AB37" s="61" t="n">
        <f aca="false">'Food Data'!AI28</f>
        <v>0</v>
      </c>
      <c r="AC37" s="61" t="n">
        <f aca="false">'Food Data'!AI29</f>
        <v>0</v>
      </c>
      <c r="AD37" s="61" t="n">
        <f aca="false">'Food Data'!AI30</f>
        <v>0</v>
      </c>
      <c r="AE37" s="61" t="n">
        <f aca="false">'Food Data'!AI31</f>
        <v>0</v>
      </c>
      <c r="AF37" s="61" t="n">
        <f aca="false">'Food Data'!AI32</f>
        <v>0</v>
      </c>
      <c r="AG37" s="61" t="n">
        <f aca="false">'Food Data'!AI33</f>
        <v>0</v>
      </c>
      <c r="AH37" s="61" t="n">
        <f aca="false">'Food Data'!AI34</f>
        <v>0</v>
      </c>
      <c r="AI37" s="61" t="n">
        <f aca="false">'Food Data'!AI35</f>
        <v>0</v>
      </c>
      <c r="AJ37" s="61" t="n">
        <f aca="false">'Food Data'!AI36</f>
        <v>0</v>
      </c>
      <c r="AK37" s="61" t="n">
        <f aca="false">'Food Data'!AI37</f>
        <v>0</v>
      </c>
      <c r="AL37" s="61" t="n">
        <f aca="false">'Food Data'!AI38</f>
        <v>0.5</v>
      </c>
      <c r="AM37" s="61" t="n">
        <f aca="false">'Food Data'!AI39</f>
        <v>0</v>
      </c>
      <c r="AN37" s="61" t="n">
        <f aca="false">'Food Data'!AI40</f>
        <v>0</v>
      </c>
      <c r="AO37" s="61" t="n">
        <f aca="false">'Food Data'!AI41</f>
        <v>0</v>
      </c>
      <c r="AP37" s="61" t="n">
        <f aca="false">'Food Data'!AI42</f>
        <v>0.5</v>
      </c>
      <c r="AQ37" s="61" t="n">
        <f aca="false">'Food Data'!AI43</f>
        <v>0.5</v>
      </c>
      <c r="AR37" s="61" t="n">
        <f aca="false">'Food Data'!AI44</f>
        <v>0.5</v>
      </c>
      <c r="AS37" s="61" t="n">
        <f aca="false">'Food Data'!AI45</f>
        <v>0.5</v>
      </c>
      <c r="AT37" s="61" t="n">
        <f aca="false">'Food Data'!AI46</f>
        <v>0</v>
      </c>
      <c r="AU37" s="61" t="n">
        <f aca="false">'Food Data'!AI47</f>
        <v>0</v>
      </c>
      <c r="AV37" s="61" t="n">
        <f aca="false">'Food Data'!AI48</f>
        <v>0.5</v>
      </c>
      <c r="AW37" s="61" t="n">
        <f aca="false">'Food Data'!AI49</f>
        <v>1</v>
      </c>
      <c r="AX37" s="61" t="n">
        <f aca="false">'Food Data'!AI50</f>
        <v>0</v>
      </c>
      <c r="AY37" s="61" t="n">
        <f aca="false">'Food Data'!AI51</f>
        <v>0</v>
      </c>
      <c r="AZ37" s="61" t="n">
        <f aca="false">'Food Data'!AI52</f>
        <v>0</v>
      </c>
      <c r="BA37" s="61" t="n">
        <f aca="false">'Food Data'!AI53</f>
        <v>0</v>
      </c>
      <c r="BB37" s="61" t="n">
        <f aca="false">'Food Data'!AI54</f>
        <v>0</v>
      </c>
      <c r="BC37" s="61" t="n">
        <f aca="false">'Food Data'!AI55</f>
        <v>0</v>
      </c>
      <c r="BD37" s="61" t="n">
        <f aca="false">'Food Data'!AI56</f>
        <v>0</v>
      </c>
      <c r="BE37" s="61" t="n">
        <f aca="false">'Food Data'!AI57</f>
        <v>0</v>
      </c>
      <c r="BF37" s="61" t="n">
        <f aca="false">'Food Data'!AI58</f>
        <v>0</v>
      </c>
      <c r="BG37" s="61" t="n">
        <f aca="false">'Food Data'!AI59</f>
        <v>0</v>
      </c>
      <c r="BH37" s="61" t="n">
        <f aca="false">'Food Data'!AI60</f>
        <v>0</v>
      </c>
      <c r="BI37" s="61" t="n">
        <f aca="false">'Food Data'!AI61</f>
        <v>0</v>
      </c>
      <c r="BJ37" s="61" t="n">
        <f aca="false">'Food Data'!AI62</f>
        <v>0</v>
      </c>
      <c r="BK37" s="61" t="n">
        <f aca="false">'Food Data'!AI63</f>
        <v>0</v>
      </c>
      <c r="BL37" s="61" t="n">
        <f aca="false">'Food Data'!AI64</f>
        <v>0</v>
      </c>
      <c r="BM37" s="61" t="n">
        <f aca="false">'Food Data'!AI65</f>
        <v>0</v>
      </c>
      <c r="BN37" s="61" t="n">
        <f aca="false">'Food Data'!AI66</f>
        <v>0</v>
      </c>
      <c r="BO37" s="61" t="n">
        <f aca="false">'Food Data'!AI67</f>
        <v>0</v>
      </c>
      <c r="BP37" s="61" t="n">
        <f aca="false">'Food Data'!AI68</f>
        <v>0</v>
      </c>
      <c r="BQ37" s="61" t="n">
        <f aca="false">'Food Data'!AI69</f>
        <v>0</v>
      </c>
      <c r="BR37" s="61" t="n">
        <f aca="false">'Food Data'!AI70</f>
        <v>0.5</v>
      </c>
      <c r="BS37" s="61" t="n">
        <f aca="false">'Food Data'!AI71</f>
        <v>0.5</v>
      </c>
      <c r="BT37" s="61" t="n">
        <f aca="false">'Food Data'!AI72</f>
        <v>0.5</v>
      </c>
      <c r="BU37" s="61" t="n">
        <f aca="false">'Food Data'!AI73</f>
        <v>0.5</v>
      </c>
      <c r="BV37" s="61" t="n">
        <f aca="false">'Food Data'!AI74</f>
        <v>0</v>
      </c>
      <c r="BW37" s="61" t="n">
        <f aca="false">'Food Data'!AI75</f>
        <v>0.5</v>
      </c>
      <c r="BX37" s="61" t="n">
        <f aca="false">'Food Data'!AI76</f>
        <v>1</v>
      </c>
      <c r="BY37" s="61" t="n">
        <f aca="false">'Food Data'!AI77</f>
        <v>1</v>
      </c>
      <c r="BZ37" s="61" t="n">
        <f aca="false">'Food Data'!AI78</f>
        <v>1</v>
      </c>
      <c r="CA37" s="61" t="n">
        <f aca="false">'Food Data'!AI79</f>
        <v>1</v>
      </c>
      <c r="CB37" s="61" t="n">
        <f aca="false">'Food Data'!AI80</f>
        <v>1</v>
      </c>
      <c r="CC37" s="61" t="n">
        <f aca="false">'Food Data'!AI81</f>
        <v>0.5</v>
      </c>
      <c r="CD37" s="61" t="n">
        <f aca="false">'Food Data'!AI82</f>
        <v>0.5</v>
      </c>
      <c r="CE37" s="61" t="n">
        <f aca="false">'Food Data'!AI83</f>
        <v>1</v>
      </c>
      <c r="CF37" s="61" t="n">
        <f aca="false">'Food Data'!AI84</f>
        <v>0.5</v>
      </c>
      <c r="CG37" s="61" t="n">
        <f aca="false">'Food Data'!AI85</f>
        <v>0.5</v>
      </c>
      <c r="CH37" s="61" t="n">
        <f aca="false">'Food Data'!AI86</f>
        <v>0.5</v>
      </c>
      <c r="CI37" s="61" t="n">
        <f aca="false">'Food Data'!AI87</f>
        <v>0.5</v>
      </c>
      <c r="CJ37" s="61" t="n">
        <f aca="false">'Food Data'!AI88</f>
        <v>0</v>
      </c>
      <c r="CK37" s="61" t="n">
        <f aca="false">'Food Data'!AI89</f>
        <v>0.5</v>
      </c>
      <c r="CL37" s="61" t="n">
        <f aca="false">'Food Data'!AI90</f>
        <v>0.5</v>
      </c>
      <c r="CM37" s="61" t="n">
        <f aca="false">'Food Data'!AI91</f>
        <v>0.5</v>
      </c>
      <c r="CN37" s="61" t="n">
        <f aca="false">'Food Data'!AI92</f>
        <v>0.5</v>
      </c>
      <c r="CO37" s="61" t="n">
        <f aca="false">'Food Data'!AI93</f>
        <v>0.5</v>
      </c>
      <c r="CP37" s="61" t="n">
        <f aca="false">'Food Data'!AI94</f>
        <v>0.5</v>
      </c>
      <c r="CQ37" s="61" t="n">
        <f aca="false">'Food Data'!AI95</f>
        <v>0.5</v>
      </c>
      <c r="CR37" s="61" t="n">
        <f aca="false">'Food Data'!AI96</f>
        <v>0.5</v>
      </c>
      <c r="CS37" s="61" t="n">
        <f aca="false">'Food Data'!AI97</f>
        <v>1</v>
      </c>
      <c r="CT37" s="61" t="n">
        <f aca="false">'Food Data'!AI98</f>
        <v>1</v>
      </c>
      <c r="CU37" s="61" t="n">
        <f aca="false">'Food Data'!AI99</f>
        <v>1</v>
      </c>
      <c r="CV37" s="61" t="n">
        <f aca="false">'Food Data'!AI100</f>
        <v>0.5</v>
      </c>
      <c r="CW37" s="61" t="n">
        <f aca="false">'Food Data'!AI101</f>
        <v>0.5</v>
      </c>
      <c r="CX37" s="61" t="n">
        <f aca="false">'Food Data'!AI102</f>
        <v>0.5</v>
      </c>
      <c r="CY37" s="61" t="n">
        <f aca="false">'Food Data'!AI103</f>
        <v>1</v>
      </c>
      <c r="CZ37" s="61" t="n">
        <f aca="false">'Food Data'!AI104</f>
        <v>0</v>
      </c>
      <c r="DA37" s="61" t="n">
        <f aca="false">'Food Data'!AI105</f>
        <v>0</v>
      </c>
      <c r="DB37" s="61" t="n">
        <f aca="false">'Food Data'!AI106</f>
        <v>0.5</v>
      </c>
      <c r="DC37" s="61" t="n">
        <f aca="false">'Food Data'!AI107</f>
        <v>0</v>
      </c>
      <c r="DD37" s="61" t="n">
        <f aca="false">'Food Data'!AI108</f>
        <v>0</v>
      </c>
      <c r="DE37" s="61" t="n">
        <f aca="false">'Food Data'!AI109</f>
        <v>0</v>
      </c>
      <c r="DF37" s="61" t="n">
        <f aca="false">'Food Data'!AI110</f>
        <v>0</v>
      </c>
      <c r="DG37" s="61" t="n">
        <f aca="false">'Food Data'!AI111</f>
        <v>0</v>
      </c>
      <c r="DH37" s="61" t="n">
        <f aca="false">'Food Data'!AI112</f>
        <v>0</v>
      </c>
      <c r="DI37" s="61" t="n">
        <f aca="false">'Food Data'!AI113</f>
        <v>0.5</v>
      </c>
      <c r="DJ37" s="61" t="n">
        <f aca="false">'Food Data'!AI114</f>
        <v>0</v>
      </c>
      <c r="DK37" s="61" t="n">
        <f aca="false">'Food Data'!AI115</f>
        <v>0</v>
      </c>
      <c r="DL37" s="61" t="n">
        <f aca="false">'Food Data'!AI116</f>
        <v>0</v>
      </c>
      <c r="DM37" s="61" t="n">
        <f aca="false">'Food Data'!AI117</f>
        <v>0.5</v>
      </c>
      <c r="DN37" s="61" t="n">
        <f aca="false">'Food Data'!AI118</f>
        <v>0</v>
      </c>
      <c r="DO37" s="61" t="n">
        <f aca="false">'Food Data'!AI119</f>
        <v>0</v>
      </c>
      <c r="DP37" s="61" t="n">
        <f aca="false">'Food Data'!AI120</f>
        <v>0</v>
      </c>
      <c r="DQ37" s="61" t="n">
        <f aca="false">'Food Data'!AI121</f>
        <v>0</v>
      </c>
      <c r="DR37" s="61" t="n">
        <f aca="false">'Food Data'!AI122</f>
        <v>0</v>
      </c>
      <c r="DS37" s="61" t="n">
        <f aca="false">'Food Data'!AI123</f>
        <v>0</v>
      </c>
      <c r="DT37" s="61" t="n">
        <f aca="false">'Food Data'!AI124</f>
        <v>0</v>
      </c>
      <c r="DU37" s="61" t="n">
        <f aca="false">'Food Data'!AI125</f>
        <v>0</v>
      </c>
      <c r="DV37" s="61" t="n">
        <f aca="false">'Food Data'!AI126</f>
        <v>0</v>
      </c>
      <c r="DW37" s="61" t="n">
        <f aca="false">'Food Data'!AI127</f>
        <v>0</v>
      </c>
      <c r="DX37" s="61" t="n">
        <f aca="false">'Food Data'!AI128</f>
        <v>0</v>
      </c>
      <c r="DY37" s="61" t="n">
        <f aca="false">'Food Data'!AI129</f>
        <v>0</v>
      </c>
      <c r="DZ37" s="61" t="n">
        <f aca="false">'Food Data'!AI130</f>
        <v>0</v>
      </c>
      <c r="EA37" s="61" t="n">
        <f aca="false">'Food Data'!AI131</f>
        <v>0</v>
      </c>
      <c r="EB37" s="61" t="n">
        <f aca="false">'Food Data'!AI132</f>
        <v>0</v>
      </c>
      <c r="EC37" s="61" t="n">
        <f aca="false">'Food Data'!AI133</f>
        <v>0</v>
      </c>
      <c r="ED37" s="61" t="n">
        <f aca="false">'Food Data'!AI134</f>
        <v>0</v>
      </c>
      <c r="EE37" s="61" t="n">
        <f aca="false">'Food Data'!AI135</f>
        <v>0</v>
      </c>
      <c r="EF37" s="61" t="n">
        <f aca="false">'Food Data'!AI136</f>
        <v>0</v>
      </c>
      <c r="EG37" s="61" t="n">
        <f aca="false">'Food Data'!AI137</f>
        <v>0</v>
      </c>
      <c r="EH37" s="61" t="n">
        <f aca="false">'Food Data'!AI138</f>
        <v>0</v>
      </c>
      <c r="EI37" s="61" t="n">
        <f aca="false">'Food Data'!AI139</f>
        <v>0</v>
      </c>
      <c r="EJ37" s="61" t="n">
        <f aca="false">'Food Data'!AI140</f>
        <v>0</v>
      </c>
      <c r="EK37" s="61" t="n">
        <f aca="false">'Food Data'!AI141</f>
        <v>0</v>
      </c>
      <c r="EL37" s="61" t="n">
        <f aca="false">'Food Data'!AI142</f>
        <v>0</v>
      </c>
      <c r="EM37" s="61" t="n">
        <f aca="false">'Food Data'!AI143</f>
        <v>0</v>
      </c>
      <c r="EN37" s="61" t="n">
        <f aca="false">'Food Data'!AI144</f>
        <v>0</v>
      </c>
      <c r="EO37" s="61" t="n">
        <f aca="false">'Food Data'!AI145</f>
        <v>0</v>
      </c>
      <c r="EP37" s="61" t="n">
        <f aca="false">'Food Data'!AI146</f>
        <v>1</v>
      </c>
      <c r="EQ37" s="61" t="n">
        <f aca="false">'Food Data'!AI147</f>
        <v>0</v>
      </c>
      <c r="ER37" s="61" t="n">
        <f aca="false">'Food Data'!AI148</f>
        <v>1</v>
      </c>
      <c r="ES37" s="61" t="n">
        <f aca="false">'Food Data'!AI149</f>
        <v>1</v>
      </c>
      <c r="ET37" s="61" t="n">
        <f aca="false">'Food Data'!AI150</f>
        <v>1</v>
      </c>
      <c r="EU37" s="61" t="n">
        <f aca="false">'Food Data'!AI151</f>
        <v>1</v>
      </c>
    </row>
    <row r="39" customFormat="false" ht="15" hidden="false" customHeight="false" outlineLevel="0" collapsed="false">
      <c r="A39" s="3" t="s">
        <v>967</v>
      </c>
    </row>
    <row r="40" customFormat="false" ht="57.75" hidden="false" customHeight="true" outlineLevel="0" collapsed="false">
      <c r="A40" s="16" t="s">
        <v>968</v>
      </c>
      <c r="B40" s="16" t="s">
        <v>969</v>
      </c>
      <c r="C40" s="16" t="s">
        <v>970</v>
      </c>
      <c r="D40" s="16" t="s">
        <v>971</v>
      </c>
      <c r="E40" s="16" t="s">
        <v>16</v>
      </c>
      <c r="F40" s="74" t="str">
        <f aca="false">F13</f>
        <v>Chicken breast (boneless, skinless)</v>
      </c>
      <c r="G40" s="74" t="str">
        <f aca="false">G13</f>
        <v>Chicken drumsticks (bone-in)</v>
      </c>
      <c r="H40" s="74" t="str">
        <f aca="false">H13</f>
        <v>Chicken thighs (boneless, skinless)</v>
      </c>
      <c r="I40" s="74" t="str">
        <f aca="false">I13</f>
        <v>Deli turkey breast (sliced)</v>
      </c>
      <c r="J40" s="74" t="str">
        <f aca="false">J13</f>
        <v>Ground turkey 93/7</v>
      </c>
      <c r="K40" s="74" t="str">
        <f aca="false">K13</f>
        <v>Whole chicken</v>
      </c>
      <c r="L40" s="74" t="str">
        <f aca="false">L13</f>
        <v>Bacon</v>
      </c>
      <c r="M40" s="74" t="str">
        <f aca="false">M13</f>
        <v>Beef for stew (boneless)</v>
      </c>
      <c r="N40" s="74" t="str">
        <f aca="false">N13</f>
        <v>Ground beef 80/20</v>
      </c>
      <c r="O40" s="74" t="str">
        <f aca="false">O13</f>
        <v>Ground beef 93/7 (lean)</v>
      </c>
      <c r="P40" s="74" t="str">
        <f aca="false">P13</f>
        <v>Ham (sliced, cooked)</v>
      </c>
      <c r="Q40" s="74" t="str">
        <f aca="false">Q13</f>
        <v>Pork loin chops (boneless)</v>
      </c>
      <c r="R40" s="74" t="str">
        <f aca="false">R13</f>
        <v>Round steak (boneless)</v>
      </c>
      <c r="S40" s="74" t="str">
        <f aca="false">S13</f>
        <v>Top sirloin steak</v>
      </c>
      <c r="T40" s="74" t="str">
        <f aca="false">T13</f>
        <v>Canned light tuna (in water)</v>
      </c>
      <c r="U40" s="74" t="str">
        <f aca="false">U13</f>
        <v>Salmon (Atlantic, fillet)</v>
      </c>
      <c r="V40" s="74" t="str">
        <f aca="false">V13</f>
        <v>Shrimp (raw, peeled)</v>
      </c>
      <c r="W40" s="74" t="str">
        <f aca="false">W13</f>
        <v>Tilapia (fillet)</v>
      </c>
      <c r="X40" s="74" t="str">
        <f aca="false">X13</f>
        <v>Eggs (large)</v>
      </c>
      <c r="Y40" s="74" t="str">
        <f aca="false">Y13</f>
        <v>Black beans (canned)</v>
      </c>
      <c r="Z40" s="74" t="str">
        <f aca="false">Z13</f>
        <v>Black beans (dry)</v>
      </c>
      <c r="AA40" s="74" t="str">
        <f aca="false">AA13</f>
        <v>Black-eyed peas (canned)</v>
      </c>
      <c r="AB40" s="74" t="str">
        <f aca="false">AB13</f>
        <v>Black-eyed peas (dry)</v>
      </c>
      <c r="AC40" s="74" t="str">
        <f aca="false">AC13</f>
        <v>Chickpeas (canned)</v>
      </c>
      <c r="AD40" s="74" t="str">
        <f aca="false">AD13</f>
        <v>Great northern beans (canned)</v>
      </c>
      <c r="AE40" s="74" t="str">
        <f aca="false">AE13</f>
        <v>Great northern beans (dry)</v>
      </c>
      <c r="AF40" s="74" t="str">
        <f aca="false">AF13</f>
        <v>Kidney beans (canned)</v>
      </c>
      <c r="AG40" s="74" t="str">
        <f aca="false">AG13</f>
        <v>Kidney beans (dry)</v>
      </c>
      <c r="AH40" s="74" t="str">
        <f aca="false">AH13</f>
        <v>Lentils (dry)</v>
      </c>
      <c r="AI40" s="74" t="str">
        <f aca="false">AI13</f>
        <v>Lima beans (dry)</v>
      </c>
      <c r="AJ40" s="74" t="str">
        <f aca="false">AJ13</f>
        <v>Navy beans (canned)</v>
      </c>
      <c r="AK40" s="74" t="str">
        <f aca="false">AK13</f>
        <v>Navy beans (dry)</v>
      </c>
      <c r="AL40" s="74" t="str">
        <f aca="false">AL13</f>
        <v>Peanut butter</v>
      </c>
      <c r="AM40" s="74" t="str">
        <f aca="false">AM13</f>
        <v>Pinto beans (canned)</v>
      </c>
      <c r="AN40" s="74" t="str">
        <f aca="false">AN13</f>
        <v>Pinto beans (dry)</v>
      </c>
      <c r="AO40" s="74" t="str">
        <f aca="false">AO13</f>
        <v>Tofu (extra firm)</v>
      </c>
      <c r="AP40" s="74" t="str">
        <f aca="false">AP13</f>
        <v>2% milk</v>
      </c>
      <c r="AQ40" s="74" t="str">
        <f aca="false">AQ13</f>
        <v>Greek yogurt (plain, nonfat)</v>
      </c>
      <c r="AR40" s="74" t="str">
        <f aca="false">AR13</f>
        <v>Soy milk (calcium-fortified)</v>
      </c>
      <c r="AS40" s="74" t="str">
        <f aca="false">AS13</f>
        <v>Whole milk</v>
      </c>
      <c r="AT40" s="74" t="str">
        <f aca="false">AT13</f>
        <v>American cheese (singles)</v>
      </c>
      <c r="AU40" s="74" t="str">
        <f aca="false">AU13</f>
        <v>Cheddar cheese</v>
      </c>
      <c r="AV40" s="74" t="str">
        <f aca="false">AV13</f>
        <v>Cottage cheese (2%)</v>
      </c>
      <c r="AW40" s="74" t="str">
        <f aca="false">AW13</f>
        <v>Mozzarella string cheese</v>
      </c>
      <c r="AX40" s="74" t="str">
        <f aca="false">AX13</f>
        <v>Bagels (plain)</v>
      </c>
      <c r="AY40" s="74" t="str">
        <f aca="false">AY13</f>
        <v>Brown rice (dry)</v>
      </c>
      <c r="AZ40" s="74" t="str">
        <f aca="false">AZ13</f>
        <v>Cheerios</v>
      </c>
      <c r="BA40" s="74" t="str">
        <f aca="false">BA13</f>
        <v>Corn tortillas</v>
      </c>
      <c r="BB40" s="74" t="str">
        <f aca="false">BB13</f>
        <v>Flour tortillas</v>
      </c>
      <c r="BC40" s="74" t="str">
        <f aca="false">BC13</f>
        <v>Quinoa (dry)</v>
      </c>
      <c r="BD40" s="74" t="str">
        <f aca="false">BD13</f>
        <v>Rolled oats (dry)</v>
      </c>
      <c r="BE40" s="74" t="str">
        <f aca="false">BE13</f>
        <v>Spaghetti (dry)</v>
      </c>
      <c r="BF40" s="74" t="str">
        <f aca="false">BF13</f>
        <v>White bread</v>
      </c>
      <c r="BG40" s="74" t="str">
        <f aca="false">BG13</f>
        <v>White rice (dry)</v>
      </c>
      <c r="BH40" s="74" t="str">
        <f aca="false">BH13</f>
        <v>Whole-wheat bread</v>
      </c>
      <c r="BI40" s="74" t="str">
        <f aca="false">BI13</f>
        <v>Whole-wheat spaghetti (dry)</v>
      </c>
      <c r="BJ40" s="74" t="str">
        <f aca="false">BJ13</f>
        <v>Baby lima beans (frozen)</v>
      </c>
      <c r="BK40" s="74" t="str">
        <f aca="false">BK13</f>
        <v>Corn (canned)</v>
      </c>
      <c r="BL40" s="74" t="str">
        <f aca="false">BL13</f>
        <v>Corn (frozen)</v>
      </c>
      <c r="BM40" s="74" t="str">
        <f aca="false">BM13</f>
        <v>French fries (frozen)</v>
      </c>
      <c r="BN40" s="74" t="str">
        <f aca="false">BN13</f>
        <v>Green peas (canned)</v>
      </c>
      <c r="BO40" s="74" t="str">
        <f aca="false">BO13</f>
        <v>Green peas (frozen)</v>
      </c>
      <c r="BP40" s="74" t="str">
        <f aca="false">BP13</f>
        <v>Potatoes (russet)</v>
      </c>
      <c r="BQ40" s="74" t="str">
        <f aca="false">BQ13</f>
        <v>Sweet potatoes</v>
      </c>
      <c r="BR40" s="74" t="str">
        <f aca="false">BR13</f>
        <v>Apples (Gala)</v>
      </c>
      <c r="BS40" s="74" t="str">
        <f aca="false">BS13</f>
        <v>Applesauce (unsweetened)</v>
      </c>
      <c r="BT40" s="74" t="str">
        <f aca="false">BT13</f>
        <v>Bananas</v>
      </c>
      <c r="BU40" s="74" t="str">
        <f aca="false">BU13</f>
        <v>Blackberries</v>
      </c>
      <c r="BV40" s="74" t="str">
        <f aca="false">BV13</f>
        <v>Blueberries (frozen)</v>
      </c>
      <c r="BW40" s="74" t="str">
        <f aca="false">BW13</f>
        <v>Cantaloupe</v>
      </c>
      <c r="BX40" s="74" t="str">
        <f aca="false">BX13</f>
        <v>Cherries</v>
      </c>
      <c r="BY40" s="74" t="str">
        <f aca="false">BY13</f>
        <v>Clementines</v>
      </c>
      <c r="BZ40" s="74" t="str">
        <f aca="false">BZ13</f>
        <v>Dates (pitted)</v>
      </c>
      <c r="CA40" s="74" t="str">
        <f aca="false">CA13</f>
        <v>Dried apricots</v>
      </c>
      <c r="CB40" s="74" t="str">
        <f aca="false">CB13</f>
        <v>Dried cranberries (sweetened)</v>
      </c>
      <c r="CC40" s="74" t="str">
        <f aca="false">CC13</f>
        <v>Fruit cocktail (canned in juice)</v>
      </c>
      <c r="CD40" s="74" t="str">
        <f aca="false">CD13</f>
        <v>Grapefruit</v>
      </c>
      <c r="CE40" s="74" t="str">
        <f aca="false">CE13</f>
        <v>Grapes (red seedless)</v>
      </c>
      <c r="CF40" s="74" t="str">
        <f aca="false">CF13</f>
        <v>Honeydew melon</v>
      </c>
      <c r="CG40" s="74" t="str">
        <f aca="false">CG13</f>
        <v>Kiwifruit</v>
      </c>
      <c r="CH40" s="74" t="str">
        <f aca="false">CH13</f>
        <v>Mango</v>
      </c>
      <c r="CI40" s="74" t="str">
        <f aca="false">CI13</f>
        <v>Nectarines</v>
      </c>
      <c r="CJ40" s="74" t="str">
        <f aca="false">CJ13</f>
        <v>Orange juice (100%)</v>
      </c>
      <c r="CK40" s="74" t="str">
        <f aca="false">CK13</f>
        <v>Oranges (navel)</v>
      </c>
      <c r="CL40" s="74" t="str">
        <f aca="false">CL13</f>
        <v>Papaya</v>
      </c>
      <c r="CM40" s="74" t="str">
        <f aca="false">CM13</f>
        <v>Peaches</v>
      </c>
      <c r="CN40" s="74" t="str">
        <f aca="false">CN13</f>
        <v>Peaches (canned in juice)</v>
      </c>
      <c r="CO40" s="74" t="str">
        <f aca="false">CO13</f>
        <v>Pears</v>
      </c>
      <c r="CP40" s="74" t="str">
        <f aca="false">CP13</f>
        <v>Pears (canned in juice)</v>
      </c>
      <c r="CQ40" s="74" t="str">
        <f aca="false">CQ13</f>
        <v>Pineapple</v>
      </c>
      <c r="CR40" s="74" t="str">
        <f aca="false">CR13</f>
        <v>Pineapple (canned in juice)</v>
      </c>
      <c r="CS40" s="74" t="str">
        <f aca="false">CS13</f>
        <v>Plums</v>
      </c>
      <c r="CT40" s="74" t="str">
        <f aca="false">CT13</f>
        <v>Prunes (pitted)</v>
      </c>
      <c r="CU40" s="74" t="str">
        <f aca="false">CU13</f>
        <v>Raisins</v>
      </c>
      <c r="CV40" s="74" t="str">
        <f aca="false">CV13</f>
        <v>Raspberries</v>
      </c>
      <c r="CW40" s="74" t="str">
        <f aca="false">CW13</f>
        <v>Strawberries</v>
      </c>
      <c r="CX40" s="74" t="str">
        <f aca="false">CX13</f>
        <v>Strawberries (frozen)</v>
      </c>
      <c r="CY40" s="74" t="str">
        <f aca="false">CY13</f>
        <v>Watermelon</v>
      </c>
      <c r="CZ40" s="74" t="str">
        <f aca="false">CZ13</f>
        <v>Acorn squash</v>
      </c>
      <c r="DA40" s="74" t="str">
        <f aca="false">DA13</f>
        <v>Asparagus</v>
      </c>
      <c r="DB40" s="74" t="str">
        <f aca="false">DB13</f>
        <v>Baby carrots</v>
      </c>
      <c r="DC40" s="74" t="str">
        <f aca="false">DC13</f>
        <v>Beets (canned)</v>
      </c>
      <c r="DD40" s="74" t="str">
        <f aca="false">DD13</f>
        <v>Broccoli (frozen)</v>
      </c>
      <c r="DE40" s="74" t="str">
        <f aca="false">DE13</f>
        <v>Brussels sprouts (frozen)</v>
      </c>
      <c r="DF40" s="74" t="str">
        <f aca="false">DF13</f>
        <v>Butternut squash</v>
      </c>
      <c r="DG40" s="74" t="str">
        <f aca="false">DG13</f>
        <v>Cabbage (green)</v>
      </c>
      <c r="DH40" s="74" t="str">
        <f aca="false">DH13</f>
        <v>Cabbage (red)</v>
      </c>
      <c r="DI40" s="74" t="str">
        <f aca="false">DI13</f>
        <v>Carrots</v>
      </c>
      <c r="DJ40" s="74" t="str">
        <f aca="false">DJ13</f>
        <v>Carrots (canned)</v>
      </c>
      <c r="DK40" s="74" t="str">
        <f aca="false">DK13</f>
        <v>Carrots (frozen)</v>
      </c>
      <c r="DL40" s="74" t="str">
        <f aca="false">DL13</f>
        <v>Cauliflower (frozen)</v>
      </c>
      <c r="DM40" s="74" t="str">
        <f aca="false">DM13</f>
        <v>Celery</v>
      </c>
      <c r="DN40" s="74" t="str">
        <f aca="false">DN13</f>
        <v>Collard greens</v>
      </c>
      <c r="DO40" s="74" t="str">
        <f aca="false">DO13</f>
        <v>Collard greens (frozen)</v>
      </c>
      <c r="DP40" s="74" t="str">
        <f aca="false">DP13</f>
        <v>Cucumber</v>
      </c>
      <c r="DQ40" s="74" t="str">
        <f aca="false">DQ13</f>
        <v>Green beans (canned)</v>
      </c>
      <c r="DR40" s="74" t="str">
        <f aca="false">DR13</f>
        <v>Green beans (frozen)</v>
      </c>
      <c r="DS40" s="74" t="str">
        <f aca="false">DS13</f>
        <v>Green bell pepper</v>
      </c>
      <c r="DT40" s="74" t="str">
        <f aca="false">DT13</f>
        <v>Iceberg lettuce</v>
      </c>
      <c r="DU40" s="74" t="str">
        <f aca="false">DU13</f>
        <v>Kale (frozen)</v>
      </c>
      <c r="DV40" s="74" t="str">
        <f aca="false">DV13</f>
        <v>Mixed vegetables (frozen)</v>
      </c>
      <c r="DW40" s="74" t="str">
        <f aca="false">DW13</f>
        <v>Mushrooms (white)</v>
      </c>
      <c r="DX40" s="74" t="str">
        <f aca="false">DX13</f>
        <v>Mustard greens (frozen)</v>
      </c>
      <c r="DY40" s="74" t="str">
        <f aca="false">DY13</f>
        <v>Okra (frozen)</v>
      </c>
      <c r="DZ40" s="74" t="str">
        <f aca="false">DZ13</f>
        <v>Onions (yellow)</v>
      </c>
      <c r="EA40" s="74" t="str">
        <f aca="false">EA13</f>
        <v>Pumpkin (canned)</v>
      </c>
      <c r="EB40" s="74" t="str">
        <f aca="false">EB13</f>
        <v>Radishes</v>
      </c>
      <c r="EC40" s="74" t="str">
        <f aca="false">EC13</f>
        <v>Red bell pepper</v>
      </c>
      <c r="ED40" s="74" t="str">
        <f aca="false">ED13</f>
        <v>Romaine lettuce</v>
      </c>
      <c r="EE40" s="74" t="str">
        <f aca="false">EE13</f>
        <v>Sauerkraut (canned)</v>
      </c>
      <c r="EF40" s="74" t="str">
        <f aca="false">EF13</f>
        <v>Spinach (canned)</v>
      </c>
      <c r="EG40" s="74" t="str">
        <f aca="false">EG13</f>
        <v>Spinach (fresh)</v>
      </c>
      <c r="EH40" s="74" t="str">
        <f aca="false">EH13</f>
        <v>Spinach (frozen)</v>
      </c>
      <c r="EI40" s="74" t="str">
        <f aca="false">EI13</f>
        <v>Tomatoes (canned)</v>
      </c>
      <c r="EJ40" s="74" t="str">
        <f aca="false">EJ13</f>
        <v>Tomatoes (roma)</v>
      </c>
      <c r="EK40" s="74" t="str">
        <f aca="false">EK13</f>
        <v>Turnip greens (frozen)</v>
      </c>
      <c r="EL40" s="74" t="str">
        <f aca="false">EL13</f>
        <v>Zucchini</v>
      </c>
      <c r="EM40" s="74" t="str">
        <f aca="false">EM13</f>
        <v>Butter (salted)</v>
      </c>
      <c r="EN40" s="74" t="str">
        <f aca="false">EN13</f>
        <v>Canola oil</v>
      </c>
      <c r="EO40" s="74" t="str">
        <f aca="false">EO13</f>
        <v>Olive oil (extra virgin)</v>
      </c>
      <c r="EP40" s="74" t="str">
        <f aca="false">EP13</f>
        <v>Almonds</v>
      </c>
      <c r="EQ40" s="74" t="str">
        <f aca="false">EQ13</f>
        <v>Avocado (Hass)</v>
      </c>
      <c r="ER40" s="74" t="str">
        <f aca="false">ER13</f>
        <v>Chocolate chip cookies</v>
      </c>
      <c r="ES40" s="74" t="str">
        <f aca="false">ES13</f>
        <v>Granola bars (chocolate chip)</v>
      </c>
      <c r="ET40" s="74" t="str">
        <f aca="false">ET13</f>
        <v>Potato chips</v>
      </c>
      <c r="EU40" s="74" t="str">
        <f aca="false">EU13</f>
        <v>Vanilla ice cream</v>
      </c>
    </row>
    <row r="41" customFormat="false" ht="15" hidden="false" customHeight="false" outlineLevel="0" collapsed="false">
      <c r="A41" s="4" t="s">
        <v>972</v>
      </c>
      <c r="B41" s="75" t="s">
        <v>973</v>
      </c>
      <c r="C41" s="76" t="n">
        <f aca="false">Planner!$E$16*(1-Planner!$C$42)</f>
        <v>2878.5</v>
      </c>
      <c r="D41" s="77" t="n">
        <f aca="false" t="array" ref="D41:D118">MMULT(F41:EU118,C123:C268)</f>
        <v>2878.499999883</v>
      </c>
      <c r="E41" s="75" t="str">
        <f aca="false">IF(D41&gt;=C41-0.000001*MAX(1,ABS(C41)),IF(ABS(D41-C41)&lt;=0.000001*MAX(1,ABS(C41)),"tight","ok"),"VIOLATED")</f>
        <v>tight</v>
      </c>
      <c r="F41" s="24" t="n">
        <f aca="false">F$20</f>
        <v>120</v>
      </c>
      <c r="G41" s="24" t="n">
        <f aca="false">G$20</f>
        <v>161</v>
      </c>
      <c r="H41" s="24" t="n">
        <f aca="false">H$20</f>
        <v>121</v>
      </c>
      <c r="I41" s="24" t="n">
        <f aca="false">I$20</f>
        <v>100</v>
      </c>
      <c r="J41" s="24" t="n">
        <f aca="false">J$20</f>
        <v>150</v>
      </c>
      <c r="K41" s="24" t="n">
        <f aca="false">K$20</f>
        <v>215</v>
      </c>
      <c r="L41" s="24" t="n">
        <f aca="false">L$20</f>
        <v>417</v>
      </c>
      <c r="M41" s="24" t="n">
        <f aca="false">M$20</f>
        <v>128</v>
      </c>
      <c r="N41" s="24" t="n">
        <f aca="false">N$20</f>
        <v>254</v>
      </c>
      <c r="O41" s="24" t="n">
        <f aca="false">O$20</f>
        <v>152</v>
      </c>
      <c r="P41" s="24" t="n">
        <f aca="false">P$20</f>
        <v>163</v>
      </c>
      <c r="Q41" s="24" t="n">
        <f aca="false">Q$20</f>
        <v>201</v>
      </c>
      <c r="R41" s="24" t="n">
        <f aca="false">R$20</f>
        <v>168</v>
      </c>
      <c r="S41" s="24" t="n">
        <f aca="false">S$20</f>
        <v>214</v>
      </c>
      <c r="T41" s="24" t="n">
        <f aca="false">T$20</f>
        <v>86</v>
      </c>
      <c r="U41" s="24" t="n">
        <f aca="false">U$20</f>
        <v>208</v>
      </c>
      <c r="V41" s="24" t="n">
        <f aca="false">V$20</f>
        <v>71</v>
      </c>
      <c r="W41" s="24" t="n">
        <f aca="false">W$20</f>
        <v>96</v>
      </c>
      <c r="X41" s="24" t="n">
        <f aca="false">X$20</f>
        <v>143</v>
      </c>
      <c r="Y41" s="24" t="n">
        <f aca="false">Y$20</f>
        <v>91</v>
      </c>
      <c r="Z41" s="24" t="n">
        <f aca="false">Z$20</f>
        <v>341</v>
      </c>
      <c r="AA41" s="24" t="n">
        <f aca="false">AA$20</f>
        <v>77</v>
      </c>
      <c r="AB41" s="24" t="n">
        <f aca="false">AB$20</f>
        <v>336</v>
      </c>
      <c r="AC41" s="24" t="n">
        <f aca="false">AC$20</f>
        <v>88</v>
      </c>
      <c r="AD41" s="24" t="n">
        <f aca="false">AD$20</f>
        <v>114</v>
      </c>
      <c r="AE41" s="24" t="n">
        <f aca="false">AE$20</f>
        <v>339</v>
      </c>
      <c r="AF41" s="24" t="n">
        <f aca="false">AF$20</f>
        <v>81</v>
      </c>
      <c r="AG41" s="24" t="n">
        <f aca="false">AG$20</f>
        <v>333</v>
      </c>
      <c r="AH41" s="24" t="n">
        <f aca="false">AH$20</f>
        <v>352</v>
      </c>
      <c r="AI41" s="24" t="n">
        <f aca="false">AI$20</f>
        <v>338</v>
      </c>
      <c r="AJ41" s="24" t="n">
        <f aca="false">AJ$20</f>
        <v>113</v>
      </c>
      <c r="AK41" s="24" t="n">
        <f aca="false">AK$20</f>
        <v>337</v>
      </c>
      <c r="AL41" s="24" t="n">
        <f aca="false">AL$20</f>
        <v>598</v>
      </c>
      <c r="AM41" s="24" t="n">
        <f aca="false">AM$20</f>
        <v>82</v>
      </c>
      <c r="AN41" s="24" t="n">
        <f aca="false">AN$20</f>
        <v>347</v>
      </c>
      <c r="AO41" s="24" t="n">
        <f aca="false">AO$20</f>
        <v>98</v>
      </c>
      <c r="AP41" s="24" t="n">
        <f aca="false">AP$20</f>
        <v>50</v>
      </c>
      <c r="AQ41" s="24" t="n">
        <f aca="false">AQ$20</f>
        <v>59</v>
      </c>
      <c r="AR41" s="24" t="n">
        <f aca="false">AR$20</f>
        <v>43</v>
      </c>
      <c r="AS41" s="24" t="n">
        <f aca="false">AS$20</f>
        <v>61</v>
      </c>
      <c r="AT41" s="24" t="n">
        <f aca="false">AT$20</f>
        <v>366</v>
      </c>
      <c r="AU41" s="24" t="n">
        <f aca="false">AU$20</f>
        <v>404</v>
      </c>
      <c r="AV41" s="24" t="n">
        <f aca="false">AV$20</f>
        <v>81</v>
      </c>
      <c r="AW41" s="24" t="n">
        <f aca="false">AW$20</f>
        <v>295</v>
      </c>
      <c r="AX41" s="24" t="n">
        <f aca="false">AX$20</f>
        <v>264</v>
      </c>
      <c r="AY41" s="24" t="n">
        <f aca="false">AY$20</f>
        <v>367</v>
      </c>
      <c r="AZ41" s="24" t="n">
        <f aca="false">AZ$20</f>
        <v>376</v>
      </c>
      <c r="BA41" s="24" t="n">
        <f aca="false">BA$20</f>
        <v>218</v>
      </c>
      <c r="BB41" s="24" t="n">
        <f aca="false">BB$20</f>
        <v>297</v>
      </c>
      <c r="BC41" s="24" t="n">
        <f aca="false">BC$20</f>
        <v>368</v>
      </c>
      <c r="BD41" s="24" t="n">
        <f aca="false">BD$20</f>
        <v>379</v>
      </c>
      <c r="BE41" s="24" t="n">
        <f aca="false">BE$20</f>
        <v>371</v>
      </c>
      <c r="BF41" s="24" t="n">
        <f aca="false">BF$20</f>
        <v>266</v>
      </c>
      <c r="BG41" s="24" t="n">
        <f aca="false">BG$20</f>
        <v>365</v>
      </c>
      <c r="BH41" s="24" t="n">
        <f aca="false">BH$20</f>
        <v>252</v>
      </c>
      <c r="BI41" s="24" t="n">
        <f aca="false">BI$20</f>
        <v>352</v>
      </c>
      <c r="BJ41" s="24" t="n">
        <f aca="false">BJ$20</f>
        <v>132</v>
      </c>
      <c r="BK41" s="24" t="n">
        <f aca="false">BK$20</f>
        <v>61</v>
      </c>
      <c r="BL41" s="24" t="n">
        <f aca="false">BL$20</f>
        <v>88</v>
      </c>
      <c r="BM41" s="24" t="n">
        <f aca="false">BM$20</f>
        <v>150</v>
      </c>
      <c r="BN41" s="24" t="n">
        <f aca="false">BN$20</f>
        <v>58</v>
      </c>
      <c r="BO41" s="24" t="n">
        <f aca="false">BO$20</f>
        <v>77</v>
      </c>
      <c r="BP41" s="24" t="n">
        <f aca="false">BP$20</f>
        <v>77</v>
      </c>
      <c r="BQ41" s="24" t="n">
        <f aca="false">BQ$20</f>
        <v>86</v>
      </c>
      <c r="BR41" s="24" t="n">
        <f aca="false">BR$20</f>
        <v>52</v>
      </c>
      <c r="BS41" s="24" t="n">
        <f aca="false">BS$20</f>
        <v>42</v>
      </c>
      <c r="BT41" s="24" t="n">
        <f aca="false">BT$20</f>
        <v>89</v>
      </c>
      <c r="BU41" s="24" t="n">
        <f aca="false">BU$20</f>
        <v>43</v>
      </c>
      <c r="BV41" s="24" t="n">
        <f aca="false">BV$20</f>
        <v>51</v>
      </c>
      <c r="BW41" s="24" t="n">
        <f aca="false">BW$20</f>
        <v>34</v>
      </c>
      <c r="BX41" s="24" t="n">
        <f aca="false">BX$20</f>
        <v>63</v>
      </c>
      <c r="BY41" s="24" t="n">
        <f aca="false">BY$20</f>
        <v>47</v>
      </c>
      <c r="BZ41" s="24" t="n">
        <f aca="false">BZ$20</f>
        <v>282</v>
      </c>
      <c r="CA41" s="24" t="n">
        <f aca="false">CA$20</f>
        <v>241</v>
      </c>
      <c r="CB41" s="24" t="n">
        <f aca="false">CB$20</f>
        <v>308</v>
      </c>
      <c r="CC41" s="24" t="n">
        <f aca="false">CC$20</f>
        <v>46</v>
      </c>
      <c r="CD41" s="24" t="n">
        <f aca="false">CD$20</f>
        <v>32</v>
      </c>
      <c r="CE41" s="24" t="n">
        <f aca="false">CE$20</f>
        <v>69</v>
      </c>
      <c r="CF41" s="24" t="n">
        <f aca="false">CF$20</f>
        <v>36</v>
      </c>
      <c r="CG41" s="24" t="n">
        <f aca="false">CG$20</f>
        <v>61</v>
      </c>
      <c r="CH41" s="24" t="n">
        <f aca="false">CH$20</f>
        <v>60</v>
      </c>
      <c r="CI41" s="24" t="n">
        <f aca="false">CI$20</f>
        <v>44</v>
      </c>
      <c r="CJ41" s="24" t="n">
        <f aca="false">CJ$20</f>
        <v>49</v>
      </c>
      <c r="CK41" s="24" t="n">
        <f aca="false">CK$20</f>
        <v>49</v>
      </c>
      <c r="CL41" s="24" t="n">
        <f aca="false">CL$20</f>
        <v>43</v>
      </c>
      <c r="CM41" s="24" t="n">
        <f aca="false">CM$20</f>
        <v>39</v>
      </c>
      <c r="CN41" s="24" t="n">
        <f aca="false">CN$20</f>
        <v>44</v>
      </c>
      <c r="CO41" s="24" t="n">
        <f aca="false">CO$20</f>
        <v>57</v>
      </c>
      <c r="CP41" s="24" t="n">
        <f aca="false">CP$20</f>
        <v>50</v>
      </c>
      <c r="CQ41" s="24" t="n">
        <f aca="false">CQ$20</f>
        <v>50</v>
      </c>
      <c r="CR41" s="24" t="n">
        <f aca="false">CR$20</f>
        <v>60</v>
      </c>
      <c r="CS41" s="24" t="n">
        <f aca="false">CS$20</f>
        <v>46</v>
      </c>
      <c r="CT41" s="24" t="n">
        <f aca="false">CT$20</f>
        <v>240</v>
      </c>
      <c r="CU41" s="24" t="n">
        <f aca="false">CU$20</f>
        <v>299</v>
      </c>
      <c r="CV41" s="24" t="n">
        <f aca="false">CV$20</f>
        <v>52</v>
      </c>
      <c r="CW41" s="24" t="n">
        <f aca="false">CW$20</f>
        <v>32</v>
      </c>
      <c r="CX41" s="24" t="n">
        <f aca="false">CX$20</f>
        <v>35</v>
      </c>
      <c r="CY41" s="24" t="n">
        <f aca="false">CY$20</f>
        <v>30</v>
      </c>
      <c r="CZ41" s="24" t="n">
        <f aca="false">CZ$20</f>
        <v>40</v>
      </c>
      <c r="DA41" s="24" t="n">
        <f aca="false">DA$20</f>
        <v>20</v>
      </c>
      <c r="DB41" s="24" t="n">
        <f aca="false">DB$20</f>
        <v>35</v>
      </c>
      <c r="DC41" s="24" t="n">
        <f aca="false">DC$20</f>
        <v>30</v>
      </c>
      <c r="DD41" s="24" t="n">
        <f aca="false">DD$20</f>
        <v>29</v>
      </c>
      <c r="DE41" s="24" t="n">
        <f aca="false">DE$20</f>
        <v>41</v>
      </c>
      <c r="DF41" s="24" t="n">
        <f aca="false">DF$20</f>
        <v>45</v>
      </c>
      <c r="DG41" s="24" t="n">
        <f aca="false">DG$20</f>
        <v>25</v>
      </c>
      <c r="DH41" s="24" t="n">
        <f aca="false">DH$20</f>
        <v>31</v>
      </c>
      <c r="DI41" s="24" t="n">
        <f aca="false">DI$20</f>
        <v>41</v>
      </c>
      <c r="DJ41" s="24" t="n">
        <f aca="false">DJ$20</f>
        <v>23</v>
      </c>
      <c r="DK41" s="24" t="n">
        <f aca="false">DK$20</f>
        <v>36</v>
      </c>
      <c r="DL41" s="24" t="n">
        <f aca="false">DL$20</f>
        <v>24</v>
      </c>
      <c r="DM41" s="24" t="n">
        <f aca="false">DM$20</f>
        <v>16</v>
      </c>
      <c r="DN41" s="24" t="n">
        <f aca="false">DN$20</f>
        <v>32</v>
      </c>
      <c r="DO41" s="24" t="n">
        <f aca="false">DO$20</f>
        <v>33</v>
      </c>
      <c r="DP41" s="24" t="n">
        <f aca="false">DP$20</f>
        <v>15</v>
      </c>
      <c r="DQ41" s="24" t="n">
        <f aca="false">DQ$20</f>
        <v>15</v>
      </c>
      <c r="DR41" s="24" t="n">
        <f aca="false">DR$20</f>
        <v>39</v>
      </c>
      <c r="DS41" s="24" t="n">
        <f aca="false">DS$20</f>
        <v>20</v>
      </c>
      <c r="DT41" s="24" t="n">
        <f aca="false">DT$20</f>
        <v>14</v>
      </c>
      <c r="DU41" s="24" t="n">
        <f aca="false">DU$20</f>
        <v>28</v>
      </c>
      <c r="DV41" s="24" t="n">
        <f aca="false">DV$20</f>
        <v>72</v>
      </c>
      <c r="DW41" s="24" t="n">
        <f aca="false">DW$20</f>
        <v>22</v>
      </c>
      <c r="DX41" s="24" t="n">
        <f aca="false">DX$20</f>
        <v>20</v>
      </c>
      <c r="DY41" s="24" t="n">
        <f aca="false">DY$20</f>
        <v>30</v>
      </c>
      <c r="DZ41" s="24" t="n">
        <f aca="false">DZ$20</f>
        <v>40</v>
      </c>
      <c r="EA41" s="24" t="n">
        <f aca="false">EA$20</f>
        <v>34</v>
      </c>
      <c r="EB41" s="24" t="n">
        <f aca="false">EB$20</f>
        <v>16</v>
      </c>
      <c r="EC41" s="24" t="n">
        <f aca="false">EC$20</f>
        <v>31</v>
      </c>
      <c r="ED41" s="24" t="n">
        <f aca="false">ED$20</f>
        <v>17</v>
      </c>
      <c r="EE41" s="24" t="n">
        <f aca="false">EE$20</f>
        <v>19</v>
      </c>
      <c r="EF41" s="24" t="n">
        <f aca="false">EF$20</f>
        <v>19</v>
      </c>
      <c r="EG41" s="24" t="n">
        <f aca="false">EG$20</f>
        <v>23</v>
      </c>
      <c r="EH41" s="24" t="n">
        <f aca="false">EH$20</f>
        <v>29</v>
      </c>
      <c r="EI41" s="24" t="n">
        <f aca="false">EI$20</f>
        <v>16</v>
      </c>
      <c r="EJ41" s="24" t="n">
        <f aca="false">EJ$20</f>
        <v>18</v>
      </c>
      <c r="EK41" s="24" t="n">
        <f aca="false">EK$20</f>
        <v>22</v>
      </c>
      <c r="EL41" s="24" t="n">
        <f aca="false">EL$20</f>
        <v>17</v>
      </c>
      <c r="EM41" s="24" t="n">
        <f aca="false">EM$20</f>
        <v>717</v>
      </c>
      <c r="EN41" s="24" t="n">
        <f aca="false">EN$20</f>
        <v>884</v>
      </c>
      <c r="EO41" s="24" t="n">
        <f aca="false">EO$20</f>
        <v>884</v>
      </c>
      <c r="EP41" s="24" t="n">
        <f aca="false">EP$20</f>
        <v>579</v>
      </c>
      <c r="EQ41" s="24" t="n">
        <f aca="false">EQ$20</f>
        <v>167</v>
      </c>
      <c r="ER41" s="24" t="n">
        <f aca="false">ER$20</f>
        <v>492</v>
      </c>
      <c r="ES41" s="24" t="n">
        <f aca="false">ES$20</f>
        <v>418</v>
      </c>
      <c r="ET41" s="24" t="n">
        <f aca="false">ET$20</f>
        <v>532</v>
      </c>
      <c r="EU41" s="24" t="n">
        <f aca="false">EU$20</f>
        <v>207</v>
      </c>
    </row>
    <row r="42" customFormat="false" ht="15" hidden="false" customHeight="false" outlineLevel="0" collapsed="false">
      <c r="A42" s="4" t="s">
        <v>974</v>
      </c>
      <c r="B42" s="75" t="s">
        <v>973</v>
      </c>
      <c r="C42" s="76" t="n">
        <f aca="false">N(Planner!$E$17)</f>
        <v>112</v>
      </c>
      <c r="D42" s="77" t="n">
        <v>111.99999999238</v>
      </c>
      <c r="E42" s="75" t="str">
        <f aca="false">IF(D42&gt;=C42-0.000001*MAX(1,ABS(C42)),IF(ABS(D42-C42)&lt;=0.000001*MAX(1,ABS(C42)),"tight","ok"),"VIOLATED")</f>
        <v>tight</v>
      </c>
      <c r="F42" s="24" t="n">
        <f aca="false">F$21</f>
        <v>22.5</v>
      </c>
      <c r="G42" s="24" t="n">
        <f aca="false">G$21</f>
        <v>18.08</v>
      </c>
      <c r="H42" s="24" t="n">
        <f aca="false">H$21</f>
        <v>19.66</v>
      </c>
      <c r="I42" s="24" t="n">
        <f aca="false">I$21</f>
        <v>16.33</v>
      </c>
      <c r="J42" s="24" t="n">
        <f aca="false">J$21</f>
        <v>18.73</v>
      </c>
      <c r="K42" s="24" t="n">
        <f aca="false">K$21</f>
        <v>18.6</v>
      </c>
      <c r="L42" s="24" t="n">
        <f aca="false">L$21</f>
        <v>12.62</v>
      </c>
      <c r="M42" s="24" t="n">
        <f aca="false">M$21</f>
        <v>21.75</v>
      </c>
      <c r="N42" s="24" t="n">
        <f aca="false">N$21</f>
        <v>17.17</v>
      </c>
      <c r="O42" s="24" t="n">
        <f aca="false">O$21</f>
        <v>20.85</v>
      </c>
      <c r="P42" s="24" t="n">
        <f aca="false">P$21</f>
        <v>16.6</v>
      </c>
      <c r="Q42" s="24" t="n">
        <f aca="false">Q$21</f>
        <v>21.14</v>
      </c>
      <c r="R42" s="24" t="n">
        <f aca="false">R$21</f>
        <v>21.94</v>
      </c>
      <c r="S42" s="24" t="n">
        <f aca="false">S$21</f>
        <v>19.92</v>
      </c>
      <c r="T42" s="24" t="n">
        <f aca="false">T$21</f>
        <v>19.44</v>
      </c>
      <c r="U42" s="24" t="n">
        <f aca="false">U$21</f>
        <v>20.42</v>
      </c>
      <c r="V42" s="24" t="n">
        <f aca="false">V$21</f>
        <v>13.61</v>
      </c>
      <c r="W42" s="24" t="n">
        <f aca="false">W$21</f>
        <v>20.08</v>
      </c>
      <c r="X42" s="24" t="n">
        <f aca="false">X$21</f>
        <v>12.56</v>
      </c>
      <c r="Y42" s="24" t="n">
        <f aca="false">Y$21</f>
        <v>6.03</v>
      </c>
      <c r="Z42" s="24" t="n">
        <f aca="false">Z$21</f>
        <v>21.6</v>
      </c>
      <c r="AA42" s="24" t="n">
        <f aca="false">AA$21</f>
        <v>4.74</v>
      </c>
      <c r="AB42" s="24" t="n">
        <f aca="false">AB$21</f>
        <v>23.52</v>
      </c>
      <c r="AC42" s="24" t="n">
        <f aca="false">AC$21</f>
        <v>4.92</v>
      </c>
      <c r="AD42" s="24" t="n">
        <f aca="false">AD$21</f>
        <v>7.37</v>
      </c>
      <c r="AE42" s="24" t="n">
        <f aca="false">AE$21</f>
        <v>21.86</v>
      </c>
      <c r="AF42" s="24" t="n">
        <f aca="false">AF$21</f>
        <v>5.22</v>
      </c>
      <c r="AG42" s="24" t="n">
        <f aca="false">AG$21</f>
        <v>23.58</v>
      </c>
      <c r="AH42" s="24" t="n">
        <f aca="false">AH$21</f>
        <v>24.63</v>
      </c>
      <c r="AI42" s="24" t="n">
        <f aca="false">AI$21</f>
        <v>21.46</v>
      </c>
      <c r="AJ42" s="24" t="n">
        <f aca="false">AJ$21</f>
        <v>7.53</v>
      </c>
      <c r="AK42" s="24" t="n">
        <f aca="false">AK$21</f>
        <v>22.33</v>
      </c>
      <c r="AL42" s="24" t="n">
        <f aca="false">AL$21</f>
        <v>22.21</v>
      </c>
      <c r="AM42" s="24" t="n">
        <f aca="false">AM$21</f>
        <v>4.6</v>
      </c>
      <c r="AN42" s="24" t="n">
        <f aca="false">AN$21</f>
        <v>21.42</v>
      </c>
      <c r="AO42" s="24" t="n">
        <f aca="false">AO$21</f>
        <v>10.1</v>
      </c>
      <c r="AP42" s="24" t="n">
        <f aca="false">AP$21</f>
        <v>3.3</v>
      </c>
      <c r="AQ42" s="24" t="n">
        <f aca="false">AQ$21</f>
        <v>10.19</v>
      </c>
      <c r="AR42" s="24" t="n">
        <f aca="false">AR$21</f>
        <v>2.6</v>
      </c>
      <c r="AS42" s="24" t="n">
        <f aca="false">AS$21</f>
        <v>3.15</v>
      </c>
      <c r="AT42" s="24" t="n">
        <f aca="false">AT$21</f>
        <v>18.13</v>
      </c>
      <c r="AU42" s="24" t="n">
        <f aca="false">AU$21</f>
        <v>22.87</v>
      </c>
      <c r="AV42" s="24" t="n">
        <f aca="false">AV$21</f>
        <v>10.45</v>
      </c>
      <c r="AW42" s="24" t="n">
        <f aca="false">AW$21</f>
        <v>23.75</v>
      </c>
      <c r="AX42" s="24" t="n">
        <f aca="false">AX$21</f>
        <v>10.56</v>
      </c>
      <c r="AY42" s="24" t="n">
        <f aca="false">AY$21</f>
        <v>7.54</v>
      </c>
      <c r="AZ42" s="24" t="n">
        <f aca="false">AZ$21</f>
        <v>12.09</v>
      </c>
      <c r="BA42" s="24" t="n">
        <f aca="false">BA$21</f>
        <v>5.7</v>
      </c>
      <c r="BB42" s="24" t="n">
        <f aca="false">BB$21</f>
        <v>8.01</v>
      </c>
      <c r="BC42" s="24" t="n">
        <f aca="false">BC$21</f>
        <v>14.12</v>
      </c>
      <c r="BD42" s="24" t="n">
        <f aca="false">BD$21</f>
        <v>13.15</v>
      </c>
      <c r="BE42" s="24" t="n">
        <f aca="false">BE$21</f>
        <v>13.04</v>
      </c>
      <c r="BF42" s="24" t="n">
        <f aca="false">BF$21</f>
        <v>8.85</v>
      </c>
      <c r="BG42" s="24" t="n">
        <f aca="false">BG$21</f>
        <v>7.13</v>
      </c>
      <c r="BH42" s="24" t="n">
        <f aca="false">BH$21</f>
        <v>12.45</v>
      </c>
      <c r="BI42" s="24" t="n">
        <f aca="false">BI$21</f>
        <v>13.87</v>
      </c>
      <c r="BJ42" s="24" t="n">
        <f aca="false">BJ$21</f>
        <v>7.59</v>
      </c>
      <c r="BK42" s="24" t="n">
        <f aca="false">BK$21</f>
        <v>1.95</v>
      </c>
      <c r="BL42" s="24" t="n">
        <f aca="false">BL$21</f>
        <v>3.02</v>
      </c>
      <c r="BM42" s="24" t="n">
        <f aca="false">BM$21</f>
        <v>2.24</v>
      </c>
      <c r="BN42" s="24" t="n">
        <f aca="false">BN$21</f>
        <v>3.01</v>
      </c>
      <c r="BO42" s="24" t="n">
        <f aca="false">BO$21</f>
        <v>5.22</v>
      </c>
      <c r="BP42" s="24" t="n">
        <f aca="false">BP$21</f>
        <v>2.05</v>
      </c>
      <c r="BQ42" s="24" t="n">
        <f aca="false">BQ$21</f>
        <v>1.57</v>
      </c>
      <c r="BR42" s="24" t="n">
        <f aca="false">BR$21</f>
        <v>0.26</v>
      </c>
      <c r="BS42" s="24" t="n">
        <f aca="false">BS$21</f>
        <v>0.17</v>
      </c>
      <c r="BT42" s="24" t="n">
        <f aca="false">BT$21</f>
        <v>1.09</v>
      </c>
      <c r="BU42" s="24" t="n">
        <f aca="false">BU$21</f>
        <v>1.39</v>
      </c>
      <c r="BV42" s="24" t="n">
        <f aca="false">BV$21</f>
        <v>0.42</v>
      </c>
      <c r="BW42" s="24" t="n">
        <f aca="false">BW$21</f>
        <v>0.84</v>
      </c>
      <c r="BX42" s="24" t="n">
        <f aca="false">BX$21</f>
        <v>1.06</v>
      </c>
      <c r="BY42" s="24" t="n">
        <f aca="false">BY$21</f>
        <v>0.85</v>
      </c>
      <c r="BZ42" s="24" t="n">
        <f aca="false">BZ$21</f>
        <v>2.45</v>
      </c>
      <c r="CA42" s="24" t="n">
        <f aca="false">CA$21</f>
        <v>3.39</v>
      </c>
      <c r="CB42" s="24" t="n">
        <f aca="false">CB$21</f>
        <v>0.17</v>
      </c>
      <c r="CC42" s="24" t="n">
        <f aca="false">CC$21</f>
        <v>0.46</v>
      </c>
      <c r="CD42" s="24" t="n">
        <f aca="false">CD$21</f>
        <v>0.63</v>
      </c>
      <c r="CE42" s="24" t="n">
        <f aca="false">CE$21</f>
        <v>0.72</v>
      </c>
      <c r="CF42" s="24" t="n">
        <f aca="false">CF$21</f>
        <v>0.54</v>
      </c>
      <c r="CG42" s="24" t="n">
        <f aca="false">CG$21</f>
        <v>1.14</v>
      </c>
      <c r="CH42" s="24" t="n">
        <f aca="false">CH$21</f>
        <v>0.82</v>
      </c>
      <c r="CI42" s="24" t="n">
        <f aca="false">CI$21</f>
        <v>1.06</v>
      </c>
      <c r="CJ42" s="24" t="n">
        <f aca="false">CJ$21</f>
        <v>0.68</v>
      </c>
      <c r="CK42" s="24" t="n">
        <f aca="false">CK$21</f>
        <v>0.91</v>
      </c>
      <c r="CL42" s="24" t="n">
        <f aca="false">CL$21</f>
        <v>0.47</v>
      </c>
      <c r="CM42" s="24" t="n">
        <f aca="false">CM$21</f>
        <v>0.91</v>
      </c>
      <c r="CN42" s="24" t="n">
        <f aca="false">CN$21</f>
        <v>0.63</v>
      </c>
      <c r="CO42" s="24" t="n">
        <f aca="false">CO$21</f>
        <v>0.36</v>
      </c>
      <c r="CP42" s="24" t="n">
        <f aca="false">CP$21</f>
        <v>0.34</v>
      </c>
      <c r="CQ42" s="24" t="n">
        <f aca="false">CQ$21</f>
        <v>0.54</v>
      </c>
      <c r="CR42" s="24" t="n">
        <f aca="false">CR$21</f>
        <v>0.42</v>
      </c>
      <c r="CS42" s="24" t="n">
        <f aca="false">CS$21</f>
        <v>0.7</v>
      </c>
      <c r="CT42" s="24" t="n">
        <f aca="false">CT$21</f>
        <v>2.18</v>
      </c>
      <c r="CU42" s="24" t="n">
        <f aca="false">CU$21</f>
        <v>3.07</v>
      </c>
      <c r="CV42" s="24" t="n">
        <f aca="false">CV$21</f>
        <v>1.2</v>
      </c>
      <c r="CW42" s="24" t="n">
        <f aca="false">CW$21</f>
        <v>0.67</v>
      </c>
      <c r="CX42" s="24" t="n">
        <f aca="false">CX$21</f>
        <v>0.43</v>
      </c>
      <c r="CY42" s="24" t="n">
        <f aca="false">CY$21</f>
        <v>0.61</v>
      </c>
      <c r="CZ42" s="24" t="n">
        <f aca="false">CZ$21</f>
        <v>0.8</v>
      </c>
      <c r="DA42" s="24" t="n">
        <f aca="false">DA$21</f>
        <v>2.2</v>
      </c>
      <c r="DB42" s="24" t="n">
        <f aca="false">DB$21</f>
        <v>0.64</v>
      </c>
      <c r="DC42" s="24" t="n">
        <f aca="false">DC$21</f>
        <v>0.73</v>
      </c>
      <c r="DD42" s="24" t="n">
        <f aca="false">DD$21</f>
        <v>3.06</v>
      </c>
      <c r="DE42" s="24" t="n">
        <f aca="false">DE$21</f>
        <v>3.78</v>
      </c>
      <c r="DF42" s="24" t="n">
        <f aca="false">DF$21</f>
        <v>1</v>
      </c>
      <c r="DG42" s="24" t="n">
        <f aca="false">DG$21</f>
        <v>1.28</v>
      </c>
      <c r="DH42" s="24" t="n">
        <f aca="false">DH$21</f>
        <v>1.43</v>
      </c>
      <c r="DI42" s="24" t="n">
        <f aca="false">DI$21</f>
        <v>0.93</v>
      </c>
      <c r="DJ42" s="24" t="n">
        <f aca="false">DJ$21</f>
        <v>0.58</v>
      </c>
      <c r="DK42" s="24" t="n">
        <f aca="false">DK$21</f>
        <v>0.78</v>
      </c>
      <c r="DL42" s="24" t="n">
        <f aca="false">DL$21</f>
        <v>2.01</v>
      </c>
      <c r="DM42" s="24" t="n">
        <f aca="false">DM$21</f>
        <v>0.69</v>
      </c>
      <c r="DN42" s="24" t="n">
        <f aca="false">DN$21</f>
        <v>3.02</v>
      </c>
      <c r="DO42" s="24" t="n">
        <f aca="false">DO$21</f>
        <v>2.69</v>
      </c>
      <c r="DP42" s="24" t="n">
        <f aca="false">DP$21</f>
        <v>0.65</v>
      </c>
      <c r="DQ42" s="24" t="n">
        <f aca="false">DQ$21</f>
        <v>0.72</v>
      </c>
      <c r="DR42" s="24" t="n">
        <f aca="false">DR$21</f>
        <v>1.79</v>
      </c>
      <c r="DS42" s="24" t="n">
        <f aca="false">DS$21</f>
        <v>0.86</v>
      </c>
      <c r="DT42" s="24" t="n">
        <f aca="false">DT$21</f>
        <v>0.9</v>
      </c>
      <c r="DU42" s="24" t="n">
        <f aca="false">DU$21</f>
        <v>2.66</v>
      </c>
      <c r="DV42" s="24" t="n">
        <f aca="false">DV$21</f>
        <v>3.33</v>
      </c>
      <c r="DW42" s="24" t="n">
        <f aca="false">DW$21</f>
        <v>3.09</v>
      </c>
      <c r="DX42" s="24" t="n">
        <f aca="false">DX$21</f>
        <v>2.49</v>
      </c>
      <c r="DY42" s="24" t="n">
        <f aca="false">DY$21</f>
        <v>1.69</v>
      </c>
      <c r="DZ42" s="24" t="n">
        <f aca="false">DZ$21</f>
        <v>1.1</v>
      </c>
      <c r="EA42" s="24" t="n">
        <f aca="false">EA$21</f>
        <v>1.1</v>
      </c>
      <c r="EB42" s="24" t="n">
        <f aca="false">EB$21</f>
        <v>0.68</v>
      </c>
      <c r="EC42" s="24" t="n">
        <f aca="false">EC$21</f>
        <v>0.99</v>
      </c>
      <c r="ED42" s="24" t="n">
        <f aca="false">ED$21</f>
        <v>1.23</v>
      </c>
      <c r="EE42" s="24" t="n">
        <f aca="false">EE$21</f>
        <v>0.91</v>
      </c>
      <c r="EF42" s="24" t="n">
        <f aca="false">EF$21</f>
        <v>2.11</v>
      </c>
      <c r="EG42" s="24" t="n">
        <f aca="false">EG$21</f>
        <v>2.86</v>
      </c>
      <c r="EH42" s="24" t="n">
        <f aca="false">EH$21</f>
        <v>3.63</v>
      </c>
      <c r="EI42" s="24" t="n">
        <f aca="false">EI$21</f>
        <v>0.79</v>
      </c>
      <c r="EJ42" s="24" t="n">
        <f aca="false">EJ$21</f>
        <v>0.88</v>
      </c>
      <c r="EK42" s="24" t="n">
        <f aca="false">EK$21</f>
        <v>2.47</v>
      </c>
      <c r="EL42" s="24" t="n">
        <f aca="false">EL$21</f>
        <v>1.21</v>
      </c>
      <c r="EM42" s="24" t="n">
        <f aca="false">EM$21</f>
        <v>0.85</v>
      </c>
      <c r="EN42" s="24" t="n">
        <f aca="false">EN$21</f>
        <v>0</v>
      </c>
      <c r="EO42" s="24" t="n">
        <f aca="false">EO$21</f>
        <v>0</v>
      </c>
      <c r="EP42" s="24" t="n">
        <f aca="false">EP$21</f>
        <v>21.15</v>
      </c>
      <c r="EQ42" s="24" t="n">
        <f aca="false">EQ$21</f>
        <v>1.96</v>
      </c>
      <c r="ER42" s="24" t="n">
        <f aca="false">ER$21</f>
        <v>5.1</v>
      </c>
      <c r="ES42" s="24" t="n">
        <f aca="false">ES$21</f>
        <v>5.65</v>
      </c>
      <c r="ET42" s="24" t="n">
        <f aca="false">ET$21</f>
        <v>6.39</v>
      </c>
      <c r="EU42" s="24" t="n">
        <f aca="false">EU$21</f>
        <v>3.5</v>
      </c>
    </row>
    <row r="43" customFormat="false" ht="15" hidden="false" customHeight="false" outlineLevel="0" collapsed="false">
      <c r="A43" s="4" t="s">
        <v>975</v>
      </c>
      <c r="B43" s="75" t="s">
        <v>976</v>
      </c>
      <c r="C43" s="78" t="n">
        <v>0</v>
      </c>
      <c r="D43" s="77" t="n">
        <v>160.14999998122</v>
      </c>
      <c r="E43" s="75" t="str">
        <f aca="false">IF(D43&gt;=C43-0.000001*MAX(1,ABS(C43)),IF(ABS(D43-C43)&lt;=0.000001*MAX(1,ABS(C43)),"tight","ok"),"VIOLATED")</f>
        <v>ok</v>
      </c>
      <c r="F43" s="24" t="n">
        <f aca="false">4*F$21-$C$8*F$20</f>
        <v>78</v>
      </c>
      <c r="G43" s="24" t="n">
        <f aca="false">4*G$21-$C$8*G$20</f>
        <v>56.22</v>
      </c>
      <c r="H43" s="24" t="n">
        <f aca="false">4*H$21-$C$8*H$20</f>
        <v>66.54</v>
      </c>
      <c r="I43" s="24" t="n">
        <f aca="false">4*I$21-$C$8*I$20</f>
        <v>55.32</v>
      </c>
      <c r="J43" s="24" t="n">
        <f aca="false">4*J$21-$C$8*J$20</f>
        <v>59.92</v>
      </c>
      <c r="K43" s="24" t="n">
        <f aca="false">4*K$21-$C$8*K$20</f>
        <v>52.9</v>
      </c>
      <c r="L43" s="24" t="n">
        <f aca="false">4*L$21-$C$8*L$20</f>
        <v>8.77999999999999</v>
      </c>
      <c r="M43" s="24" t="n">
        <f aca="false">4*M$21-$C$8*M$20</f>
        <v>74.2</v>
      </c>
      <c r="N43" s="24" t="n">
        <f aca="false">4*N$21-$C$8*N$20</f>
        <v>43.28</v>
      </c>
      <c r="O43" s="24" t="n">
        <f aca="false">4*O$21-$C$8*O$20</f>
        <v>68.2</v>
      </c>
      <c r="P43" s="24" t="n">
        <f aca="false">4*P$21-$C$8*P$20</f>
        <v>50.1</v>
      </c>
      <c r="Q43" s="24" t="n">
        <f aca="false">4*Q$21-$C$8*Q$20</f>
        <v>64.46</v>
      </c>
      <c r="R43" s="24" t="n">
        <f aca="false">4*R$21-$C$8*R$20</f>
        <v>70.96</v>
      </c>
      <c r="S43" s="24" t="n">
        <f aca="false">4*S$21-$C$8*S$20</f>
        <v>58.28</v>
      </c>
      <c r="T43" s="24" t="n">
        <f aca="false">4*T$21-$C$8*T$20</f>
        <v>69.16</v>
      </c>
      <c r="U43" s="24" t="n">
        <f aca="false">4*U$21-$C$8*U$20</f>
        <v>60.88</v>
      </c>
      <c r="V43" s="24" t="n">
        <f aca="false">4*V$21-$C$8*V$20</f>
        <v>47.34</v>
      </c>
      <c r="W43" s="24" t="n">
        <f aca="false">4*W$21-$C$8*W$20</f>
        <v>70.72</v>
      </c>
      <c r="X43" s="24" t="n">
        <f aca="false">4*X$21-$C$8*X$20</f>
        <v>35.94</v>
      </c>
      <c r="Y43" s="24" t="n">
        <f aca="false">4*Y$21-$C$8*Y$20</f>
        <v>15.02</v>
      </c>
      <c r="Z43" s="24" t="n">
        <f aca="false">4*Z$21-$C$8*Z$20</f>
        <v>52.3</v>
      </c>
      <c r="AA43" s="24" t="n">
        <f aca="false">4*AA$21-$C$8*AA$20</f>
        <v>11.26</v>
      </c>
      <c r="AB43" s="24" t="n">
        <f aca="false">4*AB$21-$C$8*AB$20</f>
        <v>60.48</v>
      </c>
      <c r="AC43" s="24" t="n">
        <f aca="false">4*AC$21-$C$8*AC$20</f>
        <v>10.88</v>
      </c>
      <c r="AD43" s="24" t="n">
        <f aca="false">4*AD$21-$C$8*AD$20</f>
        <v>18.08</v>
      </c>
      <c r="AE43" s="24" t="n">
        <f aca="false">4*AE$21-$C$8*AE$20</f>
        <v>53.54</v>
      </c>
      <c r="AF43" s="24" t="n">
        <f aca="false">4*AF$21-$C$8*AF$20</f>
        <v>12.78</v>
      </c>
      <c r="AG43" s="24" t="n">
        <f aca="false">4*AG$21-$C$8*AG$20</f>
        <v>61.02</v>
      </c>
      <c r="AH43" s="24" t="n">
        <f aca="false">4*AH$21-$C$8*AH$20</f>
        <v>63.32</v>
      </c>
      <c r="AI43" s="24" t="n">
        <f aca="false">4*AI$21-$C$8*AI$20</f>
        <v>52.04</v>
      </c>
      <c r="AJ43" s="24" t="n">
        <f aca="false">4*AJ$21-$C$8*AJ$20</f>
        <v>18.82</v>
      </c>
      <c r="AK43" s="24" t="n">
        <f aca="false">4*AK$21-$C$8*AK$20</f>
        <v>55.62</v>
      </c>
      <c r="AL43" s="24" t="n">
        <f aca="false">4*AL$21-$C$8*AL$20</f>
        <v>29.04</v>
      </c>
      <c r="AM43" s="24" t="n">
        <f aca="false">4*AM$21-$C$8*AM$20</f>
        <v>10.2</v>
      </c>
      <c r="AN43" s="24" t="n">
        <f aca="false">4*AN$21-$C$8*AN$20</f>
        <v>50.98</v>
      </c>
      <c r="AO43" s="24" t="n">
        <f aca="false">4*AO$21-$C$8*AO$20</f>
        <v>30.6</v>
      </c>
      <c r="AP43" s="24" t="n">
        <f aca="false">4*AP$21-$C$8*AP$20</f>
        <v>8.2</v>
      </c>
      <c r="AQ43" s="24" t="n">
        <f aca="false">4*AQ$21-$C$8*AQ$20</f>
        <v>34.86</v>
      </c>
      <c r="AR43" s="24" t="n">
        <f aca="false">4*AR$21-$C$8*AR$20</f>
        <v>6.1</v>
      </c>
      <c r="AS43" s="24" t="n">
        <f aca="false">4*AS$21-$C$8*AS$20</f>
        <v>6.5</v>
      </c>
      <c r="AT43" s="24" t="n">
        <f aca="false">4*AT$21-$C$8*AT$20</f>
        <v>35.92</v>
      </c>
      <c r="AU43" s="24" t="n">
        <f aca="false">4*AU$21-$C$8*AU$20</f>
        <v>51.08</v>
      </c>
      <c r="AV43" s="24" t="n">
        <f aca="false">4*AV$21-$C$8*AV$20</f>
        <v>33.7</v>
      </c>
      <c r="AW43" s="24" t="n">
        <f aca="false">4*AW$21-$C$8*AW$20</f>
        <v>65.5</v>
      </c>
      <c r="AX43" s="24" t="n">
        <f aca="false">4*AX$21-$C$8*AX$20</f>
        <v>15.84</v>
      </c>
      <c r="AY43" s="24" t="n">
        <f aca="false">4*AY$21-$C$8*AY$20</f>
        <v>-6.54</v>
      </c>
      <c r="AZ43" s="24" t="n">
        <f aca="false">4*AZ$21-$C$8*AZ$20</f>
        <v>10.76</v>
      </c>
      <c r="BA43" s="24" t="n">
        <f aca="false">4*BA$21-$C$8*BA$20</f>
        <v>1</v>
      </c>
      <c r="BB43" s="24" t="n">
        <f aca="false">4*BB$21-$C$8*BB$20</f>
        <v>2.34</v>
      </c>
      <c r="BC43" s="24" t="n">
        <f aca="false">4*BC$21-$C$8*BC$20</f>
        <v>19.68</v>
      </c>
      <c r="BD43" s="24" t="n">
        <f aca="false">4*BD$21-$C$8*BD$20</f>
        <v>14.7</v>
      </c>
      <c r="BE43" s="24" t="n">
        <f aca="false">4*BE$21-$C$8*BE$20</f>
        <v>15.06</v>
      </c>
      <c r="BF43" s="24" t="n">
        <f aca="false">4*BF$21-$C$8*BF$20</f>
        <v>8.8</v>
      </c>
      <c r="BG43" s="24" t="n">
        <f aca="false">4*BG$21-$C$8*BG$20</f>
        <v>-7.98</v>
      </c>
      <c r="BH43" s="24" t="n">
        <f aca="false">4*BH$21-$C$8*BH$20</f>
        <v>24.6</v>
      </c>
      <c r="BI43" s="24" t="n">
        <f aca="false">4*BI$21-$C$8*BI$20</f>
        <v>20.28</v>
      </c>
      <c r="BJ43" s="24" t="n">
        <f aca="false">4*BJ$21-$C$8*BJ$20</f>
        <v>17.16</v>
      </c>
      <c r="BK43" s="24" t="n">
        <f aca="false">4*BK$21-$C$8*BK$20</f>
        <v>1.7</v>
      </c>
      <c r="BL43" s="24" t="n">
        <f aca="false">4*BL$21-$C$8*BL$20</f>
        <v>3.28</v>
      </c>
      <c r="BM43" s="24" t="n">
        <f aca="false">4*BM$21-$C$8*BM$20</f>
        <v>-6.04</v>
      </c>
      <c r="BN43" s="24" t="n">
        <f aca="false">4*BN$21-$C$8*BN$20</f>
        <v>6.24</v>
      </c>
      <c r="BO43" s="24" t="n">
        <f aca="false">4*BO$21-$C$8*BO$20</f>
        <v>13.18</v>
      </c>
      <c r="BP43" s="24" t="n">
        <f aca="false">4*BP$21-$C$8*BP$20</f>
        <v>0.499999999999999</v>
      </c>
      <c r="BQ43" s="24" t="n">
        <f aca="false">4*BQ$21-$C$8*BQ$20</f>
        <v>-2.32</v>
      </c>
      <c r="BR43" s="24" t="n">
        <f aca="false">4*BR$21-$C$8*BR$20</f>
        <v>-4.16</v>
      </c>
      <c r="BS43" s="24" t="n">
        <f aca="false">4*BS$21-$C$8*BS$20</f>
        <v>-3.52</v>
      </c>
      <c r="BT43" s="24" t="n">
        <f aca="false">4*BT$21-$C$8*BT$20</f>
        <v>-4.54</v>
      </c>
      <c r="BU43" s="24" t="n">
        <f aca="false">4*BU$21-$C$8*BU$20</f>
        <v>1.26</v>
      </c>
      <c r="BV43" s="24" t="n">
        <f aca="false">4*BV$21-$C$8*BV$20</f>
        <v>-3.42</v>
      </c>
      <c r="BW43" s="24" t="n">
        <f aca="false">4*BW$21-$C$8*BW$20</f>
        <v>-0.0400000000000005</v>
      </c>
      <c r="BX43" s="24" t="n">
        <f aca="false">4*BX$21-$C$8*BX$20</f>
        <v>-2.06</v>
      </c>
      <c r="BY43" s="24" t="n">
        <f aca="false">4*BY$21-$C$8*BY$20</f>
        <v>-1.3</v>
      </c>
      <c r="BZ43" s="24" t="n">
        <f aca="false">4*BZ$21-$C$8*BZ$20</f>
        <v>-18.4</v>
      </c>
      <c r="CA43" s="24" t="n">
        <f aca="false">4*CA$21-$C$8*CA$20</f>
        <v>-10.54</v>
      </c>
      <c r="CB43" s="24" t="n">
        <f aca="false">4*CB$21-$C$8*CB$20</f>
        <v>-30.12</v>
      </c>
      <c r="CC43" s="24" t="n">
        <f aca="false">4*CC$21-$C$8*CC$20</f>
        <v>-2.76</v>
      </c>
      <c r="CD43" s="24" t="n">
        <f aca="false">4*CD$21-$C$8*CD$20</f>
        <v>-0.68</v>
      </c>
      <c r="CE43" s="24" t="n">
        <f aca="false">4*CE$21-$C$8*CE$20</f>
        <v>-4.02</v>
      </c>
      <c r="CF43" s="24" t="n">
        <f aca="false">4*CF$21-$C$8*CF$20</f>
        <v>-1.44</v>
      </c>
      <c r="CG43" s="24" t="n">
        <f aca="false">4*CG$21-$C$8*CG$20</f>
        <v>-1.54</v>
      </c>
      <c r="CH43" s="24" t="n">
        <f aca="false">4*CH$21-$C$8*CH$20</f>
        <v>-2.72</v>
      </c>
      <c r="CI43" s="24" t="n">
        <f aca="false">4*CI$21-$C$8*CI$20</f>
        <v>-0.16</v>
      </c>
      <c r="CJ43" s="24" t="n">
        <f aca="false">4*CJ$21-$C$8*CJ$20</f>
        <v>-2.18</v>
      </c>
      <c r="CK43" s="24" t="n">
        <f aca="false">4*CK$21-$C$8*CK$20</f>
        <v>-1.26</v>
      </c>
      <c r="CL43" s="24" t="n">
        <f aca="false">4*CL$21-$C$8*CL$20</f>
        <v>-2.42</v>
      </c>
      <c r="CM43" s="24" t="n">
        <f aca="false">4*CM$21-$C$8*CM$20</f>
        <v>-0.26</v>
      </c>
      <c r="CN43" s="24" t="n">
        <f aca="false">4*CN$21-$C$8*CN$20</f>
        <v>-1.88</v>
      </c>
      <c r="CO43" s="24" t="n">
        <f aca="false">4*CO$21-$C$8*CO$20</f>
        <v>-4.26</v>
      </c>
      <c r="CP43" s="24" t="n">
        <f aca="false">4*CP$21-$C$8*CP$20</f>
        <v>-3.64</v>
      </c>
      <c r="CQ43" s="24" t="n">
        <f aca="false">4*CQ$21-$C$8*CQ$20</f>
        <v>-2.84</v>
      </c>
      <c r="CR43" s="24" t="n">
        <f aca="false">4*CR$21-$C$8*CR$20</f>
        <v>-4.32</v>
      </c>
      <c r="CS43" s="24" t="n">
        <f aca="false">4*CS$21-$C$8*CS$20</f>
        <v>-1.8</v>
      </c>
      <c r="CT43" s="24" t="n">
        <f aca="false">4*CT$21-$C$8*CT$20</f>
        <v>-15.28</v>
      </c>
      <c r="CU43" s="24" t="n">
        <f aca="false">4*CU$21-$C$8*CU$20</f>
        <v>-17.62</v>
      </c>
      <c r="CV43" s="24" t="n">
        <f aca="false">4*CV$21-$C$8*CV$20</f>
        <v>-0.4</v>
      </c>
      <c r="CW43" s="24" t="n">
        <f aca="false">4*CW$21-$C$8*CW$20</f>
        <v>-0.52</v>
      </c>
      <c r="CX43" s="24" t="n">
        <f aca="false">4*CX$21-$C$8*CX$20</f>
        <v>-1.78</v>
      </c>
      <c r="CY43" s="24" t="n">
        <f aca="false">4*CY$21-$C$8*CY$20</f>
        <v>-0.56</v>
      </c>
      <c r="CZ43" s="24" t="n">
        <f aca="false">4*CZ$21-$C$8*CZ$20</f>
        <v>-0.8</v>
      </c>
      <c r="DA43" s="24" t="n">
        <f aca="false">4*DA$21-$C$8*DA$20</f>
        <v>6.8</v>
      </c>
      <c r="DB43" s="24" t="n">
        <f aca="false">4*DB$21-$C$8*DB$20</f>
        <v>-0.94</v>
      </c>
      <c r="DC43" s="24" t="n">
        <f aca="false">4*DC$21-$C$8*DC$20</f>
        <v>-0.0800000000000001</v>
      </c>
      <c r="DD43" s="24" t="n">
        <f aca="false">4*DD$21-$C$8*DD$20</f>
        <v>9.34</v>
      </c>
      <c r="DE43" s="24" t="n">
        <f aca="false">4*DE$21-$C$8*DE$20</f>
        <v>11.02</v>
      </c>
      <c r="DF43" s="24" t="n">
        <f aca="false">4*DF$21-$C$8*DF$20</f>
        <v>-0.5</v>
      </c>
      <c r="DG43" s="24" t="n">
        <f aca="false">4*DG$21-$C$8*DG$20</f>
        <v>2.62</v>
      </c>
      <c r="DH43" s="24" t="n">
        <f aca="false">4*DH$21-$C$8*DH$20</f>
        <v>2.62</v>
      </c>
      <c r="DI43" s="24" t="n">
        <f aca="false">4*DI$21-$C$8*DI$20</f>
        <v>-0.38</v>
      </c>
      <c r="DJ43" s="24" t="n">
        <f aca="false">4*DJ$21-$C$8*DJ$20</f>
        <v>0.0199999999999996</v>
      </c>
      <c r="DK43" s="24" t="n">
        <f aca="false">4*DK$21-$C$8*DK$20</f>
        <v>-0.48</v>
      </c>
      <c r="DL43" s="24" t="n">
        <f aca="false">4*DL$21-$C$8*DL$20</f>
        <v>5.64</v>
      </c>
      <c r="DM43" s="24" t="n">
        <f aca="false">4*DM$21-$C$8*DM$20</f>
        <v>1.16</v>
      </c>
      <c r="DN43" s="24" t="n">
        <f aca="false">4*DN$21-$C$8*DN$20</f>
        <v>8.88</v>
      </c>
      <c r="DO43" s="24" t="n">
        <f aca="false">4*DO$21-$C$8*DO$20</f>
        <v>7.46</v>
      </c>
      <c r="DP43" s="24" t="n">
        <f aca="false">4*DP$21-$C$8*DP$20</f>
        <v>1.1</v>
      </c>
      <c r="DQ43" s="24" t="n">
        <f aca="false">4*DQ$21-$C$8*DQ$20</f>
        <v>1.38</v>
      </c>
      <c r="DR43" s="24" t="n">
        <f aca="false">4*DR$21-$C$8*DR$20</f>
        <v>3.26</v>
      </c>
      <c r="DS43" s="24" t="n">
        <f aca="false">4*DS$21-$C$8*DS$20</f>
        <v>1.44</v>
      </c>
      <c r="DT43" s="24" t="n">
        <f aca="false">4*DT$21-$C$8*DT$20</f>
        <v>2.2</v>
      </c>
      <c r="DU43" s="24" t="n">
        <f aca="false">4*DU$21-$C$8*DU$20</f>
        <v>7.84</v>
      </c>
      <c r="DV43" s="24" t="n">
        <f aca="false">4*DV$21-$C$8*DV$20</f>
        <v>6.12</v>
      </c>
      <c r="DW43" s="24" t="n">
        <f aca="false">4*DW$21-$C$8*DW$20</f>
        <v>10.16</v>
      </c>
      <c r="DX43" s="24" t="n">
        <f aca="false">4*DX$21-$C$8*DX$20</f>
        <v>7.96</v>
      </c>
      <c r="DY43" s="24" t="n">
        <f aca="false">4*DY$21-$C$8*DY$20</f>
        <v>3.76</v>
      </c>
      <c r="DZ43" s="24" t="n">
        <f aca="false">4*DZ$21-$C$8*DZ$20</f>
        <v>0.4</v>
      </c>
      <c r="EA43" s="24" t="n">
        <f aca="false">4*EA$21-$C$8*EA$20</f>
        <v>1</v>
      </c>
      <c r="EB43" s="24" t="n">
        <f aca="false">4*EB$21-$C$8*EB$20</f>
        <v>1.12</v>
      </c>
      <c r="EC43" s="24" t="n">
        <f aca="false">4*EC$21-$C$8*EC$20</f>
        <v>0.86</v>
      </c>
      <c r="ED43" s="24" t="n">
        <f aca="false">4*ED$21-$C$8*ED$20</f>
        <v>3.22</v>
      </c>
      <c r="EE43" s="24" t="n">
        <f aca="false">4*EE$21-$C$8*EE$20</f>
        <v>1.74</v>
      </c>
      <c r="EF43" s="24" t="n">
        <f aca="false">4*EF$21-$C$8*EF$20</f>
        <v>6.54</v>
      </c>
      <c r="EG43" s="24" t="n">
        <f aca="false">4*EG$21-$C$8*EG$20</f>
        <v>9.14</v>
      </c>
      <c r="EH43" s="24" t="n">
        <f aca="false">4*EH$21-$C$8*EH$20</f>
        <v>11.62</v>
      </c>
      <c r="EI43" s="24" t="n">
        <f aca="false">4*EI$21-$C$8*EI$20</f>
        <v>1.56</v>
      </c>
      <c r="EJ43" s="24" t="n">
        <f aca="false">4*EJ$21-$C$8*EJ$20</f>
        <v>1.72</v>
      </c>
      <c r="EK43" s="24" t="n">
        <f aca="false">4*EK$21-$C$8*EK$20</f>
        <v>7.68</v>
      </c>
      <c r="EL43" s="24" t="n">
        <f aca="false">4*EL$21-$C$8*EL$20</f>
        <v>3.14</v>
      </c>
      <c r="EM43" s="24" t="n">
        <f aca="false">4*EM$21-$C$8*EM$20</f>
        <v>-68.3</v>
      </c>
      <c r="EN43" s="24" t="n">
        <f aca="false">4*EN$21-$C$8*EN$20</f>
        <v>-88.4</v>
      </c>
      <c r="EO43" s="24" t="n">
        <f aca="false">4*EO$21-$C$8*EO$20</f>
        <v>-88.4</v>
      </c>
      <c r="EP43" s="24" t="n">
        <f aca="false">4*EP$21-$C$8*EP$20</f>
        <v>26.7</v>
      </c>
      <c r="EQ43" s="24" t="n">
        <f aca="false">4*EQ$21-$C$8*EQ$20</f>
        <v>-8.86</v>
      </c>
      <c r="ER43" s="24" t="n">
        <f aca="false">4*ER$21-$C$8*ER$20</f>
        <v>-28.8</v>
      </c>
      <c r="ES43" s="24" t="n">
        <f aca="false">4*ES$21-$C$8*ES$20</f>
        <v>-19.2</v>
      </c>
      <c r="ET43" s="24" t="n">
        <f aca="false">4*ET$21-$C$8*ET$20</f>
        <v>-27.64</v>
      </c>
      <c r="EU43" s="24" t="n">
        <f aca="false">4*EU$21-$C$8*EU$20</f>
        <v>-6.7</v>
      </c>
    </row>
    <row r="44" customFormat="false" ht="15" hidden="false" customHeight="false" outlineLevel="0" collapsed="false">
      <c r="A44" s="4" t="s">
        <v>977</v>
      </c>
      <c r="B44" s="75" t="s">
        <v>976</v>
      </c>
      <c r="C44" s="78" t="n">
        <v>0</v>
      </c>
      <c r="D44" s="77" t="n">
        <v>575.69999998613</v>
      </c>
      <c r="E44" s="75" t="str">
        <f aca="false">IF(D44&gt;=C44-0.000001*MAX(1,ABS(C44)),IF(ABS(D44-C44)&lt;=0.000001*MAX(1,ABS(C44)),"tight","ok"),"VIOLATED")</f>
        <v>ok</v>
      </c>
      <c r="F44" s="24" t="n">
        <f aca="false">4*F$22-$C$9*F$20</f>
        <v>-54</v>
      </c>
      <c r="G44" s="24" t="n">
        <f aca="false">4*G$22-$C$9*G$20</f>
        <v>-72.01</v>
      </c>
      <c r="H44" s="24" t="n">
        <f aca="false">4*H$22-$C$9*H$20</f>
        <v>-54.45</v>
      </c>
      <c r="I44" s="24" t="n">
        <f aca="false">4*I$22-$C$9*I$20</f>
        <v>-35.64</v>
      </c>
      <c r="J44" s="24" t="n">
        <f aca="false">4*J$22-$C$9*J$20</f>
        <v>-67.5</v>
      </c>
      <c r="K44" s="24" t="n">
        <f aca="false">4*K$22-$C$9*K$20</f>
        <v>-96.75</v>
      </c>
      <c r="L44" s="24" t="n">
        <f aca="false">4*L$22-$C$9*L$20</f>
        <v>-182.53</v>
      </c>
      <c r="M44" s="24" t="n">
        <f aca="false">4*M$22-$C$9*M$20</f>
        <v>-56.96</v>
      </c>
      <c r="N44" s="24" t="n">
        <f aca="false">4*N$22-$C$9*N$20</f>
        <v>-114.3</v>
      </c>
      <c r="O44" s="24" t="n">
        <f aca="false">4*O$22-$C$9*O$20</f>
        <v>-68.4</v>
      </c>
      <c r="P44" s="24" t="n">
        <f aca="false">4*P$22-$C$9*P$20</f>
        <v>-58.03</v>
      </c>
      <c r="Q44" s="24" t="n">
        <f aca="false">4*Q$22-$C$9*Q$20</f>
        <v>-90.45</v>
      </c>
      <c r="R44" s="24" t="n">
        <f aca="false">4*R$22-$C$9*R$20</f>
        <v>-75.6</v>
      </c>
      <c r="S44" s="24" t="n">
        <f aca="false">4*S$22-$C$9*S$20</f>
        <v>-96.3</v>
      </c>
      <c r="T44" s="24" t="n">
        <f aca="false">4*T$22-$C$9*T$20</f>
        <v>-38.7</v>
      </c>
      <c r="U44" s="24" t="n">
        <f aca="false">4*U$22-$C$9*U$20</f>
        <v>-93.6</v>
      </c>
      <c r="V44" s="24" t="n">
        <f aca="false">4*V$22-$C$9*V$20</f>
        <v>-28.31</v>
      </c>
      <c r="W44" s="24" t="n">
        <f aca="false">4*W$22-$C$9*W$20</f>
        <v>-43.2</v>
      </c>
      <c r="X44" s="24" t="n">
        <f aca="false">4*X$22-$C$9*X$20</f>
        <v>-61.47</v>
      </c>
      <c r="Y44" s="24" t="n">
        <f aca="false">4*Y$22-$C$9*Y$20</f>
        <v>25.25</v>
      </c>
      <c r="Z44" s="24" t="n">
        <f aca="false">4*Z$22-$C$9*Z$20</f>
        <v>95.99</v>
      </c>
      <c r="AA44" s="24" t="n">
        <f aca="false">4*AA$22-$C$9*AA$20</f>
        <v>19.87</v>
      </c>
      <c r="AB44" s="24" t="n">
        <f aca="false">4*AB$22-$C$9*AB$20</f>
        <v>88.92</v>
      </c>
      <c r="AC44" s="24" t="n">
        <f aca="false">4*AC$22-$C$9*AC$20</f>
        <v>14.36</v>
      </c>
      <c r="AD44" s="24" t="n">
        <f aca="false">4*AD$22-$C$9*AD$20</f>
        <v>32.78</v>
      </c>
      <c r="AE44" s="24" t="n">
        <f aca="false">4*AE$22-$C$9*AE$20</f>
        <v>96.93</v>
      </c>
      <c r="AF44" s="24" t="n">
        <f aca="false">4*AF$22-$C$9*AF$20</f>
        <v>22.87</v>
      </c>
      <c r="AG44" s="24" t="n">
        <f aca="false">4*AG$22-$C$9*AG$20</f>
        <v>90.19</v>
      </c>
      <c r="AH44" s="24" t="n">
        <f aca="false">4*AH$22-$C$9*AH$20</f>
        <v>95</v>
      </c>
      <c r="AI44" s="24" t="n">
        <f aca="false">4*AI$22-$C$9*AI$20</f>
        <v>101.42</v>
      </c>
      <c r="AJ44" s="24" t="n">
        <f aca="false">4*AJ$22-$C$9*AJ$20</f>
        <v>30.95</v>
      </c>
      <c r="AK44" s="24" t="n">
        <f aca="false">4*AK$22-$C$9*AK$20</f>
        <v>91.35</v>
      </c>
      <c r="AL44" s="24" t="n">
        <f aca="false">4*AL$22-$C$9*AL$20</f>
        <v>-179.86</v>
      </c>
      <c r="AM44" s="24" t="n">
        <f aca="false">4*AM$22-$C$9*AM$20</f>
        <v>23.82</v>
      </c>
      <c r="AN44" s="24" t="n">
        <f aca="false">4*AN$22-$C$9*AN$20</f>
        <v>94.05</v>
      </c>
      <c r="AO44" s="24" t="n">
        <f aca="false">4*AO$22-$C$9*AO$20</f>
        <v>-33.7</v>
      </c>
      <c r="AP44" s="24" t="n">
        <f aca="false">4*AP$22-$C$9*AP$20</f>
        <v>-3.3</v>
      </c>
      <c r="AQ44" s="24" t="n">
        <f aca="false">4*AQ$22-$C$9*AQ$20</f>
        <v>-12.15</v>
      </c>
      <c r="AR44" s="24" t="n">
        <f aca="false">4*AR$22-$C$9*AR$20</f>
        <v>0.329999999999998</v>
      </c>
      <c r="AS44" s="24" t="n">
        <f aca="false">4*AS$22-$C$9*AS$20</f>
        <v>-8.25</v>
      </c>
      <c r="AT44" s="24" t="n">
        <f aca="false">4*AT$22-$C$9*AT$20</f>
        <v>-145.58</v>
      </c>
      <c r="AU44" s="24" t="n">
        <f aca="false">4*AU$22-$C$9*AU$20</f>
        <v>-169.44</v>
      </c>
      <c r="AV44" s="24" t="n">
        <f aca="false">4*AV$22-$C$9*AV$20</f>
        <v>-17.41</v>
      </c>
      <c r="AW44" s="24" t="n">
        <f aca="false">4*AW$22-$C$9*AW$20</f>
        <v>-110.43</v>
      </c>
      <c r="AX44" s="24" t="n">
        <f aca="false">4*AX$22-$C$9*AX$20</f>
        <v>90.72</v>
      </c>
      <c r="AY44" s="24" t="n">
        <f aca="false">4*AY$22-$C$9*AY$20</f>
        <v>139.85</v>
      </c>
      <c r="AZ44" s="24" t="n">
        <f aca="false">4*AZ$22-$C$9*AZ$20</f>
        <v>123.72</v>
      </c>
      <c r="BA44" s="24" t="n">
        <f aca="false">4*BA$22-$C$9*BA$20</f>
        <v>80.46</v>
      </c>
      <c r="BB44" s="24" t="n">
        <f aca="false">4*BB$22-$C$9*BB$20</f>
        <v>63.43</v>
      </c>
      <c r="BC44" s="24" t="n">
        <f aca="false">4*BC$22-$C$9*BC$20</f>
        <v>91.04</v>
      </c>
      <c r="BD44" s="24" t="n">
        <f aca="false">4*BD$22-$C$9*BD$20</f>
        <v>100.25</v>
      </c>
      <c r="BE44" s="24" t="n">
        <f aca="false">4*BE$22-$C$9*BE$20</f>
        <v>131.73</v>
      </c>
      <c r="BF44" s="24" t="n">
        <f aca="false">4*BF$22-$C$9*BF$20</f>
        <v>77.98</v>
      </c>
      <c r="BG44" s="24" t="n">
        <f aca="false">4*BG$22-$C$9*BG$20</f>
        <v>155.55</v>
      </c>
      <c r="BH44" s="24" t="n">
        <f aca="false">4*BH$22-$C$9*BH$20</f>
        <v>57.44</v>
      </c>
      <c r="BI44" s="24" t="n">
        <f aca="false">4*BI$22-$C$9*BI$20</f>
        <v>135.08</v>
      </c>
      <c r="BJ44" s="24" t="n">
        <f aca="false">4*BJ$22-$C$9*BJ$20</f>
        <v>41.16</v>
      </c>
      <c r="BK44" s="24" t="n">
        <f aca="false">4*BK$22-$C$9*BK$20</f>
        <v>27.99</v>
      </c>
      <c r="BL44" s="24" t="n">
        <f aca="false">4*BL$22-$C$9*BL$20</f>
        <v>43.24</v>
      </c>
      <c r="BM44" s="24" t="n">
        <f aca="false">4*BM$22-$C$9*BM$20</f>
        <v>31.74</v>
      </c>
      <c r="BN44" s="24" t="n">
        <f aca="false">4*BN$22-$C$9*BN$20</f>
        <v>16.3</v>
      </c>
      <c r="BO44" s="24" t="n">
        <f aca="false">4*BO$22-$C$9*BO$20</f>
        <v>19.83</v>
      </c>
      <c r="BP44" s="24" t="n">
        <f aca="false">4*BP$22-$C$9*BP$20</f>
        <v>35.31</v>
      </c>
      <c r="BQ44" s="24" t="n">
        <f aca="false">4*BQ$22-$C$9*BQ$20</f>
        <v>41.78</v>
      </c>
      <c r="BR44" s="24" t="n">
        <f aca="false">4*BR$22-$C$9*BR$20</f>
        <v>31.84</v>
      </c>
      <c r="BS44" s="24" t="n">
        <f aca="false">4*BS$22-$C$9*BS$20</f>
        <v>26.18</v>
      </c>
      <c r="BT44" s="24" t="n">
        <f aca="false">4*BT$22-$C$9*BT$20</f>
        <v>51.31</v>
      </c>
      <c r="BU44" s="24" t="n">
        <f aca="false">4*BU$22-$C$9*BU$20</f>
        <v>19.09</v>
      </c>
      <c r="BV44" s="24" t="n">
        <f aca="false">4*BV$22-$C$9*BV$20</f>
        <v>25.73</v>
      </c>
      <c r="BW44" s="24" t="n">
        <f aca="false">4*BW$22-$C$9*BW$20</f>
        <v>17.34</v>
      </c>
      <c r="BX44" s="24" t="n">
        <f aca="false">4*BX$22-$C$9*BX$20</f>
        <v>35.69</v>
      </c>
      <c r="BY44" s="24" t="n">
        <f aca="false">4*BY$22-$C$9*BY$20</f>
        <v>26.93</v>
      </c>
      <c r="BZ44" s="24" t="n">
        <f aca="false">4*BZ$22-$C$9*BZ$20</f>
        <v>173.22</v>
      </c>
      <c r="CA44" s="24" t="n">
        <f aca="false">4*CA$22-$C$9*CA$20</f>
        <v>142.11</v>
      </c>
      <c r="CB44" s="24" t="n">
        <f aca="false">4*CB$22-$C$9*CB$20</f>
        <v>192.6</v>
      </c>
      <c r="CC44" s="24" t="n">
        <f aca="false">4*CC$22-$C$9*CC$20</f>
        <v>26.74</v>
      </c>
      <c r="CD44" s="24" t="n">
        <f aca="false">4*CD$22-$C$9*CD$20</f>
        <v>17.92</v>
      </c>
      <c r="CE44" s="24" t="n">
        <f aca="false">4*CE$22-$C$9*CE$20</f>
        <v>41.35</v>
      </c>
      <c r="CF44" s="24" t="n">
        <f aca="false">4*CF$22-$C$9*CF$20</f>
        <v>20.16</v>
      </c>
      <c r="CG44" s="24" t="n">
        <f aca="false">4*CG$22-$C$9*CG$20</f>
        <v>31.19</v>
      </c>
      <c r="CH44" s="24" t="n">
        <f aca="false">4*CH$22-$C$9*CH$20</f>
        <v>32.92</v>
      </c>
      <c r="CI44" s="24" t="n">
        <f aca="false">4*CI$22-$C$9*CI$20</f>
        <v>22.4</v>
      </c>
      <c r="CJ44" s="24" t="n">
        <f aca="false">4*CJ$22-$C$9*CJ$20</f>
        <v>24.11</v>
      </c>
      <c r="CK44" s="24" t="n">
        <f aca="false">4*CK$22-$C$9*CK$20</f>
        <v>28.11</v>
      </c>
      <c r="CL44" s="24" t="n">
        <f aca="false">4*CL$22-$C$9*CL$20</f>
        <v>23.93</v>
      </c>
      <c r="CM44" s="24" t="n">
        <f aca="false">4*CM$22-$C$9*CM$20</f>
        <v>20.61</v>
      </c>
      <c r="CN44" s="24" t="n">
        <f aca="false">4*CN$22-$C$9*CN$20</f>
        <v>26.48</v>
      </c>
      <c r="CO44" s="24" t="n">
        <f aca="false">4*CO$22-$C$9*CO$20</f>
        <v>35.27</v>
      </c>
      <c r="CP44" s="24" t="n">
        <f aca="false">4*CP$22-$C$9*CP$20</f>
        <v>29.26</v>
      </c>
      <c r="CQ44" s="24" t="n">
        <f aca="false">4*CQ$22-$C$9*CQ$20</f>
        <v>29.98</v>
      </c>
      <c r="CR44" s="24" t="n">
        <f aca="false">4*CR$22-$C$9*CR$20</f>
        <v>35.8</v>
      </c>
      <c r="CS44" s="24" t="n">
        <f aca="false">4*CS$22-$C$9*CS$20</f>
        <v>24.98</v>
      </c>
      <c r="CT44" s="24" t="n">
        <f aca="false">4*CT$22-$C$9*CT$20</f>
        <v>147.52</v>
      </c>
      <c r="CU44" s="24" t="n">
        <f aca="false">4*CU$22-$C$9*CU$20</f>
        <v>182.17</v>
      </c>
      <c r="CV44" s="24" t="n">
        <f aca="false">4*CV$22-$C$9*CV$20</f>
        <v>24.36</v>
      </c>
      <c r="CW44" s="24" t="n">
        <f aca="false">4*CW$22-$C$9*CW$20</f>
        <v>16.32</v>
      </c>
      <c r="CX44" s="24" t="n">
        <f aca="false">4*CX$22-$C$9*CX$20</f>
        <v>20.77</v>
      </c>
      <c r="CY44" s="24" t="n">
        <f aca="false">4*CY$22-$C$9*CY$20</f>
        <v>16.7</v>
      </c>
      <c r="CZ44" s="24" t="n">
        <f aca="false">4*CZ$22-$C$9*CZ$20</f>
        <v>23.68</v>
      </c>
      <c r="DA44" s="24" t="n">
        <f aca="false">4*DA$22-$C$9*DA$20</f>
        <v>6.52</v>
      </c>
      <c r="DB44" s="24" t="n">
        <f aca="false">4*DB$22-$C$9*DB$20</f>
        <v>17.21</v>
      </c>
      <c r="DC44" s="24" t="n">
        <f aca="false">4*DC$22-$C$9*DC$20</f>
        <v>15.06</v>
      </c>
      <c r="DD44" s="24" t="n">
        <f aca="false">4*DD$22-$C$9*DD$20</f>
        <v>8.35</v>
      </c>
      <c r="DE44" s="24" t="n">
        <f aca="false">4*DE$22-$C$9*DE$20</f>
        <v>12.99</v>
      </c>
      <c r="DF44" s="24" t="n">
        <f aca="false">4*DF$22-$C$9*DF$20</f>
        <v>26.51</v>
      </c>
      <c r="DG44" s="24" t="n">
        <f aca="false">4*DG$22-$C$9*DG$20</f>
        <v>11.95</v>
      </c>
      <c r="DH44" s="24" t="n">
        <f aca="false">4*DH$22-$C$9*DH$20</f>
        <v>15.53</v>
      </c>
      <c r="DI44" s="24" t="n">
        <f aca="false">4*DI$22-$C$9*DI$20</f>
        <v>19.87</v>
      </c>
      <c r="DJ44" s="24" t="n">
        <f aca="false">4*DJ$22-$C$9*DJ$20</f>
        <v>11.13</v>
      </c>
      <c r="DK44" s="24" t="n">
        <f aca="false">4*DK$22-$C$9*DK$20</f>
        <v>15.4</v>
      </c>
      <c r="DL44" s="24" t="n">
        <f aca="false">4*DL$22-$C$9*DL$20</f>
        <v>7.92</v>
      </c>
      <c r="DM44" s="24" t="n">
        <f aca="false">4*DM$22-$C$9*DM$20</f>
        <v>4.68</v>
      </c>
      <c r="DN44" s="24" t="n">
        <f aca="false">4*DN$22-$C$9*DN$20</f>
        <v>7.28</v>
      </c>
      <c r="DO44" s="24" t="n">
        <f aca="false">4*DO$22-$C$9*DO$20</f>
        <v>10.99</v>
      </c>
      <c r="DP44" s="24" t="n">
        <f aca="false">4*DP$22-$C$9*DP$20</f>
        <v>7.77</v>
      </c>
      <c r="DQ44" s="24" t="n">
        <f aca="false">4*DQ$22-$C$9*DQ$20</f>
        <v>6.33</v>
      </c>
      <c r="DR44" s="24" t="n">
        <f aca="false">4*DR$22-$C$9*DR$20</f>
        <v>12.61</v>
      </c>
      <c r="DS44" s="24" t="n">
        <f aca="false">4*DS$22-$C$9*DS$20</f>
        <v>9.56</v>
      </c>
      <c r="DT44" s="24" t="n">
        <f aca="false">4*DT$22-$C$9*DT$20</f>
        <v>5.58</v>
      </c>
      <c r="DU44" s="24" t="n">
        <f aca="false">4*DU$22-$C$9*DU$20</f>
        <v>7</v>
      </c>
      <c r="DV44" s="24" t="n">
        <f aca="false">4*DV$22-$C$9*DV$20</f>
        <v>21.48</v>
      </c>
      <c r="DW44" s="24" t="n">
        <f aca="false">4*DW$22-$C$9*DW$20</f>
        <v>3.14</v>
      </c>
      <c r="DX44" s="24" t="n">
        <f aca="false">4*DX$22-$C$9*DX$20</f>
        <v>4.64</v>
      </c>
      <c r="DY44" s="24" t="n">
        <f aca="false">4*DY$22-$C$9*DY$20</f>
        <v>13.02</v>
      </c>
      <c r="DZ44" s="24" t="n">
        <f aca="false">4*DZ$22-$C$9*DZ$20</f>
        <v>19.36</v>
      </c>
      <c r="EA44" s="24" t="n">
        <f aca="false">4*EA$22-$C$9*EA$20</f>
        <v>17.06</v>
      </c>
      <c r="EB44" s="24" t="n">
        <f aca="false">4*EB$22-$C$9*EB$20</f>
        <v>6.4</v>
      </c>
      <c r="EC44" s="24" t="n">
        <f aca="false">4*EC$22-$C$9*EC$20</f>
        <v>10.17</v>
      </c>
      <c r="ED44" s="24" t="n">
        <f aca="false">4*ED$22-$C$9*ED$20</f>
        <v>5.51</v>
      </c>
      <c r="EE44" s="24" t="n">
        <f aca="false">4*EE$22-$C$9*EE$20</f>
        <v>8.57</v>
      </c>
      <c r="EF44" s="24" t="n">
        <f aca="false">4*EF$22-$C$9*EF$20</f>
        <v>3.13</v>
      </c>
      <c r="EG44" s="24" t="n">
        <f aca="false">4*EG$22-$C$9*EG$20</f>
        <v>4.17</v>
      </c>
      <c r="EH44" s="24" t="n">
        <f aca="false">4*EH$22-$C$9*EH$20</f>
        <v>3.79</v>
      </c>
      <c r="EI44" s="24" t="n">
        <f aca="false">4*EI$22-$C$9*EI$20</f>
        <v>6.68</v>
      </c>
      <c r="EJ44" s="24" t="n">
        <f aca="false">4*EJ$22-$C$9*EJ$20</f>
        <v>7.46</v>
      </c>
      <c r="EK44" s="24" t="n">
        <f aca="false">4*EK$22-$C$9*EK$20</f>
        <v>4.78</v>
      </c>
      <c r="EL44" s="24" t="n">
        <f aca="false">4*EL$22-$C$9*EL$20</f>
        <v>4.79</v>
      </c>
      <c r="EM44" s="24" t="n">
        <f aca="false">4*EM$22-$C$9*EM$20</f>
        <v>-322.41</v>
      </c>
      <c r="EN44" s="24" t="n">
        <f aca="false">4*EN$22-$C$9*EN$20</f>
        <v>-397.8</v>
      </c>
      <c r="EO44" s="24" t="n">
        <f aca="false">4*EO$22-$C$9*EO$20</f>
        <v>-397.8</v>
      </c>
      <c r="EP44" s="24" t="n">
        <f aca="false">4*EP$22-$C$9*EP$20</f>
        <v>-174.35</v>
      </c>
      <c r="EQ44" s="24" t="n">
        <f aca="false">4*EQ$22-$C$9*EQ$20</f>
        <v>-40.59</v>
      </c>
      <c r="ER44" s="24" t="n">
        <f aca="false">4*ER$22-$C$9*ER$20</f>
        <v>40.04</v>
      </c>
      <c r="ES44" s="24" t="n">
        <f aca="false">4*ES$22-$C$9*ES$20</f>
        <v>92.7</v>
      </c>
      <c r="ET44" s="24" t="n">
        <f aca="false">4*ET$22-$C$9*ET$20</f>
        <v>-24.08</v>
      </c>
      <c r="EU44" s="24" t="n">
        <f aca="false">4*EU$22-$C$9*EU$20</f>
        <v>1.25</v>
      </c>
    </row>
    <row r="45" customFormat="false" ht="15" hidden="false" customHeight="false" outlineLevel="0" collapsed="false">
      <c r="A45" s="4" t="s">
        <v>978</v>
      </c>
      <c r="B45" s="75" t="s">
        <v>976</v>
      </c>
      <c r="C45" s="78" t="n">
        <v>0</v>
      </c>
      <c r="D45" s="77" t="n">
        <v>13.84149667422</v>
      </c>
      <c r="E45" s="75" t="str">
        <f aca="false">IF(D45&gt;=C45-0.000001*MAX(1,ABS(C45)),IF(ABS(D45-C45)&lt;=0.000001*MAX(1,ABS(C45)),"tight","ok"),"VIOLATED")</f>
        <v>ok</v>
      </c>
      <c r="F45" s="24" t="n">
        <f aca="false">9*F$23-$C$10*F$20</f>
        <v>-0.419999999999998</v>
      </c>
      <c r="G45" s="24" t="n">
        <f aca="false">9*G$23-$C$10*G$20</f>
        <v>50.6</v>
      </c>
      <c r="H45" s="24" t="n">
        <f aca="false">9*H$23-$C$10*H$20</f>
        <v>12.88</v>
      </c>
      <c r="I45" s="24" t="n">
        <f aca="false">9*I$23-$C$10*I$20</f>
        <v>1.33</v>
      </c>
      <c r="J45" s="24" t="n">
        <f aca="false">9*J$23-$C$10*J$20</f>
        <v>45.06</v>
      </c>
      <c r="K45" s="24" t="n">
        <f aca="false">9*K$23-$C$10*K$20</f>
        <v>92.54</v>
      </c>
      <c r="L45" s="24" t="n">
        <f aca="false">9*L$23-$C$10*L$20</f>
        <v>273.81</v>
      </c>
      <c r="M45" s="24" t="n">
        <f aca="false">9*M$23-$C$10*M$20</f>
        <v>14.72</v>
      </c>
      <c r="N45" s="24" t="n">
        <f aca="false">9*N$23-$C$10*N$20</f>
        <v>129.2</v>
      </c>
      <c r="O45" s="24" t="n">
        <f aca="false">9*O$23-$C$10*O$20</f>
        <v>32.6</v>
      </c>
      <c r="P45" s="24" t="n">
        <f aca="false">9*P$23-$C$10*P$20</f>
        <v>44.8</v>
      </c>
      <c r="Q45" s="24" t="n">
        <f aca="false">9*Q$23-$C$10*Q$20</f>
        <v>76.44</v>
      </c>
      <c r="R45" s="24" t="n">
        <f aca="false">9*R$23-$C$10*R$20</f>
        <v>40.11</v>
      </c>
      <c r="S45" s="24" t="n">
        <f aca="false">9*S$23-$C$10*S$20</f>
        <v>85.72</v>
      </c>
      <c r="T45" s="24" t="n">
        <f aca="false">9*T$23-$C$10*T$20</f>
        <v>-8.56</v>
      </c>
      <c r="U45" s="24" t="n">
        <f aca="false">9*U$23-$C$10*U$20</f>
        <v>79.18</v>
      </c>
      <c r="V45" s="24" t="n">
        <f aca="false">9*V$23-$C$10*V$20</f>
        <v>-5.11</v>
      </c>
      <c r="W45" s="24" t="n">
        <f aca="false">9*W$23-$C$10*W$20</f>
        <v>-3.9</v>
      </c>
      <c r="X45" s="24" t="n">
        <f aca="false">9*X$23-$C$10*X$20</f>
        <v>56.99</v>
      </c>
      <c r="Y45" s="24" t="n">
        <f aca="false">9*Y$23-$C$10*Y$20</f>
        <v>-15.59</v>
      </c>
      <c r="Z45" s="24" t="n">
        <f aca="false">9*Z$23-$C$10*Z$20</f>
        <v>-55.42</v>
      </c>
      <c r="AA45" s="24" t="n">
        <f aca="false">9*AA$23-$C$10*AA$20</f>
        <v>-10.45</v>
      </c>
      <c r="AB45" s="24" t="n">
        <f aca="false">9*AB$23-$C$10*AB$20</f>
        <v>-55.86</v>
      </c>
      <c r="AC45" s="24" t="n">
        <f aca="false">9*AC$23-$C$10*AC$20</f>
        <v>-0.0500000000000007</v>
      </c>
      <c r="AD45" s="24" t="n">
        <f aca="false">9*AD$23-$C$10*AD$20</f>
        <v>-19.29</v>
      </c>
      <c r="AE45" s="24" t="n">
        <f aca="false">9*AE$23-$C$10*AE$20</f>
        <v>-57.54</v>
      </c>
      <c r="AF45" s="24" t="n">
        <f aca="false">9*AF$23-$C$10*AF$20</f>
        <v>-12.96</v>
      </c>
      <c r="AG45" s="24" t="n">
        <f aca="false">9*AG$23-$C$10*AG$20</f>
        <v>-59.13</v>
      </c>
      <c r="AH45" s="24" t="n">
        <f aca="false">9*AH$23-$C$10*AH$20</f>
        <v>-60.86</v>
      </c>
      <c r="AI45" s="24" t="n">
        <f aca="false">9*AI$23-$C$10*AI$20</f>
        <v>-61.39</v>
      </c>
      <c r="AJ45" s="24" t="n">
        <f aca="false">9*AJ$23-$C$10*AJ$20</f>
        <v>-18.73</v>
      </c>
      <c r="AK45" s="24" t="n">
        <f aca="false">9*AK$23-$C$10*AK$20</f>
        <v>-53.9</v>
      </c>
      <c r="AL45" s="24" t="n">
        <f aca="false">9*AL$23-$C$10*AL$20</f>
        <v>342.64</v>
      </c>
      <c r="AM45" s="24" t="n">
        <f aca="false">9*AM$23-$C$10*AM$20</f>
        <v>-11.36</v>
      </c>
      <c r="AN45" s="24" t="n">
        <f aca="false">9*AN$23-$C$10*AN$20</f>
        <v>-58.33</v>
      </c>
      <c r="AO45" s="24" t="n">
        <f aca="false">9*AO$23-$C$10*AO$20</f>
        <v>27.2</v>
      </c>
      <c r="AP45" s="24" t="n">
        <f aca="false">9*AP$23-$C$10*AP$20</f>
        <v>7.82</v>
      </c>
      <c r="AQ45" s="24" t="n">
        <f aca="false">9*AQ$23-$C$10*AQ$20</f>
        <v>-8.29</v>
      </c>
      <c r="AR45" s="24" t="n">
        <f aca="false">9*AR$23-$C$10*AR$20</f>
        <v>4.63</v>
      </c>
      <c r="AS45" s="24" t="n">
        <f aca="false">9*AS$23-$C$10*AS$20</f>
        <v>17.05</v>
      </c>
      <c r="AT45" s="24" t="n">
        <f aca="false">9*AT$23-$C$10*AT$20</f>
        <v>203.19</v>
      </c>
      <c r="AU45" s="24" t="n">
        <f aca="false">9*AU$23-$C$10*AU$20</f>
        <v>218.99</v>
      </c>
      <c r="AV45" s="24" t="n">
        <f aca="false">9*AV$23-$C$10*AV$20</f>
        <v>4.23</v>
      </c>
      <c r="AW45" s="24" t="n">
        <f aca="false">9*AW$23-$C$10*AW$20</f>
        <v>119.02</v>
      </c>
      <c r="AX45" s="24" t="n">
        <f aca="false">9*AX$23-$C$10*AX$20</f>
        <v>-40.92</v>
      </c>
      <c r="AY45" s="24" t="n">
        <f aca="false">9*AY$23-$C$10*AY$20</f>
        <v>-44.6</v>
      </c>
      <c r="AZ45" s="24" t="n">
        <f aca="false">9*AZ$23-$C$10*AZ$20</f>
        <v>-14.63</v>
      </c>
      <c r="BA45" s="24" t="n">
        <f aca="false">9*BA$23-$C$10*BA$20</f>
        <v>-17.95</v>
      </c>
      <c r="BB45" s="24" t="n">
        <f aca="false">9*BB$23-$C$10*BB$20</f>
        <v>8.81999999999999</v>
      </c>
      <c r="BC45" s="24" t="n">
        <f aca="false">9*BC$23-$C$10*BC$20</f>
        <v>-18.97</v>
      </c>
      <c r="BD45" s="24" t="n">
        <f aca="false">9*BD$23-$C$10*BD$20</f>
        <v>-17.12</v>
      </c>
      <c r="BE45" s="24" t="n">
        <f aca="false">9*BE$23-$C$10*BE$20</f>
        <v>-60.61</v>
      </c>
      <c r="BF45" s="24" t="n">
        <f aca="false">9*BF$23-$C$10*BF$20</f>
        <v>-23.23</v>
      </c>
      <c r="BG45" s="24" t="n">
        <f aca="false">9*BG$23-$C$10*BG$20</f>
        <v>-67.06</v>
      </c>
      <c r="BH45" s="24" t="n">
        <f aca="false">9*BH$23-$C$10*BH$20</f>
        <v>-18.9</v>
      </c>
      <c r="BI45" s="24" t="n">
        <f aca="false">9*BI$23-$C$10*BI$20</f>
        <v>-44.03</v>
      </c>
      <c r="BJ45" s="24" t="n">
        <f aca="false">9*BJ$23-$C$10*BJ$20</f>
        <v>-22.44</v>
      </c>
      <c r="BK45" s="24" t="n">
        <f aca="false">9*BK$23-$C$10*BK$20</f>
        <v>-5.27</v>
      </c>
      <c r="BL45" s="24" t="n">
        <f aca="false">9*BL$23-$C$10*BL$20</f>
        <v>-10.58</v>
      </c>
      <c r="BM45" s="24" t="n">
        <f aca="false">9*BM$23-$C$10*BM$20</f>
        <v>11.94</v>
      </c>
      <c r="BN45" s="24" t="n">
        <f aca="false">9*BN$23-$C$10*BN$20</f>
        <v>-7.28</v>
      </c>
      <c r="BO45" s="24" t="n">
        <f aca="false">9*BO$23-$C$10*BO$20</f>
        <v>-11.8</v>
      </c>
      <c r="BP45" s="24" t="n">
        <f aca="false">9*BP$23-$C$10*BP$20</f>
        <v>-14.59</v>
      </c>
      <c r="BQ45" s="24" t="n">
        <f aca="false">9*BQ$23-$C$10*BQ$20</f>
        <v>-16.75</v>
      </c>
      <c r="BR45" s="24" t="n">
        <f aca="false">9*BR$23-$C$10*BR$20</f>
        <v>-8.87</v>
      </c>
      <c r="BS45" s="24" t="n">
        <f aca="false">9*BS$23-$C$10*BS$20</f>
        <v>-7.5</v>
      </c>
      <c r="BT45" s="24" t="n">
        <f aca="false">9*BT$23-$C$10*BT$20</f>
        <v>-14.83</v>
      </c>
      <c r="BU45" s="24" t="n">
        <f aca="false">9*BU$23-$C$10*BU$20</f>
        <v>-4.19</v>
      </c>
      <c r="BV45" s="24" t="n">
        <f aca="false">9*BV$23-$C$10*BV$20</f>
        <v>-4.44</v>
      </c>
      <c r="BW45" s="24" t="n">
        <f aca="false">9*BW$23-$C$10*BW$20</f>
        <v>-5.09</v>
      </c>
      <c r="BX45" s="24" t="n">
        <f aca="false">9*BX$23-$C$10*BX$20</f>
        <v>-10.8</v>
      </c>
      <c r="BY45" s="24" t="n">
        <f aca="false">9*BY$23-$C$10*BY$20</f>
        <v>-8.05</v>
      </c>
      <c r="BZ45" s="24" t="n">
        <f aca="false">9*BZ$23-$C$10*BZ$20</f>
        <v>-52.89</v>
      </c>
      <c r="CA45" s="24" t="n">
        <f aca="false">9*CA$23-$C$10*CA$20</f>
        <v>-43.61</v>
      </c>
      <c r="CB45" s="24" t="n">
        <f aca="false">9*CB$23-$C$10*CB$20</f>
        <v>-51.79</v>
      </c>
      <c r="CC45" s="24" t="n">
        <f aca="false">9*CC$23-$C$10*CC$20</f>
        <v>-9.11</v>
      </c>
      <c r="CD45" s="24" t="n">
        <f aca="false">9*CD$23-$C$10*CD$20</f>
        <v>-5.5</v>
      </c>
      <c r="CE45" s="24" t="n">
        <f aca="false">9*CE$23-$C$10*CE$20</f>
        <v>-12.36</v>
      </c>
      <c r="CF45" s="24" t="n">
        <f aca="false">9*CF$23-$C$10*CF$20</f>
        <v>-5.94</v>
      </c>
      <c r="CG45" s="24" t="n">
        <f aca="false">9*CG$23-$C$10*CG$20</f>
        <v>-7.52</v>
      </c>
      <c r="CH45" s="24" t="n">
        <f aca="false">9*CH$23-$C$10*CH$20</f>
        <v>-8.58</v>
      </c>
      <c r="CI45" s="24" t="n">
        <f aca="false">9*CI$23-$C$10*CI$20</f>
        <v>-5.92</v>
      </c>
      <c r="CJ45" s="24" t="n">
        <f aca="false">9*CJ$23-$C$10*CJ$20</f>
        <v>-8.72</v>
      </c>
      <c r="CK45" s="24" t="n">
        <f aca="false">9*CK$23-$C$10*CK$20</f>
        <v>-8.45</v>
      </c>
      <c r="CL45" s="24" t="n">
        <f aca="false">9*CL$23-$C$10*CL$20</f>
        <v>-6.26</v>
      </c>
      <c r="CM45" s="24" t="n">
        <f aca="false">9*CM$23-$C$10*CM$20</f>
        <v>-5.55</v>
      </c>
      <c r="CN45" s="24" t="n">
        <f aca="false">9*CN$23-$C$10*CN$20</f>
        <v>-8.53</v>
      </c>
      <c r="CO45" s="24" t="n">
        <f aca="false">9*CO$23-$C$10*CO$20</f>
        <v>-10.14</v>
      </c>
      <c r="CP45" s="24" t="n">
        <f aca="false">9*CP$23-$C$10*CP$20</f>
        <v>-9.37</v>
      </c>
      <c r="CQ45" s="24" t="n">
        <f aca="false">9*CQ$23-$C$10*CQ$20</f>
        <v>-8.92</v>
      </c>
      <c r="CR45" s="24" t="n">
        <f aca="false">9*CR$23-$C$10*CR$20</f>
        <v>-11.28</v>
      </c>
      <c r="CS45" s="24" t="n">
        <f aca="false">9*CS$23-$C$10*CS$20</f>
        <v>-6.68</v>
      </c>
      <c r="CT45" s="24" t="n">
        <f aca="false">9*CT$23-$C$10*CT$20</f>
        <v>-44.58</v>
      </c>
      <c r="CU45" s="24" t="n">
        <f aca="false">9*CU$23-$C$10*CU$20</f>
        <v>-55.66</v>
      </c>
      <c r="CV45" s="24" t="n">
        <f aca="false">9*CV$23-$C$10*CV$20</f>
        <v>-4.55</v>
      </c>
      <c r="CW45" s="24" t="n">
        <f aca="false">9*CW$23-$C$10*CW$20</f>
        <v>-3.7</v>
      </c>
      <c r="CX45" s="24" t="n">
        <f aca="false">9*CX$23-$C$10*CX$20</f>
        <v>-6.01</v>
      </c>
      <c r="CY45" s="24" t="n">
        <f aca="false">9*CY$23-$C$10*CY$20</f>
        <v>-4.65</v>
      </c>
      <c r="CZ45" s="24" t="n">
        <f aca="false">9*CZ$23-$C$10*CZ$20</f>
        <v>-7.1</v>
      </c>
      <c r="DA45" s="24" t="n">
        <f aca="false">9*DA$23-$C$10*DA$20</f>
        <v>-2.92</v>
      </c>
      <c r="DB45" s="24" t="n">
        <f aca="false">9*DB$23-$C$10*DB$20</f>
        <v>-5.83</v>
      </c>
      <c r="DC45" s="24" t="n">
        <f aca="false">9*DC$23-$C$10*DC$20</f>
        <v>-5.19</v>
      </c>
      <c r="DD45" s="24" t="n">
        <f aca="false">9*DD$23-$C$10*DD$20</f>
        <v>-2.74</v>
      </c>
      <c r="DE45" s="24" t="n">
        <f aca="false">9*DE$23-$C$10*DE$20</f>
        <v>-4.51</v>
      </c>
      <c r="DF45" s="24" t="n">
        <f aca="false">9*DF$23-$C$10*DF$20</f>
        <v>-8.1</v>
      </c>
      <c r="DG45" s="24" t="n">
        <f aca="false">9*DG$23-$C$10*DG$20</f>
        <v>-4.1</v>
      </c>
      <c r="DH45" s="24" t="n">
        <f aca="false">9*DH$23-$C$10*DH$20</f>
        <v>-4.76</v>
      </c>
      <c r="DI45" s="24" t="n">
        <f aca="false">9*DI$23-$C$10*DI$20</f>
        <v>-6.04</v>
      </c>
      <c r="DJ45" s="24" t="n">
        <f aca="false">9*DJ$23-$C$10*DJ$20</f>
        <v>-3.34</v>
      </c>
      <c r="DK45" s="24" t="n">
        <f aca="false">9*DK$23-$C$10*DK$20</f>
        <v>-3.06</v>
      </c>
      <c r="DL45" s="24" t="n">
        <f aca="false">9*DL$23-$C$10*DL$20</f>
        <v>-2.37</v>
      </c>
      <c r="DM45" s="24" t="n">
        <f aca="false">9*DM$23-$C$10*DM$20</f>
        <v>-1.67</v>
      </c>
      <c r="DN45" s="24" t="n">
        <f aca="false">9*DN$23-$C$10*DN$20</f>
        <v>-0.91</v>
      </c>
      <c r="DO45" s="24" t="n">
        <f aca="false">9*DO$23-$C$10*DO$20</f>
        <v>-3.27</v>
      </c>
      <c r="DP45" s="24" t="n">
        <f aca="false">9*DP$23-$C$10*DP$20</f>
        <v>-2.01</v>
      </c>
      <c r="DQ45" s="24" t="n">
        <f aca="false">9*DQ$23-$C$10*DQ$20</f>
        <v>-1.47</v>
      </c>
      <c r="DR45" s="24" t="n">
        <f aca="false">9*DR$23-$C$10*DR$20</f>
        <v>-5.91</v>
      </c>
      <c r="DS45" s="24" t="n">
        <f aca="false">9*DS$23-$C$10*DS$20</f>
        <v>-2.47</v>
      </c>
      <c r="DT45" s="24" t="n">
        <f aca="false">9*DT$23-$C$10*DT$20</f>
        <v>-1.54</v>
      </c>
      <c r="DU45" s="24" t="n">
        <f aca="false">9*DU$23-$C$10*DU$20</f>
        <v>-1.46</v>
      </c>
      <c r="DV45" s="24" t="n">
        <f aca="false">9*DV$23-$C$10*DV$20</f>
        <v>-9.72</v>
      </c>
      <c r="DW45" s="24" t="n">
        <f aca="false">9*DW$23-$C$10*DW$20</f>
        <v>-1.34</v>
      </c>
      <c r="DX45" s="24" t="n">
        <f aca="false">9*DX$23-$C$10*DX$20</f>
        <v>-1.57</v>
      </c>
      <c r="DY45" s="24" t="n">
        <f aca="false">9*DY$23-$C$10*DY$20</f>
        <v>-3.75</v>
      </c>
      <c r="DZ45" s="24" t="n">
        <f aca="false">9*DZ$23-$C$10*DZ$20</f>
        <v>-7.1</v>
      </c>
      <c r="EA45" s="24" t="n">
        <f aca="false">9*EA$23-$C$10*EA$20</f>
        <v>-4.28</v>
      </c>
      <c r="EB45" s="24" t="n">
        <f aca="false">9*EB$23-$C$10*EB$20</f>
        <v>-2.3</v>
      </c>
      <c r="EC45" s="24" t="n">
        <f aca="false">9*EC$23-$C$10*EC$20</f>
        <v>-3.5</v>
      </c>
      <c r="ED45" s="24" t="n">
        <f aca="false">9*ED$23-$C$10*ED$20</f>
        <v>-0.700000000000001</v>
      </c>
      <c r="EE45" s="24" t="n">
        <f aca="false">9*EE$23-$C$10*EE$20</f>
        <v>-2.54</v>
      </c>
      <c r="EF45" s="24" t="n">
        <f aca="false">9*EF$23-$C$10*EF$20</f>
        <v>-0.47</v>
      </c>
      <c r="EG45" s="24" t="n">
        <f aca="false">9*EG$23-$C$10*EG$20</f>
        <v>-1.09</v>
      </c>
      <c r="EH45" s="24" t="n">
        <f aca="false">9*EH$23-$C$10*EH$20</f>
        <v>-0.670000000000001</v>
      </c>
      <c r="EI45" s="24" t="n">
        <f aca="false">9*EI$23-$C$10*EI$20</f>
        <v>-0.95</v>
      </c>
      <c r="EJ45" s="24" t="n">
        <f aca="false">9*EJ$23-$C$10*EJ$20</f>
        <v>-1.8</v>
      </c>
      <c r="EK45" s="24" t="n">
        <f aca="false">9*EK$23-$C$10*EK$20</f>
        <v>-1.61</v>
      </c>
      <c r="EL45" s="24" t="n">
        <f aca="false">9*EL$23-$C$10*EL$20</f>
        <v>-0.520000000000001</v>
      </c>
      <c r="EM45" s="24" t="n">
        <f aca="false">9*EM$23-$C$10*EM$20</f>
        <v>586.59</v>
      </c>
      <c r="EN45" s="24" t="n">
        <f aca="false">9*EN$23-$C$10*EN$20</f>
        <v>723.2</v>
      </c>
      <c r="EO45" s="24" t="n">
        <f aca="false">9*EO$23-$C$10*EO$20</f>
        <v>723.2</v>
      </c>
      <c r="EP45" s="24" t="n">
        <f aca="false">9*EP$23-$C$10*EP$20</f>
        <v>333.57</v>
      </c>
      <c r="EQ45" s="24" t="n">
        <f aca="false">9*EQ$23-$C$10*EQ$20</f>
        <v>105.29</v>
      </c>
      <c r="ER45" s="24" t="n">
        <f aca="false">9*ER$23-$C$10*ER$20</f>
        <v>124.08</v>
      </c>
      <c r="ES45" s="24" t="n">
        <f aca="false">9*ES$23-$C$10*ES$20</f>
        <v>65.53</v>
      </c>
      <c r="ET45" s="24" t="n">
        <f aca="false">9*ET$23-$C$10*ET$20</f>
        <v>199.42</v>
      </c>
      <c r="EU45" s="24" t="n">
        <f aca="false">9*EU$23-$C$10*EU$20</f>
        <v>57.6</v>
      </c>
    </row>
    <row r="46" customFormat="false" ht="15" hidden="false" customHeight="false" outlineLevel="0" collapsed="false">
      <c r="A46" s="4" t="s">
        <v>979</v>
      </c>
      <c r="B46" s="75" t="s">
        <v>973</v>
      </c>
      <c r="C46" s="76" t="n">
        <f aca="false">N(Planner!$E$18)</f>
        <v>42</v>
      </c>
      <c r="D46" s="77" t="n">
        <v>45.7854769708</v>
      </c>
      <c r="E46" s="75" t="str">
        <f aca="false">IF(D46&gt;=C46-0.000001*MAX(1,ABS(C46)),IF(ABS(D46-C46)&lt;=0.000001*MAX(1,ABS(C46)),"tight","ok"),"VIOLATED")</f>
        <v>ok</v>
      </c>
      <c r="F46" s="24" t="n">
        <f aca="false">F$24</f>
        <v>0</v>
      </c>
      <c r="G46" s="24" t="n">
        <f aca="false">G$24</f>
        <v>0</v>
      </c>
      <c r="H46" s="24" t="n">
        <f aca="false">H$24</f>
        <v>0</v>
      </c>
      <c r="I46" s="24" t="n">
        <f aca="false">I$24</f>
        <v>0</v>
      </c>
      <c r="J46" s="24" t="n">
        <f aca="false">J$24</f>
        <v>0</v>
      </c>
      <c r="K46" s="24" t="n">
        <f aca="false">K$24</f>
        <v>0</v>
      </c>
      <c r="L46" s="24" t="n">
        <f aca="false">L$24</f>
        <v>0</v>
      </c>
      <c r="M46" s="24" t="n">
        <f aca="false">M$24</f>
        <v>0</v>
      </c>
      <c r="N46" s="24" t="n">
        <f aca="false">N$24</f>
        <v>0</v>
      </c>
      <c r="O46" s="24" t="n">
        <f aca="false">O$24</f>
        <v>0</v>
      </c>
      <c r="P46" s="24" t="n">
        <f aca="false">P$24</f>
        <v>1.3</v>
      </c>
      <c r="Q46" s="24" t="n">
        <f aca="false">Q$24</f>
        <v>0</v>
      </c>
      <c r="R46" s="24" t="n">
        <f aca="false">R$24</f>
        <v>0</v>
      </c>
      <c r="S46" s="24" t="n">
        <f aca="false">S$24</f>
        <v>0</v>
      </c>
      <c r="T46" s="24" t="n">
        <f aca="false">T$24</f>
        <v>0</v>
      </c>
      <c r="U46" s="24" t="n">
        <f aca="false">U$24</f>
        <v>0</v>
      </c>
      <c r="V46" s="24" t="n">
        <f aca="false">V$24</f>
        <v>0</v>
      </c>
      <c r="W46" s="24" t="n">
        <f aca="false">W$24</f>
        <v>0</v>
      </c>
      <c r="X46" s="24" t="n">
        <f aca="false">X$24</f>
        <v>0</v>
      </c>
      <c r="Y46" s="24" t="n">
        <f aca="false">Y$24</f>
        <v>6.9</v>
      </c>
      <c r="Z46" s="24" t="n">
        <f aca="false">Z$24</f>
        <v>15.5</v>
      </c>
      <c r="AA46" s="24" t="n">
        <f aca="false">AA$24</f>
        <v>3.3</v>
      </c>
      <c r="AB46" s="24" t="n">
        <f aca="false">AB$24</f>
        <v>10.6</v>
      </c>
      <c r="AC46" s="24" t="n">
        <f aca="false">AC$24</f>
        <v>4.4</v>
      </c>
      <c r="AD46" s="24" t="n">
        <f aca="false">AD$24</f>
        <v>4.9</v>
      </c>
      <c r="AE46" s="24" t="n">
        <f aca="false">AE$24</f>
        <v>20.2</v>
      </c>
      <c r="AF46" s="24" t="n">
        <f aca="false">AF$24</f>
        <v>4.3</v>
      </c>
      <c r="AG46" s="24" t="n">
        <f aca="false">AG$24</f>
        <v>24.9</v>
      </c>
      <c r="AH46" s="24" t="n">
        <f aca="false">AH$24</f>
        <v>10.7</v>
      </c>
      <c r="AI46" s="24" t="n">
        <f aca="false">AI$24</f>
        <v>19</v>
      </c>
      <c r="AJ46" s="24" t="n">
        <f aca="false">AJ$24</f>
        <v>5.1</v>
      </c>
      <c r="AK46" s="24" t="n">
        <f aca="false">AK$24</f>
        <v>15.3</v>
      </c>
      <c r="AL46" s="24" t="n">
        <f aca="false">AL$24</f>
        <v>5</v>
      </c>
      <c r="AM46" s="24" t="n">
        <f aca="false">AM$24</f>
        <v>4.6</v>
      </c>
      <c r="AN46" s="24" t="n">
        <f aca="false">AN$24</f>
        <v>15.5</v>
      </c>
      <c r="AO46" s="24" t="n">
        <f aca="false">AO$24</f>
        <v>1.3</v>
      </c>
      <c r="AP46" s="24" t="n">
        <f aca="false">AP$24</f>
        <v>0</v>
      </c>
      <c r="AQ46" s="24" t="n">
        <f aca="false">AQ$24</f>
        <v>0</v>
      </c>
      <c r="AR46" s="24" t="n">
        <f aca="false">AR$24</f>
        <v>0.2</v>
      </c>
      <c r="AS46" s="24" t="n">
        <f aca="false">AS$24</f>
        <v>0</v>
      </c>
      <c r="AT46" s="24" t="n">
        <f aca="false">AT$24</f>
        <v>0</v>
      </c>
      <c r="AU46" s="24" t="n">
        <f aca="false">AU$24</f>
        <v>0</v>
      </c>
      <c r="AV46" s="24" t="n">
        <f aca="false">AV$24</f>
        <v>0</v>
      </c>
      <c r="AW46" s="24" t="n">
        <f aca="false">AW$24</f>
        <v>0</v>
      </c>
      <c r="AX46" s="24" t="n">
        <f aca="false">AX$24</f>
        <v>1.6</v>
      </c>
      <c r="AY46" s="24" t="n">
        <f aca="false">AY$24</f>
        <v>3.6</v>
      </c>
      <c r="AZ46" s="24" t="n">
        <f aca="false">AZ$24</f>
        <v>9.4</v>
      </c>
      <c r="BA46" s="24" t="n">
        <f aca="false">BA$24</f>
        <v>6.3</v>
      </c>
      <c r="BB46" s="24" t="n">
        <f aca="false">BB$24</f>
        <v>2.4</v>
      </c>
      <c r="BC46" s="24" t="n">
        <f aca="false">BC$24</f>
        <v>7</v>
      </c>
      <c r="BD46" s="24" t="n">
        <f aca="false">BD$24</f>
        <v>10.1</v>
      </c>
      <c r="BE46" s="24" t="n">
        <f aca="false">BE$24</f>
        <v>3.2</v>
      </c>
      <c r="BF46" s="24" t="n">
        <f aca="false">BF$24</f>
        <v>2.7</v>
      </c>
      <c r="BG46" s="24" t="n">
        <f aca="false">BG$24</f>
        <v>1.3</v>
      </c>
      <c r="BH46" s="24" t="n">
        <f aca="false">BH$24</f>
        <v>6</v>
      </c>
      <c r="BI46" s="24" t="n">
        <f aca="false">BI$24</f>
        <v>9.2</v>
      </c>
      <c r="BJ46" s="24" t="n">
        <f aca="false">BJ$24</f>
        <v>6</v>
      </c>
      <c r="BK46" s="24" t="n">
        <f aca="false">BK$24</f>
        <v>1.7</v>
      </c>
      <c r="BL46" s="24" t="n">
        <f aca="false">BL$24</f>
        <v>2.1</v>
      </c>
      <c r="BM46" s="24" t="n">
        <f aca="false">BM$24</f>
        <v>1.9</v>
      </c>
      <c r="BN46" s="24" t="n">
        <f aca="false">BN$24</f>
        <v>3.3</v>
      </c>
      <c r="BO46" s="24" t="n">
        <f aca="false">BO$24</f>
        <v>4.5</v>
      </c>
      <c r="BP46" s="24" t="n">
        <f aca="false">BP$24</f>
        <v>2.1</v>
      </c>
      <c r="BQ46" s="24" t="n">
        <f aca="false">BQ$24</f>
        <v>3</v>
      </c>
      <c r="BR46" s="24" t="n">
        <f aca="false">BR$24</f>
        <v>2.4</v>
      </c>
      <c r="BS46" s="24" t="n">
        <f aca="false">BS$24</f>
        <v>1.1</v>
      </c>
      <c r="BT46" s="24" t="n">
        <f aca="false">BT$24</f>
        <v>2.6</v>
      </c>
      <c r="BU46" s="24" t="n">
        <f aca="false">BU$24</f>
        <v>5.3</v>
      </c>
      <c r="BV46" s="24" t="n">
        <f aca="false">BV$24</f>
        <v>2.7</v>
      </c>
      <c r="BW46" s="24" t="n">
        <f aca="false">BW$24</f>
        <v>0.9</v>
      </c>
      <c r="BX46" s="24" t="n">
        <f aca="false">BX$24</f>
        <v>2.1</v>
      </c>
      <c r="BY46" s="24" t="n">
        <f aca="false">BY$24</f>
        <v>1.7</v>
      </c>
      <c r="BZ46" s="24" t="n">
        <f aca="false">BZ$24</f>
        <v>8</v>
      </c>
      <c r="CA46" s="24" t="n">
        <f aca="false">CA$24</f>
        <v>7.3</v>
      </c>
      <c r="CB46" s="24" t="n">
        <f aca="false">CB$24</f>
        <v>5.3</v>
      </c>
      <c r="CC46" s="24" t="n">
        <f aca="false">CC$24</f>
        <v>1</v>
      </c>
      <c r="CD46" s="24" t="n">
        <f aca="false">CD$24</f>
        <v>1.1</v>
      </c>
      <c r="CE46" s="24" t="n">
        <f aca="false">CE$24</f>
        <v>0.9</v>
      </c>
      <c r="CF46" s="24" t="n">
        <f aca="false">CF$24</f>
        <v>0.8</v>
      </c>
      <c r="CG46" s="24" t="n">
        <f aca="false">CG$24</f>
        <v>3</v>
      </c>
      <c r="CH46" s="24" t="n">
        <f aca="false">CH$24</f>
        <v>1.6</v>
      </c>
      <c r="CI46" s="24" t="n">
        <f aca="false">CI$24</f>
        <v>1.7</v>
      </c>
      <c r="CJ46" s="24" t="n">
        <f aca="false">CJ$24</f>
        <v>0.3</v>
      </c>
      <c r="CK46" s="24" t="n">
        <f aca="false">CK$24</f>
        <v>2.2</v>
      </c>
      <c r="CL46" s="24" t="n">
        <f aca="false">CL$24</f>
        <v>1.7</v>
      </c>
      <c r="CM46" s="24" t="n">
        <f aca="false">CM$24</f>
        <v>1.5</v>
      </c>
      <c r="CN46" s="24" t="n">
        <f aca="false">CN$24</f>
        <v>1.3</v>
      </c>
      <c r="CO46" s="24" t="n">
        <f aca="false">CO$24</f>
        <v>3.1</v>
      </c>
      <c r="CP46" s="24" t="n">
        <f aca="false">CP$24</f>
        <v>1.6</v>
      </c>
      <c r="CQ46" s="24" t="n">
        <f aca="false">CQ$24</f>
        <v>1.4</v>
      </c>
      <c r="CR46" s="24" t="n">
        <f aca="false">CR$24</f>
        <v>0.8</v>
      </c>
      <c r="CS46" s="24" t="n">
        <f aca="false">CS$24</f>
        <v>1.4</v>
      </c>
      <c r="CT46" s="24" t="n">
        <f aca="false">CT$24</f>
        <v>7.1</v>
      </c>
      <c r="CU46" s="24" t="n">
        <f aca="false">CU$24</f>
        <v>3.7</v>
      </c>
      <c r="CV46" s="24" t="n">
        <f aca="false">CV$24</f>
        <v>6.5</v>
      </c>
      <c r="CW46" s="24" t="n">
        <f aca="false">CW$24</f>
        <v>2</v>
      </c>
      <c r="CX46" s="24" t="n">
        <f aca="false">CX$24</f>
        <v>2.1</v>
      </c>
      <c r="CY46" s="24" t="n">
        <f aca="false">CY$24</f>
        <v>0.4</v>
      </c>
      <c r="CZ46" s="24" t="n">
        <f aca="false">CZ$24</f>
        <v>1.5</v>
      </c>
      <c r="DA46" s="24" t="n">
        <f aca="false">DA$24</f>
        <v>2.1</v>
      </c>
      <c r="DB46" s="24" t="n">
        <f aca="false">DB$24</f>
        <v>2.9</v>
      </c>
      <c r="DC46" s="24" t="n">
        <f aca="false">DC$24</f>
        <v>1.2</v>
      </c>
      <c r="DD46" s="24" t="n">
        <f aca="false">DD$24</f>
        <v>3</v>
      </c>
      <c r="DE46" s="24" t="n">
        <f aca="false">DE$24</f>
        <v>3.8</v>
      </c>
      <c r="DF46" s="24" t="n">
        <f aca="false">DF$24</f>
        <v>2</v>
      </c>
      <c r="DG46" s="24" t="n">
        <f aca="false">DG$24</f>
        <v>2.5</v>
      </c>
      <c r="DH46" s="24" t="n">
        <f aca="false">DH$24</f>
        <v>2.1</v>
      </c>
      <c r="DI46" s="24" t="n">
        <f aca="false">DI$24</f>
        <v>2.8</v>
      </c>
      <c r="DJ46" s="24" t="n">
        <f aca="false">DJ$24</f>
        <v>1.8</v>
      </c>
      <c r="DK46" s="24" t="n">
        <f aca="false">DK$24</f>
        <v>3.3</v>
      </c>
      <c r="DL46" s="24" t="n">
        <f aca="false">DL$24</f>
        <v>2.3</v>
      </c>
      <c r="DM46" s="24" t="n">
        <f aca="false">DM$24</f>
        <v>1.6</v>
      </c>
      <c r="DN46" s="24" t="n">
        <f aca="false">DN$24</f>
        <v>4</v>
      </c>
      <c r="DO46" s="24" t="n">
        <f aca="false">DO$24</f>
        <v>3.6</v>
      </c>
      <c r="DP46" s="24" t="n">
        <f aca="false">DP$24</f>
        <v>0.5</v>
      </c>
      <c r="DQ46" s="24" t="n">
        <f aca="false">DQ$24</f>
        <v>1.5</v>
      </c>
      <c r="DR46" s="24" t="n">
        <f aca="false">DR$24</f>
        <v>2.6</v>
      </c>
      <c r="DS46" s="24" t="n">
        <f aca="false">DS$24</f>
        <v>1.7</v>
      </c>
      <c r="DT46" s="24" t="n">
        <f aca="false">DT$24</f>
        <v>1.2</v>
      </c>
      <c r="DU46" s="24" t="n">
        <f aca="false">DU$24</f>
        <v>2</v>
      </c>
      <c r="DV46" s="24" t="n">
        <f aca="false">DV$24</f>
        <v>4</v>
      </c>
      <c r="DW46" s="24" t="n">
        <f aca="false">DW$24</f>
        <v>1</v>
      </c>
      <c r="DX46" s="24" t="n">
        <f aca="false">DX$24</f>
        <v>3.3</v>
      </c>
      <c r="DY46" s="24" t="n">
        <f aca="false">DY$24</f>
        <v>2.2</v>
      </c>
      <c r="DZ46" s="24" t="n">
        <f aca="false">DZ$24</f>
        <v>1.7</v>
      </c>
      <c r="EA46" s="24" t="n">
        <f aca="false">EA$24</f>
        <v>2.9</v>
      </c>
      <c r="EB46" s="24" t="n">
        <f aca="false">EB$24</f>
        <v>1.6</v>
      </c>
      <c r="EC46" s="24" t="n">
        <f aca="false">EC$24</f>
        <v>2.1</v>
      </c>
      <c r="ED46" s="24" t="n">
        <f aca="false">ED$24</f>
        <v>2.1</v>
      </c>
      <c r="EE46" s="24" t="n">
        <f aca="false">EE$24</f>
        <v>2.9</v>
      </c>
      <c r="EF46" s="24" t="n">
        <f aca="false">EF$24</f>
        <v>1.6</v>
      </c>
      <c r="EG46" s="24" t="n">
        <f aca="false">EG$24</f>
        <v>2.2</v>
      </c>
      <c r="EH46" s="24" t="n">
        <f aca="false">EH$24</f>
        <v>2.9</v>
      </c>
      <c r="EI46" s="24" t="n">
        <f aca="false">EI$24</f>
        <v>1.9</v>
      </c>
      <c r="EJ46" s="24" t="n">
        <f aca="false">EJ$24</f>
        <v>1.2</v>
      </c>
      <c r="EK46" s="24" t="n">
        <f aca="false">EK$24</f>
        <v>2.5</v>
      </c>
      <c r="EL46" s="24" t="n">
        <f aca="false">EL$24</f>
        <v>1</v>
      </c>
      <c r="EM46" s="24" t="n">
        <f aca="false">EM$24</f>
        <v>0</v>
      </c>
      <c r="EN46" s="24" t="n">
        <f aca="false">EN$24</f>
        <v>0</v>
      </c>
      <c r="EO46" s="24" t="n">
        <f aca="false">EO$24</f>
        <v>0</v>
      </c>
      <c r="EP46" s="24" t="n">
        <f aca="false">EP$24</f>
        <v>12.5</v>
      </c>
      <c r="EQ46" s="24" t="n">
        <f aca="false">EQ$24</f>
        <v>6.8</v>
      </c>
      <c r="ER46" s="24" t="n">
        <f aca="false">ER$24</f>
        <v>2</v>
      </c>
      <c r="ES46" s="24" t="n">
        <f aca="false">ES$24</f>
        <v>3.8</v>
      </c>
      <c r="ET46" s="24" t="n">
        <f aca="false">ET$24</f>
        <v>3.1</v>
      </c>
      <c r="EU46" s="24" t="n">
        <f aca="false">EU$24</f>
        <v>0.7</v>
      </c>
    </row>
    <row r="47" customFormat="false" ht="15" hidden="false" customHeight="false" outlineLevel="0" collapsed="false">
      <c r="A47" s="4" t="s">
        <v>980</v>
      </c>
      <c r="B47" s="75" t="s">
        <v>973</v>
      </c>
      <c r="C47" s="76" t="n">
        <f aca="false">N(Planner!$E$19)</f>
        <v>1000</v>
      </c>
      <c r="D47" s="77" t="n">
        <v>999.999999993</v>
      </c>
      <c r="E47" s="75" t="str">
        <f aca="false">IF(D47&gt;=C47-0.000001*MAX(1,ABS(C47)),IF(ABS(D47-C47)&lt;=0.000001*MAX(1,ABS(C47)),"tight","ok"),"VIOLATED")</f>
        <v>tight</v>
      </c>
      <c r="F47" s="24" t="n">
        <f aca="false">F$26</f>
        <v>5</v>
      </c>
      <c r="G47" s="24" t="n">
        <f aca="false">G$26</f>
        <v>8</v>
      </c>
      <c r="H47" s="24" t="n">
        <f aca="false">H$26</f>
        <v>7</v>
      </c>
      <c r="I47" s="24" t="n">
        <f aca="false">I$26</f>
        <v>7</v>
      </c>
      <c r="J47" s="24" t="n">
        <f aca="false">J$26</f>
        <v>21</v>
      </c>
      <c r="K47" s="24" t="n">
        <f aca="false">K$26</f>
        <v>11</v>
      </c>
      <c r="L47" s="24" t="n">
        <f aca="false">L$26</f>
        <v>5</v>
      </c>
      <c r="M47" s="24" t="n">
        <f aca="false">M$26</f>
        <v>13</v>
      </c>
      <c r="N47" s="24" t="n">
        <f aca="false">N$26</f>
        <v>18</v>
      </c>
      <c r="O47" s="24" t="n">
        <f aca="false">O$26</f>
        <v>10</v>
      </c>
      <c r="P47" s="24" t="n">
        <f aca="false">P$26</f>
        <v>24</v>
      </c>
      <c r="Q47" s="24" t="n">
        <f aca="false">Q$26</f>
        <v>9</v>
      </c>
      <c r="R47" s="24" t="n">
        <f aca="false">R$26</f>
        <v>17</v>
      </c>
      <c r="S47" s="24" t="n">
        <f aca="false">S$26</f>
        <v>25</v>
      </c>
      <c r="T47" s="24" t="n">
        <f aca="false">T$26</f>
        <v>17</v>
      </c>
      <c r="U47" s="24" t="n">
        <f aca="false">U$26</f>
        <v>9</v>
      </c>
      <c r="V47" s="24" t="n">
        <f aca="false">V$26</f>
        <v>54</v>
      </c>
      <c r="W47" s="24" t="n">
        <f aca="false">W$26</f>
        <v>10</v>
      </c>
      <c r="X47" s="24" t="n">
        <f aca="false">X$26</f>
        <v>56</v>
      </c>
      <c r="Y47" s="24" t="n">
        <f aca="false">Y$26</f>
        <v>35</v>
      </c>
      <c r="Z47" s="24" t="n">
        <f aca="false">Z$26</f>
        <v>123</v>
      </c>
      <c r="AA47" s="24" t="n">
        <f aca="false">AA$26</f>
        <v>20</v>
      </c>
      <c r="AB47" s="24" t="n">
        <f aca="false">AB$26</f>
        <v>110</v>
      </c>
      <c r="AC47" s="24" t="n">
        <f aca="false">AC$26</f>
        <v>35</v>
      </c>
      <c r="AD47" s="24" t="n">
        <f aca="false">AD$26</f>
        <v>53</v>
      </c>
      <c r="AE47" s="24" t="n">
        <f aca="false">AE$26</f>
        <v>175</v>
      </c>
      <c r="AF47" s="24" t="n">
        <f aca="false">AF$26</f>
        <v>29</v>
      </c>
      <c r="AG47" s="24" t="n">
        <f aca="false">AG$26</f>
        <v>143</v>
      </c>
      <c r="AH47" s="24" t="n">
        <f aca="false">AH$26</f>
        <v>35</v>
      </c>
      <c r="AI47" s="24" t="n">
        <f aca="false">AI$26</f>
        <v>81</v>
      </c>
      <c r="AJ47" s="24" t="n">
        <f aca="false">AJ$26</f>
        <v>47</v>
      </c>
      <c r="AK47" s="24" t="n">
        <f aca="false">AK$26</f>
        <v>147</v>
      </c>
      <c r="AL47" s="24" t="n">
        <f aca="false">AL$26</f>
        <v>49</v>
      </c>
      <c r="AM47" s="24" t="n">
        <f aca="false">AM$26</f>
        <v>47</v>
      </c>
      <c r="AN47" s="24" t="n">
        <f aca="false">AN$26</f>
        <v>113</v>
      </c>
      <c r="AO47" s="24" t="n">
        <f aca="false">AO$26</f>
        <v>77</v>
      </c>
      <c r="AP47" s="24" t="n">
        <f aca="false">AP$26</f>
        <v>120</v>
      </c>
      <c r="AQ47" s="24" t="n">
        <f aca="false">AQ$26</f>
        <v>110</v>
      </c>
      <c r="AR47" s="24" t="n">
        <f aca="false">AR$26</f>
        <v>123</v>
      </c>
      <c r="AS47" s="24" t="n">
        <f aca="false">AS$26</f>
        <v>113</v>
      </c>
      <c r="AT47" s="24" t="n">
        <f aca="false">AT$26</f>
        <v>1045</v>
      </c>
      <c r="AU47" s="24" t="n">
        <f aca="false">AU$26</f>
        <v>710</v>
      </c>
      <c r="AV47" s="24" t="n">
        <f aca="false">AV$26</f>
        <v>111</v>
      </c>
      <c r="AW47" s="24" t="n">
        <f aca="false">AW$26</f>
        <v>697</v>
      </c>
      <c r="AX47" s="24" t="n">
        <f aca="false">AX$26</f>
        <v>219</v>
      </c>
      <c r="AY47" s="24" t="n">
        <f aca="false">AY$26</f>
        <v>9</v>
      </c>
      <c r="AZ47" s="24" t="n">
        <f aca="false">AZ$26</f>
        <v>401</v>
      </c>
      <c r="BA47" s="24" t="n">
        <f aca="false">BA$26</f>
        <v>81</v>
      </c>
      <c r="BB47" s="24" t="n">
        <f aca="false">BB$26</f>
        <v>163</v>
      </c>
      <c r="BC47" s="24" t="n">
        <f aca="false">BC$26</f>
        <v>47</v>
      </c>
      <c r="BD47" s="24" t="n">
        <f aca="false">BD$26</f>
        <v>52</v>
      </c>
      <c r="BE47" s="24" t="n">
        <f aca="false">BE$26</f>
        <v>21</v>
      </c>
      <c r="BF47" s="24" t="n">
        <f aca="false">BF$26</f>
        <v>144</v>
      </c>
      <c r="BG47" s="24" t="n">
        <f aca="false">BG$26</f>
        <v>28</v>
      </c>
      <c r="BH47" s="24" t="n">
        <f aca="false">BH$26</f>
        <v>161</v>
      </c>
      <c r="BI47" s="24" t="n">
        <f aca="false">BI$26</f>
        <v>29</v>
      </c>
      <c r="BJ47" s="24" t="n">
        <f aca="false">BJ$26</f>
        <v>35</v>
      </c>
      <c r="BK47" s="24" t="n">
        <f aca="false">BK$26</f>
        <v>4</v>
      </c>
      <c r="BL47" s="24" t="n">
        <f aca="false">BL$26</f>
        <v>4</v>
      </c>
      <c r="BM47" s="24" t="n">
        <f aca="false">BM$26</f>
        <v>9</v>
      </c>
      <c r="BN47" s="24" t="n">
        <f aca="false">BN$26</f>
        <v>20</v>
      </c>
      <c r="BO47" s="24" t="n">
        <f aca="false">BO$26</f>
        <v>22</v>
      </c>
      <c r="BP47" s="24" t="n">
        <f aca="false">BP$26</f>
        <v>12</v>
      </c>
      <c r="BQ47" s="24" t="n">
        <f aca="false">BQ$26</f>
        <v>30</v>
      </c>
      <c r="BR47" s="24" t="n">
        <f aca="false">BR$26</f>
        <v>6</v>
      </c>
      <c r="BS47" s="24" t="n">
        <f aca="false">BS$26</f>
        <v>4</v>
      </c>
      <c r="BT47" s="24" t="n">
        <f aca="false">BT$26</f>
        <v>5</v>
      </c>
      <c r="BU47" s="24" t="n">
        <f aca="false">BU$26</f>
        <v>29</v>
      </c>
      <c r="BV47" s="24" t="n">
        <f aca="false">BV$26</f>
        <v>8</v>
      </c>
      <c r="BW47" s="24" t="n">
        <f aca="false">BW$26</f>
        <v>9</v>
      </c>
      <c r="BX47" s="24" t="n">
        <f aca="false">BX$26</f>
        <v>13</v>
      </c>
      <c r="BY47" s="24" t="n">
        <f aca="false">BY$26</f>
        <v>30</v>
      </c>
      <c r="BZ47" s="24" t="n">
        <f aca="false">BZ$26</f>
        <v>39</v>
      </c>
      <c r="CA47" s="24" t="n">
        <f aca="false">CA$26</f>
        <v>55</v>
      </c>
      <c r="CB47" s="24" t="n">
        <f aca="false">CB$26</f>
        <v>9</v>
      </c>
      <c r="CC47" s="24" t="n">
        <f aca="false">CC$26</f>
        <v>8</v>
      </c>
      <c r="CD47" s="24" t="n">
        <f aca="false">CD$26</f>
        <v>12</v>
      </c>
      <c r="CE47" s="24" t="n">
        <f aca="false">CE$26</f>
        <v>10</v>
      </c>
      <c r="CF47" s="24" t="n">
        <f aca="false">CF$26</f>
        <v>6</v>
      </c>
      <c r="CG47" s="24" t="n">
        <f aca="false">CG$26</f>
        <v>34</v>
      </c>
      <c r="CH47" s="24" t="n">
        <f aca="false">CH$26</f>
        <v>11</v>
      </c>
      <c r="CI47" s="24" t="n">
        <f aca="false">CI$26</f>
        <v>6</v>
      </c>
      <c r="CJ47" s="24" t="n">
        <f aca="false">CJ$26</f>
        <v>11</v>
      </c>
      <c r="CK47" s="24" t="n">
        <f aca="false">CK$26</f>
        <v>43</v>
      </c>
      <c r="CL47" s="24" t="n">
        <f aca="false">CL$26</f>
        <v>20</v>
      </c>
      <c r="CM47" s="24" t="n">
        <f aca="false">CM$26</f>
        <v>6</v>
      </c>
      <c r="CN47" s="24" t="n">
        <f aca="false">CN$26</f>
        <v>6</v>
      </c>
      <c r="CO47" s="24" t="n">
        <f aca="false">CO$26</f>
        <v>9</v>
      </c>
      <c r="CP47" s="24" t="n">
        <f aca="false">CP$26</f>
        <v>9</v>
      </c>
      <c r="CQ47" s="24" t="n">
        <f aca="false">CQ$26</f>
        <v>13</v>
      </c>
      <c r="CR47" s="24" t="n">
        <f aca="false">CR$26</f>
        <v>14</v>
      </c>
      <c r="CS47" s="24" t="n">
        <f aca="false">CS$26</f>
        <v>6</v>
      </c>
      <c r="CT47" s="24" t="n">
        <f aca="false">CT$26</f>
        <v>43</v>
      </c>
      <c r="CU47" s="24" t="n">
        <f aca="false">CU$26</f>
        <v>50</v>
      </c>
      <c r="CV47" s="24" t="n">
        <f aca="false">CV$26</f>
        <v>25</v>
      </c>
      <c r="CW47" s="24" t="n">
        <f aca="false">CW$26</f>
        <v>16</v>
      </c>
      <c r="CX47" s="24" t="n">
        <f aca="false">CX$26</f>
        <v>16</v>
      </c>
      <c r="CY47" s="24" t="n">
        <f aca="false">CY$26</f>
        <v>7</v>
      </c>
      <c r="CZ47" s="24" t="n">
        <f aca="false">CZ$26</f>
        <v>33</v>
      </c>
      <c r="DA47" s="24" t="n">
        <f aca="false">DA$26</f>
        <v>24</v>
      </c>
      <c r="DB47" s="24" t="n">
        <f aca="false">DB$26</f>
        <v>32</v>
      </c>
      <c r="DC47" s="24" t="n">
        <f aca="false">DC$26</f>
        <v>18</v>
      </c>
      <c r="DD47" s="24" t="n">
        <f aca="false">DD$26</f>
        <v>41</v>
      </c>
      <c r="DE47" s="24" t="n">
        <f aca="false">DE$26</f>
        <v>26</v>
      </c>
      <c r="DF47" s="24" t="n">
        <f aca="false">DF$26</f>
        <v>48</v>
      </c>
      <c r="DG47" s="24" t="n">
        <f aca="false">DG$26</f>
        <v>40</v>
      </c>
      <c r="DH47" s="24" t="n">
        <f aca="false">DH$26</f>
        <v>45</v>
      </c>
      <c r="DI47" s="24" t="n">
        <f aca="false">DI$26</f>
        <v>33</v>
      </c>
      <c r="DJ47" s="24" t="n">
        <f aca="false">DJ$26</f>
        <v>31</v>
      </c>
      <c r="DK47" s="24" t="n">
        <f aca="false">DK$26</f>
        <v>36</v>
      </c>
      <c r="DL47" s="24" t="n">
        <f aca="false">DL$26</f>
        <v>22</v>
      </c>
      <c r="DM47" s="24" t="n">
        <f aca="false">DM$26</f>
        <v>40</v>
      </c>
      <c r="DN47" s="24" t="n">
        <f aca="false">DN$26</f>
        <v>232</v>
      </c>
      <c r="DO47" s="24" t="n">
        <f aca="false">DO$26</f>
        <v>201</v>
      </c>
      <c r="DP47" s="24" t="n">
        <f aca="false">DP$26</f>
        <v>16</v>
      </c>
      <c r="DQ47" s="24" t="n">
        <f aca="false">DQ$26</f>
        <v>29</v>
      </c>
      <c r="DR47" s="24" t="n">
        <f aca="false">DR$26</f>
        <v>42</v>
      </c>
      <c r="DS47" s="24" t="n">
        <f aca="false">DS$26</f>
        <v>10</v>
      </c>
      <c r="DT47" s="24" t="n">
        <f aca="false">DT$26</f>
        <v>18</v>
      </c>
      <c r="DU47" s="24" t="n">
        <f aca="false">DU$26</f>
        <v>136</v>
      </c>
      <c r="DV47" s="24" t="n">
        <f aca="false">DV$26</f>
        <v>25</v>
      </c>
      <c r="DW47" s="24" t="n">
        <f aca="false">DW$26</f>
        <v>3</v>
      </c>
      <c r="DX47" s="24" t="n">
        <f aca="false">DX$26</f>
        <v>116</v>
      </c>
      <c r="DY47" s="24" t="n">
        <f aca="false">DY$26</f>
        <v>81</v>
      </c>
      <c r="DZ47" s="24" t="n">
        <f aca="false">DZ$26</f>
        <v>23</v>
      </c>
      <c r="EA47" s="24" t="n">
        <f aca="false">EA$26</f>
        <v>26</v>
      </c>
      <c r="EB47" s="24" t="n">
        <f aca="false">EB$26</f>
        <v>25</v>
      </c>
      <c r="EC47" s="24" t="n">
        <f aca="false">EC$26</f>
        <v>7</v>
      </c>
      <c r="ED47" s="24" t="n">
        <f aca="false">ED$26</f>
        <v>33</v>
      </c>
      <c r="EE47" s="24" t="n">
        <f aca="false">EE$26</f>
        <v>30</v>
      </c>
      <c r="EF47" s="24" t="n">
        <f aca="false">EF$26</f>
        <v>83</v>
      </c>
      <c r="EG47" s="24" t="n">
        <f aca="false">EG$26</f>
        <v>99</v>
      </c>
      <c r="EH47" s="24" t="n">
        <f aca="false">EH$26</f>
        <v>129</v>
      </c>
      <c r="EI47" s="24" t="n">
        <f aca="false">EI$26</f>
        <v>33</v>
      </c>
      <c r="EJ47" s="24" t="n">
        <f aca="false">EJ$26</f>
        <v>10</v>
      </c>
      <c r="EK47" s="24" t="n">
        <f aca="false">EK$26</f>
        <v>118</v>
      </c>
      <c r="EL47" s="24" t="n">
        <f aca="false">EL$26</f>
        <v>16</v>
      </c>
      <c r="EM47" s="24" t="n">
        <f aca="false">EM$26</f>
        <v>24</v>
      </c>
      <c r="EN47" s="24" t="n">
        <f aca="false">EN$26</f>
        <v>0</v>
      </c>
      <c r="EO47" s="24" t="n">
        <f aca="false">EO$26</f>
        <v>1</v>
      </c>
      <c r="EP47" s="24" t="n">
        <f aca="false">EP$26</f>
        <v>269</v>
      </c>
      <c r="EQ47" s="24" t="n">
        <f aca="false">EQ$26</f>
        <v>13</v>
      </c>
      <c r="ER47" s="24" t="n">
        <f aca="false">ER$26</f>
        <v>21</v>
      </c>
      <c r="ES47" s="24" t="n">
        <f aca="false">ES$26</f>
        <v>41</v>
      </c>
      <c r="ET47" s="24" t="n">
        <f aca="false">ET$26</f>
        <v>21</v>
      </c>
      <c r="EU47" s="24" t="n">
        <f aca="false">EU$26</f>
        <v>128</v>
      </c>
    </row>
    <row r="48" customFormat="false" ht="15" hidden="false" customHeight="false" outlineLevel="0" collapsed="false">
      <c r="A48" s="4" t="s">
        <v>981</v>
      </c>
      <c r="B48" s="75" t="s">
        <v>973</v>
      </c>
      <c r="C48" s="76" t="n">
        <f aca="false">N(Planner!$E$20)</f>
        <v>8</v>
      </c>
      <c r="D48" s="77" t="n">
        <v>23.29435064691</v>
      </c>
      <c r="E48" s="75" t="str">
        <f aca="false">IF(D48&gt;=C48-0.000001*MAX(1,ABS(C48)),IF(ABS(D48-C48)&lt;=0.000001*MAX(1,ABS(C48)),"tight","ok"),"VIOLATED")</f>
        <v>ok</v>
      </c>
      <c r="F48" s="24" t="n">
        <f aca="false">F$27</f>
        <v>0.37</v>
      </c>
      <c r="G48" s="24" t="n">
        <f aca="false">G$27</f>
        <v>0.71</v>
      </c>
      <c r="H48" s="24" t="n">
        <f aca="false">H$27</f>
        <v>0.81</v>
      </c>
      <c r="I48" s="24" t="n">
        <f aca="false">I$27</f>
        <v>0.34</v>
      </c>
      <c r="J48" s="24" t="n">
        <f aca="false">J$27</f>
        <v>1.17</v>
      </c>
      <c r="K48" s="24" t="n">
        <f aca="false">K$27</f>
        <v>0.9</v>
      </c>
      <c r="L48" s="24" t="n">
        <f aca="false">L$27</f>
        <v>0.41</v>
      </c>
      <c r="M48" s="24" t="n">
        <f aca="false">M$27</f>
        <v>2.12</v>
      </c>
      <c r="N48" s="24" t="n">
        <f aca="false">N$27</f>
        <v>1.94</v>
      </c>
      <c r="O48" s="24" t="n">
        <f aca="false">O$27</f>
        <v>2.33</v>
      </c>
      <c r="P48" s="24" t="n">
        <f aca="false">P$27</f>
        <v>1.02</v>
      </c>
      <c r="Q48" s="24" t="n">
        <f aca="false">Q$27</f>
        <v>0.48</v>
      </c>
      <c r="R48" s="24" t="n">
        <f aca="false">R$27</f>
        <v>1.97</v>
      </c>
      <c r="S48" s="24" t="n">
        <f aca="false">S$27</f>
        <v>1.46</v>
      </c>
      <c r="T48" s="24" t="n">
        <f aca="false">T$27</f>
        <v>1.63</v>
      </c>
      <c r="U48" s="24" t="n">
        <f aca="false">U$27</f>
        <v>0.34</v>
      </c>
      <c r="V48" s="24" t="n">
        <f aca="false">V$27</f>
        <v>0.21</v>
      </c>
      <c r="W48" s="24" t="n">
        <f aca="false">W$27</f>
        <v>0.56</v>
      </c>
      <c r="X48" s="24" t="n">
        <f aca="false">X$27</f>
        <v>1.75</v>
      </c>
      <c r="Y48" s="24" t="n">
        <f aca="false">Y$27</f>
        <v>1.9</v>
      </c>
      <c r="Z48" s="24" t="n">
        <f aca="false">Z$27</f>
        <v>5.02</v>
      </c>
      <c r="AA48" s="24" t="n">
        <f aca="false">AA$27</f>
        <v>0.97</v>
      </c>
      <c r="AB48" s="24" t="n">
        <f aca="false">AB$27</f>
        <v>8.27</v>
      </c>
      <c r="AC48" s="24" t="n">
        <f aca="false">AC$27</f>
        <v>1.23</v>
      </c>
      <c r="AD48" s="24" t="n">
        <f aca="false">AD$27</f>
        <v>1.57</v>
      </c>
      <c r="AE48" s="24" t="n">
        <f aca="false">AE$27</f>
        <v>5.47</v>
      </c>
      <c r="AF48" s="24" t="n">
        <f aca="false">AF$27</f>
        <v>1.25</v>
      </c>
      <c r="AG48" s="24" t="n">
        <f aca="false">AG$27</f>
        <v>8.2</v>
      </c>
      <c r="AH48" s="24" t="n">
        <f aca="false">AH$27</f>
        <v>6.51</v>
      </c>
      <c r="AI48" s="24" t="n">
        <f aca="false">AI$27</f>
        <v>7.51</v>
      </c>
      <c r="AJ48" s="24" t="n">
        <f aca="false">AJ$27</f>
        <v>1.85</v>
      </c>
      <c r="AK48" s="24" t="n">
        <f aca="false">AK$27</f>
        <v>5.49</v>
      </c>
      <c r="AL48" s="24" t="n">
        <f aca="false">AL$27</f>
        <v>1.74</v>
      </c>
      <c r="AM48" s="24" t="n">
        <f aca="false">AM$27</f>
        <v>1.47</v>
      </c>
      <c r="AN48" s="24" t="n">
        <f aca="false">AN$27</f>
        <v>5.07</v>
      </c>
      <c r="AO48" s="24" t="n">
        <f aca="false">AO$27</f>
        <v>1.6</v>
      </c>
      <c r="AP48" s="24" t="n">
        <f aca="false">AP$27</f>
        <v>0.02</v>
      </c>
      <c r="AQ48" s="24" t="n">
        <f aca="false">AQ$27</f>
        <v>0.07</v>
      </c>
      <c r="AR48" s="24" t="n">
        <f aca="false">AR$27</f>
        <v>0.42</v>
      </c>
      <c r="AS48" s="24" t="n">
        <f aca="false">AS$27</f>
        <v>0.03</v>
      </c>
      <c r="AT48" s="24" t="n">
        <f aca="false">AT$27</f>
        <v>0.63</v>
      </c>
      <c r="AU48" s="24" t="n">
        <f aca="false">AU$27</f>
        <v>0.14</v>
      </c>
      <c r="AV48" s="24" t="n">
        <f aca="false">AV$27</f>
        <v>0.13</v>
      </c>
      <c r="AW48" s="24" t="n">
        <f aca="false">AW$27</f>
        <v>0.22</v>
      </c>
      <c r="AX48" s="24" t="n">
        <f aca="false">AX$27</f>
        <v>3.57</v>
      </c>
      <c r="AY48" s="24" t="n">
        <f aca="false">AY$27</f>
        <v>1.29</v>
      </c>
      <c r="AZ48" s="24" t="n">
        <f aca="false">AZ$27</f>
        <v>33.17</v>
      </c>
      <c r="BA48" s="24" t="n">
        <f aca="false">BA$27</f>
        <v>1.23</v>
      </c>
      <c r="BB48" s="24" t="n">
        <f aca="false">BB$27</f>
        <v>3.32</v>
      </c>
      <c r="BC48" s="24" t="n">
        <f aca="false">BC$27</f>
        <v>4.57</v>
      </c>
      <c r="BD48" s="24" t="n">
        <f aca="false">BD$27</f>
        <v>4.25</v>
      </c>
      <c r="BE48" s="24" t="n">
        <f aca="false">BE$27</f>
        <v>3.3</v>
      </c>
      <c r="BF48" s="24" t="n">
        <f aca="false">BF$27</f>
        <v>3.61</v>
      </c>
      <c r="BG48" s="24" t="n">
        <f aca="false">BG$27</f>
        <v>4.31</v>
      </c>
      <c r="BH48" s="24" t="n">
        <f aca="false">BH$27</f>
        <v>2.47</v>
      </c>
      <c r="BI48" s="24" t="n">
        <f aca="false">BI$27</f>
        <v>3.62</v>
      </c>
      <c r="BJ48" s="24" t="n">
        <f aca="false">BJ$27</f>
        <v>2.21</v>
      </c>
      <c r="BK48" s="24" t="n">
        <f aca="false">BK$27</f>
        <v>0.36</v>
      </c>
      <c r="BL48" s="24" t="n">
        <f aca="false">BL$27</f>
        <v>0.42</v>
      </c>
      <c r="BM48" s="24" t="n">
        <f aca="false">BM$27</f>
        <v>0.62</v>
      </c>
      <c r="BN48" s="24" t="n">
        <f aca="false">BN$27</f>
        <v>1.29</v>
      </c>
      <c r="BO48" s="24" t="n">
        <f aca="false">BO$27</f>
        <v>1.53</v>
      </c>
      <c r="BP48" s="24" t="n">
        <f aca="false">BP$27</f>
        <v>0.81</v>
      </c>
      <c r="BQ48" s="24" t="n">
        <f aca="false">BQ$27</f>
        <v>0.61</v>
      </c>
      <c r="BR48" s="24" t="n">
        <f aca="false">BR$27</f>
        <v>0.12</v>
      </c>
      <c r="BS48" s="24" t="n">
        <f aca="false">BS$27</f>
        <v>0.23</v>
      </c>
      <c r="BT48" s="24" t="n">
        <f aca="false">BT$27</f>
        <v>0.26</v>
      </c>
      <c r="BU48" s="24" t="n">
        <f aca="false">BU$27</f>
        <v>0.62</v>
      </c>
      <c r="BV48" s="24" t="n">
        <f aca="false">BV$27</f>
        <v>0.18</v>
      </c>
      <c r="BW48" s="24" t="n">
        <f aca="false">BW$27</f>
        <v>0.21</v>
      </c>
      <c r="BX48" s="24" t="n">
        <f aca="false">BX$27</f>
        <v>0.36</v>
      </c>
      <c r="BY48" s="24" t="n">
        <f aca="false">BY$27</f>
        <v>0.14</v>
      </c>
      <c r="BZ48" s="24" t="n">
        <f aca="false">BZ$27</f>
        <v>1.02</v>
      </c>
      <c r="CA48" s="24" t="n">
        <f aca="false">CA$27</f>
        <v>2.66</v>
      </c>
      <c r="CB48" s="24" t="n">
        <f aca="false">CB$27</f>
        <v>0.39</v>
      </c>
      <c r="CC48" s="24" t="n">
        <f aca="false">CC$27</f>
        <v>0.21</v>
      </c>
      <c r="CD48" s="24" t="n">
        <f aca="false">CD$27</f>
        <v>0.09</v>
      </c>
      <c r="CE48" s="24" t="n">
        <f aca="false">CE$27</f>
        <v>0.36</v>
      </c>
      <c r="CF48" s="24" t="n">
        <f aca="false">CF$27</f>
        <v>0.17</v>
      </c>
      <c r="CG48" s="24" t="n">
        <f aca="false">CG$27</f>
        <v>0.31</v>
      </c>
      <c r="CH48" s="24" t="n">
        <f aca="false">CH$27</f>
        <v>0.16</v>
      </c>
      <c r="CI48" s="24" t="n">
        <f aca="false">CI$27</f>
        <v>0.28</v>
      </c>
      <c r="CJ48" s="24" t="n">
        <f aca="false">CJ$27</f>
        <v>0.13</v>
      </c>
      <c r="CK48" s="24" t="n">
        <f aca="false">CK$27</f>
        <v>0.13</v>
      </c>
      <c r="CL48" s="24" t="n">
        <f aca="false">CL$27</f>
        <v>0.25</v>
      </c>
      <c r="CM48" s="24" t="n">
        <f aca="false">CM$27</f>
        <v>0.25</v>
      </c>
      <c r="CN48" s="24" t="n">
        <f aca="false">CN$27</f>
        <v>0.27</v>
      </c>
      <c r="CO48" s="24" t="n">
        <f aca="false">CO$27</f>
        <v>0.18</v>
      </c>
      <c r="CP48" s="24" t="n">
        <f aca="false">CP$27</f>
        <v>0.29</v>
      </c>
      <c r="CQ48" s="24" t="n">
        <f aca="false">CQ$27</f>
        <v>0.29</v>
      </c>
      <c r="CR48" s="24" t="n">
        <f aca="false">CR$27</f>
        <v>0.28</v>
      </c>
      <c r="CS48" s="24" t="n">
        <f aca="false">CS$27</f>
        <v>0.17</v>
      </c>
      <c r="CT48" s="24" t="n">
        <f aca="false">CT$27</f>
        <v>0.93</v>
      </c>
      <c r="CU48" s="24" t="n">
        <f aca="false">CU$27</f>
        <v>1.88</v>
      </c>
      <c r="CV48" s="24" t="n">
        <f aca="false">CV$27</f>
        <v>0.69</v>
      </c>
      <c r="CW48" s="24" t="n">
        <f aca="false">CW$27</f>
        <v>0.41</v>
      </c>
      <c r="CX48" s="24" t="n">
        <f aca="false">CX$27</f>
        <v>0.75</v>
      </c>
      <c r="CY48" s="24" t="n">
        <f aca="false">CY$27</f>
        <v>0.24</v>
      </c>
      <c r="CZ48" s="24" t="n">
        <f aca="false">CZ$27</f>
        <v>0.7</v>
      </c>
      <c r="DA48" s="24" t="n">
        <f aca="false">DA$27</f>
        <v>2.14</v>
      </c>
      <c r="DB48" s="24" t="n">
        <f aca="false">DB$27</f>
        <v>0.89</v>
      </c>
      <c r="DC48" s="24" t="n">
        <f aca="false">DC$27</f>
        <v>0.73</v>
      </c>
      <c r="DD48" s="24" t="n">
        <f aca="false">DD$27</f>
        <v>0.72</v>
      </c>
      <c r="DE48" s="24" t="n">
        <f aca="false">DE$27</f>
        <v>0.93</v>
      </c>
      <c r="DF48" s="24" t="n">
        <f aca="false">DF$27</f>
        <v>0.7</v>
      </c>
      <c r="DG48" s="24" t="n">
        <f aca="false">DG$27</f>
        <v>0.47</v>
      </c>
      <c r="DH48" s="24" t="n">
        <f aca="false">DH$27</f>
        <v>0.8</v>
      </c>
      <c r="DI48" s="24" t="n">
        <f aca="false">DI$27</f>
        <v>0.3</v>
      </c>
      <c r="DJ48" s="24" t="n">
        <f aca="false">DJ$27</f>
        <v>0.52</v>
      </c>
      <c r="DK48" s="24" t="n">
        <f aca="false">DK$27</f>
        <v>0.44</v>
      </c>
      <c r="DL48" s="24" t="n">
        <f aca="false">DL$27</f>
        <v>0.54</v>
      </c>
      <c r="DM48" s="24" t="n">
        <f aca="false">DM$27</f>
        <v>0.2</v>
      </c>
      <c r="DN48" s="24" t="n">
        <f aca="false">DN$27</f>
        <v>0.47</v>
      </c>
      <c r="DO48" s="24" t="n">
        <f aca="false">DO$27</f>
        <v>1.07</v>
      </c>
      <c r="DP48" s="24" t="n">
        <f aca="false">DP$27</f>
        <v>0.28</v>
      </c>
      <c r="DQ48" s="24" t="n">
        <f aca="false">DQ$27</f>
        <v>1.02</v>
      </c>
      <c r="DR48" s="24" t="n">
        <f aca="false">DR$27</f>
        <v>0.85</v>
      </c>
      <c r="DS48" s="24" t="n">
        <f aca="false">DS$27</f>
        <v>0.34</v>
      </c>
      <c r="DT48" s="24" t="n">
        <f aca="false">DT$27</f>
        <v>0.41</v>
      </c>
      <c r="DU48" s="24" t="n">
        <f aca="false">DU$27</f>
        <v>0.93</v>
      </c>
      <c r="DV48" s="24" t="n">
        <f aca="false">DV$27</f>
        <v>0.95</v>
      </c>
      <c r="DW48" s="24" t="n">
        <f aca="false">DW$27</f>
        <v>0.5</v>
      </c>
      <c r="DX48" s="24" t="n">
        <f aca="false">DX$27</f>
        <v>1.29</v>
      </c>
      <c r="DY48" s="24" t="n">
        <f aca="false">DY$27</f>
        <v>0.57</v>
      </c>
      <c r="DZ48" s="24" t="n">
        <f aca="false">DZ$27</f>
        <v>0.21</v>
      </c>
      <c r="EA48" s="24" t="n">
        <f aca="false">EA$27</f>
        <v>1.39</v>
      </c>
      <c r="EB48" s="24" t="n">
        <f aca="false">EB$27</f>
        <v>0.34</v>
      </c>
      <c r="EC48" s="24" t="n">
        <f aca="false">EC$27</f>
        <v>0.43</v>
      </c>
      <c r="ED48" s="24" t="n">
        <f aca="false">ED$27</f>
        <v>0.97</v>
      </c>
      <c r="EE48" s="24" t="n">
        <f aca="false">EE$27</f>
        <v>1.47</v>
      </c>
      <c r="EF48" s="24" t="n">
        <f aca="false">EF$27</f>
        <v>1.58</v>
      </c>
      <c r="EG48" s="24" t="n">
        <f aca="false">EG$27</f>
        <v>2.71</v>
      </c>
      <c r="EH48" s="24" t="n">
        <f aca="false">EH$27</f>
        <v>1.89</v>
      </c>
      <c r="EI48" s="24" t="n">
        <f aca="false">EI$27</f>
        <v>0.57</v>
      </c>
      <c r="EJ48" s="24" t="n">
        <f aca="false">EJ$27</f>
        <v>0.27</v>
      </c>
      <c r="EK48" s="24" t="n">
        <f aca="false">EK$27</f>
        <v>1.51</v>
      </c>
      <c r="EL48" s="24" t="n">
        <f aca="false">EL$27</f>
        <v>0.37</v>
      </c>
      <c r="EM48" s="24" t="n">
        <f aca="false">EM$27</f>
        <v>0.02</v>
      </c>
      <c r="EN48" s="24" t="n">
        <f aca="false">EN$27</f>
        <v>0</v>
      </c>
      <c r="EO48" s="24" t="n">
        <f aca="false">EO$27</f>
        <v>0.56</v>
      </c>
      <c r="EP48" s="24" t="n">
        <f aca="false">EP$27</f>
        <v>3.71</v>
      </c>
      <c r="EQ48" s="24" t="n">
        <f aca="false">EQ$27</f>
        <v>0.61</v>
      </c>
      <c r="ER48" s="24" t="n">
        <f aca="false">ER$27</f>
        <v>5.58</v>
      </c>
      <c r="ES48" s="24" t="n">
        <f aca="false">ES$27</f>
        <v>2.19</v>
      </c>
      <c r="ET48" s="24" t="n">
        <f aca="false">ET$27</f>
        <v>1.28</v>
      </c>
      <c r="EU48" s="24" t="n">
        <f aca="false">EU$27</f>
        <v>0.09</v>
      </c>
    </row>
    <row r="49" customFormat="false" ht="15" hidden="false" customHeight="false" outlineLevel="0" collapsed="false">
      <c r="A49" s="4" t="s">
        <v>982</v>
      </c>
      <c r="B49" s="75" t="s">
        <v>973</v>
      </c>
      <c r="C49" s="76" t="n">
        <f aca="false">N(Planner!$E$21)</f>
        <v>3400</v>
      </c>
      <c r="D49" s="77" t="n">
        <v>5100.496644172</v>
      </c>
      <c r="E49" s="75" t="str">
        <f aca="false">IF(D49&gt;=C49-0.000001*MAX(1,ABS(C49)),IF(ABS(D49-C49)&lt;=0.000001*MAX(1,ABS(C49)),"tight","ok"),"VIOLATED")</f>
        <v>ok</v>
      </c>
      <c r="F49" s="24" t="n">
        <f aca="false">F$28</f>
        <v>334</v>
      </c>
      <c r="G49" s="24" t="n">
        <f aca="false">G$28</f>
        <v>211</v>
      </c>
      <c r="H49" s="24" t="n">
        <f aca="false">H$28</f>
        <v>242</v>
      </c>
      <c r="I49" s="24" t="n">
        <f aca="false">I$28</f>
        <v>401</v>
      </c>
      <c r="J49" s="24" t="n">
        <f aca="false">J$28</f>
        <v>213</v>
      </c>
      <c r="K49" s="24" t="n">
        <f aca="false">K$28</f>
        <v>189</v>
      </c>
      <c r="L49" s="24" t="n">
        <f aca="false">L$28</f>
        <v>198</v>
      </c>
      <c r="M49" s="24" t="n">
        <f aca="false">M$28</f>
        <v>367</v>
      </c>
      <c r="N49" s="24" t="n">
        <f aca="false">N$28</f>
        <v>270</v>
      </c>
      <c r="O49" s="24" t="n">
        <f aca="false">O$28</f>
        <v>336</v>
      </c>
      <c r="P49" s="24" t="n">
        <f aca="false">P$28</f>
        <v>287</v>
      </c>
      <c r="Q49" s="24" t="n">
        <f aca="false">Q$28</f>
        <v>345</v>
      </c>
      <c r="R49" s="24" t="n">
        <f aca="false">R$28</f>
        <v>341</v>
      </c>
      <c r="S49" s="24" t="n">
        <f aca="false">S$28</f>
        <v>309</v>
      </c>
      <c r="T49" s="24" t="n">
        <f aca="false">T$28</f>
        <v>179</v>
      </c>
      <c r="U49" s="24" t="n">
        <f aca="false">U$28</f>
        <v>363</v>
      </c>
      <c r="V49" s="24" t="n">
        <f aca="false">V$28</f>
        <v>113</v>
      </c>
      <c r="W49" s="24" t="n">
        <f aca="false">W$28</f>
        <v>302</v>
      </c>
      <c r="X49" s="24" t="n">
        <f aca="false">X$28</f>
        <v>138</v>
      </c>
      <c r="Y49" s="24" t="n">
        <f aca="false">Y$28</f>
        <v>308</v>
      </c>
      <c r="Z49" s="24" t="n">
        <f aca="false">Z$28</f>
        <v>1483</v>
      </c>
      <c r="AA49" s="24" t="n">
        <f aca="false">AA$28</f>
        <v>172</v>
      </c>
      <c r="AB49" s="24" t="n">
        <f aca="false">AB$28</f>
        <v>1112</v>
      </c>
      <c r="AC49" s="24" t="n">
        <f aca="false">AC$28</f>
        <v>144</v>
      </c>
      <c r="AD49" s="24" t="n">
        <f aca="false">AD$28</f>
        <v>351</v>
      </c>
      <c r="AE49" s="24" t="n">
        <f aca="false">AE$28</f>
        <v>1387</v>
      </c>
      <c r="AF49" s="24" t="n">
        <f aca="false">AF$28</f>
        <v>260</v>
      </c>
      <c r="AG49" s="24" t="n">
        <f aca="false">AG$28</f>
        <v>1406</v>
      </c>
      <c r="AH49" s="24" t="n">
        <f aca="false">AH$28</f>
        <v>677</v>
      </c>
      <c r="AI49" s="24" t="n">
        <f aca="false">AI$28</f>
        <v>1724</v>
      </c>
      <c r="AJ49" s="24" t="n">
        <f aca="false">AJ$28</f>
        <v>288</v>
      </c>
      <c r="AK49" s="24" t="n">
        <f aca="false">AK$28</f>
        <v>1185</v>
      </c>
      <c r="AL49" s="24" t="n">
        <f aca="false">AL$28</f>
        <v>558</v>
      </c>
      <c r="AM49" s="24" t="n">
        <f aca="false">AM$28</f>
        <v>276</v>
      </c>
      <c r="AN49" s="24" t="n">
        <f aca="false">AN$28</f>
        <v>1393</v>
      </c>
      <c r="AO49" s="24" t="n">
        <f aca="false">AO$28</f>
        <v>0</v>
      </c>
      <c r="AP49" s="24" t="n">
        <f aca="false">AP$28</f>
        <v>140</v>
      </c>
      <c r="AQ49" s="24" t="n">
        <f aca="false">AQ$28</f>
        <v>141</v>
      </c>
      <c r="AR49" s="24" t="n">
        <f aca="false">AR$28</f>
        <v>122</v>
      </c>
      <c r="AS49" s="24" t="n">
        <f aca="false">AS$28</f>
        <v>132</v>
      </c>
      <c r="AT49" s="24" t="n">
        <f aca="false">AT$28</f>
        <v>132</v>
      </c>
      <c r="AU49" s="24" t="n">
        <f aca="false">AU$28</f>
        <v>76</v>
      </c>
      <c r="AV49" s="24" t="n">
        <f aca="false">AV$28</f>
        <v>125</v>
      </c>
      <c r="AW49" s="24" t="n">
        <f aca="false">AW$28</f>
        <v>188</v>
      </c>
      <c r="AX49" s="24" t="n">
        <f aca="false">AX$28</f>
        <v>107</v>
      </c>
      <c r="AY49" s="24" t="n">
        <f aca="false">AY$28</f>
        <v>250</v>
      </c>
      <c r="AZ49" s="24" t="n">
        <f aca="false">AZ$28</f>
        <v>641</v>
      </c>
      <c r="BA49" s="24" t="n">
        <f aca="false">BA$28</f>
        <v>186</v>
      </c>
      <c r="BB49" s="24" t="n">
        <f aca="false">BB$28</f>
        <v>133</v>
      </c>
      <c r="BC49" s="24" t="n">
        <f aca="false">BC$28</f>
        <v>563</v>
      </c>
      <c r="BD49" s="24" t="n">
        <f aca="false">BD$28</f>
        <v>362</v>
      </c>
      <c r="BE49" s="24" t="n">
        <f aca="false">BE$28</f>
        <v>223</v>
      </c>
      <c r="BF49" s="24" t="n">
        <f aca="false">BF$28</f>
        <v>126</v>
      </c>
      <c r="BG49" s="24" t="n">
        <f aca="false">BG$28</f>
        <v>115</v>
      </c>
      <c r="BH49" s="24" t="n">
        <f aca="false">BH$28</f>
        <v>254</v>
      </c>
      <c r="BI49" s="24" t="n">
        <f aca="false">BI$28</f>
        <v>434</v>
      </c>
      <c r="BJ49" s="24" t="n">
        <f aca="false">BJ$28</f>
        <v>452</v>
      </c>
      <c r="BK49" s="24" t="n">
        <f aca="false">BK$28</f>
        <v>136</v>
      </c>
      <c r="BL49" s="24" t="n">
        <f aca="false">BL$28</f>
        <v>213</v>
      </c>
      <c r="BM49" s="24" t="n">
        <f aca="false">BM$28</f>
        <v>408</v>
      </c>
      <c r="BN49" s="24" t="n">
        <f aca="false">BN$28</f>
        <v>106</v>
      </c>
      <c r="BO49" s="24" t="n">
        <f aca="false">BO$28</f>
        <v>153</v>
      </c>
      <c r="BP49" s="24" t="n">
        <f aca="false">BP$28</f>
        <v>425</v>
      </c>
      <c r="BQ49" s="24" t="n">
        <f aca="false">BQ$28</f>
        <v>337</v>
      </c>
      <c r="BR49" s="24" t="n">
        <f aca="false">BR$28</f>
        <v>107</v>
      </c>
      <c r="BS49" s="24" t="n">
        <f aca="false">BS$28</f>
        <v>74</v>
      </c>
      <c r="BT49" s="24" t="n">
        <f aca="false">BT$28</f>
        <v>358</v>
      </c>
      <c r="BU49" s="24" t="n">
        <f aca="false">BU$28</f>
        <v>162</v>
      </c>
      <c r="BV49" s="24" t="n">
        <f aca="false">BV$28</f>
        <v>54</v>
      </c>
      <c r="BW49" s="24" t="n">
        <f aca="false">BW$28</f>
        <v>267</v>
      </c>
      <c r="BX49" s="24" t="n">
        <f aca="false">BX$28</f>
        <v>222</v>
      </c>
      <c r="BY49" s="24" t="n">
        <f aca="false">BY$28</f>
        <v>177</v>
      </c>
      <c r="BZ49" s="24" t="n">
        <f aca="false">BZ$28</f>
        <v>656</v>
      </c>
      <c r="CA49" s="24" t="n">
        <f aca="false">CA$28</f>
        <v>1162</v>
      </c>
      <c r="CB49" s="24" t="n">
        <f aca="false">CB$28</f>
        <v>49</v>
      </c>
      <c r="CC49" s="24" t="n">
        <f aca="false">CC$28</f>
        <v>95</v>
      </c>
      <c r="CD49" s="24" t="n">
        <f aca="false">CD$28</f>
        <v>139</v>
      </c>
      <c r="CE49" s="24" t="n">
        <f aca="false">CE$28</f>
        <v>191</v>
      </c>
      <c r="CF49" s="24" t="n">
        <f aca="false">CF$28</f>
        <v>228</v>
      </c>
      <c r="CG49" s="24" t="n">
        <f aca="false">CG$28</f>
        <v>312</v>
      </c>
      <c r="CH49" s="24" t="n">
        <f aca="false">CH$28</f>
        <v>168</v>
      </c>
      <c r="CI49" s="24" t="n">
        <f aca="false">CI$28</f>
        <v>201</v>
      </c>
      <c r="CJ49" s="24" t="n">
        <f aca="false">CJ$28</f>
        <v>178</v>
      </c>
      <c r="CK49" s="24" t="n">
        <f aca="false">CK$28</f>
        <v>166</v>
      </c>
      <c r="CL49" s="24" t="n">
        <f aca="false">CL$28</f>
        <v>182</v>
      </c>
      <c r="CM49" s="24" t="n">
        <f aca="false">CM$28</f>
        <v>190</v>
      </c>
      <c r="CN49" s="24" t="n">
        <f aca="false">CN$28</f>
        <v>128</v>
      </c>
      <c r="CO49" s="24" t="n">
        <f aca="false">CO$28</f>
        <v>116</v>
      </c>
      <c r="CP49" s="24" t="n">
        <f aca="false">CP$28</f>
        <v>96</v>
      </c>
      <c r="CQ49" s="24" t="n">
        <f aca="false">CQ$28</f>
        <v>109</v>
      </c>
      <c r="CR49" s="24" t="n">
        <f aca="false">CR$28</f>
        <v>122</v>
      </c>
      <c r="CS49" s="24" t="n">
        <f aca="false">CS$28</f>
        <v>157</v>
      </c>
      <c r="CT49" s="24" t="n">
        <f aca="false">CT$28</f>
        <v>732</v>
      </c>
      <c r="CU49" s="24" t="n">
        <f aca="false">CU$28</f>
        <v>749</v>
      </c>
      <c r="CV49" s="24" t="n">
        <f aca="false">CV$28</f>
        <v>151</v>
      </c>
      <c r="CW49" s="24" t="n">
        <f aca="false">CW$28</f>
        <v>153</v>
      </c>
      <c r="CX49" s="24" t="n">
        <f aca="false">CX$28</f>
        <v>148</v>
      </c>
      <c r="CY49" s="24" t="n">
        <f aca="false">CY$28</f>
        <v>112</v>
      </c>
      <c r="CZ49" s="24" t="n">
        <f aca="false">CZ$28</f>
        <v>347</v>
      </c>
      <c r="DA49" s="24" t="n">
        <f aca="false">DA$28</f>
        <v>202</v>
      </c>
      <c r="DB49" s="24" t="n">
        <f aca="false">DB$28</f>
        <v>237</v>
      </c>
      <c r="DC49" s="24" t="n">
        <f aca="false">DC$28</f>
        <v>159</v>
      </c>
      <c r="DD49" s="24" t="n">
        <f aca="false">DD$28</f>
        <v>250</v>
      </c>
      <c r="DE49" s="24" t="n">
        <f aca="false">DE$28</f>
        <v>370</v>
      </c>
      <c r="DF49" s="24" t="n">
        <f aca="false">DF$28</f>
        <v>352</v>
      </c>
      <c r="DG49" s="24" t="n">
        <f aca="false">DG$28</f>
        <v>170</v>
      </c>
      <c r="DH49" s="24" t="n">
        <f aca="false">DH$28</f>
        <v>243</v>
      </c>
      <c r="DI49" s="24" t="n">
        <f aca="false">DI$28</f>
        <v>320</v>
      </c>
      <c r="DJ49" s="24" t="n">
        <f aca="false">DJ$28</f>
        <v>173</v>
      </c>
      <c r="DK49" s="24" t="n">
        <f aca="false">DK$28</f>
        <v>235</v>
      </c>
      <c r="DL49" s="24" t="n">
        <f aca="false">DL$28</f>
        <v>193</v>
      </c>
      <c r="DM49" s="24" t="n">
        <f aca="false">DM$28</f>
        <v>260</v>
      </c>
      <c r="DN49" s="24" t="n">
        <f aca="false">DN$28</f>
        <v>213</v>
      </c>
      <c r="DO49" s="24" t="n">
        <f aca="false">DO$28</f>
        <v>253</v>
      </c>
      <c r="DP49" s="24" t="n">
        <f aca="false">DP$28</f>
        <v>147</v>
      </c>
      <c r="DQ49" s="24" t="n">
        <f aca="false">DQ$28</f>
        <v>92</v>
      </c>
      <c r="DR49" s="24" t="n">
        <f aca="false">DR$28</f>
        <v>186</v>
      </c>
      <c r="DS49" s="24" t="n">
        <f aca="false">DS$28</f>
        <v>175</v>
      </c>
      <c r="DT49" s="24" t="n">
        <f aca="false">DT$28</f>
        <v>141</v>
      </c>
      <c r="DU49" s="24" t="n">
        <f aca="false">DU$28</f>
        <v>333</v>
      </c>
      <c r="DV49" s="24" t="n">
        <f aca="false">DV$28</f>
        <v>212</v>
      </c>
      <c r="DW49" s="24" t="n">
        <f aca="false">DW$28</f>
        <v>318</v>
      </c>
      <c r="DX49" s="24" t="n">
        <f aca="false">DX$28</f>
        <v>170</v>
      </c>
      <c r="DY49" s="24" t="n">
        <f aca="false">DY$28</f>
        <v>211</v>
      </c>
      <c r="DZ49" s="24" t="n">
        <f aca="false">DZ$28</f>
        <v>146</v>
      </c>
      <c r="EA49" s="24" t="n">
        <f aca="false">EA$28</f>
        <v>206</v>
      </c>
      <c r="EB49" s="24" t="n">
        <f aca="false">EB$28</f>
        <v>233</v>
      </c>
      <c r="EC49" s="24" t="n">
        <f aca="false">EC$28</f>
        <v>211</v>
      </c>
      <c r="ED49" s="24" t="n">
        <f aca="false">ED$28</f>
        <v>247</v>
      </c>
      <c r="EE49" s="24" t="n">
        <f aca="false">EE$28</f>
        <v>170</v>
      </c>
      <c r="EF49" s="24" t="n">
        <f aca="false">EF$28</f>
        <v>230</v>
      </c>
      <c r="EG49" s="24" t="n">
        <f aca="false">EG$28</f>
        <v>558</v>
      </c>
      <c r="EH49" s="24" t="n">
        <f aca="false">EH$28</f>
        <v>346</v>
      </c>
      <c r="EI49" s="24" t="n">
        <f aca="false">EI$28</f>
        <v>191</v>
      </c>
      <c r="EJ49" s="24" t="n">
        <f aca="false">EJ$28</f>
        <v>237</v>
      </c>
      <c r="EK49" s="24" t="n">
        <f aca="false">EK$28</f>
        <v>184</v>
      </c>
      <c r="EL49" s="24" t="n">
        <f aca="false">EL$28</f>
        <v>261</v>
      </c>
      <c r="EM49" s="24" t="n">
        <f aca="false">EM$28</f>
        <v>24</v>
      </c>
      <c r="EN49" s="24" t="n">
        <f aca="false">EN$28</f>
        <v>0</v>
      </c>
      <c r="EO49" s="24" t="n">
        <f aca="false">EO$28</f>
        <v>1</v>
      </c>
      <c r="EP49" s="24" t="n">
        <f aca="false">EP$28</f>
        <v>733</v>
      </c>
      <c r="EQ49" s="24" t="n">
        <f aca="false">EQ$28</f>
        <v>507</v>
      </c>
      <c r="ER49" s="24" t="n">
        <f aca="false">ER$28</f>
        <v>171</v>
      </c>
      <c r="ES49" s="24" t="n">
        <f aca="false">ES$28</f>
        <v>237</v>
      </c>
      <c r="ET49" s="24" t="n">
        <f aca="false">ET$28</f>
        <v>1196</v>
      </c>
      <c r="EU49" s="24" t="n">
        <f aca="false">EU$28</f>
        <v>199</v>
      </c>
    </row>
    <row r="50" customFormat="false" ht="15" hidden="false" customHeight="false" outlineLevel="0" collapsed="false">
      <c r="A50" s="4" t="s">
        <v>983</v>
      </c>
      <c r="B50" s="75" t="s">
        <v>973</v>
      </c>
      <c r="C50" s="76" t="n">
        <f aca="false">N(Planner!$E$22)</f>
        <v>90</v>
      </c>
      <c r="D50" s="77" t="n">
        <v>126.7483161952</v>
      </c>
      <c r="E50" s="75" t="str">
        <f aca="false">IF(D50&gt;=C50-0.000001*MAX(1,ABS(C50)),IF(ABS(D50-C50)&lt;=0.000001*MAX(1,ABS(C50)),"tight","ok"),"VIOLATED")</f>
        <v>ok</v>
      </c>
      <c r="F50" s="24" t="n">
        <f aca="false">F$30</f>
        <v>0</v>
      </c>
      <c r="G50" s="24" t="n">
        <f aca="false">G$30</f>
        <v>0</v>
      </c>
      <c r="H50" s="24" t="n">
        <f aca="false">H$30</f>
        <v>0</v>
      </c>
      <c r="I50" s="24" t="n">
        <f aca="false">I$30</f>
        <v>0</v>
      </c>
      <c r="J50" s="24" t="n">
        <f aca="false">J$30</f>
        <v>0</v>
      </c>
      <c r="K50" s="24" t="n">
        <f aca="false">K$30</f>
        <v>1.6</v>
      </c>
      <c r="L50" s="24" t="n">
        <f aca="false">L$30</f>
        <v>0</v>
      </c>
      <c r="M50" s="24" t="n">
        <f aca="false">M$30</f>
        <v>0</v>
      </c>
      <c r="N50" s="24" t="n">
        <f aca="false">N$30</f>
        <v>0</v>
      </c>
      <c r="O50" s="24" t="n">
        <f aca="false">O$30</f>
        <v>0</v>
      </c>
      <c r="P50" s="24" t="n">
        <f aca="false">P$30</f>
        <v>4</v>
      </c>
      <c r="Q50" s="24" t="n">
        <f aca="false">Q$30</f>
        <v>0</v>
      </c>
      <c r="R50" s="24" t="n">
        <f aca="false">R$30</f>
        <v>0</v>
      </c>
      <c r="S50" s="24" t="n">
        <f aca="false">S$30</f>
        <v>0</v>
      </c>
      <c r="T50" s="24" t="n">
        <f aca="false">T$30</f>
        <v>0</v>
      </c>
      <c r="U50" s="24" t="n">
        <f aca="false">U$30</f>
        <v>3.9</v>
      </c>
      <c r="V50" s="24" t="n">
        <f aca="false">V$30</f>
        <v>0</v>
      </c>
      <c r="W50" s="24" t="n">
        <f aca="false">W$30</f>
        <v>0</v>
      </c>
      <c r="X50" s="24" t="n">
        <f aca="false">X$30</f>
        <v>0</v>
      </c>
      <c r="Y50" s="24" t="n">
        <f aca="false">Y$30</f>
        <v>2.7</v>
      </c>
      <c r="Z50" s="24" t="n">
        <f aca="false">Z$30</f>
        <v>0</v>
      </c>
      <c r="AA50" s="24" t="n">
        <f aca="false">AA$30</f>
        <v>2.7</v>
      </c>
      <c r="AB50" s="24" t="n">
        <f aca="false">AB$30</f>
        <v>1.5</v>
      </c>
      <c r="AC50" s="24" t="n">
        <f aca="false">AC$30</f>
        <v>0.1</v>
      </c>
      <c r="AD50" s="24" t="n">
        <f aca="false">AD$30</f>
        <v>1.3</v>
      </c>
      <c r="AE50" s="24" t="n">
        <f aca="false">AE$30</f>
        <v>5.3</v>
      </c>
      <c r="AF50" s="24" t="n">
        <f aca="false">AF$30</f>
        <v>0.8</v>
      </c>
      <c r="AG50" s="24" t="n">
        <f aca="false">AG$30</f>
        <v>4.5</v>
      </c>
      <c r="AH50" s="24" t="n">
        <f aca="false">AH$30</f>
        <v>4.5</v>
      </c>
      <c r="AI50" s="24" t="n">
        <f aca="false">AI$30</f>
        <v>0</v>
      </c>
      <c r="AJ50" s="24" t="n">
        <f aca="false">AJ$30</f>
        <v>0.7</v>
      </c>
      <c r="AK50" s="24" t="n">
        <f aca="false">AK$30</f>
        <v>0</v>
      </c>
      <c r="AL50" s="24" t="n">
        <f aca="false">AL$30</f>
        <v>0</v>
      </c>
      <c r="AM50" s="24" t="n">
        <f aca="false">AM$30</f>
        <v>0.7</v>
      </c>
      <c r="AN50" s="24" t="n">
        <f aca="false">AN$30</f>
        <v>6.3</v>
      </c>
      <c r="AO50" s="24" t="n">
        <f aca="false">AO$30</f>
        <v>0</v>
      </c>
      <c r="AP50" s="24" t="n">
        <f aca="false">AP$30</f>
        <v>0.2</v>
      </c>
      <c r="AQ50" s="24" t="n">
        <f aca="false">AQ$30</f>
        <v>0</v>
      </c>
      <c r="AR50" s="24" t="n">
        <f aca="false">AR$30</f>
        <v>0</v>
      </c>
      <c r="AS50" s="24" t="n">
        <f aca="false">AS$30</f>
        <v>0</v>
      </c>
      <c r="AT50" s="24" t="n">
        <f aca="false">AT$30</f>
        <v>0</v>
      </c>
      <c r="AU50" s="24" t="n">
        <f aca="false">AU$30</f>
        <v>0</v>
      </c>
      <c r="AV50" s="24" t="n">
        <f aca="false">AV$30</f>
        <v>0</v>
      </c>
      <c r="AW50" s="24" t="n">
        <f aca="false">AW$30</f>
        <v>0</v>
      </c>
      <c r="AX50" s="24" t="n">
        <f aca="false">AX$30</f>
        <v>0</v>
      </c>
      <c r="AY50" s="24" t="n">
        <f aca="false">AY$30</f>
        <v>0</v>
      </c>
      <c r="AZ50" s="24" t="n">
        <f aca="false">AZ$30</f>
        <v>21.6</v>
      </c>
      <c r="BA50" s="24" t="n">
        <f aca="false">BA$30</f>
        <v>0</v>
      </c>
      <c r="BB50" s="24" t="n">
        <f aca="false">BB$30</f>
        <v>0</v>
      </c>
      <c r="BC50" s="24" t="n">
        <f aca="false">BC$30</f>
        <v>0</v>
      </c>
      <c r="BD50" s="24" t="n">
        <f aca="false">BD$30</f>
        <v>0</v>
      </c>
      <c r="BE50" s="24" t="n">
        <f aca="false">BE$30</f>
        <v>0</v>
      </c>
      <c r="BF50" s="24" t="n">
        <f aca="false">BF$30</f>
        <v>0</v>
      </c>
      <c r="BG50" s="24" t="n">
        <f aca="false">BG$30</f>
        <v>0</v>
      </c>
      <c r="BH50" s="24" t="n">
        <f aca="false">BH$30</f>
        <v>0</v>
      </c>
      <c r="BI50" s="24" t="n">
        <f aca="false">BI$30</f>
        <v>0</v>
      </c>
      <c r="BJ50" s="24" t="n">
        <f aca="false">BJ$30</f>
        <v>8.3</v>
      </c>
      <c r="BK50" s="24" t="n">
        <f aca="false">BK$30</f>
        <v>2.6</v>
      </c>
      <c r="BL50" s="24" t="n">
        <f aca="false">BL$30</f>
        <v>6.4</v>
      </c>
      <c r="BM50" s="24" t="n">
        <f aca="false">BM$30</f>
        <v>17.3</v>
      </c>
      <c r="BN50" s="24" t="n">
        <f aca="false">BN$30</f>
        <v>7.8</v>
      </c>
      <c r="BO50" s="24" t="n">
        <f aca="false">BO$30</f>
        <v>18</v>
      </c>
      <c r="BP50" s="24" t="n">
        <f aca="false">BP$30</f>
        <v>19.7</v>
      </c>
      <c r="BQ50" s="24" t="n">
        <f aca="false">BQ$30</f>
        <v>2.4</v>
      </c>
      <c r="BR50" s="24" t="n">
        <f aca="false">BR$30</f>
        <v>4.6</v>
      </c>
      <c r="BS50" s="24" t="n">
        <f aca="false">BS$30</f>
        <v>1</v>
      </c>
      <c r="BT50" s="24" t="n">
        <f aca="false">BT$30</f>
        <v>8.7</v>
      </c>
      <c r="BU50" s="24" t="n">
        <f aca="false">BU$30</f>
        <v>21</v>
      </c>
      <c r="BV50" s="24" t="n">
        <f aca="false">BV$30</f>
        <v>2.5</v>
      </c>
      <c r="BW50" s="24" t="n">
        <f aca="false">BW$30</f>
        <v>36.7</v>
      </c>
      <c r="BX50" s="24" t="n">
        <f aca="false">BX$30</f>
        <v>7</v>
      </c>
      <c r="BY50" s="24" t="n">
        <f aca="false">BY$30</f>
        <v>48.8</v>
      </c>
      <c r="BZ50" s="24" t="n">
        <f aca="false">BZ$30</f>
        <v>0.4</v>
      </c>
      <c r="CA50" s="24" t="n">
        <f aca="false">CA$30</f>
        <v>1</v>
      </c>
      <c r="CB50" s="24" t="n">
        <f aca="false">CB$30</f>
        <v>0.2</v>
      </c>
      <c r="CC50" s="24" t="n">
        <f aca="false">CC$30</f>
        <v>2.7</v>
      </c>
      <c r="CD50" s="24" t="n">
        <f aca="false">CD$30</f>
        <v>34.4</v>
      </c>
      <c r="CE50" s="24" t="n">
        <f aca="false">CE$30</f>
        <v>3.2</v>
      </c>
      <c r="CF50" s="24" t="n">
        <f aca="false">CF$30</f>
        <v>18</v>
      </c>
      <c r="CG50" s="24" t="n">
        <f aca="false">CG$30</f>
        <v>92.7</v>
      </c>
      <c r="CH50" s="24" t="n">
        <f aca="false">CH$30</f>
        <v>36.4</v>
      </c>
      <c r="CI50" s="24" t="n">
        <f aca="false">CI$30</f>
        <v>5.4</v>
      </c>
      <c r="CJ50" s="24" t="n">
        <f aca="false">CJ$30</f>
        <v>33.6</v>
      </c>
      <c r="CK50" s="24" t="n">
        <f aca="false">CK$30</f>
        <v>59.1</v>
      </c>
      <c r="CL50" s="24" t="n">
        <f aca="false">CL$30</f>
        <v>60.9</v>
      </c>
      <c r="CM50" s="24" t="n">
        <f aca="false">CM$30</f>
        <v>6.6</v>
      </c>
      <c r="CN50" s="24" t="n">
        <f aca="false">CN$30</f>
        <v>3.6</v>
      </c>
      <c r="CO50" s="24" t="n">
        <f aca="false">CO$30</f>
        <v>4.3</v>
      </c>
      <c r="CP50" s="24" t="n">
        <f aca="false">CP$30</f>
        <v>1.6</v>
      </c>
      <c r="CQ50" s="24" t="n">
        <f aca="false">CQ$30</f>
        <v>47.8</v>
      </c>
      <c r="CR50" s="24" t="n">
        <f aca="false">CR$30</f>
        <v>9.5</v>
      </c>
      <c r="CS50" s="24" t="n">
        <f aca="false">CS$30</f>
        <v>9.5</v>
      </c>
      <c r="CT50" s="24" t="n">
        <f aca="false">CT$30</f>
        <v>0.6</v>
      </c>
      <c r="CU50" s="24" t="n">
        <f aca="false">CU$30</f>
        <v>2.3</v>
      </c>
      <c r="CV50" s="24" t="n">
        <f aca="false">CV$30</f>
        <v>26.2</v>
      </c>
      <c r="CW50" s="24" t="n">
        <f aca="false">CW$30</f>
        <v>58.8</v>
      </c>
      <c r="CX50" s="24" t="n">
        <f aca="false">CX$30</f>
        <v>41.2</v>
      </c>
      <c r="CY50" s="24" t="n">
        <f aca="false">CY$30</f>
        <v>8.1</v>
      </c>
      <c r="CZ50" s="24" t="n">
        <f aca="false">CZ$30</f>
        <v>11</v>
      </c>
      <c r="DA50" s="24" t="n">
        <f aca="false">DA$30</f>
        <v>5.6</v>
      </c>
      <c r="DB50" s="24" t="n">
        <f aca="false">DB$30</f>
        <v>2.6</v>
      </c>
      <c r="DC50" s="24" t="n">
        <f aca="false">DC$30</f>
        <v>2.8</v>
      </c>
      <c r="DD50" s="24" t="n">
        <f aca="false">DD$30</f>
        <v>68.3</v>
      </c>
      <c r="DE50" s="24" t="n">
        <f aca="false">DE$30</f>
        <v>74.1</v>
      </c>
      <c r="DF50" s="24" t="n">
        <f aca="false">DF$30</f>
        <v>21</v>
      </c>
      <c r="DG50" s="24" t="n">
        <f aca="false">DG$30</f>
        <v>36.6</v>
      </c>
      <c r="DH50" s="24" t="n">
        <f aca="false">DH$30</f>
        <v>57</v>
      </c>
      <c r="DI50" s="24" t="n">
        <f aca="false">DI$30</f>
        <v>5.9</v>
      </c>
      <c r="DJ50" s="24" t="n">
        <f aca="false">DJ$30</f>
        <v>2</v>
      </c>
      <c r="DK50" s="24" t="n">
        <f aca="false">DK$30</f>
        <v>2.5</v>
      </c>
      <c r="DL50" s="24" t="n">
        <f aca="false">DL$30</f>
        <v>48.8</v>
      </c>
      <c r="DM50" s="24" t="n">
        <f aca="false">DM$30</f>
        <v>3.1</v>
      </c>
      <c r="DN50" s="24" t="n">
        <f aca="false">DN$30</f>
        <v>35.3</v>
      </c>
      <c r="DO50" s="24" t="n">
        <f aca="false">DO$30</f>
        <v>40</v>
      </c>
      <c r="DP50" s="24" t="n">
        <f aca="false">DP$30</f>
        <v>2.8</v>
      </c>
      <c r="DQ50" s="24" t="n">
        <f aca="false">DQ$30</f>
        <v>2.2</v>
      </c>
      <c r="DR50" s="24" t="n">
        <f aca="false">DR$30</f>
        <v>12.9</v>
      </c>
      <c r="DS50" s="24" t="n">
        <f aca="false">DS$30</f>
        <v>80.4</v>
      </c>
      <c r="DT50" s="24" t="n">
        <f aca="false">DT$30</f>
        <v>2.8</v>
      </c>
      <c r="DU50" s="24" t="n">
        <f aca="false">DU$30</f>
        <v>39.3</v>
      </c>
      <c r="DV50" s="24" t="n">
        <f aca="false">DV$30</f>
        <v>10.4</v>
      </c>
      <c r="DW50" s="24" t="n">
        <f aca="false">DW$30</f>
        <v>2.1</v>
      </c>
      <c r="DX50" s="24" t="n">
        <f aca="false">DX$30</f>
        <v>25.3</v>
      </c>
      <c r="DY50" s="24" t="n">
        <f aca="false">DY$30</f>
        <v>12.4</v>
      </c>
      <c r="DZ50" s="24" t="n">
        <f aca="false">DZ$30</f>
        <v>7.4</v>
      </c>
      <c r="EA50" s="24" t="n">
        <f aca="false">EA$30</f>
        <v>4.2</v>
      </c>
      <c r="EB50" s="24" t="n">
        <f aca="false">EB$30</f>
        <v>14.8</v>
      </c>
      <c r="EC50" s="24" t="n">
        <f aca="false">EC$30</f>
        <v>127.7</v>
      </c>
      <c r="ED50" s="24" t="n">
        <f aca="false">ED$30</f>
        <v>4</v>
      </c>
      <c r="EE50" s="24" t="n">
        <f aca="false">EE$30</f>
        <v>14.7</v>
      </c>
      <c r="EF50" s="24" t="n">
        <f aca="false">EF$30</f>
        <v>13.5</v>
      </c>
      <c r="EG50" s="24" t="n">
        <f aca="false">EG$30</f>
        <v>28.1</v>
      </c>
      <c r="EH50" s="24" t="n">
        <f aca="false">EH$30</f>
        <v>5.5</v>
      </c>
      <c r="EI50" s="24" t="n">
        <f aca="false">EI$30</f>
        <v>12.6</v>
      </c>
      <c r="EJ50" s="24" t="n">
        <f aca="false">EJ$30</f>
        <v>13.7</v>
      </c>
      <c r="EK50" s="24" t="n">
        <f aca="false">EK$30</f>
        <v>26.8</v>
      </c>
      <c r="EL50" s="24" t="n">
        <f aca="false">EL$30</f>
        <v>17.9</v>
      </c>
      <c r="EM50" s="24" t="n">
        <f aca="false">EM$30</f>
        <v>0</v>
      </c>
      <c r="EN50" s="24" t="n">
        <f aca="false">EN$30</f>
        <v>0</v>
      </c>
      <c r="EO50" s="24" t="n">
        <f aca="false">EO$30</f>
        <v>0</v>
      </c>
      <c r="EP50" s="24" t="n">
        <f aca="false">EP$30</f>
        <v>0</v>
      </c>
      <c r="EQ50" s="24" t="n">
        <f aca="false">EQ$30</f>
        <v>8.8</v>
      </c>
      <c r="ER50" s="24" t="n">
        <f aca="false">ER$30</f>
        <v>0</v>
      </c>
      <c r="ES50" s="24" t="n">
        <f aca="false">ES$30</f>
        <v>0</v>
      </c>
      <c r="ET50" s="24" t="n">
        <f aca="false">ET$30</f>
        <v>21.6</v>
      </c>
      <c r="EU50" s="24" t="n">
        <f aca="false">EU$30</f>
        <v>0.6</v>
      </c>
    </row>
    <row r="51" customFormat="false" ht="15" hidden="false" customHeight="false" outlineLevel="0" collapsed="false">
      <c r="A51" s="4" t="s">
        <v>984</v>
      </c>
      <c r="B51" s="75" t="s">
        <v>985</v>
      </c>
      <c r="C51" s="76" t="n">
        <f aca="false">Planner!$E$16*Planner!$C$45</f>
        <v>606</v>
      </c>
      <c r="D51" s="77" t="n">
        <v>625.8570244</v>
      </c>
      <c r="E51" s="75" t="str">
        <f aca="false">IF(D51&gt;=C51-0.000001*MAX(1,ABS(C51)),IF(ABS(D51-C51)&lt;=0.000001*MAX(1,ABS(C51)),"tight","ok"),"VIOLATED")</f>
        <v>ok</v>
      </c>
      <c r="F51" s="24" t="n">
        <f aca="false">F$20*F$34</f>
        <v>0</v>
      </c>
      <c r="G51" s="24" t="n">
        <f aca="false">G$20*G$34</f>
        <v>0</v>
      </c>
      <c r="H51" s="24" t="n">
        <f aca="false">H$20*H$34</f>
        <v>0</v>
      </c>
      <c r="I51" s="24" t="n">
        <f aca="false">I$20*I$34</f>
        <v>0</v>
      </c>
      <c r="J51" s="24" t="n">
        <f aca="false">J$20*J$34</f>
        <v>0</v>
      </c>
      <c r="K51" s="24" t="n">
        <f aca="false">K$20*K$34</f>
        <v>0</v>
      </c>
      <c r="L51" s="24" t="n">
        <f aca="false">L$20*L$34</f>
        <v>417</v>
      </c>
      <c r="M51" s="24" t="n">
        <f aca="false">M$20*M$34</f>
        <v>0</v>
      </c>
      <c r="N51" s="24" t="n">
        <f aca="false">N$20*N$34</f>
        <v>0</v>
      </c>
      <c r="O51" s="24" t="n">
        <f aca="false">O$20*O$34</f>
        <v>0</v>
      </c>
      <c r="P51" s="24" t="n">
        <f aca="false">P$20*P$34</f>
        <v>0</v>
      </c>
      <c r="Q51" s="24" t="n">
        <f aca="false">Q$20*Q$34</f>
        <v>0</v>
      </c>
      <c r="R51" s="24" t="n">
        <f aca="false">R$20*R$34</f>
        <v>0</v>
      </c>
      <c r="S51" s="24" t="n">
        <f aca="false">S$20*S$34</f>
        <v>0</v>
      </c>
      <c r="T51" s="24" t="n">
        <f aca="false">T$20*T$34</f>
        <v>0</v>
      </c>
      <c r="U51" s="24" t="n">
        <f aca="false">U$20*U$34</f>
        <v>0</v>
      </c>
      <c r="V51" s="24" t="n">
        <f aca="false">V$20*V$34</f>
        <v>0</v>
      </c>
      <c r="W51" s="24" t="n">
        <f aca="false">W$20*W$34</f>
        <v>0</v>
      </c>
      <c r="X51" s="24" t="n">
        <f aca="false">X$20*X$34</f>
        <v>143</v>
      </c>
      <c r="Y51" s="24" t="n">
        <f aca="false">Y$20*Y$34</f>
        <v>0</v>
      </c>
      <c r="Z51" s="24" t="n">
        <f aca="false">Z$20*Z$34</f>
        <v>0</v>
      </c>
      <c r="AA51" s="24" t="n">
        <f aca="false">AA$20*AA$34</f>
        <v>0</v>
      </c>
      <c r="AB51" s="24" t="n">
        <f aca="false">AB$20*AB$34</f>
        <v>0</v>
      </c>
      <c r="AC51" s="24" t="n">
        <f aca="false">AC$20*AC$34</f>
        <v>0</v>
      </c>
      <c r="AD51" s="24" t="n">
        <f aca="false">AD$20*AD$34</f>
        <v>0</v>
      </c>
      <c r="AE51" s="24" t="n">
        <f aca="false">AE$20*AE$34</f>
        <v>0</v>
      </c>
      <c r="AF51" s="24" t="n">
        <f aca="false">AF$20*AF$34</f>
        <v>0</v>
      </c>
      <c r="AG51" s="24" t="n">
        <f aca="false">AG$20*AG$34</f>
        <v>0</v>
      </c>
      <c r="AH51" s="24" t="n">
        <f aca="false">AH$20*AH$34</f>
        <v>0</v>
      </c>
      <c r="AI51" s="24" t="n">
        <f aca="false">AI$20*AI$34</f>
        <v>0</v>
      </c>
      <c r="AJ51" s="24" t="n">
        <f aca="false">AJ$20*AJ$34</f>
        <v>0</v>
      </c>
      <c r="AK51" s="24" t="n">
        <f aca="false">AK$20*AK$34</f>
        <v>0</v>
      </c>
      <c r="AL51" s="24" t="n">
        <f aca="false">AL$20*AL$34</f>
        <v>299</v>
      </c>
      <c r="AM51" s="24" t="n">
        <f aca="false">AM$20*AM$34</f>
        <v>0</v>
      </c>
      <c r="AN51" s="24" t="n">
        <f aca="false">AN$20*AN$34</f>
        <v>0</v>
      </c>
      <c r="AO51" s="24" t="n">
        <f aca="false">AO$20*AO$34</f>
        <v>0</v>
      </c>
      <c r="AP51" s="24" t="n">
        <f aca="false">AP$20*AP$34</f>
        <v>25</v>
      </c>
      <c r="AQ51" s="24" t="n">
        <f aca="false">AQ$20*AQ$34</f>
        <v>29.5</v>
      </c>
      <c r="AR51" s="24" t="n">
        <f aca="false">AR$20*AR$34</f>
        <v>21.5</v>
      </c>
      <c r="AS51" s="24" t="n">
        <f aca="false">AS$20*AS$34</f>
        <v>30.5</v>
      </c>
      <c r="AT51" s="24" t="n">
        <f aca="false">AT$20*AT$34</f>
        <v>0</v>
      </c>
      <c r="AU51" s="24" t="n">
        <f aca="false">AU$20*AU$34</f>
        <v>0</v>
      </c>
      <c r="AV51" s="24" t="n">
        <f aca="false">AV$20*AV$34</f>
        <v>0</v>
      </c>
      <c r="AW51" s="24" t="n">
        <f aca="false">AW$20*AW$34</f>
        <v>0</v>
      </c>
      <c r="AX51" s="24" t="n">
        <f aca="false">AX$20*AX$34</f>
        <v>264</v>
      </c>
      <c r="AY51" s="24" t="n">
        <f aca="false">AY$20*AY$34</f>
        <v>0</v>
      </c>
      <c r="AZ51" s="24" t="n">
        <f aca="false">AZ$20*AZ$34</f>
        <v>376</v>
      </c>
      <c r="BA51" s="24" t="n">
        <f aca="false">BA$20*BA$34</f>
        <v>0</v>
      </c>
      <c r="BB51" s="24" t="n">
        <f aca="false">BB$20*BB$34</f>
        <v>0</v>
      </c>
      <c r="BC51" s="24" t="n">
        <f aca="false">BC$20*BC$34</f>
        <v>0</v>
      </c>
      <c r="BD51" s="24" t="n">
        <f aca="false">BD$20*BD$34</f>
        <v>379</v>
      </c>
      <c r="BE51" s="24" t="n">
        <f aca="false">BE$20*BE$34</f>
        <v>0</v>
      </c>
      <c r="BF51" s="24" t="n">
        <f aca="false">BF$20*BF$34</f>
        <v>133</v>
      </c>
      <c r="BG51" s="24" t="n">
        <f aca="false">BG$20*BG$34</f>
        <v>0</v>
      </c>
      <c r="BH51" s="24" t="n">
        <f aca="false">BH$20*BH$34</f>
        <v>126</v>
      </c>
      <c r="BI51" s="24" t="n">
        <f aca="false">BI$20*BI$34</f>
        <v>0</v>
      </c>
      <c r="BJ51" s="24" t="n">
        <f aca="false">BJ$20*BJ$34</f>
        <v>0</v>
      </c>
      <c r="BK51" s="24" t="n">
        <f aca="false">BK$20*BK$34</f>
        <v>0</v>
      </c>
      <c r="BL51" s="24" t="n">
        <f aca="false">BL$20*BL$34</f>
        <v>0</v>
      </c>
      <c r="BM51" s="24" t="n">
        <f aca="false">BM$20*BM$34</f>
        <v>0</v>
      </c>
      <c r="BN51" s="24" t="n">
        <f aca="false">BN$20*BN$34</f>
        <v>0</v>
      </c>
      <c r="BO51" s="24" t="n">
        <f aca="false">BO$20*BO$34</f>
        <v>0</v>
      </c>
      <c r="BP51" s="24" t="n">
        <f aca="false">BP$20*BP$34</f>
        <v>0</v>
      </c>
      <c r="BQ51" s="24" t="n">
        <f aca="false">BQ$20*BQ$34</f>
        <v>0</v>
      </c>
      <c r="BR51" s="24" t="n">
        <f aca="false">BR$20*BR$34</f>
        <v>0</v>
      </c>
      <c r="BS51" s="24" t="n">
        <f aca="false">BS$20*BS$34</f>
        <v>21</v>
      </c>
      <c r="BT51" s="24" t="n">
        <f aca="false">BT$20*BT$34</f>
        <v>44.5</v>
      </c>
      <c r="BU51" s="24" t="n">
        <f aca="false">BU$20*BU$34</f>
        <v>21.5</v>
      </c>
      <c r="BV51" s="24" t="n">
        <f aca="false">BV$20*BV$34</f>
        <v>51</v>
      </c>
      <c r="BW51" s="24" t="n">
        <f aca="false">BW$20*BW$34</f>
        <v>17</v>
      </c>
      <c r="BX51" s="24" t="n">
        <f aca="false">BX$20*BX$34</f>
        <v>0</v>
      </c>
      <c r="BY51" s="24" t="n">
        <f aca="false">BY$20*BY$34</f>
        <v>0</v>
      </c>
      <c r="BZ51" s="24" t="n">
        <f aca="false">BZ$20*BZ$34</f>
        <v>0</v>
      </c>
      <c r="CA51" s="24" t="n">
        <f aca="false">CA$20*CA$34</f>
        <v>0</v>
      </c>
      <c r="CB51" s="24" t="n">
        <f aca="false">CB$20*CB$34</f>
        <v>0</v>
      </c>
      <c r="CC51" s="24" t="n">
        <f aca="false">CC$20*CC$34</f>
        <v>23</v>
      </c>
      <c r="CD51" s="24" t="n">
        <f aca="false">CD$20*CD$34</f>
        <v>16</v>
      </c>
      <c r="CE51" s="24" t="n">
        <f aca="false">CE$20*CE$34</f>
        <v>0</v>
      </c>
      <c r="CF51" s="24" t="n">
        <f aca="false">CF$20*CF$34</f>
        <v>18</v>
      </c>
      <c r="CG51" s="24" t="n">
        <f aca="false">CG$20*CG$34</f>
        <v>30.5</v>
      </c>
      <c r="CH51" s="24" t="n">
        <f aca="false">CH$20*CH$34</f>
        <v>30</v>
      </c>
      <c r="CI51" s="24" t="n">
        <f aca="false">CI$20*CI$34</f>
        <v>22</v>
      </c>
      <c r="CJ51" s="24" t="n">
        <f aca="false">CJ$20*CJ$34</f>
        <v>49</v>
      </c>
      <c r="CK51" s="24" t="n">
        <f aca="false">CK$20*CK$34</f>
        <v>0</v>
      </c>
      <c r="CL51" s="24" t="n">
        <f aca="false">CL$20*CL$34</f>
        <v>21.5</v>
      </c>
      <c r="CM51" s="24" t="n">
        <f aca="false">CM$20*CM$34</f>
        <v>19.5</v>
      </c>
      <c r="CN51" s="24" t="n">
        <f aca="false">CN$20*CN$34</f>
        <v>22</v>
      </c>
      <c r="CO51" s="24" t="n">
        <f aca="false">CO$20*CO$34</f>
        <v>0</v>
      </c>
      <c r="CP51" s="24" t="n">
        <f aca="false">CP$20*CP$34</f>
        <v>25</v>
      </c>
      <c r="CQ51" s="24" t="n">
        <f aca="false">CQ$20*CQ$34</f>
        <v>25</v>
      </c>
      <c r="CR51" s="24" t="n">
        <f aca="false">CR$20*CR$34</f>
        <v>30</v>
      </c>
      <c r="CS51" s="24" t="n">
        <f aca="false">CS$20*CS$34</f>
        <v>0</v>
      </c>
      <c r="CT51" s="24" t="n">
        <f aca="false">CT$20*CT$34</f>
        <v>0</v>
      </c>
      <c r="CU51" s="24" t="n">
        <f aca="false">CU$20*CU$34</f>
        <v>0</v>
      </c>
      <c r="CV51" s="24" t="n">
        <f aca="false">CV$20*CV$34</f>
        <v>26</v>
      </c>
      <c r="CW51" s="24" t="n">
        <f aca="false">CW$20*CW$34</f>
        <v>16</v>
      </c>
      <c r="CX51" s="24" t="n">
        <f aca="false">CX$20*CX$34</f>
        <v>17.5</v>
      </c>
      <c r="CY51" s="24" t="n">
        <f aca="false">CY$20*CY$34</f>
        <v>0</v>
      </c>
      <c r="CZ51" s="24" t="n">
        <f aca="false">CZ$20*CZ$34</f>
        <v>0</v>
      </c>
      <c r="DA51" s="24" t="n">
        <f aca="false">DA$20*DA$34</f>
        <v>0</v>
      </c>
      <c r="DB51" s="24" t="n">
        <f aca="false">DB$20*DB$34</f>
        <v>0</v>
      </c>
      <c r="DC51" s="24" t="n">
        <f aca="false">DC$20*DC$34</f>
        <v>0</v>
      </c>
      <c r="DD51" s="24" t="n">
        <f aca="false">DD$20*DD$34</f>
        <v>0</v>
      </c>
      <c r="DE51" s="24" t="n">
        <f aca="false">DE$20*DE$34</f>
        <v>0</v>
      </c>
      <c r="DF51" s="24" t="n">
        <f aca="false">DF$20*DF$34</f>
        <v>0</v>
      </c>
      <c r="DG51" s="24" t="n">
        <f aca="false">DG$20*DG$34</f>
        <v>0</v>
      </c>
      <c r="DH51" s="24" t="n">
        <f aca="false">DH$20*DH$34</f>
        <v>0</v>
      </c>
      <c r="DI51" s="24" t="n">
        <f aca="false">DI$20*DI$34</f>
        <v>0</v>
      </c>
      <c r="DJ51" s="24" t="n">
        <f aca="false">DJ$20*DJ$34</f>
        <v>0</v>
      </c>
      <c r="DK51" s="24" t="n">
        <f aca="false">DK$20*DK$34</f>
        <v>0</v>
      </c>
      <c r="DL51" s="24" t="n">
        <f aca="false">DL$20*DL$34</f>
        <v>0</v>
      </c>
      <c r="DM51" s="24" t="n">
        <f aca="false">DM$20*DM$34</f>
        <v>0</v>
      </c>
      <c r="DN51" s="24" t="n">
        <f aca="false">DN$20*DN$34</f>
        <v>0</v>
      </c>
      <c r="DO51" s="24" t="n">
        <f aca="false">DO$20*DO$34</f>
        <v>0</v>
      </c>
      <c r="DP51" s="24" t="n">
        <f aca="false">DP$20*DP$34</f>
        <v>0</v>
      </c>
      <c r="DQ51" s="24" t="n">
        <f aca="false">DQ$20*DQ$34</f>
        <v>0</v>
      </c>
      <c r="DR51" s="24" t="n">
        <f aca="false">DR$20*DR$34</f>
        <v>0</v>
      </c>
      <c r="DS51" s="24" t="n">
        <f aca="false">DS$20*DS$34</f>
        <v>0</v>
      </c>
      <c r="DT51" s="24" t="n">
        <f aca="false">DT$20*DT$34</f>
        <v>0</v>
      </c>
      <c r="DU51" s="24" t="n">
        <f aca="false">DU$20*DU$34</f>
        <v>0</v>
      </c>
      <c r="DV51" s="24" t="n">
        <f aca="false">DV$20*DV$34</f>
        <v>0</v>
      </c>
      <c r="DW51" s="24" t="n">
        <f aca="false">DW$20*DW$34</f>
        <v>0</v>
      </c>
      <c r="DX51" s="24" t="n">
        <f aca="false">DX$20*DX$34</f>
        <v>0</v>
      </c>
      <c r="DY51" s="24" t="n">
        <f aca="false">DY$20*DY$34</f>
        <v>0</v>
      </c>
      <c r="DZ51" s="24" t="n">
        <f aca="false">DZ$20*DZ$34</f>
        <v>0</v>
      </c>
      <c r="EA51" s="24" t="n">
        <f aca="false">EA$20*EA$34</f>
        <v>0</v>
      </c>
      <c r="EB51" s="24" t="n">
        <f aca="false">EB$20*EB$34</f>
        <v>0</v>
      </c>
      <c r="EC51" s="24" t="n">
        <f aca="false">EC$20*EC$34</f>
        <v>0</v>
      </c>
      <c r="ED51" s="24" t="n">
        <f aca="false">ED$20*ED$34</f>
        <v>0</v>
      </c>
      <c r="EE51" s="24" t="n">
        <f aca="false">EE$20*EE$34</f>
        <v>0</v>
      </c>
      <c r="EF51" s="24" t="n">
        <f aca="false">EF$20*EF$34</f>
        <v>0</v>
      </c>
      <c r="EG51" s="24" t="n">
        <f aca="false">EG$20*EG$34</f>
        <v>0</v>
      </c>
      <c r="EH51" s="24" t="n">
        <f aca="false">EH$20*EH$34</f>
        <v>0</v>
      </c>
      <c r="EI51" s="24" t="n">
        <f aca="false">EI$20*EI$34</f>
        <v>0</v>
      </c>
      <c r="EJ51" s="24" t="n">
        <f aca="false">EJ$20*EJ$34</f>
        <v>0</v>
      </c>
      <c r="EK51" s="24" t="n">
        <f aca="false">EK$20*EK$34</f>
        <v>0</v>
      </c>
      <c r="EL51" s="24" t="n">
        <f aca="false">EL$20*EL$34</f>
        <v>0</v>
      </c>
      <c r="EM51" s="24" t="n">
        <f aca="false">EM$20*EM$34</f>
        <v>358.5</v>
      </c>
      <c r="EN51" s="24" t="n">
        <f aca="false">EN$20*EN$34</f>
        <v>0</v>
      </c>
      <c r="EO51" s="24" t="n">
        <f aca="false">EO$20*EO$34</f>
        <v>0</v>
      </c>
      <c r="EP51" s="24" t="n">
        <f aca="false">EP$20*EP$34</f>
        <v>0</v>
      </c>
      <c r="EQ51" s="24" t="n">
        <f aca="false">EQ$20*EQ$34</f>
        <v>0</v>
      </c>
      <c r="ER51" s="24" t="n">
        <f aca="false">ER$20*ER$34</f>
        <v>0</v>
      </c>
      <c r="ES51" s="24" t="n">
        <f aca="false">ES$20*ES$34</f>
        <v>0</v>
      </c>
      <c r="ET51" s="24" t="n">
        <f aca="false">ET$20*ET$34</f>
        <v>0</v>
      </c>
      <c r="EU51" s="24" t="n">
        <f aca="false">EU$20*EU$34</f>
        <v>0</v>
      </c>
    </row>
    <row r="52" customFormat="false" ht="15" hidden="false" customHeight="false" outlineLevel="0" collapsed="false">
      <c r="A52" s="4" t="s">
        <v>986</v>
      </c>
      <c r="B52" s="75" t="s">
        <v>985</v>
      </c>
      <c r="C52" s="76" t="n">
        <f aca="false">Planner!$E$16*Planner!$C$46</f>
        <v>757.5</v>
      </c>
      <c r="D52" s="77" t="n">
        <v>920.6429755415</v>
      </c>
      <c r="E52" s="75" t="str">
        <f aca="false">IF(D52&gt;=C52-0.000001*MAX(1,ABS(C52)),IF(ABS(D52-C52)&lt;=0.000001*MAX(1,ABS(C52)),"tight","ok"),"VIOLATED")</f>
        <v>ok</v>
      </c>
      <c r="F52" s="24" t="n">
        <f aca="false">F$20*F$35</f>
        <v>60</v>
      </c>
      <c r="G52" s="24" t="n">
        <f aca="false">G$20*G$35</f>
        <v>80.5</v>
      </c>
      <c r="H52" s="24" t="n">
        <f aca="false">H$20*H$35</f>
        <v>60.5</v>
      </c>
      <c r="I52" s="24" t="n">
        <f aca="false">I$20*I$35</f>
        <v>100</v>
      </c>
      <c r="J52" s="24" t="n">
        <f aca="false">J$20*J$35</f>
        <v>75</v>
      </c>
      <c r="K52" s="24" t="n">
        <f aca="false">K$20*K$35</f>
        <v>107.5</v>
      </c>
      <c r="L52" s="24" t="n">
        <f aca="false">L$20*L$35</f>
        <v>0</v>
      </c>
      <c r="M52" s="24" t="n">
        <f aca="false">M$20*M$35</f>
        <v>0</v>
      </c>
      <c r="N52" s="24" t="n">
        <f aca="false">N$20*N$35</f>
        <v>127</v>
      </c>
      <c r="O52" s="24" t="n">
        <f aca="false">O$20*O$35</f>
        <v>76</v>
      </c>
      <c r="P52" s="24" t="n">
        <f aca="false">P$20*P$35</f>
        <v>163</v>
      </c>
      <c r="Q52" s="24" t="n">
        <f aca="false">Q$20*Q$35</f>
        <v>100.5</v>
      </c>
      <c r="R52" s="24" t="n">
        <f aca="false">R$20*R$35</f>
        <v>0</v>
      </c>
      <c r="S52" s="24" t="n">
        <f aca="false">S$20*S$35</f>
        <v>0</v>
      </c>
      <c r="T52" s="24" t="n">
        <f aca="false">T$20*T$35</f>
        <v>86</v>
      </c>
      <c r="U52" s="24" t="n">
        <f aca="false">U$20*U$35</f>
        <v>0</v>
      </c>
      <c r="V52" s="24" t="n">
        <f aca="false">V$20*V$35</f>
        <v>0</v>
      </c>
      <c r="W52" s="24" t="n">
        <f aca="false">W$20*W$35</f>
        <v>48</v>
      </c>
      <c r="X52" s="24" t="n">
        <f aca="false">X$20*X$35</f>
        <v>0</v>
      </c>
      <c r="Y52" s="24" t="n">
        <f aca="false">Y$20*Y$35</f>
        <v>45.5</v>
      </c>
      <c r="Z52" s="24" t="n">
        <f aca="false">Z$20*Z$35</f>
        <v>170.5</v>
      </c>
      <c r="AA52" s="24" t="n">
        <f aca="false">AA$20*AA$35</f>
        <v>38.5</v>
      </c>
      <c r="AB52" s="24" t="n">
        <f aca="false">AB$20*AB$35</f>
        <v>168</v>
      </c>
      <c r="AC52" s="24" t="n">
        <f aca="false">AC$20*AC$35</f>
        <v>44</v>
      </c>
      <c r="AD52" s="24" t="n">
        <f aca="false">AD$20*AD$35</f>
        <v>57</v>
      </c>
      <c r="AE52" s="24" t="n">
        <f aca="false">AE$20*AE$35</f>
        <v>169.5</v>
      </c>
      <c r="AF52" s="24" t="n">
        <f aca="false">AF$20*AF$35</f>
        <v>40.5</v>
      </c>
      <c r="AG52" s="24" t="n">
        <f aca="false">AG$20*AG$35</f>
        <v>166.5</v>
      </c>
      <c r="AH52" s="24" t="n">
        <f aca="false">AH$20*AH$35</f>
        <v>176</v>
      </c>
      <c r="AI52" s="24" t="n">
        <f aca="false">AI$20*AI$35</f>
        <v>169</v>
      </c>
      <c r="AJ52" s="24" t="n">
        <f aca="false">AJ$20*AJ$35</f>
        <v>56.5</v>
      </c>
      <c r="AK52" s="24" t="n">
        <f aca="false">AK$20*AK$35</f>
        <v>168.5</v>
      </c>
      <c r="AL52" s="24" t="n">
        <f aca="false">AL$20*AL$35</f>
        <v>0</v>
      </c>
      <c r="AM52" s="24" t="n">
        <f aca="false">AM$20*AM$35</f>
        <v>41</v>
      </c>
      <c r="AN52" s="24" t="n">
        <f aca="false">AN$20*AN$35</f>
        <v>173.5</v>
      </c>
      <c r="AO52" s="24" t="n">
        <f aca="false">AO$20*AO$35</f>
        <v>49</v>
      </c>
      <c r="AP52" s="24" t="n">
        <f aca="false">AP$20*AP$35</f>
        <v>0</v>
      </c>
      <c r="AQ52" s="24" t="n">
        <f aca="false">AQ$20*AQ$35</f>
        <v>0</v>
      </c>
      <c r="AR52" s="24" t="n">
        <f aca="false">AR$20*AR$35</f>
        <v>0</v>
      </c>
      <c r="AS52" s="24" t="n">
        <f aca="false">AS$20*AS$35</f>
        <v>0</v>
      </c>
      <c r="AT52" s="24" t="n">
        <f aca="false">AT$20*AT$35</f>
        <v>366</v>
      </c>
      <c r="AU52" s="24" t="n">
        <f aca="false">AU$20*AU$35</f>
        <v>202</v>
      </c>
      <c r="AV52" s="24" t="n">
        <f aca="false">AV$20*AV$35</f>
        <v>40.5</v>
      </c>
      <c r="AW52" s="24" t="n">
        <f aca="false">AW$20*AW$35</f>
        <v>0</v>
      </c>
      <c r="AX52" s="24" t="n">
        <f aca="false">AX$20*AX$35</f>
        <v>0</v>
      </c>
      <c r="AY52" s="24" t="n">
        <f aca="false">AY$20*AY$35</f>
        <v>183.5</v>
      </c>
      <c r="AZ52" s="24" t="n">
        <f aca="false">AZ$20*AZ$35</f>
        <v>0</v>
      </c>
      <c r="BA52" s="24" t="n">
        <f aca="false">BA$20*BA$35</f>
        <v>109</v>
      </c>
      <c r="BB52" s="24" t="n">
        <f aca="false">BB$20*BB$35</f>
        <v>148.5</v>
      </c>
      <c r="BC52" s="24" t="n">
        <f aca="false">BC$20*BC$35</f>
        <v>184</v>
      </c>
      <c r="BD52" s="24" t="n">
        <f aca="false">BD$20*BD$35</f>
        <v>0</v>
      </c>
      <c r="BE52" s="24" t="n">
        <f aca="false">BE$20*BE$35</f>
        <v>185.5</v>
      </c>
      <c r="BF52" s="24" t="n">
        <f aca="false">BF$20*BF$35</f>
        <v>133</v>
      </c>
      <c r="BG52" s="24" t="n">
        <f aca="false">BG$20*BG$35</f>
        <v>182.5</v>
      </c>
      <c r="BH52" s="24" t="n">
        <f aca="false">BH$20*BH$35</f>
        <v>126</v>
      </c>
      <c r="BI52" s="24" t="n">
        <f aca="false">BI$20*BI$35</f>
        <v>176</v>
      </c>
      <c r="BJ52" s="24" t="n">
        <f aca="false">BJ$20*BJ$35</f>
        <v>66</v>
      </c>
      <c r="BK52" s="24" t="n">
        <f aca="false">BK$20*BK$35</f>
        <v>30.5</v>
      </c>
      <c r="BL52" s="24" t="n">
        <f aca="false">BL$20*BL$35</f>
        <v>44</v>
      </c>
      <c r="BM52" s="24" t="n">
        <f aca="false">BM$20*BM$35</f>
        <v>75</v>
      </c>
      <c r="BN52" s="24" t="n">
        <f aca="false">BN$20*BN$35</f>
        <v>29</v>
      </c>
      <c r="BO52" s="24" t="n">
        <f aca="false">BO$20*BO$35</f>
        <v>38.5</v>
      </c>
      <c r="BP52" s="24" t="n">
        <f aca="false">BP$20*BP$35</f>
        <v>38.5</v>
      </c>
      <c r="BQ52" s="24" t="n">
        <f aca="false">BQ$20*BQ$35</f>
        <v>43</v>
      </c>
      <c r="BR52" s="24" t="n">
        <f aca="false">BR$20*BR$35</f>
        <v>26</v>
      </c>
      <c r="BS52" s="24" t="n">
        <f aca="false">BS$20*BS$35</f>
        <v>0</v>
      </c>
      <c r="BT52" s="24" t="n">
        <f aca="false">BT$20*BT$35</f>
        <v>0</v>
      </c>
      <c r="BU52" s="24" t="n">
        <f aca="false">BU$20*BU$35</f>
        <v>0</v>
      </c>
      <c r="BV52" s="24" t="n">
        <f aca="false">BV$20*BV$35</f>
        <v>0</v>
      </c>
      <c r="BW52" s="24" t="n">
        <f aca="false">BW$20*BW$35</f>
        <v>0</v>
      </c>
      <c r="BX52" s="24" t="n">
        <f aca="false">BX$20*BX$35</f>
        <v>0</v>
      </c>
      <c r="BY52" s="24" t="n">
        <f aca="false">BY$20*BY$35</f>
        <v>0</v>
      </c>
      <c r="BZ52" s="24" t="n">
        <f aca="false">BZ$20*BZ$35</f>
        <v>0</v>
      </c>
      <c r="CA52" s="24" t="n">
        <f aca="false">CA$20*CA$35</f>
        <v>0</v>
      </c>
      <c r="CB52" s="24" t="n">
        <f aca="false">CB$20*CB$35</f>
        <v>0</v>
      </c>
      <c r="CC52" s="24" t="n">
        <f aca="false">CC$20*CC$35</f>
        <v>0</v>
      </c>
      <c r="CD52" s="24" t="n">
        <f aca="false">CD$20*CD$35</f>
        <v>0</v>
      </c>
      <c r="CE52" s="24" t="n">
        <f aca="false">CE$20*CE$35</f>
        <v>0</v>
      </c>
      <c r="CF52" s="24" t="n">
        <f aca="false">CF$20*CF$35</f>
        <v>0</v>
      </c>
      <c r="CG52" s="24" t="n">
        <f aca="false">CG$20*CG$35</f>
        <v>0</v>
      </c>
      <c r="CH52" s="24" t="n">
        <f aca="false">CH$20*CH$35</f>
        <v>0</v>
      </c>
      <c r="CI52" s="24" t="n">
        <f aca="false">CI$20*CI$35</f>
        <v>0</v>
      </c>
      <c r="CJ52" s="24" t="n">
        <f aca="false">CJ$20*CJ$35</f>
        <v>0</v>
      </c>
      <c r="CK52" s="24" t="n">
        <f aca="false">CK$20*CK$35</f>
        <v>24.5</v>
      </c>
      <c r="CL52" s="24" t="n">
        <f aca="false">CL$20*CL$35</f>
        <v>0</v>
      </c>
      <c r="CM52" s="24" t="n">
        <f aca="false">CM$20*CM$35</f>
        <v>0</v>
      </c>
      <c r="CN52" s="24" t="n">
        <f aca="false">CN$20*CN$35</f>
        <v>0</v>
      </c>
      <c r="CO52" s="24" t="n">
        <f aca="false">CO$20*CO$35</f>
        <v>28.5</v>
      </c>
      <c r="CP52" s="24" t="n">
        <f aca="false">CP$20*CP$35</f>
        <v>0</v>
      </c>
      <c r="CQ52" s="24" t="n">
        <f aca="false">CQ$20*CQ$35</f>
        <v>0</v>
      </c>
      <c r="CR52" s="24" t="n">
        <f aca="false">CR$20*CR$35</f>
        <v>0</v>
      </c>
      <c r="CS52" s="24" t="n">
        <f aca="false">CS$20*CS$35</f>
        <v>0</v>
      </c>
      <c r="CT52" s="24" t="n">
        <f aca="false">CT$20*CT$35</f>
        <v>0</v>
      </c>
      <c r="CU52" s="24" t="n">
        <f aca="false">CU$20*CU$35</f>
        <v>0</v>
      </c>
      <c r="CV52" s="24" t="n">
        <f aca="false">CV$20*CV$35</f>
        <v>0</v>
      </c>
      <c r="CW52" s="24" t="n">
        <f aca="false">CW$20*CW$35</f>
        <v>0</v>
      </c>
      <c r="CX52" s="24" t="n">
        <f aca="false">CX$20*CX$35</f>
        <v>0</v>
      </c>
      <c r="CY52" s="24" t="n">
        <f aca="false">CY$20*CY$35</f>
        <v>0</v>
      </c>
      <c r="CZ52" s="24" t="n">
        <f aca="false">CZ$20*CZ$35</f>
        <v>20</v>
      </c>
      <c r="DA52" s="24" t="n">
        <f aca="false">DA$20*DA$35</f>
        <v>10</v>
      </c>
      <c r="DB52" s="24" t="n">
        <f aca="false">DB$20*DB$35</f>
        <v>17.5</v>
      </c>
      <c r="DC52" s="24" t="n">
        <f aca="false">DC$20*DC$35</f>
        <v>15</v>
      </c>
      <c r="DD52" s="24" t="n">
        <f aca="false">DD$20*DD$35</f>
        <v>14.5</v>
      </c>
      <c r="DE52" s="24" t="n">
        <f aca="false">DE$20*DE$35</f>
        <v>20.5</v>
      </c>
      <c r="DF52" s="24" t="n">
        <f aca="false">DF$20*DF$35</f>
        <v>22.5</v>
      </c>
      <c r="DG52" s="24" t="n">
        <f aca="false">DG$20*DG$35</f>
        <v>12.5</v>
      </c>
      <c r="DH52" s="24" t="n">
        <f aca="false">DH$20*DH$35</f>
        <v>15.5</v>
      </c>
      <c r="DI52" s="24" t="n">
        <f aca="false">DI$20*DI$35</f>
        <v>20.5</v>
      </c>
      <c r="DJ52" s="24" t="n">
        <f aca="false">DJ$20*DJ$35</f>
        <v>11.5</v>
      </c>
      <c r="DK52" s="24" t="n">
        <f aca="false">DK$20*DK$35</f>
        <v>18</v>
      </c>
      <c r="DL52" s="24" t="n">
        <f aca="false">DL$20*DL$35</f>
        <v>12</v>
      </c>
      <c r="DM52" s="24" t="n">
        <f aca="false">DM$20*DM$35</f>
        <v>8</v>
      </c>
      <c r="DN52" s="24" t="n">
        <f aca="false">DN$20*DN$35</f>
        <v>16</v>
      </c>
      <c r="DO52" s="24" t="n">
        <f aca="false">DO$20*DO$35</f>
        <v>16.5</v>
      </c>
      <c r="DP52" s="24" t="n">
        <f aca="false">DP$20*DP$35</f>
        <v>7.5</v>
      </c>
      <c r="DQ52" s="24" t="n">
        <f aca="false">DQ$20*DQ$35</f>
        <v>7.5</v>
      </c>
      <c r="DR52" s="24" t="n">
        <f aca="false">DR$20*DR$35</f>
        <v>19.5</v>
      </c>
      <c r="DS52" s="24" t="n">
        <f aca="false">DS$20*DS$35</f>
        <v>10</v>
      </c>
      <c r="DT52" s="24" t="n">
        <f aca="false">DT$20*DT$35</f>
        <v>7</v>
      </c>
      <c r="DU52" s="24" t="n">
        <f aca="false">DU$20*DU$35</f>
        <v>14</v>
      </c>
      <c r="DV52" s="24" t="n">
        <f aca="false">DV$20*DV$35</f>
        <v>36</v>
      </c>
      <c r="DW52" s="24" t="n">
        <f aca="false">DW$20*DW$35</f>
        <v>11</v>
      </c>
      <c r="DX52" s="24" t="n">
        <f aca="false">DX$20*DX$35</f>
        <v>10</v>
      </c>
      <c r="DY52" s="24" t="n">
        <f aca="false">DY$20*DY$35</f>
        <v>15</v>
      </c>
      <c r="DZ52" s="24" t="n">
        <f aca="false">DZ$20*DZ$35</f>
        <v>20</v>
      </c>
      <c r="EA52" s="24" t="n">
        <f aca="false">EA$20*EA$35</f>
        <v>17</v>
      </c>
      <c r="EB52" s="24" t="n">
        <f aca="false">EB$20*EB$35</f>
        <v>8</v>
      </c>
      <c r="EC52" s="24" t="n">
        <f aca="false">EC$20*EC$35</f>
        <v>15.5</v>
      </c>
      <c r="ED52" s="24" t="n">
        <f aca="false">ED$20*ED$35</f>
        <v>8.5</v>
      </c>
      <c r="EE52" s="24" t="n">
        <f aca="false">EE$20*EE$35</f>
        <v>9.5</v>
      </c>
      <c r="EF52" s="24" t="n">
        <f aca="false">EF$20*EF$35</f>
        <v>9.5</v>
      </c>
      <c r="EG52" s="24" t="n">
        <f aca="false">EG$20*EG$35</f>
        <v>11.5</v>
      </c>
      <c r="EH52" s="24" t="n">
        <f aca="false">EH$20*EH$35</f>
        <v>14.5</v>
      </c>
      <c r="EI52" s="24" t="n">
        <f aca="false">EI$20*EI$35</f>
        <v>8</v>
      </c>
      <c r="EJ52" s="24" t="n">
        <f aca="false">EJ$20*EJ$35</f>
        <v>9</v>
      </c>
      <c r="EK52" s="24" t="n">
        <f aca="false">EK$20*EK$35</f>
        <v>11</v>
      </c>
      <c r="EL52" s="24" t="n">
        <f aca="false">EL$20*EL$35</f>
        <v>8.5</v>
      </c>
      <c r="EM52" s="24" t="n">
        <f aca="false">EM$20*EM$35</f>
        <v>0</v>
      </c>
      <c r="EN52" s="24" t="n">
        <f aca="false">EN$20*EN$35</f>
        <v>442</v>
      </c>
      <c r="EO52" s="24" t="n">
        <f aca="false">EO$20*EO$35</f>
        <v>442</v>
      </c>
      <c r="EP52" s="24" t="n">
        <f aca="false">EP$20*EP$35</f>
        <v>0</v>
      </c>
      <c r="EQ52" s="24" t="n">
        <f aca="false">EQ$20*EQ$35</f>
        <v>83.5</v>
      </c>
      <c r="ER52" s="24" t="n">
        <f aca="false">ER$20*ER$35</f>
        <v>0</v>
      </c>
      <c r="ES52" s="24" t="n">
        <f aca="false">ES$20*ES$35</f>
        <v>0</v>
      </c>
      <c r="ET52" s="24" t="n">
        <f aca="false">ET$20*ET$35</f>
        <v>0</v>
      </c>
      <c r="EU52" s="24" t="n">
        <f aca="false">EU$20*EU$35</f>
        <v>0</v>
      </c>
    </row>
    <row r="53" customFormat="false" ht="15" hidden="false" customHeight="false" outlineLevel="0" collapsed="false">
      <c r="A53" s="4" t="s">
        <v>987</v>
      </c>
      <c r="B53" s="75" t="s">
        <v>985</v>
      </c>
      <c r="C53" s="76" t="n">
        <f aca="false">Planner!$E$16*Planner!$C$47</f>
        <v>757.5</v>
      </c>
      <c r="D53" s="77" t="n">
        <v>920.6429755415</v>
      </c>
      <c r="E53" s="75" t="str">
        <f aca="false">IF(D53&gt;=C53-0.000001*MAX(1,ABS(C53)),IF(ABS(D53-C53)&lt;=0.000001*MAX(1,ABS(C53)),"tight","ok"),"VIOLATED")</f>
        <v>ok</v>
      </c>
      <c r="F53" s="24" t="n">
        <f aca="false">F$20*F$36</f>
        <v>60</v>
      </c>
      <c r="G53" s="24" t="n">
        <f aca="false">G$20*G$36</f>
        <v>80.5</v>
      </c>
      <c r="H53" s="24" t="n">
        <f aca="false">H$20*H$36</f>
        <v>60.5</v>
      </c>
      <c r="I53" s="24" t="n">
        <f aca="false">I$20*I$36</f>
        <v>0</v>
      </c>
      <c r="J53" s="24" t="n">
        <f aca="false">J$20*J$36</f>
        <v>75</v>
      </c>
      <c r="K53" s="24" t="n">
        <f aca="false">K$20*K$36</f>
        <v>107.5</v>
      </c>
      <c r="L53" s="24" t="n">
        <f aca="false">L$20*L$36</f>
        <v>0</v>
      </c>
      <c r="M53" s="24" t="n">
        <f aca="false">M$20*M$36</f>
        <v>128</v>
      </c>
      <c r="N53" s="24" t="n">
        <f aca="false">N$20*N$36</f>
        <v>127</v>
      </c>
      <c r="O53" s="24" t="n">
        <f aca="false">O$20*O$36</f>
        <v>76</v>
      </c>
      <c r="P53" s="24" t="n">
        <f aca="false">P$20*P$36</f>
        <v>0</v>
      </c>
      <c r="Q53" s="24" t="n">
        <f aca="false">Q$20*Q$36</f>
        <v>100.5</v>
      </c>
      <c r="R53" s="24" t="n">
        <f aca="false">R$20*R$36</f>
        <v>168</v>
      </c>
      <c r="S53" s="24" t="n">
        <f aca="false">S$20*S$36</f>
        <v>214</v>
      </c>
      <c r="T53" s="24" t="n">
        <f aca="false">T$20*T$36</f>
        <v>0</v>
      </c>
      <c r="U53" s="24" t="n">
        <f aca="false">U$20*U$36</f>
        <v>208</v>
      </c>
      <c r="V53" s="24" t="n">
        <f aca="false">V$20*V$36</f>
        <v>71</v>
      </c>
      <c r="W53" s="24" t="n">
        <f aca="false">W$20*W$36</f>
        <v>48</v>
      </c>
      <c r="X53" s="24" t="n">
        <f aca="false">X$20*X$36</f>
        <v>0</v>
      </c>
      <c r="Y53" s="24" t="n">
        <f aca="false">Y$20*Y$36</f>
        <v>45.5</v>
      </c>
      <c r="Z53" s="24" t="n">
        <f aca="false">Z$20*Z$36</f>
        <v>170.5</v>
      </c>
      <c r="AA53" s="24" t="n">
        <f aca="false">AA$20*AA$36</f>
        <v>38.5</v>
      </c>
      <c r="AB53" s="24" t="n">
        <f aca="false">AB$20*AB$36</f>
        <v>168</v>
      </c>
      <c r="AC53" s="24" t="n">
        <f aca="false">AC$20*AC$36</f>
        <v>44</v>
      </c>
      <c r="AD53" s="24" t="n">
        <f aca="false">AD$20*AD$36</f>
        <v>57</v>
      </c>
      <c r="AE53" s="24" t="n">
        <f aca="false">AE$20*AE$36</f>
        <v>169.5</v>
      </c>
      <c r="AF53" s="24" t="n">
        <f aca="false">AF$20*AF$36</f>
        <v>40.5</v>
      </c>
      <c r="AG53" s="24" t="n">
        <f aca="false">AG$20*AG$36</f>
        <v>166.5</v>
      </c>
      <c r="AH53" s="24" t="n">
        <f aca="false">AH$20*AH$36</f>
        <v>176</v>
      </c>
      <c r="AI53" s="24" t="n">
        <f aca="false">AI$20*AI$36</f>
        <v>169</v>
      </c>
      <c r="AJ53" s="24" t="n">
        <f aca="false">AJ$20*AJ$36</f>
        <v>56.5</v>
      </c>
      <c r="AK53" s="24" t="n">
        <f aca="false">AK$20*AK$36</f>
        <v>168.5</v>
      </c>
      <c r="AL53" s="24" t="n">
        <f aca="false">AL$20*AL$36</f>
        <v>0</v>
      </c>
      <c r="AM53" s="24" t="n">
        <f aca="false">AM$20*AM$36</f>
        <v>41</v>
      </c>
      <c r="AN53" s="24" t="n">
        <f aca="false">AN$20*AN$36</f>
        <v>173.5</v>
      </c>
      <c r="AO53" s="24" t="n">
        <f aca="false">AO$20*AO$36</f>
        <v>49</v>
      </c>
      <c r="AP53" s="24" t="n">
        <f aca="false">AP$20*AP$36</f>
        <v>0</v>
      </c>
      <c r="AQ53" s="24" t="n">
        <f aca="false">AQ$20*AQ$36</f>
        <v>0</v>
      </c>
      <c r="AR53" s="24" t="n">
        <f aca="false">AR$20*AR$36</f>
        <v>0</v>
      </c>
      <c r="AS53" s="24" t="n">
        <f aca="false">AS$20*AS$36</f>
        <v>0</v>
      </c>
      <c r="AT53" s="24" t="n">
        <f aca="false">AT$20*AT$36</f>
        <v>0</v>
      </c>
      <c r="AU53" s="24" t="n">
        <f aca="false">AU$20*AU$36</f>
        <v>202</v>
      </c>
      <c r="AV53" s="24" t="n">
        <f aca="false">AV$20*AV$36</f>
        <v>0</v>
      </c>
      <c r="AW53" s="24" t="n">
        <f aca="false">AW$20*AW$36</f>
        <v>0</v>
      </c>
      <c r="AX53" s="24" t="n">
        <f aca="false">AX$20*AX$36</f>
        <v>0</v>
      </c>
      <c r="AY53" s="24" t="n">
        <f aca="false">AY$20*AY$36</f>
        <v>183.5</v>
      </c>
      <c r="AZ53" s="24" t="n">
        <f aca="false">AZ$20*AZ$36</f>
        <v>0</v>
      </c>
      <c r="BA53" s="24" t="n">
        <f aca="false">BA$20*BA$36</f>
        <v>109</v>
      </c>
      <c r="BB53" s="24" t="n">
        <f aca="false">BB$20*BB$36</f>
        <v>148.5</v>
      </c>
      <c r="BC53" s="24" t="n">
        <f aca="false">BC$20*BC$36</f>
        <v>184</v>
      </c>
      <c r="BD53" s="24" t="n">
        <f aca="false">BD$20*BD$36</f>
        <v>0</v>
      </c>
      <c r="BE53" s="24" t="n">
        <f aca="false">BE$20*BE$36</f>
        <v>185.5</v>
      </c>
      <c r="BF53" s="24" t="n">
        <f aca="false">BF$20*BF$36</f>
        <v>0</v>
      </c>
      <c r="BG53" s="24" t="n">
        <f aca="false">BG$20*BG$36</f>
        <v>182.5</v>
      </c>
      <c r="BH53" s="24" t="n">
        <f aca="false">BH$20*BH$36</f>
        <v>0</v>
      </c>
      <c r="BI53" s="24" t="n">
        <f aca="false">BI$20*BI$36</f>
        <v>176</v>
      </c>
      <c r="BJ53" s="24" t="n">
        <f aca="false">BJ$20*BJ$36</f>
        <v>66</v>
      </c>
      <c r="BK53" s="24" t="n">
        <f aca="false">BK$20*BK$36</f>
        <v>30.5</v>
      </c>
      <c r="BL53" s="24" t="n">
        <f aca="false">BL$20*BL$36</f>
        <v>44</v>
      </c>
      <c r="BM53" s="24" t="n">
        <f aca="false">BM$20*BM$36</f>
        <v>75</v>
      </c>
      <c r="BN53" s="24" t="n">
        <f aca="false">BN$20*BN$36</f>
        <v>29</v>
      </c>
      <c r="BO53" s="24" t="n">
        <f aca="false">BO$20*BO$36</f>
        <v>38.5</v>
      </c>
      <c r="BP53" s="24" t="n">
        <f aca="false">BP$20*BP$36</f>
        <v>38.5</v>
      </c>
      <c r="BQ53" s="24" t="n">
        <f aca="false">BQ$20*BQ$36</f>
        <v>43</v>
      </c>
      <c r="BR53" s="24" t="n">
        <f aca="false">BR$20*BR$36</f>
        <v>0</v>
      </c>
      <c r="BS53" s="24" t="n">
        <f aca="false">BS$20*BS$36</f>
        <v>0</v>
      </c>
      <c r="BT53" s="24" t="n">
        <f aca="false">BT$20*BT$36</f>
        <v>0</v>
      </c>
      <c r="BU53" s="24" t="n">
        <f aca="false">BU$20*BU$36</f>
        <v>0</v>
      </c>
      <c r="BV53" s="24" t="n">
        <f aca="false">BV$20*BV$36</f>
        <v>0</v>
      </c>
      <c r="BW53" s="24" t="n">
        <f aca="false">BW$20*BW$36</f>
        <v>0</v>
      </c>
      <c r="BX53" s="24" t="n">
        <f aca="false">BX$20*BX$36</f>
        <v>0</v>
      </c>
      <c r="BY53" s="24" t="n">
        <f aca="false">BY$20*BY$36</f>
        <v>0</v>
      </c>
      <c r="BZ53" s="24" t="n">
        <f aca="false">BZ$20*BZ$36</f>
        <v>0</v>
      </c>
      <c r="CA53" s="24" t="n">
        <f aca="false">CA$20*CA$36</f>
        <v>0</v>
      </c>
      <c r="CB53" s="24" t="n">
        <f aca="false">CB$20*CB$36</f>
        <v>0</v>
      </c>
      <c r="CC53" s="24" t="n">
        <f aca="false">CC$20*CC$36</f>
        <v>0</v>
      </c>
      <c r="CD53" s="24" t="n">
        <f aca="false">CD$20*CD$36</f>
        <v>0</v>
      </c>
      <c r="CE53" s="24" t="n">
        <f aca="false">CE$20*CE$36</f>
        <v>0</v>
      </c>
      <c r="CF53" s="24" t="n">
        <f aca="false">CF$20*CF$36</f>
        <v>0</v>
      </c>
      <c r="CG53" s="24" t="n">
        <f aca="false">CG$20*CG$36</f>
        <v>0</v>
      </c>
      <c r="CH53" s="24" t="n">
        <f aca="false">CH$20*CH$36</f>
        <v>0</v>
      </c>
      <c r="CI53" s="24" t="n">
        <f aca="false">CI$20*CI$36</f>
        <v>0</v>
      </c>
      <c r="CJ53" s="24" t="n">
        <f aca="false">CJ$20*CJ$36</f>
        <v>0</v>
      </c>
      <c r="CK53" s="24" t="n">
        <f aca="false">CK$20*CK$36</f>
        <v>0</v>
      </c>
      <c r="CL53" s="24" t="n">
        <f aca="false">CL$20*CL$36</f>
        <v>0</v>
      </c>
      <c r="CM53" s="24" t="n">
        <f aca="false">CM$20*CM$36</f>
        <v>0</v>
      </c>
      <c r="CN53" s="24" t="n">
        <f aca="false">CN$20*CN$36</f>
        <v>0</v>
      </c>
      <c r="CO53" s="24" t="n">
        <f aca="false">CO$20*CO$36</f>
        <v>0</v>
      </c>
      <c r="CP53" s="24" t="n">
        <f aca="false">CP$20*CP$36</f>
        <v>0</v>
      </c>
      <c r="CQ53" s="24" t="n">
        <f aca="false">CQ$20*CQ$36</f>
        <v>0</v>
      </c>
      <c r="CR53" s="24" t="n">
        <f aca="false">CR$20*CR$36</f>
        <v>0</v>
      </c>
      <c r="CS53" s="24" t="n">
        <f aca="false">CS$20*CS$36</f>
        <v>0</v>
      </c>
      <c r="CT53" s="24" t="n">
        <f aca="false">CT$20*CT$36</f>
        <v>0</v>
      </c>
      <c r="CU53" s="24" t="n">
        <f aca="false">CU$20*CU$36</f>
        <v>0</v>
      </c>
      <c r="CV53" s="24" t="n">
        <f aca="false">CV$20*CV$36</f>
        <v>0</v>
      </c>
      <c r="CW53" s="24" t="n">
        <f aca="false">CW$20*CW$36</f>
        <v>0</v>
      </c>
      <c r="CX53" s="24" t="n">
        <f aca="false">CX$20*CX$36</f>
        <v>0</v>
      </c>
      <c r="CY53" s="24" t="n">
        <f aca="false">CY$20*CY$36</f>
        <v>0</v>
      </c>
      <c r="CZ53" s="24" t="n">
        <f aca="false">CZ$20*CZ$36</f>
        <v>20</v>
      </c>
      <c r="DA53" s="24" t="n">
        <f aca="false">DA$20*DA$36</f>
        <v>10</v>
      </c>
      <c r="DB53" s="24" t="n">
        <f aca="false">DB$20*DB$36</f>
        <v>0</v>
      </c>
      <c r="DC53" s="24" t="n">
        <f aca="false">DC$20*DC$36</f>
        <v>15</v>
      </c>
      <c r="DD53" s="24" t="n">
        <f aca="false">DD$20*DD$36</f>
        <v>14.5</v>
      </c>
      <c r="DE53" s="24" t="n">
        <f aca="false">DE$20*DE$36</f>
        <v>20.5</v>
      </c>
      <c r="DF53" s="24" t="n">
        <f aca="false">DF$20*DF$36</f>
        <v>22.5</v>
      </c>
      <c r="DG53" s="24" t="n">
        <f aca="false">DG$20*DG$36</f>
        <v>12.5</v>
      </c>
      <c r="DH53" s="24" t="n">
        <f aca="false">DH$20*DH$36</f>
        <v>15.5</v>
      </c>
      <c r="DI53" s="24" t="n">
        <f aca="false">DI$20*DI$36</f>
        <v>0</v>
      </c>
      <c r="DJ53" s="24" t="n">
        <f aca="false">DJ$20*DJ$36</f>
        <v>11.5</v>
      </c>
      <c r="DK53" s="24" t="n">
        <f aca="false">DK$20*DK$36</f>
        <v>18</v>
      </c>
      <c r="DL53" s="24" t="n">
        <f aca="false">DL$20*DL$36</f>
        <v>12</v>
      </c>
      <c r="DM53" s="24" t="n">
        <f aca="false">DM$20*DM$36</f>
        <v>0</v>
      </c>
      <c r="DN53" s="24" t="n">
        <f aca="false">DN$20*DN$36</f>
        <v>16</v>
      </c>
      <c r="DO53" s="24" t="n">
        <f aca="false">DO$20*DO$36</f>
        <v>16.5</v>
      </c>
      <c r="DP53" s="24" t="n">
        <f aca="false">DP$20*DP$36</f>
        <v>7.5</v>
      </c>
      <c r="DQ53" s="24" t="n">
        <f aca="false">DQ$20*DQ$36</f>
        <v>7.5</v>
      </c>
      <c r="DR53" s="24" t="n">
        <f aca="false">DR$20*DR$36</f>
        <v>19.5</v>
      </c>
      <c r="DS53" s="24" t="n">
        <f aca="false">DS$20*DS$36</f>
        <v>10</v>
      </c>
      <c r="DT53" s="24" t="n">
        <f aca="false">DT$20*DT$36</f>
        <v>7</v>
      </c>
      <c r="DU53" s="24" t="n">
        <f aca="false">DU$20*DU$36</f>
        <v>14</v>
      </c>
      <c r="DV53" s="24" t="n">
        <f aca="false">DV$20*DV$36</f>
        <v>36</v>
      </c>
      <c r="DW53" s="24" t="n">
        <f aca="false">DW$20*DW$36</f>
        <v>11</v>
      </c>
      <c r="DX53" s="24" t="n">
        <f aca="false">DX$20*DX$36</f>
        <v>10</v>
      </c>
      <c r="DY53" s="24" t="n">
        <f aca="false">DY$20*DY$36</f>
        <v>15</v>
      </c>
      <c r="DZ53" s="24" t="n">
        <f aca="false">DZ$20*DZ$36</f>
        <v>20</v>
      </c>
      <c r="EA53" s="24" t="n">
        <f aca="false">EA$20*EA$36</f>
        <v>17</v>
      </c>
      <c r="EB53" s="24" t="n">
        <f aca="false">EB$20*EB$36</f>
        <v>8</v>
      </c>
      <c r="EC53" s="24" t="n">
        <f aca="false">EC$20*EC$36</f>
        <v>15.5</v>
      </c>
      <c r="ED53" s="24" t="n">
        <f aca="false">ED$20*ED$36</f>
        <v>8.5</v>
      </c>
      <c r="EE53" s="24" t="n">
        <f aca="false">EE$20*EE$36</f>
        <v>9.5</v>
      </c>
      <c r="EF53" s="24" t="n">
        <f aca="false">EF$20*EF$36</f>
        <v>9.5</v>
      </c>
      <c r="EG53" s="24" t="n">
        <f aca="false">EG$20*EG$36</f>
        <v>11.5</v>
      </c>
      <c r="EH53" s="24" t="n">
        <f aca="false">EH$20*EH$36</f>
        <v>14.5</v>
      </c>
      <c r="EI53" s="24" t="n">
        <f aca="false">EI$20*EI$36</f>
        <v>8</v>
      </c>
      <c r="EJ53" s="24" t="n">
        <f aca="false">EJ$20*EJ$36</f>
        <v>9</v>
      </c>
      <c r="EK53" s="24" t="n">
        <f aca="false">EK$20*EK$36</f>
        <v>11</v>
      </c>
      <c r="EL53" s="24" t="n">
        <f aca="false">EL$20*EL$36</f>
        <v>8.5</v>
      </c>
      <c r="EM53" s="24" t="n">
        <f aca="false">EM$20*EM$36</f>
        <v>358.5</v>
      </c>
      <c r="EN53" s="24" t="n">
        <f aca="false">EN$20*EN$36</f>
        <v>442</v>
      </c>
      <c r="EO53" s="24" t="n">
        <f aca="false">EO$20*EO$36</f>
        <v>442</v>
      </c>
      <c r="EP53" s="24" t="n">
        <f aca="false">EP$20*EP$36</f>
        <v>0</v>
      </c>
      <c r="EQ53" s="24" t="n">
        <f aca="false">EQ$20*EQ$36</f>
        <v>83.5</v>
      </c>
      <c r="ER53" s="24" t="n">
        <f aca="false">ER$20*ER$36</f>
        <v>0</v>
      </c>
      <c r="ES53" s="24" t="n">
        <f aca="false">ES$20*ES$36</f>
        <v>0</v>
      </c>
      <c r="ET53" s="24" t="n">
        <f aca="false">ET$20*ET$36</f>
        <v>0</v>
      </c>
      <c r="EU53" s="24" t="n">
        <f aca="false">EU$20*EU$36</f>
        <v>0</v>
      </c>
    </row>
    <row r="54" customFormat="false" ht="15" hidden="false" customHeight="false" outlineLevel="0" collapsed="false">
      <c r="A54" s="4" t="s">
        <v>988</v>
      </c>
      <c r="B54" s="75" t="s">
        <v>985</v>
      </c>
      <c r="C54" s="76" t="n">
        <f aca="false">Planner!$E$16*Planner!$C$48</f>
        <v>151.5</v>
      </c>
      <c r="D54" s="77" t="n">
        <v>411.3570244</v>
      </c>
      <c r="E54" s="75" t="str">
        <f aca="false">IF(D54&gt;=C54-0.000001*MAX(1,ABS(C54)),IF(ABS(D54-C54)&lt;=0.000001*MAX(1,ABS(C54)),"tight","ok"),"VIOLATED")</f>
        <v>ok</v>
      </c>
      <c r="F54" s="24" t="n">
        <f aca="false">F$20*F$37</f>
        <v>0</v>
      </c>
      <c r="G54" s="24" t="n">
        <f aca="false">G$20*G$37</f>
        <v>0</v>
      </c>
      <c r="H54" s="24" t="n">
        <f aca="false">H$20*H$37</f>
        <v>0</v>
      </c>
      <c r="I54" s="24" t="n">
        <f aca="false">I$20*I$37</f>
        <v>0</v>
      </c>
      <c r="J54" s="24" t="n">
        <f aca="false">J$20*J$37</f>
        <v>0</v>
      </c>
      <c r="K54" s="24" t="n">
        <f aca="false">K$20*K$37</f>
        <v>0</v>
      </c>
      <c r="L54" s="24" t="n">
        <f aca="false">L$20*L$37</f>
        <v>0</v>
      </c>
      <c r="M54" s="24" t="n">
        <f aca="false">M$20*M$37</f>
        <v>0</v>
      </c>
      <c r="N54" s="24" t="n">
        <f aca="false">N$20*N$37</f>
        <v>0</v>
      </c>
      <c r="O54" s="24" t="n">
        <f aca="false">O$20*O$37</f>
        <v>0</v>
      </c>
      <c r="P54" s="24" t="n">
        <f aca="false">P$20*P$37</f>
        <v>0</v>
      </c>
      <c r="Q54" s="24" t="n">
        <f aca="false">Q$20*Q$37</f>
        <v>0</v>
      </c>
      <c r="R54" s="24" t="n">
        <f aca="false">R$20*R$37</f>
        <v>0</v>
      </c>
      <c r="S54" s="24" t="n">
        <f aca="false">S$20*S$37</f>
        <v>0</v>
      </c>
      <c r="T54" s="24" t="n">
        <f aca="false">T$20*T$37</f>
        <v>0</v>
      </c>
      <c r="U54" s="24" t="n">
        <f aca="false">U$20*U$37</f>
        <v>0</v>
      </c>
      <c r="V54" s="24" t="n">
        <f aca="false">V$20*V$37</f>
        <v>0</v>
      </c>
      <c r="W54" s="24" t="n">
        <f aca="false">W$20*W$37</f>
        <v>0</v>
      </c>
      <c r="X54" s="24" t="n">
        <f aca="false">X$20*X$37</f>
        <v>0</v>
      </c>
      <c r="Y54" s="24" t="n">
        <f aca="false">Y$20*Y$37</f>
        <v>0</v>
      </c>
      <c r="Z54" s="24" t="n">
        <f aca="false">Z$20*Z$37</f>
        <v>0</v>
      </c>
      <c r="AA54" s="24" t="n">
        <f aca="false">AA$20*AA$37</f>
        <v>0</v>
      </c>
      <c r="AB54" s="24" t="n">
        <f aca="false">AB$20*AB$37</f>
        <v>0</v>
      </c>
      <c r="AC54" s="24" t="n">
        <f aca="false">AC$20*AC$37</f>
        <v>0</v>
      </c>
      <c r="AD54" s="24" t="n">
        <f aca="false">AD$20*AD$37</f>
        <v>0</v>
      </c>
      <c r="AE54" s="24" t="n">
        <f aca="false">AE$20*AE$37</f>
        <v>0</v>
      </c>
      <c r="AF54" s="24" t="n">
        <f aca="false">AF$20*AF$37</f>
        <v>0</v>
      </c>
      <c r="AG54" s="24" t="n">
        <f aca="false">AG$20*AG$37</f>
        <v>0</v>
      </c>
      <c r="AH54" s="24" t="n">
        <f aca="false">AH$20*AH$37</f>
        <v>0</v>
      </c>
      <c r="AI54" s="24" t="n">
        <f aca="false">AI$20*AI$37</f>
        <v>0</v>
      </c>
      <c r="AJ54" s="24" t="n">
        <f aca="false">AJ$20*AJ$37</f>
        <v>0</v>
      </c>
      <c r="AK54" s="24" t="n">
        <f aca="false">AK$20*AK$37</f>
        <v>0</v>
      </c>
      <c r="AL54" s="24" t="n">
        <f aca="false">AL$20*AL$37</f>
        <v>299</v>
      </c>
      <c r="AM54" s="24" t="n">
        <f aca="false">AM$20*AM$37</f>
        <v>0</v>
      </c>
      <c r="AN54" s="24" t="n">
        <f aca="false">AN$20*AN$37</f>
        <v>0</v>
      </c>
      <c r="AO54" s="24" t="n">
        <f aca="false">AO$20*AO$37</f>
        <v>0</v>
      </c>
      <c r="AP54" s="24" t="n">
        <f aca="false">AP$20*AP$37</f>
        <v>25</v>
      </c>
      <c r="AQ54" s="24" t="n">
        <f aca="false">AQ$20*AQ$37</f>
        <v>29.5</v>
      </c>
      <c r="AR54" s="24" t="n">
        <f aca="false">AR$20*AR$37</f>
        <v>21.5</v>
      </c>
      <c r="AS54" s="24" t="n">
        <f aca="false">AS$20*AS$37</f>
        <v>30.5</v>
      </c>
      <c r="AT54" s="24" t="n">
        <f aca="false">AT$20*AT$37</f>
        <v>0</v>
      </c>
      <c r="AU54" s="24" t="n">
        <f aca="false">AU$20*AU$37</f>
        <v>0</v>
      </c>
      <c r="AV54" s="24" t="n">
        <f aca="false">AV$20*AV$37</f>
        <v>40.5</v>
      </c>
      <c r="AW54" s="24" t="n">
        <f aca="false">AW$20*AW$37</f>
        <v>295</v>
      </c>
      <c r="AX54" s="24" t="n">
        <f aca="false">AX$20*AX$37</f>
        <v>0</v>
      </c>
      <c r="AY54" s="24" t="n">
        <f aca="false">AY$20*AY$37</f>
        <v>0</v>
      </c>
      <c r="AZ54" s="24" t="n">
        <f aca="false">AZ$20*AZ$37</f>
        <v>0</v>
      </c>
      <c r="BA54" s="24" t="n">
        <f aca="false">BA$20*BA$37</f>
        <v>0</v>
      </c>
      <c r="BB54" s="24" t="n">
        <f aca="false">BB$20*BB$37</f>
        <v>0</v>
      </c>
      <c r="BC54" s="24" t="n">
        <f aca="false">BC$20*BC$37</f>
        <v>0</v>
      </c>
      <c r="BD54" s="24" t="n">
        <f aca="false">BD$20*BD$37</f>
        <v>0</v>
      </c>
      <c r="BE54" s="24" t="n">
        <f aca="false">BE$20*BE$37</f>
        <v>0</v>
      </c>
      <c r="BF54" s="24" t="n">
        <f aca="false">BF$20*BF$37</f>
        <v>0</v>
      </c>
      <c r="BG54" s="24" t="n">
        <f aca="false">BG$20*BG$37</f>
        <v>0</v>
      </c>
      <c r="BH54" s="24" t="n">
        <f aca="false">BH$20*BH$37</f>
        <v>0</v>
      </c>
      <c r="BI54" s="24" t="n">
        <f aca="false">BI$20*BI$37</f>
        <v>0</v>
      </c>
      <c r="BJ54" s="24" t="n">
        <f aca="false">BJ$20*BJ$37</f>
        <v>0</v>
      </c>
      <c r="BK54" s="24" t="n">
        <f aca="false">BK$20*BK$37</f>
        <v>0</v>
      </c>
      <c r="BL54" s="24" t="n">
        <f aca="false">BL$20*BL$37</f>
        <v>0</v>
      </c>
      <c r="BM54" s="24" t="n">
        <f aca="false">BM$20*BM$37</f>
        <v>0</v>
      </c>
      <c r="BN54" s="24" t="n">
        <f aca="false">BN$20*BN$37</f>
        <v>0</v>
      </c>
      <c r="BO54" s="24" t="n">
        <f aca="false">BO$20*BO$37</f>
        <v>0</v>
      </c>
      <c r="BP54" s="24" t="n">
        <f aca="false">BP$20*BP$37</f>
        <v>0</v>
      </c>
      <c r="BQ54" s="24" t="n">
        <f aca="false">BQ$20*BQ$37</f>
        <v>0</v>
      </c>
      <c r="BR54" s="24" t="n">
        <f aca="false">BR$20*BR$37</f>
        <v>26</v>
      </c>
      <c r="BS54" s="24" t="n">
        <f aca="false">BS$20*BS$37</f>
        <v>21</v>
      </c>
      <c r="BT54" s="24" t="n">
        <f aca="false">BT$20*BT$37</f>
        <v>44.5</v>
      </c>
      <c r="BU54" s="24" t="n">
        <f aca="false">BU$20*BU$37</f>
        <v>21.5</v>
      </c>
      <c r="BV54" s="24" t="n">
        <f aca="false">BV$20*BV$37</f>
        <v>0</v>
      </c>
      <c r="BW54" s="24" t="n">
        <f aca="false">BW$20*BW$37</f>
        <v>17</v>
      </c>
      <c r="BX54" s="24" t="n">
        <f aca="false">BX$20*BX$37</f>
        <v>63</v>
      </c>
      <c r="BY54" s="24" t="n">
        <f aca="false">BY$20*BY$37</f>
        <v>47</v>
      </c>
      <c r="BZ54" s="24" t="n">
        <f aca="false">BZ$20*BZ$37</f>
        <v>282</v>
      </c>
      <c r="CA54" s="24" t="n">
        <f aca="false">CA$20*CA$37</f>
        <v>241</v>
      </c>
      <c r="CB54" s="24" t="n">
        <f aca="false">CB$20*CB$37</f>
        <v>308</v>
      </c>
      <c r="CC54" s="24" t="n">
        <f aca="false">CC$20*CC$37</f>
        <v>23</v>
      </c>
      <c r="CD54" s="24" t="n">
        <f aca="false">CD$20*CD$37</f>
        <v>16</v>
      </c>
      <c r="CE54" s="24" t="n">
        <f aca="false">CE$20*CE$37</f>
        <v>69</v>
      </c>
      <c r="CF54" s="24" t="n">
        <f aca="false">CF$20*CF$37</f>
        <v>18</v>
      </c>
      <c r="CG54" s="24" t="n">
        <f aca="false">CG$20*CG$37</f>
        <v>30.5</v>
      </c>
      <c r="CH54" s="24" t="n">
        <f aca="false">CH$20*CH$37</f>
        <v>30</v>
      </c>
      <c r="CI54" s="24" t="n">
        <f aca="false">CI$20*CI$37</f>
        <v>22</v>
      </c>
      <c r="CJ54" s="24" t="n">
        <f aca="false">CJ$20*CJ$37</f>
        <v>0</v>
      </c>
      <c r="CK54" s="24" t="n">
        <f aca="false">CK$20*CK$37</f>
        <v>24.5</v>
      </c>
      <c r="CL54" s="24" t="n">
        <f aca="false">CL$20*CL$37</f>
        <v>21.5</v>
      </c>
      <c r="CM54" s="24" t="n">
        <f aca="false">CM$20*CM$37</f>
        <v>19.5</v>
      </c>
      <c r="CN54" s="24" t="n">
        <f aca="false">CN$20*CN$37</f>
        <v>22</v>
      </c>
      <c r="CO54" s="24" t="n">
        <f aca="false">CO$20*CO$37</f>
        <v>28.5</v>
      </c>
      <c r="CP54" s="24" t="n">
        <f aca="false">CP$20*CP$37</f>
        <v>25</v>
      </c>
      <c r="CQ54" s="24" t="n">
        <f aca="false">CQ$20*CQ$37</f>
        <v>25</v>
      </c>
      <c r="CR54" s="24" t="n">
        <f aca="false">CR$20*CR$37</f>
        <v>30</v>
      </c>
      <c r="CS54" s="24" t="n">
        <f aca="false">CS$20*CS$37</f>
        <v>46</v>
      </c>
      <c r="CT54" s="24" t="n">
        <f aca="false">CT$20*CT$37</f>
        <v>240</v>
      </c>
      <c r="CU54" s="24" t="n">
        <f aca="false">CU$20*CU$37</f>
        <v>299</v>
      </c>
      <c r="CV54" s="24" t="n">
        <f aca="false">CV$20*CV$37</f>
        <v>26</v>
      </c>
      <c r="CW54" s="24" t="n">
        <f aca="false">CW$20*CW$37</f>
        <v>16</v>
      </c>
      <c r="CX54" s="24" t="n">
        <f aca="false">CX$20*CX$37</f>
        <v>17.5</v>
      </c>
      <c r="CY54" s="24" t="n">
        <f aca="false">CY$20*CY$37</f>
        <v>30</v>
      </c>
      <c r="CZ54" s="24" t="n">
        <f aca="false">CZ$20*CZ$37</f>
        <v>0</v>
      </c>
      <c r="DA54" s="24" t="n">
        <f aca="false">DA$20*DA$37</f>
        <v>0</v>
      </c>
      <c r="DB54" s="24" t="n">
        <f aca="false">DB$20*DB$37</f>
        <v>17.5</v>
      </c>
      <c r="DC54" s="24" t="n">
        <f aca="false">DC$20*DC$37</f>
        <v>0</v>
      </c>
      <c r="DD54" s="24" t="n">
        <f aca="false">DD$20*DD$37</f>
        <v>0</v>
      </c>
      <c r="DE54" s="24" t="n">
        <f aca="false">DE$20*DE$37</f>
        <v>0</v>
      </c>
      <c r="DF54" s="24" t="n">
        <f aca="false">DF$20*DF$37</f>
        <v>0</v>
      </c>
      <c r="DG54" s="24" t="n">
        <f aca="false">DG$20*DG$37</f>
        <v>0</v>
      </c>
      <c r="DH54" s="24" t="n">
        <f aca="false">DH$20*DH$37</f>
        <v>0</v>
      </c>
      <c r="DI54" s="24" t="n">
        <f aca="false">DI$20*DI$37</f>
        <v>20.5</v>
      </c>
      <c r="DJ54" s="24" t="n">
        <f aca="false">DJ$20*DJ$37</f>
        <v>0</v>
      </c>
      <c r="DK54" s="24" t="n">
        <f aca="false">DK$20*DK$37</f>
        <v>0</v>
      </c>
      <c r="DL54" s="24" t="n">
        <f aca="false">DL$20*DL$37</f>
        <v>0</v>
      </c>
      <c r="DM54" s="24" t="n">
        <f aca="false">DM$20*DM$37</f>
        <v>8</v>
      </c>
      <c r="DN54" s="24" t="n">
        <f aca="false">DN$20*DN$37</f>
        <v>0</v>
      </c>
      <c r="DO54" s="24" t="n">
        <f aca="false">DO$20*DO$37</f>
        <v>0</v>
      </c>
      <c r="DP54" s="24" t="n">
        <f aca="false">DP$20*DP$37</f>
        <v>0</v>
      </c>
      <c r="DQ54" s="24" t="n">
        <f aca="false">DQ$20*DQ$37</f>
        <v>0</v>
      </c>
      <c r="DR54" s="24" t="n">
        <f aca="false">DR$20*DR$37</f>
        <v>0</v>
      </c>
      <c r="DS54" s="24" t="n">
        <f aca="false">DS$20*DS$37</f>
        <v>0</v>
      </c>
      <c r="DT54" s="24" t="n">
        <f aca="false">DT$20*DT$37</f>
        <v>0</v>
      </c>
      <c r="DU54" s="24" t="n">
        <f aca="false">DU$20*DU$37</f>
        <v>0</v>
      </c>
      <c r="DV54" s="24" t="n">
        <f aca="false">DV$20*DV$37</f>
        <v>0</v>
      </c>
      <c r="DW54" s="24" t="n">
        <f aca="false">DW$20*DW$37</f>
        <v>0</v>
      </c>
      <c r="DX54" s="24" t="n">
        <f aca="false">DX$20*DX$37</f>
        <v>0</v>
      </c>
      <c r="DY54" s="24" t="n">
        <f aca="false">DY$20*DY$37</f>
        <v>0</v>
      </c>
      <c r="DZ54" s="24" t="n">
        <f aca="false">DZ$20*DZ$37</f>
        <v>0</v>
      </c>
      <c r="EA54" s="24" t="n">
        <f aca="false">EA$20*EA$37</f>
        <v>0</v>
      </c>
      <c r="EB54" s="24" t="n">
        <f aca="false">EB$20*EB$37</f>
        <v>0</v>
      </c>
      <c r="EC54" s="24" t="n">
        <f aca="false">EC$20*EC$37</f>
        <v>0</v>
      </c>
      <c r="ED54" s="24" t="n">
        <f aca="false">ED$20*ED$37</f>
        <v>0</v>
      </c>
      <c r="EE54" s="24" t="n">
        <f aca="false">EE$20*EE$37</f>
        <v>0</v>
      </c>
      <c r="EF54" s="24" t="n">
        <f aca="false">EF$20*EF$37</f>
        <v>0</v>
      </c>
      <c r="EG54" s="24" t="n">
        <f aca="false">EG$20*EG$37</f>
        <v>0</v>
      </c>
      <c r="EH54" s="24" t="n">
        <f aca="false">EH$20*EH$37</f>
        <v>0</v>
      </c>
      <c r="EI54" s="24" t="n">
        <f aca="false">EI$20*EI$37</f>
        <v>0</v>
      </c>
      <c r="EJ54" s="24" t="n">
        <f aca="false">EJ$20*EJ$37</f>
        <v>0</v>
      </c>
      <c r="EK54" s="24" t="n">
        <f aca="false">EK$20*EK$37</f>
        <v>0</v>
      </c>
      <c r="EL54" s="24" t="n">
        <f aca="false">EL$20*EL$37</f>
        <v>0</v>
      </c>
      <c r="EM54" s="24" t="n">
        <f aca="false">EM$20*EM$37</f>
        <v>0</v>
      </c>
      <c r="EN54" s="24" t="n">
        <f aca="false">EN$20*EN$37</f>
        <v>0</v>
      </c>
      <c r="EO54" s="24" t="n">
        <f aca="false">EO$20*EO$37</f>
        <v>0</v>
      </c>
      <c r="EP54" s="24" t="n">
        <f aca="false">EP$20*EP$37</f>
        <v>579</v>
      </c>
      <c r="EQ54" s="24" t="n">
        <f aca="false">EQ$20*EQ$37</f>
        <v>0</v>
      </c>
      <c r="ER54" s="24" t="n">
        <f aca="false">ER$20*ER$37</f>
        <v>492</v>
      </c>
      <c r="ES54" s="24" t="n">
        <f aca="false">ES$20*ES$37</f>
        <v>418</v>
      </c>
      <c r="ET54" s="24" t="n">
        <f aca="false">ET$20*ET$37</f>
        <v>532</v>
      </c>
      <c r="EU54" s="24" t="n">
        <f aca="false">EU$20*EU$37</f>
        <v>207</v>
      </c>
    </row>
    <row r="55" customFormat="false" ht="15" hidden="false" customHeight="false" outlineLevel="0" collapsed="false">
      <c r="A55" s="4" t="s">
        <v>989</v>
      </c>
      <c r="B55" s="75" t="s">
        <v>985</v>
      </c>
      <c r="C55" s="78" t="n">
        <v>0</v>
      </c>
      <c r="D55" s="77" t="n">
        <v>12.421883611924</v>
      </c>
      <c r="E55" s="75" t="str">
        <f aca="false">IF(D55&gt;=C55-0.000001*MAX(1,ABS(C55)),IF(ABS(D55-C55)&lt;=0.000001*MAX(1,ABS(C55)),"tight","ok"),"VIOLATED")</f>
        <v>ok</v>
      </c>
      <c r="F55" s="24" t="n">
        <f aca="false">F$21*(F$34-Planner!$C$44)</f>
        <v>-4.5</v>
      </c>
      <c r="G55" s="24" t="n">
        <f aca="false">G$21*(G$34-Planner!$C$44)</f>
        <v>-3.616</v>
      </c>
      <c r="H55" s="24" t="n">
        <f aca="false">H$21*(H$34-Planner!$C$44)</f>
        <v>-3.932</v>
      </c>
      <c r="I55" s="24" t="n">
        <f aca="false">I$21*(I$34-Planner!$C$44)</f>
        <v>-3.266</v>
      </c>
      <c r="J55" s="24" t="n">
        <f aca="false">J$21*(J$34-Planner!$C$44)</f>
        <v>-3.746</v>
      </c>
      <c r="K55" s="24" t="n">
        <f aca="false">K$21*(K$34-Planner!$C$44)</f>
        <v>-3.72</v>
      </c>
      <c r="L55" s="24" t="n">
        <f aca="false">L$21*(L$34-Planner!$C$44)</f>
        <v>10.096</v>
      </c>
      <c r="M55" s="24" t="n">
        <f aca="false">M$21*(M$34-Planner!$C$44)</f>
        <v>-4.35</v>
      </c>
      <c r="N55" s="24" t="n">
        <f aca="false">N$21*(N$34-Planner!$C$44)</f>
        <v>-3.434</v>
      </c>
      <c r="O55" s="24" t="n">
        <f aca="false">O$21*(O$34-Planner!$C$44)</f>
        <v>-4.17</v>
      </c>
      <c r="P55" s="24" t="n">
        <f aca="false">P$21*(P$34-Planner!$C$44)</f>
        <v>-3.32</v>
      </c>
      <c r="Q55" s="24" t="n">
        <f aca="false">Q$21*(Q$34-Planner!$C$44)</f>
        <v>-4.228</v>
      </c>
      <c r="R55" s="24" t="n">
        <f aca="false">R$21*(R$34-Planner!$C$44)</f>
        <v>-4.388</v>
      </c>
      <c r="S55" s="24" t="n">
        <f aca="false">S$21*(S$34-Planner!$C$44)</f>
        <v>-3.984</v>
      </c>
      <c r="T55" s="24" t="n">
        <f aca="false">T$21*(T$34-Planner!$C$44)</f>
        <v>-3.888</v>
      </c>
      <c r="U55" s="24" t="n">
        <f aca="false">U$21*(U$34-Planner!$C$44)</f>
        <v>-4.084</v>
      </c>
      <c r="V55" s="24" t="n">
        <f aca="false">V$21*(V$34-Planner!$C$44)</f>
        <v>-2.722</v>
      </c>
      <c r="W55" s="24" t="n">
        <f aca="false">W$21*(W$34-Planner!$C$44)</f>
        <v>-4.016</v>
      </c>
      <c r="X55" s="24" t="n">
        <f aca="false">X$21*(X$34-Planner!$C$44)</f>
        <v>10.048</v>
      </c>
      <c r="Y55" s="24" t="n">
        <f aca="false">Y$21*(Y$34-Planner!$C$44)</f>
        <v>-1.206</v>
      </c>
      <c r="Z55" s="24" t="n">
        <f aca="false">Z$21*(Z$34-Planner!$C$44)</f>
        <v>-4.32</v>
      </c>
      <c r="AA55" s="24" t="n">
        <f aca="false">AA$21*(AA$34-Planner!$C$44)</f>
        <v>-0.948</v>
      </c>
      <c r="AB55" s="24" t="n">
        <f aca="false">AB$21*(AB$34-Planner!$C$44)</f>
        <v>-4.704</v>
      </c>
      <c r="AC55" s="24" t="n">
        <f aca="false">AC$21*(AC$34-Planner!$C$44)</f>
        <v>-0.984</v>
      </c>
      <c r="AD55" s="24" t="n">
        <f aca="false">AD$21*(AD$34-Planner!$C$44)</f>
        <v>-1.474</v>
      </c>
      <c r="AE55" s="24" t="n">
        <f aca="false">AE$21*(AE$34-Planner!$C$44)</f>
        <v>-4.372</v>
      </c>
      <c r="AF55" s="24" t="n">
        <f aca="false">AF$21*(AF$34-Planner!$C$44)</f>
        <v>-1.044</v>
      </c>
      <c r="AG55" s="24" t="n">
        <f aca="false">AG$21*(AG$34-Planner!$C$44)</f>
        <v>-4.716</v>
      </c>
      <c r="AH55" s="24" t="n">
        <f aca="false">AH$21*(AH$34-Planner!$C$44)</f>
        <v>-4.926</v>
      </c>
      <c r="AI55" s="24" t="n">
        <f aca="false">AI$21*(AI$34-Planner!$C$44)</f>
        <v>-4.292</v>
      </c>
      <c r="AJ55" s="24" t="n">
        <f aca="false">AJ$21*(AJ$34-Planner!$C$44)</f>
        <v>-1.506</v>
      </c>
      <c r="AK55" s="24" t="n">
        <f aca="false">AK$21*(AK$34-Planner!$C$44)</f>
        <v>-4.466</v>
      </c>
      <c r="AL55" s="24" t="n">
        <f aca="false">AL$21*(AL$34-Planner!$C$44)</f>
        <v>6.663</v>
      </c>
      <c r="AM55" s="24" t="n">
        <f aca="false">AM$21*(AM$34-Planner!$C$44)</f>
        <v>-0.92</v>
      </c>
      <c r="AN55" s="24" t="n">
        <f aca="false">AN$21*(AN$34-Planner!$C$44)</f>
        <v>-4.284</v>
      </c>
      <c r="AO55" s="24" t="n">
        <f aca="false">AO$21*(AO$34-Planner!$C$44)</f>
        <v>-2.02</v>
      </c>
      <c r="AP55" s="24" t="n">
        <f aca="false">AP$21*(AP$34-Planner!$C$44)</f>
        <v>0.99</v>
      </c>
      <c r="AQ55" s="24" t="n">
        <f aca="false">AQ$21*(AQ$34-Planner!$C$44)</f>
        <v>3.057</v>
      </c>
      <c r="AR55" s="24" t="n">
        <f aca="false">AR$21*(AR$34-Planner!$C$44)</f>
        <v>0.78</v>
      </c>
      <c r="AS55" s="24" t="n">
        <f aca="false">AS$21*(AS$34-Planner!$C$44)</f>
        <v>0.945</v>
      </c>
      <c r="AT55" s="24" t="n">
        <f aca="false">AT$21*(AT$34-Planner!$C$44)</f>
        <v>-3.626</v>
      </c>
      <c r="AU55" s="24" t="n">
        <f aca="false">AU$21*(AU$34-Planner!$C$44)</f>
        <v>-4.574</v>
      </c>
      <c r="AV55" s="24" t="n">
        <f aca="false">AV$21*(AV$34-Planner!$C$44)</f>
        <v>-2.09</v>
      </c>
      <c r="AW55" s="24" t="n">
        <f aca="false">AW$21*(AW$34-Planner!$C$44)</f>
        <v>-4.75</v>
      </c>
      <c r="AX55" s="24" t="n">
        <f aca="false">AX$21*(AX$34-Planner!$C$44)</f>
        <v>8.448</v>
      </c>
      <c r="AY55" s="24" t="n">
        <f aca="false">AY$21*(AY$34-Planner!$C$44)</f>
        <v>-1.508</v>
      </c>
      <c r="AZ55" s="24" t="n">
        <f aca="false">AZ$21*(AZ$34-Planner!$C$44)</f>
        <v>9.672</v>
      </c>
      <c r="BA55" s="24" t="n">
        <f aca="false">BA$21*(BA$34-Planner!$C$44)</f>
        <v>-1.14</v>
      </c>
      <c r="BB55" s="24" t="n">
        <f aca="false">BB$21*(BB$34-Planner!$C$44)</f>
        <v>-1.602</v>
      </c>
      <c r="BC55" s="24" t="n">
        <f aca="false">BC$21*(BC$34-Planner!$C$44)</f>
        <v>-2.824</v>
      </c>
      <c r="BD55" s="24" t="n">
        <f aca="false">BD$21*(BD$34-Planner!$C$44)</f>
        <v>10.52</v>
      </c>
      <c r="BE55" s="24" t="n">
        <f aca="false">BE$21*(BE$34-Planner!$C$44)</f>
        <v>-2.608</v>
      </c>
      <c r="BF55" s="24" t="n">
        <f aca="false">BF$21*(BF$34-Planner!$C$44)</f>
        <v>2.655</v>
      </c>
      <c r="BG55" s="24" t="n">
        <f aca="false">BG$21*(BG$34-Planner!$C$44)</f>
        <v>-1.426</v>
      </c>
      <c r="BH55" s="24" t="n">
        <f aca="false">BH$21*(BH$34-Planner!$C$44)</f>
        <v>3.735</v>
      </c>
      <c r="BI55" s="24" t="n">
        <f aca="false">BI$21*(BI$34-Planner!$C$44)</f>
        <v>-2.774</v>
      </c>
      <c r="BJ55" s="24" t="n">
        <f aca="false">BJ$21*(BJ$34-Planner!$C$44)</f>
        <v>-1.518</v>
      </c>
      <c r="BK55" s="24" t="n">
        <f aca="false">BK$21*(BK$34-Planner!$C$44)</f>
        <v>-0.39</v>
      </c>
      <c r="BL55" s="24" t="n">
        <f aca="false">BL$21*(BL$34-Planner!$C$44)</f>
        <v>-0.604</v>
      </c>
      <c r="BM55" s="24" t="n">
        <f aca="false">BM$21*(BM$34-Planner!$C$44)</f>
        <v>-0.448</v>
      </c>
      <c r="BN55" s="24" t="n">
        <f aca="false">BN$21*(BN$34-Planner!$C$44)</f>
        <v>-0.602</v>
      </c>
      <c r="BO55" s="24" t="n">
        <f aca="false">BO$21*(BO$34-Planner!$C$44)</f>
        <v>-1.044</v>
      </c>
      <c r="BP55" s="24" t="n">
        <f aca="false">BP$21*(BP$34-Planner!$C$44)</f>
        <v>-0.41</v>
      </c>
      <c r="BQ55" s="24" t="n">
        <f aca="false">BQ$21*(BQ$34-Planner!$C$44)</f>
        <v>-0.314</v>
      </c>
      <c r="BR55" s="24" t="n">
        <f aca="false">BR$21*(BR$34-Planner!$C$44)</f>
        <v>-0.052</v>
      </c>
      <c r="BS55" s="24" t="n">
        <f aca="false">BS$21*(BS$34-Planner!$C$44)</f>
        <v>0.051</v>
      </c>
      <c r="BT55" s="24" t="n">
        <f aca="false">BT$21*(BT$34-Planner!$C$44)</f>
        <v>0.327</v>
      </c>
      <c r="BU55" s="24" t="n">
        <f aca="false">BU$21*(BU$34-Planner!$C$44)</f>
        <v>0.417</v>
      </c>
      <c r="BV55" s="24" t="n">
        <f aca="false">BV$21*(BV$34-Planner!$C$44)</f>
        <v>0.336</v>
      </c>
      <c r="BW55" s="24" t="n">
        <f aca="false">BW$21*(BW$34-Planner!$C$44)</f>
        <v>0.252</v>
      </c>
      <c r="BX55" s="24" t="n">
        <f aca="false">BX$21*(BX$34-Planner!$C$44)</f>
        <v>-0.212</v>
      </c>
      <c r="BY55" s="24" t="n">
        <f aca="false">BY$21*(BY$34-Planner!$C$44)</f>
        <v>-0.17</v>
      </c>
      <c r="BZ55" s="24" t="n">
        <f aca="false">BZ$21*(BZ$34-Planner!$C$44)</f>
        <v>-0.49</v>
      </c>
      <c r="CA55" s="24" t="n">
        <f aca="false">CA$21*(CA$34-Planner!$C$44)</f>
        <v>-0.678</v>
      </c>
      <c r="CB55" s="24" t="n">
        <f aca="false">CB$21*(CB$34-Planner!$C$44)</f>
        <v>-0.034</v>
      </c>
      <c r="CC55" s="24" t="n">
        <f aca="false">CC$21*(CC$34-Planner!$C$44)</f>
        <v>0.138</v>
      </c>
      <c r="CD55" s="24" t="n">
        <f aca="false">CD$21*(CD$34-Planner!$C$44)</f>
        <v>0.189</v>
      </c>
      <c r="CE55" s="24" t="n">
        <f aca="false">CE$21*(CE$34-Planner!$C$44)</f>
        <v>-0.144</v>
      </c>
      <c r="CF55" s="24" t="n">
        <f aca="false">CF$21*(CF$34-Planner!$C$44)</f>
        <v>0.162</v>
      </c>
      <c r="CG55" s="24" t="n">
        <f aca="false">CG$21*(CG$34-Planner!$C$44)</f>
        <v>0.342</v>
      </c>
      <c r="CH55" s="24" t="n">
        <f aca="false">CH$21*(CH$34-Planner!$C$44)</f>
        <v>0.246</v>
      </c>
      <c r="CI55" s="24" t="n">
        <f aca="false">CI$21*(CI$34-Planner!$C$44)</f>
        <v>0.318</v>
      </c>
      <c r="CJ55" s="24" t="n">
        <f aca="false">CJ$21*(CJ$34-Planner!$C$44)</f>
        <v>0.544</v>
      </c>
      <c r="CK55" s="24" t="n">
        <f aca="false">CK$21*(CK$34-Planner!$C$44)</f>
        <v>-0.182</v>
      </c>
      <c r="CL55" s="24" t="n">
        <f aca="false">CL$21*(CL$34-Planner!$C$44)</f>
        <v>0.141</v>
      </c>
      <c r="CM55" s="24" t="n">
        <f aca="false">CM$21*(CM$34-Planner!$C$44)</f>
        <v>0.273</v>
      </c>
      <c r="CN55" s="24" t="n">
        <f aca="false">CN$21*(CN$34-Planner!$C$44)</f>
        <v>0.189</v>
      </c>
      <c r="CO55" s="24" t="n">
        <f aca="false">CO$21*(CO$34-Planner!$C$44)</f>
        <v>-0.072</v>
      </c>
      <c r="CP55" s="24" t="n">
        <f aca="false">CP$21*(CP$34-Planner!$C$44)</f>
        <v>0.102</v>
      </c>
      <c r="CQ55" s="24" t="n">
        <f aca="false">CQ$21*(CQ$34-Planner!$C$44)</f>
        <v>0.162</v>
      </c>
      <c r="CR55" s="24" t="n">
        <f aca="false">CR$21*(CR$34-Planner!$C$44)</f>
        <v>0.126</v>
      </c>
      <c r="CS55" s="24" t="n">
        <f aca="false">CS$21*(CS$34-Planner!$C$44)</f>
        <v>-0.14</v>
      </c>
      <c r="CT55" s="24" t="n">
        <f aca="false">CT$21*(CT$34-Planner!$C$44)</f>
        <v>-0.436</v>
      </c>
      <c r="CU55" s="24" t="n">
        <f aca="false">CU$21*(CU$34-Planner!$C$44)</f>
        <v>-0.614</v>
      </c>
      <c r="CV55" s="24" t="n">
        <f aca="false">CV$21*(CV$34-Planner!$C$44)</f>
        <v>0.36</v>
      </c>
      <c r="CW55" s="24" t="n">
        <f aca="false">CW$21*(CW$34-Planner!$C$44)</f>
        <v>0.201</v>
      </c>
      <c r="CX55" s="24" t="n">
        <f aca="false">CX$21*(CX$34-Planner!$C$44)</f>
        <v>0.129</v>
      </c>
      <c r="CY55" s="24" t="n">
        <f aca="false">CY$21*(CY$34-Planner!$C$44)</f>
        <v>-0.122</v>
      </c>
      <c r="CZ55" s="24" t="n">
        <f aca="false">CZ$21*(CZ$34-Planner!$C$44)</f>
        <v>-0.16</v>
      </c>
      <c r="DA55" s="24" t="n">
        <f aca="false">DA$21*(DA$34-Planner!$C$44)</f>
        <v>-0.44</v>
      </c>
      <c r="DB55" s="24" t="n">
        <f aca="false">DB$21*(DB$34-Planner!$C$44)</f>
        <v>-0.128</v>
      </c>
      <c r="DC55" s="24" t="n">
        <f aca="false">DC$21*(DC$34-Planner!$C$44)</f>
        <v>-0.146</v>
      </c>
      <c r="DD55" s="24" t="n">
        <f aca="false">DD$21*(DD$34-Planner!$C$44)</f>
        <v>-0.612</v>
      </c>
      <c r="DE55" s="24" t="n">
        <f aca="false">DE$21*(DE$34-Planner!$C$44)</f>
        <v>-0.756</v>
      </c>
      <c r="DF55" s="24" t="n">
        <f aca="false">DF$21*(DF$34-Planner!$C$44)</f>
        <v>-0.2</v>
      </c>
      <c r="DG55" s="24" t="n">
        <f aca="false">DG$21*(DG$34-Planner!$C$44)</f>
        <v>-0.256</v>
      </c>
      <c r="DH55" s="24" t="n">
        <f aca="false">DH$21*(DH$34-Planner!$C$44)</f>
        <v>-0.286</v>
      </c>
      <c r="DI55" s="24" t="n">
        <f aca="false">DI$21*(DI$34-Planner!$C$44)</f>
        <v>-0.186</v>
      </c>
      <c r="DJ55" s="24" t="n">
        <f aca="false">DJ$21*(DJ$34-Planner!$C$44)</f>
        <v>-0.116</v>
      </c>
      <c r="DK55" s="24" t="n">
        <f aca="false">DK$21*(DK$34-Planner!$C$44)</f>
        <v>-0.156</v>
      </c>
      <c r="DL55" s="24" t="n">
        <f aca="false">DL$21*(DL$34-Planner!$C$44)</f>
        <v>-0.402</v>
      </c>
      <c r="DM55" s="24" t="n">
        <f aca="false">DM$21*(DM$34-Planner!$C$44)</f>
        <v>-0.138</v>
      </c>
      <c r="DN55" s="24" t="n">
        <f aca="false">DN$21*(DN$34-Planner!$C$44)</f>
        <v>-0.604</v>
      </c>
      <c r="DO55" s="24" t="n">
        <f aca="false">DO$21*(DO$34-Planner!$C$44)</f>
        <v>-0.538</v>
      </c>
      <c r="DP55" s="24" t="n">
        <f aca="false">DP$21*(DP$34-Planner!$C$44)</f>
        <v>-0.13</v>
      </c>
      <c r="DQ55" s="24" t="n">
        <f aca="false">DQ$21*(DQ$34-Planner!$C$44)</f>
        <v>-0.144</v>
      </c>
      <c r="DR55" s="24" t="n">
        <f aca="false">DR$21*(DR$34-Planner!$C$44)</f>
        <v>-0.358</v>
      </c>
      <c r="DS55" s="24" t="n">
        <f aca="false">DS$21*(DS$34-Planner!$C$44)</f>
        <v>-0.172</v>
      </c>
      <c r="DT55" s="24" t="n">
        <f aca="false">DT$21*(DT$34-Planner!$C$44)</f>
        <v>-0.18</v>
      </c>
      <c r="DU55" s="24" t="n">
        <f aca="false">DU$21*(DU$34-Planner!$C$44)</f>
        <v>-0.532</v>
      </c>
      <c r="DV55" s="24" t="n">
        <f aca="false">DV$21*(DV$34-Planner!$C$44)</f>
        <v>-0.666</v>
      </c>
      <c r="DW55" s="24" t="n">
        <f aca="false">DW$21*(DW$34-Planner!$C$44)</f>
        <v>-0.618</v>
      </c>
      <c r="DX55" s="24" t="n">
        <f aca="false">DX$21*(DX$34-Planner!$C$44)</f>
        <v>-0.498</v>
      </c>
      <c r="DY55" s="24" t="n">
        <f aca="false">DY$21*(DY$34-Planner!$C$44)</f>
        <v>-0.338</v>
      </c>
      <c r="DZ55" s="24" t="n">
        <f aca="false">DZ$21*(DZ$34-Planner!$C$44)</f>
        <v>-0.22</v>
      </c>
      <c r="EA55" s="24" t="n">
        <f aca="false">EA$21*(EA$34-Planner!$C$44)</f>
        <v>-0.22</v>
      </c>
      <c r="EB55" s="24" t="n">
        <f aca="false">EB$21*(EB$34-Planner!$C$44)</f>
        <v>-0.136</v>
      </c>
      <c r="EC55" s="24" t="n">
        <f aca="false">EC$21*(EC$34-Planner!$C$44)</f>
        <v>-0.198</v>
      </c>
      <c r="ED55" s="24" t="n">
        <f aca="false">ED$21*(ED$34-Planner!$C$44)</f>
        <v>-0.246</v>
      </c>
      <c r="EE55" s="24" t="n">
        <f aca="false">EE$21*(EE$34-Planner!$C$44)</f>
        <v>-0.182</v>
      </c>
      <c r="EF55" s="24" t="n">
        <f aca="false">EF$21*(EF$34-Planner!$C$44)</f>
        <v>-0.422</v>
      </c>
      <c r="EG55" s="24" t="n">
        <f aca="false">EG$21*(EG$34-Planner!$C$44)</f>
        <v>-0.572</v>
      </c>
      <c r="EH55" s="24" t="n">
        <f aca="false">EH$21*(EH$34-Planner!$C$44)</f>
        <v>-0.726</v>
      </c>
      <c r="EI55" s="24" t="n">
        <f aca="false">EI$21*(EI$34-Planner!$C$44)</f>
        <v>-0.158</v>
      </c>
      <c r="EJ55" s="24" t="n">
        <f aca="false">EJ$21*(EJ$34-Planner!$C$44)</f>
        <v>-0.176</v>
      </c>
      <c r="EK55" s="24" t="n">
        <f aca="false">EK$21*(EK$34-Planner!$C$44)</f>
        <v>-0.494</v>
      </c>
      <c r="EL55" s="24" t="n">
        <f aca="false">EL$21*(EL$34-Planner!$C$44)</f>
        <v>-0.242</v>
      </c>
      <c r="EM55" s="24" t="n">
        <f aca="false">EM$21*(EM$34-Planner!$C$44)</f>
        <v>0.255</v>
      </c>
      <c r="EN55" s="24" t="n">
        <f aca="false">EN$21*(EN$34-Planner!$C$44)</f>
        <v>-0</v>
      </c>
      <c r="EO55" s="24" t="n">
        <f aca="false">EO$21*(EO$34-Planner!$C$44)</f>
        <v>-0</v>
      </c>
      <c r="EP55" s="24" t="n">
        <f aca="false">EP$21*(EP$34-Planner!$C$44)</f>
        <v>-4.23</v>
      </c>
      <c r="EQ55" s="24" t="n">
        <f aca="false">EQ$21*(EQ$34-Planner!$C$44)</f>
        <v>-0.392</v>
      </c>
      <c r="ER55" s="24" t="n">
        <f aca="false">ER$21*(ER$34-Planner!$C$44)</f>
        <v>-1.02</v>
      </c>
      <c r="ES55" s="24" t="n">
        <f aca="false">ES$21*(ES$34-Planner!$C$44)</f>
        <v>-1.13</v>
      </c>
      <c r="ET55" s="24" t="n">
        <f aca="false">ET$21*(ET$34-Planner!$C$44)</f>
        <v>-1.278</v>
      </c>
      <c r="EU55" s="24" t="n">
        <f aca="false">EU$21*(EU$34-Planner!$C$44)</f>
        <v>-0.7</v>
      </c>
    </row>
    <row r="56" customFormat="false" ht="15" hidden="false" customHeight="false" outlineLevel="0" collapsed="false">
      <c r="A56" s="4" t="s">
        <v>990</v>
      </c>
      <c r="B56" s="75" t="s">
        <v>985</v>
      </c>
      <c r="C56" s="78" t="n">
        <v>0</v>
      </c>
      <c r="D56" s="77" t="n">
        <v>8.198116387314</v>
      </c>
      <c r="E56" s="75" t="str">
        <f aca="false">IF(D56&gt;=C56-0.000001*MAX(1,ABS(C56)),IF(ABS(D56-C56)&lt;=0.000001*MAX(1,ABS(C56)),"tight","ok"),"VIOLATED")</f>
        <v>ok</v>
      </c>
      <c r="F56" s="24" t="n">
        <f aca="false">F$21*(F$35-Planner!$C$44)</f>
        <v>6.75</v>
      </c>
      <c r="G56" s="24" t="n">
        <f aca="false">G$21*(G$35-Planner!$C$44)</f>
        <v>5.424</v>
      </c>
      <c r="H56" s="24" t="n">
        <f aca="false">H$21*(H$35-Planner!$C$44)</f>
        <v>5.898</v>
      </c>
      <c r="I56" s="24" t="n">
        <f aca="false">I$21*(I$35-Planner!$C$44)</f>
        <v>13.064</v>
      </c>
      <c r="J56" s="24" t="n">
        <f aca="false">J$21*(J$35-Planner!$C$44)</f>
        <v>5.619</v>
      </c>
      <c r="K56" s="24" t="n">
        <f aca="false">K$21*(K$35-Planner!$C$44)</f>
        <v>5.58</v>
      </c>
      <c r="L56" s="24" t="n">
        <f aca="false">L$21*(L$35-Planner!$C$44)</f>
        <v>-2.524</v>
      </c>
      <c r="M56" s="24" t="n">
        <f aca="false">M$21*(M$35-Planner!$C$44)</f>
        <v>-4.35</v>
      </c>
      <c r="N56" s="24" t="n">
        <f aca="false">N$21*(N$35-Planner!$C$44)</f>
        <v>5.151</v>
      </c>
      <c r="O56" s="24" t="n">
        <f aca="false">O$21*(O$35-Planner!$C$44)</f>
        <v>6.255</v>
      </c>
      <c r="P56" s="24" t="n">
        <f aca="false">P$21*(P$35-Planner!$C$44)</f>
        <v>13.28</v>
      </c>
      <c r="Q56" s="24" t="n">
        <f aca="false">Q$21*(Q$35-Planner!$C$44)</f>
        <v>6.342</v>
      </c>
      <c r="R56" s="24" t="n">
        <f aca="false">R$21*(R$35-Planner!$C$44)</f>
        <v>-4.388</v>
      </c>
      <c r="S56" s="24" t="n">
        <f aca="false">S$21*(S$35-Planner!$C$44)</f>
        <v>-3.984</v>
      </c>
      <c r="T56" s="24" t="n">
        <f aca="false">T$21*(T$35-Planner!$C$44)</f>
        <v>15.552</v>
      </c>
      <c r="U56" s="24" t="n">
        <f aca="false">U$21*(U$35-Planner!$C$44)</f>
        <v>-4.084</v>
      </c>
      <c r="V56" s="24" t="n">
        <f aca="false">V$21*(V$35-Planner!$C$44)</f>
        <v>-2.722</v>
      </c>
      <c r="W56" s="24" t="n">
        <f aca="false">W$21*(W$35-Planner!$C$44)</f>
        <v>6.024</v>
      </c>
      <c r="X56" s="24" t="n">
        <f aca="false">X$21*(X$35-Planner!$C$44)</f>
        <v>-2.512</v>
      </c>
      <c r="Y56" s="24" t="n">
        <f aca="false">Y$21*(Y$35-Planner!$C$44)</f>
        <v>1.809</v>
      </c>
      <c r="Z56" s="24" t="n">
        <f aca="false">Z$21*(Z$35-Planner!$C$44)</f>
        <v>6.48</v>
      </c>
      <c r="AA56" s="24" t="n">
        <f aca="false">AA$21*(AA$35-Planner!$C$44)</f>
        <v>1.422</v>
      </c>
      <c r="AB56" s="24" t="n">
        <f aca="false">AB$21*(AB$35-Planner!$C$44)</f>
        <v>7.056</v>
      </c>
      <c r="AC56" s="24" t="n">
        <f aca="false">AC$21*(AC$35-Planner!$C$44)</f>
        <v>1.476</v>
      </c>
      <c r="AD56" s="24" t="n">
        <f aca="false">AD$21*(AD$35-Planner!$C$44)</f>
        <v>2.211</v>
      </c>
      <c r="AE56" s="24" t="n">
        <f aca="false">AE$21*(AE$35-Planner!$C$44)</f>
        <v>6.558</v>
      </c>
      <c r="AF56" s="24" t="n">
        <f aca="false">AF$21*(AF$35-Planner!$C$44)</f>
        <v>1.566</v>
      </c>
      <c r="AG56" s="24" t="n">
        <f aca="false">AG$21*(AG$35-Planner!$C$44)</f>
        <v>7.074</v>
      </c>
      <c r="AH56" s="24" t="n">
        <f aca="false">AH$21*(AH$35-Planner!$C$44)</f>
        <v>7.389</v>
      </c>
      <c r="AI56" s="24" t="n">
        <f aca="false">AI$21*(AI$35-Planner!$C$44)</f>
        <v>6.438</v>
      </c>
      <c r="AJ56" s="24" t="n">
        <f aca="false">AJ$21*(AJ$35-Planner!$C$44)</f>
        <v>2.259</v>
      </c>
      <c r="AK56" s="24" t="n">
        <f aca="false">AK$21*(AK$35-Planner!$C$44)</f>
        <v>6.699</v>
      </c>
      <c r="AL56" s="24" t="n">
        <f aca="false">AL$21*(AL$35-Planner!$C$44)</f>
        <v>-4.442</v>
      </c>
      <c r="AM56" s="24" t="n">
        <f aca="false">AM$21*(AM$35-Planner!$C$44)</f>
        <v>1.38</v>
      </c>
      <c r="AN56" s="24" t="n">
        <f aca="false">AN$21*(AN$35-Planner!$C$44)</f>
        <v>6.426</v>
      </c>
      <c r="AO56" s="24" t="n">
        <f aca="false">AO$21*(AO$35-Planner!$C$44)</f>
        <v>3.03</v>
      </c>
      <c r="AP56" s="24" t="n">
        <f aca="false">AP$21*(AP$35-Planner!$C$44)</f>
        <v>-0.66</v>
      </c>
      <c r="AQ56" s="24" t="n">
        <f aca="false">AQ$21*(AQ$35-Planner!$C$44)</f>
        <v>-2.038</v>
      </c>
      <c r="AR56" s="24" t="n">
        <f aca="false">AR$21*(AR$35-Planner!$C$44)</f>
        <v>-0.52</v>
      </c>
      <c r="AS56" s="24" t="n">
        <f aca="false">AS$21*(AS$35-Planner!$C$44)</f>
        <v>-0.63</v>
      </c>
      <c r="AT56" s="24" t="n">
        <f aca="false">AT$21*(AT$35-Planner!$C$44)</f>
        <v>14.504</v>
      </c>
      <c r="AU56" s="24" t="n">
        <f aca="false">AU$21*(AU$35-Planner!$C$44)</f>
        <v>6.861</v>
      </c>
      <c r="AV56" s="24" t="n">
        <f aca="false">AV$21*(AV$35-Planner!$C$44)</f>
        <v>3.135</v>
      </c>
      <c r="AW56" s="24" t="n">
        <f aca="false">AW$21*(AW$35-Planner!$C$44)</f>
        <v>-4.75</v>
      </c>
      <c r="AX56" s="24" t="n">
        <f aca="false">AX$21*(AX$35-Planner!$C$44)</f>
        <v>-2.112</v>
      </c>
      <c r="AY56" s="24" t="n">
        <f aca="false">AY$21*(AY$35-Planner!$C$44)</f>
        <v>2.262</v>
      </c>
      <c r="AZ56" s="24" t="n">
        <f aca="false">AZ$21*(AZ$35-Planner!$C$44)</f>
        <v>-2.418</v>
      </c>
      <c r="BA56" s="24" t="n">
        <f aca="false">BA$21*(BA$35-Planner!$C$44)</f>
        <v>1.71</v>
      </c>
      <c r="BB56" s="24" t="n">
        <f aca="false">BB$21*(BB$35-Planner!$C$44)</f>
        <v>2.403</v>
      </c>
      <c r="BC56" s="24" t="n">
        <f aca="false">BC$21*(BC$35-Planner!$C$44)</f>
        <v>4.236</v>
      </c>
      <c r="BD56" s="24" t="n">
        <f aca="false">BD$21*(BD$35-Planner!$C$44)</f>
        <v>-2.63</v>
      </c>
      <c r="BE56" s="24" t="n">
        <f aca="false">BE$21*(BE$35-Planner!$C$44)</f>
        <v>3.912</v>
      </c>
      <c r="BF56" s="24" t="n">
        <f aca="false">BF$21*(BF$35-Planner!$C$44)</f>
        <v>2.655</v>
      </c>
      <c r="BG56" s="24" t="n">
        <f aca="false">BG$21*(BG$35-Planner!$C$44)</f>
        <v>2.139</v>
      </c>
      <c r="BH56" s="24" t="n">
        <f aca="false">BH$21*(BH$35-Planner!$C$44)</f>
        <v>3.735</v>
      </c>
      <c r="BI56" s="24" t="n">
        <f aca="false">BI$21*(BI$35-Planner!$C$44)</f>
        <v>4.161</v>
      </c>
      <c r="BJ56" s="24" t="n">
        <f aca="false">BJ$21*(BJ$35-Planner!$C$44)</f>
        <v>2.277</v>
      </c>
      <c r="BK56" s="24" t="n">
        <f aca="false">BK$21*(BK$35-Planner!$C$44)</f>
        <v>0.585</v>
      </c>
      <c r="BL56" s="24" t="n">
        <f aca="false">BL$21*(BL$35-Planner!$C$44)</f>
        <v>0.906</v>
      </c>
      <c r="BM56" s="24" t="n">
        <f aca="false">BM$21*(BM$35-Planner!$C$44)</f>
        <v>0.672</v>
      </c>
      <c r="BN56" s="24" t="n">
        <f aca="false">BN$21*(BN$35-Planner!$C$44)</f>
        <v>0.903</v>
      </c>
      <c r="BO56" s="24" t="n">
        <f aca="false">BO$21*(BO$35-Planner!$C$44)</f>
        <v>1.566</v>
      </c>
      <c r="BP56" s="24" t="n">
        <f aca="false">BP$21*(BP$35-Planner!$C$44)</f>
        <v>0.615</v>
      </c>
      <c r="BQ56" s="24" t="n">
        <f aca="false">BQ$21*(BQ$35-Planner!$C$44)</f>
        <v>0.471</v>
      </c>
      <c r="BR56" s="24" t="n">
        <f aca="false">BR$21*(BR$35-Planner!$C$44)</f>
        <v>0.078</v>
      </c>
      <c r="BS56" s="24" t="n">
        <f aca="false">BS$21*(BS$35-Planner!$C$44)</f>
        <v>-0.034</v>
      </c>
      <c r="BT56" s="24" t="n">
        <f aca="false">BT$21*(BT$35-Planner!$C$44)</f>
        <v>-0.218</v>
      </c>
      <c r="BU56" s="24" t="n">
        <f aca="false">BU$21*(BU$35-Planner!$C$44)</f>
        <v>-0.278</v>
      </c>
      <c r="BV56" s="24" t="n">
        <f aca="false">BV$21*(BV$35-Planner!$C$44)</f>
        <v>-0.084</v>
      </c>
      <c r="BW56" s="24" t="n">
        <f aca="false">BW$21*(BW$35-Planner!$C$44)</f>
        <v>-0.168</v>
      </c>
      <c r="BX56" s="24" t="n">
        <f aca="false">BX$21*(BX$35-Planner!$C$44)</f>
        <v>-0.212</v>
      </c>
      <c r="BY56" s="24" t="n">
        <f aca="false">BY$21*(BY$35-Planner!$C$44)</f>
        <v>-0.17</v>
      </c>
      <c r="BZ56" s="24" t="n">
        <f aca="false">BZ$21*(BZ$35-Planner!$C$44)</f>
        <v>-0.49</v>
      </c>
      <c r="CA56" s="24" t="n">
        <f aca="false">CA$21*(CA$35-Planner!$C$44)</f>
        <v>-0.678</v>
      </c>
      <c r="CB56" s="24" t="n">
        <f aca="false">CB$21*(CB$35-Planner!$C$44)</f>
        <v>-0.034</v>
      </c>
      <c r="CC56" s="24" t="n">
        <f aca="false">CC$21*(CC$35-Planner!$C$44)</f>
        <v>-0.092</v>
      </c>
      <c r="CD56" s="24" t="n">
        <f aca="false">CD$21*(CD$35-Planner!$C$44)</f>
        <v>-0.126</v>
      </c>
      <c r="CE56" s="24" t="n">
        <f aca="false">CE$21*(CE$35-Planner!$C$44)</f>
        <v>-0.144</v>
      </c>
      <c r="CF56" s="24" t="n">
        <f aca="false">CF$21*(CF$35-Planner!$C$44)</f>
        <v>-0.108</v>
      </c>
      <c r="CG56" s="24" t="n">
        <f aca="false">CG$21*(CG$35-Planner!$C$44)</f>
        <v>-0.228</v>
      </c>
      <c r="CH56" s="24" t="n">
        <f aca="false">CH$21*(CH$35-Planner!$C$44)</f>
        <v>-0.164</v>
      </c>
      <c r="CI56" s="24" t="n">
        <f aca="false">CI$21*(CI$35-Planner!$C$44)</f>
        <v>-0.212</v>
      </c>
      <c r="CJ56" s="24" t="n">
        <f aca="false">CJ$21*(CJ$35-Planner!$C$44)</f>
        <v>-0.136</v>
      </c>
      <c r="CK56" s="24" t="n">
        <f aca="false">CK$21*(CK$35-Planner!$C$44)</f>
        <v>0.273</v>
      </c>
      <c r="CL56" s="24" t="n">
        <f aca="false">CL$21*(CL$35-Planner!$C$44)</f>
        <v>-0.094</v>
      </c>
      <c r="CM56" s="24" t="n">
        <f aca="false">CM$21*(CM$35-Planner!$C$44)</f>
        <v>-0.182</v>
      </c>
      <c r="CN56" s="24" t="n">
        <f aca="false">CN$21*(CN$35-Planner!$C$44)</f>
        <v>-0.126</v>
      </c>
      <c r="CO56" s="24" t="n">
        <f aca="false">CO$21*(CO$35-Planner!$C$44)</f>
        <v>0.108</v>
      </c>
      <c r="CP56" s="24" t="n">
        <f aca="false">CP$21*(CP$35-Planner!$C$44)</f>
        <v>-0.068</v>
      </c>
      <c r="CQ56" s="24" t="n">
        <f aca="false">CQ$21*(CQ$35-Planner!$C$44)</f>
        <v>-0.108</v>
      </c>
      <c r="CR56" s="24" t="n">
        <f aca="false">CR$21*(CR$35-Planner!$C$44)</f>
        <v>-0.084</v>
      </c>
      <c r="CS56" s="24" t="n">
        <f aca="false">CS$21*(CS$35-Planner!$C$44)</f>
        <v>-0.14</v>
      </c>
      <c r="CT56" s="24" t="n">
        <f aca="false">CT$21*(CT$35-Planner!$C$44)</f>
        <v>-0.436</v>
      </c>
      <c r="CU56" s="24" t="n">
        <f aca="false">CU$21*(CU$35-Planner!$C$44)</f>
        <v>-0.614</v>
      </c>
      <c r="CV56" s="24" t="n">
        <f aca="false">CV$21*(CV$35-Planner!$C$44)</f>
        <v>-0.24</v>
      </c>
      <c r="CW56" s="24" t="n">
        <f aca="false">CW$21*(CW$35-Planner!$C$44)</f>
        <v>-0.134</v>
      </c>
      <c r="CX56" s="24" t="n">
        <f aca="false">CX$21*(CX$35-Planner!$C$44)</f>
        <v>-0.086</v>
      </c>
      <c r="CY56" s="24" t="n">
        <f aca="false">CY$21*(CY$35-Planner!$C$44)</f>
        <v>-0.122</v>
      </c>
      <c r="CZ56" s="24" t="n">
        <f aca="false">CZ$21*(CZ$35-Planner!$C$44)</f>
        <v>0.24</v>
      </c>
      <c r="DA56" s="24" t="n">
        <f aca="false">DA$21*(DA$35-Planner!$C$44)</f>
        <v>0.66</v>
      </c>
      <c r="DB56" s="24" t="n">
        <f aca="false">DB$21*(DB$35-Planner!$C$44)</f>
        <v>0.192</v>
      </c>
      <c r="DC56" s="24" t="n">
        <f aca="false">DC$21*(DC$35-Planner!$C$44)</f>
        <v>0.219</v>
      </c>
      <c r="DD56" s="24" t="n">
        <f aca="false">DD$21*(DD$35-Planner!$C$44)</f>
        <v>0.918</v>
      </c>
      <c r="DE56" s="24" t="n">
        <f aca="false">DE$21*(DE$35-Planner!$C$44)</f>
        <v>1.134</v>
      </c>
      <c r="DF56" s="24" t="n">
        <f aca="false">DF$21*(DF$35-Planner!$C$44)</f>
        <v>0.3</v>
      </c>
      <c r="DG56" s="24" t="n">
        <f aca="false">DG$21*(DG$35-Planner!$C$44)</f>
        <v>0.384</v>
      </c>
      <c r="DH56" s="24" t="n">
        <f aca="false">DH$21*(DH$35-Planner!$C$44)</f>
        <v>0.429</v>
      </c>
      <c r="DI56" s="24" t="n">
        <f aca="false">DI$21*(DI$35-Planner!$C$44)</f>
        <v>0.279</v>
      </c>
      <c r="DJ56" s="24" t="n">
        <f aca="false">DJ$21*(DJ$35-Planner!$C$44)</f>
        <v>0.174</v>
      </c>
      <c r="DK56" s="24" t="n">
        <f aca="false">DK$21*(DK$35-Planner!$C$44)</f>
        <v>0.234</v>
      </c>
      <c r="DL56" s="24" t="n">
        <f aca="false">DL$21*(DL$35-Planner!$C$44)</f>
        <v>0.603</v>
      </c>
      <c r="DM56" s="24" t="n">
        <f aca="false">DM$21*(DM$35-Planner!$C$44)</f>
        <v>0.207</v>
      </c>
      <c r="DN56" s="24" t="n">
        <f aca="false">DN$21*(DN$35-Planner!$C$44)</f>
        <v>0.906</v>
      </c>
      <c r="DO56" s="24" t="n">
        <f aca="false">DO$21*(DO$35-Planner!$C$44)</f>
        <v>0.807</v>
      </c>
      <c r="DP56" s="24" t="n">
        <f aca="false">DP$21*(DP$35-Planner!$C$44)</f>
        <v>0.195</v>
      </c>
      <c r="DQ56" s="24" t="n">
        <f aca="false">DQ$21*(DQ$35-Planner!$C$44)</f>
        <v>0.216</v>
      </c>
      <c r="DR56" s="24" t="n">
        <f aca="false">DR$21*(DR$35-Planner!$C$44)</f>
        <v>0.537</v>
      </c>
      <c r="DS56" s="24" t="n">
        <f aca="false">DS$21*(DS$35-Planner!$C$44)</f>
        <v>0.258</v>
      </c>
      <c r="DT56" s="24" t="n">
        <f aca="false">DT$21*(DT$35-Planner!$C$44)</f>
        <v>0.27</v>
      </c>
      <c r="DU56" s="24" t="n">
        <f aca="false">DU$21*(DU$35-Planner!$C$44)</f>
        <v>0.798</v>
      </c>
      <c r="DV56" s="24" t="n">
        <f aca="false">DV$21*(DV$35-Planner!$C$44)</f>
        <v>0.999</v>
      </c>
      <c r="DW56" s="24" t="n">
        <f aca="false">DW$21*(DW$35-Planner!$C$44)</f>
        <v>0.927</v>
      </c>
      <c r="DX56" s="24" t="n">
        <f aca="false">DX$21*(DX$35-Planner!$C$44)</f>
        <v>0.747</v>
      </c>
      <c r="DY56" s="24" t="n">
        <f aca="false">DY$21*(DY$35-Planner!$C$44)</f>
        <v>0.507</v>
      </c>
      <c r="DZ56" s="24" t="n">
        <f aca="false">DZ$21*(DZ$35-Planner!$C$44)</f>
        <v>0.33</v>
      </c>
      <c r="EA56" s="24" t="n">
        <f aca="false">EA$21*(EA$35-Planner!$C$44)</f>
        <v>0.33</v>
      </c>
      <c r="EB56" s="24" t="n">
        <f aca="false">EB$21*(EB$35-Planner!$C$44)</f>
        <v>0.204</v>
      </c>
      <c r="EC56" s="24" t="n">
        <f aca="false">EC$21*(EC$35-Planner!$C$44)</f>
        <v>0.297</v>
      </c>
      <c r="ED56" s="24" t="n">
        <f aca="false">ED$21*(ED$35-Planner!$C$44)</f>
        <v>0.369</v>
      </c>
      <c r="EE56" s="24" t="n">
        <f aca="false">EE$21*(EE$35-Planner!$C$44)</f>
        <v>0.273</v>
      </c>
      <c r="EF56" s="24" t="n">
        <f aca="false">EF$21*(EF$35-Planner!$C$44)</f>
        <v>0.633</v>
      </c>
      <c r="EG56" s="24" t="n">
        <f aca="false">EG$21*(EG$35-Planner!$C$44)</f>
        <v>0.858</v>
      </c>
      <c r="EH56" s="24" t="n">
        <f aca="false">EH$21*(EH$35-Planner!$C$44)</f>
        <v>1.089</v>
      </c>
      <c r="EI56" s="24" t="n">
        <f aca="false">EI$21*(EI$35-Planner!$C$44)</f>
        <v>0.237</v>
      </c>
      <c r="EJ56" s="24" t="n">
        <f aca="false">EJ$21*(EJ$35-Planner!$C$44)</f>
        <v>0.264</v>
      </c>
      <c r="EK56" s="24" t="n">
        <f aca="false">EK$21*(EK$35-Planner!$C$44)</f>
        <v>0.741</v>
      </c>
      <c r="EL56" s="24" t="n">
        <f aca="false">EL$21*(EL$35-Planner!$C$44)</f>
        <v>0.363</v>
      </c>
      <c r="EM56" s="24" t="n">
        <f aca="false">EM$21*(EM$35-Planner!$C$44)</f>
        <v>-0.17</v>
      </c>
      <c r="EN56" s="24" t="n">
        <f aca="false">EN$21*(EN$35-Planner!$C$44)</f>
        <v>0</v>
      </c>
      <c r="EO56" s="24" t="n">
        <f aca="false">EO$21*(EO$35-Planner!$C$44)</f>
        <v>0</v>
      </c>
      <c r="EP56" s="24" t="n">
        <f aca="false">EP$21*(EP$35-Planner!$C$44)</f>
        <v>-4.23</v>
      </c>
      <c r="EQ56" s="24" t="n">
        <f aca="false">EQ$21*(EQ$35-Planner!$C$44)</f>
        <v>0.588</v>
      </c>
      <c r="ER56" s="24" t="n">
        <f aca="false">ER$21*(ER$35-Planner!$C$44)</f>
        <v>-1.02</v>
      </c>
      <c r="ES56" s="24" t="n">
        <f aca="false">ES$21*(ES$35-Planner!$C$44)</f>
        <v>-1.13</v>
      </c>
      <c r="ET56" s="24" t="n">
        <f aca="false">ET$21*(ET$35-Planner!$C$44)</f>
        <v>-1.278</v>
      </c>
      <c r="EU56" s="24" t="n">
        <f aca="false">EU$21*(EU$35-Planner!$C$44)</f>
        <v>-0.7</v>
      </c>
    </row>
    <row r="57" customFormat="false" ht="15" hidden="false" customHeight="false" outlineLevel="0" collapsed="false">
      <c r="A57" s="4" t="s">
        <v>991</v>
      </c>
      <c r="B57" s="75" t="s">
        <v>985</v>
      </c>
      <c r="C57" s="78" t="n">
        <v>0</v>
      </c>
      <c r="D57" s="77" t="n">
        <v>8.198116387314</v>
      </c>
      <c r="E57" s="75" t="str">
        <f aca="false">IF(D57&gt;=C57-0.000001*MAX(1,ABS(C57)),IF(ABS(D57-C57)&lt;=0.000001*MAX(1,ABS(C57)),"tight","ok"),"VIOLATED")</f>
        <v>ok</v>
      </c>
      <c r="F57" s="24" t="n">
        <f aca="false">F$21*(F$36-Planner!$C$44)</f>
        <v>6.75</v>
      </c>
      <c r="G57" s="24" t="n">
        <f aca="false">G$21*(G$36-Planner!$C$44)</f>
        <v>5.424</v>
      </c>
      <c r="H57" s="24" t="n">
        <f aca="false">H$21*(H$36-Planner!$C$44)</f>
        <v>5.898</v>
      </c>
      <c r="I57" s="24" t="n">
        <f aca="false">I$21*(I$36-Planner!$C$44)</f>
        <v>-3.266</v>
      </c>
      <c r="J57" s="24" t="n">
        <f aca="false">J$21*(J$36-Planner!$C$44)</f>
        <v>5.619</v>
      </c>
      <c r="K57" s="24" t="n">
        <f aca="false">K$21*(K$36-Planner!$C$44)</f>
        <v>5.58</v>
      </c>
      <c r="L57" s="24" t="n">
        <f aca="false">L$21*(L$36-Planner!$C$44)</f>
        <v>-2.524</v>
      </c>
      <c r="M57" s="24" t="n">
        <f aca="false">M$21*(M$36-Planner!$C$44)</f>
        <v>17.4</v>
      </c>
      <c r="N57" s="24" t="n">
        <f aca="false">N$21*(N$36-Planner!$C$44)</f>
        <v>5.151</v>
      </c>
      <c r="O57" s="24" t="n">
        <f aca="false">O$21*(O$36-Planner!$C$44)</f>
        <v>6.255</v>
      </c>
      <c r="P57" s="24" t="n">
        <f aca="false">P$21*(P$36-Planner!$C$44)</f>
        <v>-3.32</v>
      </c>
      <c r="Q57" s="24" t="n">
        <f aca="false">Q$21*(Q$36-Planner!$C$44)</f>
        <v>6.342</v>
      </c>
      <c r="R57" s="24" t="n">
        <f aca="false">R$21*(R$36-Planner!$C$44)</f>
        <v>17.552</v>
      </c>
      <c r="S57" s="24" t="n">
        <f aca="false">S$21*(S$36-Planner!$C$44)</f>
        <v>15.936</v>
      </c>
      <c r="T57" s="24" t="n">
        <f aca="false">T$21*(T$36-Planner!$C$44)</f>
        <v>-3.888</v>
      </c>
      <c r="U57" s="24" t="n">
        <f aca="false">U$21*(U$36-Planner!$C$44)</f>
        <v>16.336</v>
      </c>
      <c r="V57" s="24" t="n">
        <f aca="false">V$21*(V$36-Planner!$C$44)</f>
        <v>10.888</v>
      </c>
      <c r="W57" s="24" t="n">
        <f aca="false">W$21*(W$36-Planner!$C$44)</f>
        <v>6.024</v>
      </c>
      <c r="X57" s="24" t="n">
        <f aca="false">X$21*(X$36-Planner!$C$44)</f>
        <v>-2.512</v>
      </c>
      <c r="Y57" s="24" t="n">
        <f aca="false">Y$21*(Y$36-Planner!$C$44)</f>
        <v>1.809</v>
      </c>
      <c r="Z57" s="24" t="n">
        <f aca="false">Z$21*(Z$36-Planner!$C$44)</f>
        <v>6.48</v>
      </c>
      <c r="AA57" s="24" t="n">
        <f aca="false">AA$21*(AA$36-Planner!$C$44)</f>
        <v>1.422</v>
      </c>
      <c r="AB57" s="24" t="n">
        <f aca="false">AB$21*(AB$36-Planner!$C$44)</f>
        <v>7.056</v>
      </c>
      <c r="AC57" s="24" t="n">
        <f aca="false">AC$21*(AC$36-Planner!$C$44)</f>
        <v>1.476</v>
      </c>
      <c r="AD57" s="24" t="n">
        <f aca="false">AD$21*(AD$36-Planner!$C$44)</f>
        <v>2.211</v>
      </c>
      <c r="AE57" s="24" t="n">
        <f aca="false">AE$21*(AE$36-Planner!$C$44)</f>
        <v>6.558</v>
      </c>
      <c r="AF57" s="24" t="n">
        <f aca="false">AF$21*(AF$36-Planner!$C$44)</f>
        <v>1.566</v>
      </c>
      <c r="AG57" s="24" t="n">
        <f aca="false">AG$21*(AG$36-Planner!$C$44)</f>
        <v>7.074</v>
      </c>
      <c r="AH57" s="24" t="n">
        <f aca="false">AH$21*(AH$36-Planner!$C$44)</f>
        <v>7.389</v>
      </c>
      <c r="AI57" s="24" t="n">
        <f aca="false">AI$21*(AI$36-Planner!$C$44)</f>
        <v>6.438</v>
      </c>
      <c r="AJ57" s="24" t="n">
        <f aca="false">AJ$21*(AJ$36-Planner!$C$44)</f>
        <v>2.259</v>
      </c>
      <c r="AK57" s="24" t="n">
        <f aca="false">AK$21*(AK$36-Planner!$C$44)</f>
        <v>6.699</v>
      </c>
      <c r="AL57" s="24" t="n">
        <f aca="false">AL$21*(AL$36-Planner!$C$44)</f>
        <v>-4.442</v>
      </c>
      <c r="AM57" s="24" t="n">
        <f aca="false">AM$21*(AM$36-Planner!$C$44)</f>
        <v>1.38</v>
      </c>
      <c r="AN57" s="24" t="n">
        <f aca="false">AN$21*(AN$36-Planner!$C$44)</f>
        <v>6.426</v>
      </c>
      <c r="AO57" s="24" t="n">
        <f aca="false">AO$21*(AO$36-Planner!$C$44)</f>
        <v>3.03</v>
      </c>
      <c r="AP57" s="24" t="n">
        <f aca="false">AP$21*(AP$36-Planner!$C$44)</f>
        <v>-0.66</v>
      </c>
      <c r="AQ57" s="24" t="n">
        <f aca="false">AQ$21*(AQ$36-Planner!$C$44)</f>
        <v>-2.038</v>
      </c>
      <c r="AR57" s="24" t="n">
        <f aca="false">AR$21*(AR$36-Planner!$C$44)</f>
        <v>-0.52</v>
      </c>
      <c r="AS57" s="24" t="n">
        <f aca="false">AS$21*(AS$36-Planner!$C$44)</f>
        <v>-0.63</v>
      </c>
      <c r="AT57" s="24" t="n">
        <f aca="false">AT$21*(AT$36-Planner!$C$44)</f>
        <v>-3.626</v>
      </c>
      <c r="AU57" s="24" t="n">
        <f aca="false">AU$21*(AU$36-Planner!$C$44)</f>
        <v>6.861</v>
      </c>
      <c r="AV57" s="24" t="n">
        <f aca="false">AV$21*(AV$36-Planner!$C$44)</f>
        <v>-2.09</v>
      </c>
      <c r="AW57" s="24" t="n">
        <f aca="false">AW$21*(AW$36-Planner!$C$44)</f>
        <v>-4.75</v>
      </c>
      <c r="AX57" s="24" t="n">
        <f aca="false">AX$21*(AX$36-Planner!$C$44)</f>
        <v>-2.112</v>
      </c>
      <c r="AY57" s="24" t="n">
        <f aca="false">AY$21*(AY$36-Planner!$C$44)</f>
        <v>2.262</v>
      </c>
      <c r="AZ57" s="24" t="n">
        <f aca="false">AZ$21*(AZ$36-Planner!$C$44)</f>
        <v>-2.418</v>
      </c>
      <c r="BA57" s="24" t="n">
        <f aca="false">BA$21*(BA$36-Planner!$C$44)</f>
        <v>1.71</v>
      </c>
      <c r="BB57" s="24" t="n">
        <f aca="false">BB$21*(BB$36-Planner!$C$44)</f>
        <v>2.403</v>
      </c>
      <c r="BC57" s="24" t="n">
        <f aca="false">BC$21*(BC$36-Planner!$C$44)</f>
        <v>4.236</v>
      </c>
      <c r="BD57" s="24" t="n">
        <f aca="false">BD$21*(BD$36-Planner!$C$44)</f>
        <v>-2.63</v>
      </c>
      <c r="BE57" s="24" t="n">
        <f aca="false">BE$21*(BE$36-Planner!$C$44)</f>
        <v>3.912</v>
      </c>
      <c r="BF57" s="24" t="n">
        <f aca="false">BF$21*(BF$36-Planner!$C$44)</f>
        <v>-1.77</v>
      </c>
      <c r="BG57" s="24" t="n">
        <f aca="false">BG$21*(BG$36-Planner!$C$44)</f>
        <v>2.139</v>
      </c>
      <c r="BH57" s="24" t="n">
        <f aca="false">BH$21*(BH$36-Planner!$C$44)</f>
        <v>-2.49</v>
      </c>
      <c r="BI57" s="24" t="n">
        <f aca="false">BI$21*(BI$36-Planner!$C$44)</f>
        <v>4.161</v>
      </c>
      <c r="BJ57" s="24" t="n">
        <f aca="false">BJ$21*(BJ$36-Planner!$C$44)</f>
        <v>2.277</v>
      </c>
      <c r="BK57" s="24" t="n">
        <f aca="false">BK$21*(BK$36-Planner!$C$44)</f>
        <v>0.585</v>
      </c>
      <c r="BL57" s="24" t="n">
        <f aca="false">BL$21*(BL$36-Planner!$C$44)</f>
        <v>0.906</v>
      </c>
      <c r="BM57" s="24" t="n">
        <f aca="false">BM$21*(BM$36-Planner!$C$44)</f>
        <v>0.672</v>
      </c>
      <c r="BN57" s="24" t="n">
        <f aca="false">BN$21*(BN$36-Planner!$C$44)</f>
        <v>0.903</v>
      </c>
      <c r="BO57" s="24" t="n">
        <f aca="false">BO$21*(BO$36-Planner!$C$44)</f>
        <v>1.566</v>
      </c>
      <c r="BP57" s="24" t="n">
        <f aca="false">BP$21*(BP$36-Planner!$C$44)</f>
        <v>0.615</v>
      </c>
      <c r="BQ57" s="24" t="n">
        <f aca="false">BQ$21*(BQ$36-Planner!$C$44)</f>
        <v>0.471</v>
      </c>
      <c r="BR57" s="24" t="n">
        <f aca="false">BR$21*(BR$36-Planner!$C$44)</f>
        <v>-0.052</v>
      </c>
      <c r="BS57" s="24" t="n">
        <f aca="false">BS$21*(BS$36-Planner!$C$44)</f>
        <v>-0.034</v>
      </c>
      <c r="BT57" s="24" t="n">
        <f aca="false">BT$21*(BT$36-Planner!$C$44)</f>
        <v>-0.218</v>
      </c>
      <c r="BU57" s="24" t="n">
        <f aca="false">BU$21*(BU$36-Planner!$C$44)</f>
        <v>-0.278</v>
      </c>
      <c r="BV57" s="24" t="n">
        <f aca="false">BV$21*(BV$36-Planner!$C$44)</f>
        <v>-0.084</v>
      </c>
      <c r="BW57" s="24" t="n">
        <f aca="false">BW$21*(BW$36-Planner!$C$44)</f>
        <v>-0.168</v>
      </c>
      <c r="BX57" s="24" t="n">
        <f aca="false">BX$21*(BX$36-Planner!$C$44)</f>
        <v>-0.212</v>
      </c>
      <c r="BY57" s="24" t="n">
        <f aca="false">BY$21*(BY$36-Planner!$C$44)</f>
        <v>-0.17</v>
      </c>
      <c r="BZ57" s="24" t="n">
        <f aca="false">BZ$21*(BZ$36-Planner!$C$44)</f>
        <v>-0.49</v>
      </c>
      <c r="CA57" s="24" t="n">
        <f aca="false">CA$21*(CA$36-Planner!$C$44)</f>
        <v>-0.678</v>
      </c>
      <c r="CB57" s="24" t="n">
        <f aca="false">CB$21*(CB$36-Planner!$C$44)</f>
        <v>-0.034</v>
      </c>
      <c r="CC57" s="24" t="n">
        <f aca="false">CC$21*(CC$36-Planner!$C$44)</f>
        <v>-0.092</v>
      </c>
      <c r="CD57" s="24" t="n">
        <f aca="false">CD$21*(CD$36-Planner!$C$44)</f>
        <v>-0.126</v>
      </c>
      <c r="CE57" s="24" t="n">
        <f aca="false">CE$21*(CE$36-Planner!$C$44)</f>
        <v>-0.144</v>
      </c>
      <c r="CF57" s="24" t="n">
        <f aca="false">CF$21*(CF$36-Planner!$C$44)</f>
        <v>-0.108</v>
      </c>
      <c r="CG57" s="24" t="n">
        <f aca="false">CG$21*(CG$36-Planner!$C$44)</f>
        <v>-0.228</v>
      </c>
      <c r="CH57" s="24" t="n">
        <f aca="false">CH$21*(CH$36-Planner!$C$44)</f>
        <v>-0.164</v>
      </c>
      <c r="CI57" s="24" t="n">
        <f aca="false">CI$21*(CI$36-Planner!$C$44)</f>
        <v>-0.212</v>
      </c>
      <c r="CJ57" s="24" t="n">
        <f aca="false">CJ$21*(CJ$36-Planner!$C$44)</f>
        <v>-0.136</v>
      </c>
      <c r="CK57" s="24" t="n">
        <f aca="false">CK$21*(CK$36-Planner!$C$44)</f>
        <v>-0.182</v>
      </c>
      <c r="CL57" s="24" t="n">
        <f aca="false">CL$21*(CL$36-Planner!$C$44)</f>
        <v>-0.094</v>
      </c>
      <c r="CM57" s="24" t="n">
        <f aca="false">CM$21*(CM$36-Planner!$C$44)</f>
        <v>-0.182</v>
      </c>
      <c r="CN57" s="24" t="n">
        <f aca="false">CN$21*(CN$36-Planner!$C$44)</f>
        <v>-0.126</v>
      </c>
      <c r="CO57" s="24" t="n">
        <f aca="false">CO$21*(CO$36-Planner!$C$44)</f>
        <v>-0.072</v>
      </c>
      <c r="CP57" s="24" t="n">
        <f aca="false">CP$21*(CP$36-Planner!$C$44)</f>
        <v>-0.068</v>
      </c>
      <c r="CQ57" s="24" t="n">
        <f aca="false">CQ$21*(CQ$36-Planner!$C$44)</f>
        <v>-0.108</v>
      </c>
      <c r="CR57" s="24" t="n">
        <f aca="false">CR$21*(CR$36-Planner!$C$44)</f>
        <v>-0.084</v>
      </c>
      <c r="CS57" s="24" t="n">
        <f aca="false">CS$21*(CS$36-Planner!$C$44)</f>
        <v>-0.14</v>
      </c>
      <c r="CT57" s="24" t="n">
        <f aca="false">CT$21*(CT$36-Planner!$C$44)</f>
        <v>-0.436</v>
      </c>
      <c r="CU57" s="24" t="n">
        <f aca="false">CU$21*(CU$36-Planner!$C$44)</f>
        <v>-0.614</v>
      </c>
      <c r="CV57" s="24" t="n">
        <f aca="false">CV$21*(CV$36-Planner!$C$44)</f>
        <v>-0.24</v>
      </c>
      <c r="CW57" s="24" t="n">
        <f aca="false">CW$21*(CW$36-Planner!$C$44)</f>
        <v>-0.134</v>
      </c>
      <c r="CX57" s="24" t="n">
        <f aca="false">CX$21*(CX$36-Planner!$C$44)</f>
        <v>-0.086</v>
      </c>
      <c r="CY57" s="24" t="n">
        <f aca="false">CY$21*(CY$36-Planner!$C$44)</f>
        <v>-0.122</v>
      </c>
      <c r="CZ57" s="24" t="n">
        <f aca="false">CZ$21*(CZ$36-Planner!$C$44)</f>
        <v>0.24</v>
      </c>
      <c r="DA57" s="24" t="n">
        <f aca="false">DA$21*(DA$36-Planner!$C$44)</f>
        <v>0.66</v>
      </c>
      <c r="DB57" s="24" t="n">
        <f aca="false">DB$21*(DB$36-Planner!$C$44)</f>
        <v>-0.128</v>
      </c>
      <c r="DC57" s="24" t="n">
        <f aca="false">DC$21*(DC$36-Planner!$C$44)</f>
        <v>0.219</v>
      </c>
      <c r="DD57" s="24" t="n">
        <f aca="false">DD$21*(DD$36-Planner!$C$44)</f>
        <v>0.918</v>
      </c>
      <c r="DE57" s="24" t="n">
        <f aca="false">DE$21*(DE$36-Planner!$C$44)</f>
        <v>1.134</v>
      </c>
      <c r="DF57" s="24" t="n">
        <f aca="false">DF$21*(DF$36-Planner!$C$44)</f>
        <v>0.3</v>
      </c>
      <c r="DG57" s="24" t="n">
        <f aca="false">DG$21*(DG$36-Planner!$C$44)</f>
        <v>0.384</v>
      </c>
      <c r="DH57" s="24" t="n">
        <f aca="false">DH$21*(DH$36-Planner!$C$44)</f>
        <v>0.429</v>
      </c>
      <c r="DI57" s="24" t="n">
        <f aca="false">DI$21*(DI$36-Planner!$C$44)</f>
        <v>-0.186</v>
      </c>
      <c r="DJ57" s="24" t="n">
        <f aca="false">DJ$21*(DJ$36-Planner!$C$44)</f>
        <v>0.174</v>
      </c>
      <c r="DK57" s="24" t="n">
        <f aca="false">DK$21*(DK$36-Planner!$C$44)</f>
        <v>0.234</v>
      </c>
      <c r="DL57" s="24" t="n">
        <f aca="false">DL$21*(DL$36-Planner!$C$44)</f>
        <v>0.603</v>
      </c>
      <c r="DM57" s="24" t="n">
        <f aca="false">DM$21*(DM$36-Planner!$C$44)</f>
        <v>-0.138</v>
      </c>
      <c r="DN57" s="24" t="n">
        <f aca="false">DN$21*(DN$36-Planner!$C$44)</f>
        <v>0.906</v>
      </c>
      <c r="DO57" s="24" t="n">
        <f aca="false">DO$21*(DO$36-Planner!$C$44)</f>
        <v>0.807</v>
      </c>
      <c r="DP57" s="24" t="n">
        <f aca="false">DP$21*(DP$36-Planner!$C$44)</f>
        <v>0.195</v>
      </c>
      <c r="DQ57" s="24" t="n">
        <f aca="false">DQ$21*(DQ$36-Planner!$C$44)</f>
        <v>0.216</v>
      </c>
      <c r="DR57" s="24" t="n">
        <f aca="false">DR$21*(DR$36-Planner!$C$44)</f>
        <v>0.537</v>
      </c>
      <c r="DS57" s="24" t="n">
        <f aca="false">DS$21*(DS$36-Planner!$C$44)</f>
        <v>0.258</v>
      </c>
      <c r="DT57" s="24" t="n">
        <f aca="false">DT$21*(DT$36-Planner!$C$44)</f>
        <v>0.27</v>
      </c>
      <c r="DU57" s="24" t="n">
        <f aca="false">DU$21*(DU$36-Planner!$C$44)</f>
        <v>0.798</v>
      </c>
      <c r="DV57" s="24" t="n">
        <f aca="false">DV$21*(DV$36-Planner!$C$44)</f>
        <v>0.999</v>
      </c>
      <c r="DW57" s="24" t="n">
        <f aca="false">DW$21*(DW$36-Planner!$C$44)</f>
        <v>0.927</v>
      </c>
      <c r="DX57" s="24" t="n">
        <f aca="false">DX$21*(DX$36-Planner!$C$44)</f>
        <v>0.747</v>
      </c>
      <c r="DY57" s="24" t="n">
        <f aca="false">DY$21*(DY$36-Planner!$C$44)</f>
        <v>0.507</v>
      </c>
      <c r="DZ57" s="24" t="n">
        <f aca="false">DZ$21*(DZ$36-Planner!$C$44)</f>
        <v>0.33</v>
      </c>
      <c r="EA57" s="24" t="n">
        <f aca="false">EA$21*(EA$36-Planner!$C$44)</f>
        <v>0.33</v>
      </c>
      <c r="EB57" s="24" t="n">
        <f aca="false">EB$21*(EB$36-Planner!$C$44)</f>
        <v>0.204</v>
      </c>
      <c r="EC57" s="24" t="n">
        <f aca="false">EC$21*(EC$36-Planner!$C$44)</f>
        <v>0.297</v>
      </c>
      <c r="ED57" s="24" t="n">
        <f aca="false">ED$21*(ED$36-Planner!$C$44)</f>
        <v>0.369</v>
      </c>
      <c r="EE57" s="24" t="n">
        <f aca="false">EE$21*(EE$36-Planner!$C$44)</f>
        <v>0.273</v>
      </c>
      <c r="EF57" s="24" t="n">
        <f aca="false">EF$21*(EF$36-Planner!$C$44)</f>
        <v>0.633</v>
      </c>
      <c r="EG57" s="24" t="n">
        <f aca="false">EG$21*(EG$36-Planner!$C$44)</f>
        <v>0.858</v>
      </c>
      <c r="EH57" s="24" t="n">
        <f aca="false">EH$21*(EH$36-Planner!$C$44)</f>
        <v>1.089</v>
      </c>
      <c r="EI57" s="24" t="n">
        <f aca="false">EI$21*(EI$36-Planner!$C$44)</f>
        <v>0.237</v>
      </c>
      <c r="EJ57" s="24" t="n">
        <f aca="false">EJ$21*(EJ$36-Planner!$C$44)</f>
        <v>0.264</v>
      </c>
      <c r="EK57" s="24" t="n">
        <f aca="false">EK$21*(EK$36-Planner!$C$44)</f>
        <v>0.741</v>
      </c>
      <c r="EL57" s="24" t="n">
        <f aca="false">EL$21*(EL$36-Planner!$C$44)</f>
        <v>0.363</v>
      </c>
      <c r="EM57" s="24" t="n">
        <f aca="false">EM$21*(EM$36-Planner!$C$44)</f>
        <v>0.255</v>
      </c>
      <c r="EN57" s="24" t="n">
        <f aca="false">EN$21*(EN$36-Planner!$C$44)</f>
        <v>0</v>
      </c>
      <c r="EO57" s="24" t="n">
        <f aca="false">EO$21*(EO$36-Planner!$C$44)</f>
        <v>0</v>
      </c>
      <c r="EP57" s="24" t="n">
        <f aca="false">EP$21*(EP$36-Planner!$C$44)</f>
        <v>-4.23</v>
      </c>
      <c r="EQ57" s="24" t="n">
        <f aca="false">EQ$21*(EQ$36-Planner!$C$44)</f>
        <v>0.588</v>
      </c>
      <c r="ER57" s="24" t="n">
        <f aca="false">ER$21*(ER$36-Planner!$C$44)</f>
        <v>-1.02</v>
      </c>
      <c r="ES57" s="24" t="n">
        <f aca="false">ES$21*(ES$36-Planner!$C$44)</f>
        <v>-1.13</v>
      </c>
      <c r="ET57" s="24" t="n">
        <f aca="false">ET$21*(ET$36-Planner!$C$44)</f>
        <v>-1.278</v>
      </c>
      <c r="EU57" s="24" t="n">
        <f aca="false">EU$21*(EU$36-Planner!$C$44)</f>
        <v>-0.7</v>
      </c>
    </row>
    <row r="58" customFormat="false" ht="15" hidden="false" customHeight="false" outlineLevel="0" collapsed="false">
      <c r="A58" s="4" t="s">
        <v>992</v>
      </c>
      <c r="B58" s="75" t="s">
        <v>993</v>
      </c>
      <c r="C58" s="76" t="n">
        <f aca="false">Planner!$C$49</f>
        <v>2.5</v>
      </c>
      <c r="D58" s="77" t="n">
        <v>2.5</v>
      </c>
      <c r="E58" s="75" t="str">
        <f aca="false">IF(D58&gt;=C58-0.000001*MAX(1,ABS(C58)),IF(ABS(D58-C58)&lt;=0.000001*MAX(1,ABS(C58)),"tight","ok"),"VIOLATED")</f>
        <v>tight</v>
      </c>
      <c r="F58" s="24" t="n">
        <f aca="false">IF('Food Data'!$C$6="Vegetables",100/'Food Data'!$AJ$6,0)</f>
        <v>0</v>
      </c>
      <c r="G58" s="24" t="n">
        <f aca="false">IF('Food Data'!$C$7="Vegetables",100/'Food Data'!$AJ$7,0)</f>
        <v>0</v>
      </c>
      <c r="H58" s="24" t="n">
        <f aca="false">IF('Food Data'!$C$8="Vegetables",100/'Food Data'!$AJ$8,0)</f>
        <v>0</v>
      </c>
      <c r="I58" s="24" t="n">
        <f aca="false">IF('Food Data'!$C$9="Vegetables",100/'Food Data'!$AJ$9,0)</f>
        <v>0</v>
      </c>
      <c r="J58" s="24" t="n">
        <f aca="false">IF('Food Data'!$C$10="Vegetables",100/'Food Data'!$AJ$10,0)</f>
        <v>0</v>
      </c>
      <c r="K58" s="24" t="n">
        <f aca="false">IF('Food Data'!$C$11="Vegetables",100/'Food Data'!$AJ$11,0)</f>
        <v>0</v>
      </c>
      <c r="L58" s="24" t="n">
        <f aca="false">IF('Food Data'!$C$12="Vegetables",100/'Food Data'!$AJ$12,0)</f>
        <v>0</v>
      </c>
      <c r="M58" s="24" t="n">
        <f aca="false">IF('Food Data'!$C$13="Vegetables",100/'Food Data'!$AJ$13,0)</f>
        <v>0</v>
      </c>
      <c r="N58" s="24" t="n">
        <f aca="false">IF('Food Data'!$C$14="Vegetables",100/'Food Data'!$AJ$14,0)</f>
        <v>0</v>
      </c>
      <c r="O58" s="24" t="n">
        <f aca="false">IF('Food Data'!$C$15="Vegetables",100/'Food Data'!$AJ$15,0)</f>
        <v>0</v>
      </c>
      <c r="P58" s="24" t="n">
        <f aca="false">IF('Food Data'!$C$16="Vegetables",100/'Food Data'!$AJ$16,0)</f>
        <v>0</v>
      </c>
      <c r="Q58" s="24" t="n">
        <f aca="false">IF('Food Data'!$C$17="Vegetables",100/'Food Data'!$AJ$17,0)</f>
        <v>0</v>
      </c>
      <c r="R58" s="24" t="n">
        <f aca="false">IF('Food Data'!$C$18="Vegetables",100/'Food Data'!$AJ$18,0)</f>
        <v>0</v>
      </c>
      <c r="S58" s="24" t="n">
        <f aca="false">IF('Food Data'!$C$19="Vegetables",100/'Food Data'!$AJ$19,0)</f>
        <v>0</v>
      </c>
      <c r="T58" s="24" t="n">
        <f aca="false">IF('Food Data'!$C$20="Vegetables",100/'Food Data'!$AJ$20,0)</f>
        <v>0</v>
      </c>
      <c r="U58" s="24" t="n">
        <f aca="false">IF('Food Data'!$C$21="Vegetables",100/'Food Data'!$AJ$21,0)</f>
        <v>0</v>
      </c>
      <c r="V58" s="24" t="n">
        <f aca="false">IF('Food Data'!$C$22="Vegetables",100/'Food Data'!$AJ$22,0)</f>
        <v>0</v>
      </c>
      <c r="W58" s="24" t="n">
        <f aca="false">IF('Food Data'!$C$23="Vegetables",100/'Food Data'!$AJ$23,0)</f>
        <v>0</v>
      </c>
      <c r="X58" s="24" t="n">
        <f aca="false">IF('Food Data'!$C$24="Vegetables",100/'Food Data'!$AJ$24,0)</f>
        <v>0</v>
      </c>
      <c r="Y58" s="24" t="n">
        <f aca="false">IF('Food Data'!$C$25="Vegetables",100/'Food Data'!$AJ$25,0)</f>
        <v>0</v>
      </c>
      <c r="Z58" s="24" t="n">
        <f aca="false">IF('Food Data'!$C$26="Vegetables",100/'Food Data'!$AJ$26,0)</f>
        <v>0</v>
      </c>
      <c r="AA58" s="24" t="n">
        <f aca="false">IF('Food Data'!$C$27="Vegetables",100/'Food Data'!$AJ$27,0)</f>
        <v>0</v>
      </c>
      <c r="AB58" s="24" t="n">
        <f aca="false">IF('Food Data'!$C$28="Vegetables",100/'Food Data'!$AJ$28,0)</f>
        <v>0</v>
      </c>
      <c r="AC58" s="24" t="n">
        <f aca="false">IF('Food Data'!$C$29="Vegetables",100/'Food Data'!$AJ$29,0)</f>
        <v>0</v>
      </c>
      <c r="AD58" s="24" t="n">
        <f aca="false">IF('Food Data'!$C$30="Vegetables",100/'Food Data'!$AJ$30,0)</f>
        <v>0</v>
      </c>
      <c r="AE58" s="24" t="n">
        <f aca="false">IF('Food Data'!$C$31="Vegetables",100/'Food Data'!$AJ$31,0)</f>
        <v>0</v>
      </c>
      <c r="AF58" s="24" t="n">
        <f aca="false">IF('Food Data'!$C$32="Vegetables",100/'Food Data'!$AJ$32,0)</f>
        <v>0</v>
      </c>
      <c r="AG58" s="24" t="n">
        <f aca="false">IF('Food Data'!$C$33="Vegetables",100/'Food Data'!$AJ$33,0)</f>
        <v>0</v>
      </c>
      <c r="AH58" s="24" t="n">
        <f aca="false">IF('Food Data'!$C$34="Vegetables",100/'Food Data'!$AJ$34,0)</f>
        <v>0</v>
      </c>
      <c r="AI58" s="24" t="n">
        <f aca="false">IF('Food Data'!$C$35="Vegetables",100/'Food Data'!$AJ$35,0)</f>
        <v>0</v>
      </c>
      <c r="AJ58" s="24" t="n">
        <f aca="false">IF('Food Data'!$C$36="Vegetables",100/'Food Data'!$AJ$36,0)</f>
        <v>0</v>
      </c>
      <c r="AK58" s="24" t="n">
        <f aca="false">IF('Food Data'!$C$37="Vegetables",100/'Food Data'!$AJ$37,0)</f>
        <v>0</v>
      </c>
      <c r="AL58" s="24" t="n">
        <f aca="false">IF('Food Data'!$C$38="Vegetables",100/'Food Data'!$AJ$38,0)</f>
        <v>0</v>
      </c>
      <c r="AM58" s="24" t="n">
        <f aca="false">IF('Food Data'!$C$39="Vegetables",100/'Food Data'!$AJ$39,0)</f>
        <v>0</v>
      </c>
      <c r="AN58" s="24" t="n">
        <f aca="false">IF('Food Data'!$C$40="Vegetables",100/'Food Data'!$AJ$40,0)</f>
        <v>0</v>
      </c>
      <c r="AO58" s="24" t="n">
        <f aca="false">IF('Food Data'!$C$41="Vegetables",100/'Food Data'!$AJ$41,0)</f>
        <v>0</v>
      </c>
      <c r="AP58" s="24" t="n">
        <f aca="false">IF('Food Data'!$C$42="Vegetables",100/'Food Data'!$AJ$42,0)</f>
        <v>0</v>
      </c>
      <c r="AQ58" s="24" t="n">
        <f aca="false">IF('Food Data'!$C$43="Vegetables",100/'Food Data'!$AJ$43,0)</f>
        <v>0</v>
      </c>
      <c r="AR58" s="24" t="n">
        <f aca="false">IF('Food Data'!$C$44="Vegetables",100/'Food Data'!$AJ$44,0)</f>
        <v>0</v>
      </c>
      <c r="AS58" s="24" t="n">
        <f aca="false">IF('Food Data'!$C$45="Vegetables",100/'Food Data'!$AJ$45,0)</f>
        <v>0</v>
      </c>
      <c r="AT58" s="24" t="n">
        <f aca="false">IF('Food Data'!$C$46="Vegetables",100/'Food Data'!$AJ$46,0)</f>
        <v>0</v>
      </c>
      <c r="AU58" s="24" t="n">
        <f aca="false">IF('Food Data'!$C$47="Vegetables",100/'Food Data'!$AJ$47,0)</f>
        <v>0</v>
      </c>
      <c r="AV58" s="24" t="n">
        <f aca="false">IF('Food Data'!$C$48="Vegetables",100/'Food Data'!$AJ$48,0)</f>
        <v>0</v>
      </c>
      <c r="AW58" s="24" t="n">
        <f aca="false">IF('Food Data'!$C$49="Vegetables",100/'Food Data'!$AJ$49,0)</f>
        <v>0</v>
      </c>
      <c r="AX58" s="24" t="n">
        <f aca="false">IF('Food Data'!$C$50="Vegetables",100/'Food Data'!$AJ$50,0)</f>
        <v>0</v>
      </c>
      <c r="AY58" s="24" t="n">
        <f aca="false">IF('Food Data'!$C$51="Vegetables",100/'Food Data'!$AJ$51,0)</f>
        <v>0</v>
      </c>
      <c r="AZ58" s="24" t="n">
        <f aca="false">IF('Food Data'!$C$52="Vegetables",100/'Food Data'!$AJ$52,0)</f>
        <v>0</v>
      </c>
      <c r="BA58" s="24" t="n">
        <f aca="false">IF('Food Data'!$C$53="Vegetables",100/'Food Data'!$AJ$53,0)</f>
        <v>0</v>
      </c>
      <c r="BB58" s="24" t="n">
        <f aca="false">IF('Food Data'!$C$54="Vegetables",100/'Food Data'!$AJ$54,0)</f>
        <v>0</v>
      </c>
      <c r="BC58" s="24" t="n">
        <f aca="false">IF('Food Data'!$C$55="Vegetables",100/'Food Data'!$AJ$55,0)</f>
        <v>0</v>
      </c>
      <c r="BD58" s="24" t="n">
        <f aca="false">IF('Food Data'!$C$56="Vegetables",100/'Food Data'!$AJ$56,0)</f>
        <v>0</v>
      </c>
      <c r="BE58" s="24" t="n">
        <f aca="false">IF('Food Data'!$C$57="Vegetables",100/'Food Data'!$AJ$57,0)</f>
        <v>0</v>
      </c>
      <c r="BF58" s="24" t="n">
        <f aca="false">IF('Food Data'!$C$58="Vegetables",100/'Food Data'!$AJ$58,0)</f>
        <v>0</v>
      </c>
      <c r="BG58" s="24" t="n">
        <f aca="false">IF('Food Data'!$C$59="Vegetables",100/'Food Data'!$AJ$59,0)</f>
        <v>0</v>
      </c>
      <c r="BH58" s="24" t="n">
        <f aca="false">IF('Food Data'!$C$60="Vegetables",100/'Food Data'!$AJ$60,0)</f>
        <v>0</v>
      </c>
      <c r="BI58" s="24" t="n">
        <f aca="false">IF('Food Data'!$C$61="Vegetables",100/'Food Data'!$AJ$61,0)</f>
        <v>0</v>
      </c>
      <c r="BJ58" s="24" t="n">
        <f aca="false">IF('Food Data'!$C$62="Vegetables",100/'Food Data'!$AJ$62,0)</f>
        <v>0</v>
      </c>
      <c r="BK58" s="24" t="n">
        <f aca="false">IF('Food Data'!$C$63="Vegetables",100/'Food Data'!$AJ$63,0)</f>
        <v>0</v>
      </c>
      <c r="BL58" s="24" t="n">
        <f aca="false">IF('Food Data'!$C$64="Vegetables",100/'Food Data'!$AJ$64,0)</f>
        <v>0</v>
      </c>
      <c r="BM58" s="24" t="n">
        <f aca="false">IF('Food Data'!$C$65="Vegetables",100/'Food Data'!$AJ$65,0)</f>
        <v>0</v>
      </c>
      <c r="BN58" s="24" t="n">
        <f aca="false">IF('Food Data'!$C$66="Vegetables",100/'Food Data'!$AJ$66,0)</f>
        <v>0</v>
      </c>
      <c r="BO58" s="24" t="n">
        <f aca="false">IF('Food Data'!$C$67="Vegetables",100/'Food Data'!$AJ$67,0)</f>
        <v>0</v>
      </c>
      <c r="BP58" s="24" t="n">
        <f aca="false">IF('Food Data'!$C$68="Vegetables",100/'Food Data'!$AJ$68,0)</f>
        <v>0</v>
      </c>
      <c r="BQ58" s="24" t="n">
        <f aca="false">IF('Food Data'!$C$69="Vegetables",100/'Food Data'!$AJ$69,0)</f>
        <v>0</v>
      </c>
      <c r="BR58" s="24" t="n">
        <f aca="false">IF('Food Data'!$C$70="Vegetables",100/'Food Data'!$AJ$70,0)</f>
        <v>0</v>
      </c>
      <c r="BS58" s="24" t="n">
        <f aca="false">IF('Food Data'!$C$71="Vegetables",100/'Food Data'!$AJ$71,0)</f>
        <v>0</v>
      </c>
      <c r="BT58" s="24" t="n">
        <f aca="false">IF('Food Data'!$C$72="Vegetables",100/'Food Data'!$AJ$72,0)</f>
        <v>0</v>
      </c>
      <c r="BU58" s="24" t="n">
        <f aca="false">IF('Food Data'!$C$73="Vegetables",100/'Food Data'!$AJ$73,0)</f>
        <v>0</v>
      </c>
      <c r="BV58" s="24" t="n">
        <f aca="false">IF('Food Data'!$C$74="Vegetables",100/'Food Data'!$AJ$74,0)</f>
        <v>0</v>
      </c>
      <c r="BW58" s="24" t="n">
        <f aca="false">IF('Food Data'!$C$75="Vegetables",100/'Food Data'!$AJ$75,0)</f>
        <v>0</v>
      </c>
      <c r="BX58" s="24" t="n">
        <f aca="false">IF('Food Data'!$C$76="Vegetables",100/'Food Data'!$AJ$76,0)</f>
        <v>0</v>
      </c>
      <c r="BY58" s="24" t="n">
        <f aca="false">IF('Food Data'!$C$77="Vegetables",100/'Food Data'!$AJ$77,0)</f>
        <v>0</v>
      </c>
      <c r="BZ58" s="24" t="n">
        <f aca="false">IF('Food Data'!$C$78="Vegetables",100/'Food Data'!$AJ$78,0)</f>
        <v>0</v>
      </c>
      <c r="CA58" s="24" t="n">
        <f aca="false">IF('Food Data'!$C$79="Vegetables",100/'Food Data'!$AJ$79,0)</f>
        <v>0</v>
      </c>
      <c r="CB58" s="24" t="n">
        <f aca="false">IF('Food Data'!$C$80="Vegetables",100/'Food Data'!$AJ$80,0)</f>
        <v>0</v>
      </c>
      <c r="CC58" s="24" t="n">
        <f aca="false">IF('Food Data'!$C$81="Vegetables",100/'Food Data'!$AJ$81,0)</f>
        <v>0</v>
      </c>
      <c r="CD58" s="24" t="n">
        <f aca="false">IF('Food Data'!$C$82="Vegetables",100/'Food Data'!$AJ$82,0)</f>
        <v>0</v>
      </c>
      <c r="CE58" s="24" t="n">
        <f aca="false">IF('Food Data'!$C$83="Vegetables",100/'Food Data'!$AJ$83,0)</f>
        <v>0</v>
      </c>
      <c r="CF58" s="24" t="n">
        <f aca="false">IF('Food Data'!$C$84="Vegetables",100/'Food Data'!$AJ$84,0)</f>
        <v>0</v>
      </c>
      <c r="CG58" s="24" t="n">
        <f aca="false">IF('Food Data'!$C$85="Vegetables",100/'Food Data'!$AJ$85,0)</f>
        <v>0</v>
      </c>
      <c r="CH58" s="24" t="n">
        <f aca="false">IF('Food Data'!$C$86="Vegetables",100/'Food Data'!$AJ$86,0)</f>
        <v>0</v>
      </c>
      <c r="CI58" s="24" t="n">
        <f aca="false">IF('Food Data'!$C$87="Vegetables",100/'Food Data'!$AJ$87,0)</f>
        <v>0</v>
      </c>
      <c r="CJ58" s="24" t="n">
        <f aca="false">IF('Food Data'!$C$88="Vegetables",100/'Food Data'!$AJ$88,0)</f>
        <v>0</v>
      </c>
      <c r="CK58" s="24" t="n">
        <f aca="false">IF('Food Data'!$C$89="Vegetables",100/'Food Data'!$AJ$89,0)</f>
        <v>0</v>
      </c>
      <c r="CL58" s="24" t="n">
        <f aca="false">IF('Food Data'!$C$90="Vegetables",100/'Food Data'!$AJ$90,0)</f>
        <v>0</v>
      </c>
      <c r="CM58" s="24" t="n">
        <f aca="false">IF('Food Data'!$C$91="Vegetables",100/'Food Data'!$AJ$91,0)</f>
        <v>0</v>
      </c>
      <c r="CN58" s="24" t="n">
        <f aca="false">IF('Food Data'!$C$92="Vegetables",100/'Food Data'!$AJ$92,0)</f>
        <v>0</v>
      </c>
      <c r="CO58" s="24" t="n">
        <f aca="false">IF('Food Data'!$C$93="Vegetables",100/'Food Data'!$AJ$93,0)</f>
        <v>0</v>
      </c>
      <c r="CP58" s="24" t="n">
        <f aca="false">IF('Food Data'!$C$94="Vegetables",100/'Food Data'!$AJ$94,0)</f>
        <v>0</v>
      </c>
      <c r="CQ58" s="24" t="n">
        <f aca="false">IF('Food Data'!$C$95="Vegetables",100/'Food Data'!$AJ$95,0)</f>
        <v>0</v>
      </c>
      <c r="CR58" s="24" t="n">
        <f aca="false">IF('Food Data'!$C$96="Vegetables",100/'Food Data'!$AJ$96,0)</f>
        <v>0</v>
      </c>
      <c r="CS58" s="24" t="n">
        <f aca="false">IF('Food Data'!$C$97="Vegetables",100/'Food Data'!$AJ$97,0)</f>
        <v>0</v>
      </c>
      <c r="CT58" s="24" t="n">
        <f aca="false">IF('Food Data'!$C$98="Vegetables",100/'Food Data'!$AJ$98,0)</f>
        <v>0</v>
      </c>
      <c r="CU58" s="24" t="n">
        <f aca="false">IF('Food Data'!$C$99="Vegetables",100/'Food Data'!$AJ$99,0)</f>
        <v>0</v>
      </c>
      <c r="CV58" s="24" t="n">
        <f aca="false">IF('Food Data'!$C$100="Vegetables",100/'Food Data'!$AJ$100,0)</f>
        <v>0</v>
      </c>
      <c r="CW58" s="24" t="n">
        <f aca="false">IF('Food Data'!$C$101="Vegetables",100/'Food Data'!$AJ$101,0)</f>
        <v>0</v>
      </c>
      <c r="CX58" s="24" t="n">
        <f aca="false">IF('Food Data'!$C$102="Vegetables",100/'Food Data'!$AJ$102,0)</f>
        <v>0</v>
      </c>
      <c r="CY58" s="24" t="n">
        <f aca="false">IF('Food Data'!$C$103="Vegetables",100/'Food Data'!$AJ$103,0)</f>
        <v>0</v>
      </c>
      <c r="CZ58" s="24" t="n">
        <f aca="false">IF('Food Data'!$C$104="Vegetables",100/'Food Data'!$AJ$104,0)</f>
        <v>0.714285714285714</v>
      </c>
      <c r="DA58" s="24" t="n">
        <f aca="false">IF('Food Data'!$C$105="Vegetables",100/'Food Data'!$AJ$105,0)</f>
        <v>0.746268656716418</v>
      </c>
      <c r="DB58" s="24" t="n">
        <f aca="false">IF('Food Data'!$C$106="Vegetables",100/'Food Data'!$AJ$106,0)</f>
        <v>0.8</v>
      </c>
      <c r="DC58" s="24" t="n">
        <f aca="false">IF('Food Data'!$C$107="Vegetables",100/'Food Data'!$AJ$107,0)</f>
        <v>0.40650406504065</v>
      </c>
      <c r="DD58" s="24" t="n">
        <f aca="false">IF('Food Data'!$C$108="Vegetables",100/'Food Data'!$AJ$108,0)</f>
        <v>1.0989010989011</v>
      </c>
      <c r="DE58" s="24" t="n">
        <f aca="false">IF('Food Data'!$C$109="Vegetables",100/'Food Data'!$AJ$109,0)</f>
        <v>0.617283950617284</v>
      </c>
      <c r="DF58" s="24" t="n">
        <f aca="false">IF('Food Data'!$C$110="Vegetables",100/'Food Data'!$AJ$110,0)</f>
        <v>0.714285714285714</v>
      </c>
      <c r="DG58" s="24" t="n">
        <f aca="false">IF('Food Data'!$C$111="Vegetables",100/'Food Data'!$AJ$111,0)</f>
        <v>1.12359550561798</v>
      </c>
      <c r="DH58" s="24" t="n">
        <f aca="false">IF('Food Data'!$C$112="Vegetables",100/'Food Data'!$AJ$112,0)</f>
        <v>1.12359550561798</v>
      </c>
      <c r="DI58" s="24" t="n">
        <f aca="false">IF('Food Data'!$C$113="Vegetables",100/'Food Data'!$AJ$113,0)</f>
        <v>0.78125</v>
      </c>
      <c r="DJ58" s="24" t="n">
        <f aca="false">IF('Food Data'!$C$114="Vegetables",100/'Food Data'!$AJ$114,0)</f>
        <v>0.40650406504065</v>
      </c>
      <c r="DK58" s="24" t="n">
        <f aca="false">IF('Food Data'!$C$115="Vegetables",100/'Food Data'!$AJ$115,0)</f>
        <v>0.78125</v>
      </c>
      <c r="DL58" s="24" t="n">
        <f aca="false">IF('Food Data'!$C$116="Vegetables",100/'Food Data'!$AJ$116,0)</f>
        <v>0.757575757575758</v>
      </c>
      <c r="DM58" s="24" t="n">
        <f aca="false">IF('Food Data'!$C$117="Vegetables",100/'Food Data'!$AJ$117,0)</f>
        <v>0.99009900990099</v>
      </c>
      <c r="DN58" s="24" t="n">
        <f aca="false">IF('Food Data'!$C$118="Vegetables",100/'Food Data'!$AJ$118,0)</f>
        <v>1.38888888888889</v>
      </c>
      <c r="DO58" s="24" t="n">
        <f aca="false">IF('Food Data'!$C$119="Vegetables",100/'Food Data'!$AJ$119,0)</f>
        <v>0.53475935828877</v>
      </c>
      <c r="DP58" s="24" t="n">
        <f aca="false">IF('Food Data'!$C$120="Vegetables",100/'Food Data'!$AJ$120,0)</f>
        <v>0.961538461538462</v>
      </c>
      <c r="DQ58" s="24" t="n">
        <f aca="false">IF('Food Data'!$C$121="Vegetables",100/'Food Data'!$AJ$121,0)</f>
        <v>0.425531914893617</v>
      </c>
      <c r="DR58" s="24" t="n">
        <f aca="false">IF('Food Data'!$C$122="Vegetables",100/'Food Data'!$AJ$122,0)</f>
        <v>0.826446280991736</v>
      </c>
      <c r="DS58" s="24" t="n">
        <f aca="false">IF('Food Data'!$C$123="Vegetables",100/'Food Data'!$AJ$123,0)</f>
        <v>0.671140939597316</v>
      </c>
      <c r="DT58" s="24" t="n">
        <f aca="false">IF('Food Data'!$C$124="Vegetables",100/'Food Data'!$AJ$124,0)</f>
        <v>0.694444444444444</v>
      </c>
      <c r="DU58" s="24" t="n">
        <f aca="false">IF('Food Data'!$C$125="Vegetables",100/'Food Data'!$AJ$125,0)</f>
        <v>0.546448087431694</v>
      </c>
      <c r="DV58" s="24" t="n">
        <f aca="false">IF('Food Data'!$C$126="Vegetables",100/'Food Data'!$AJ$126,0)</f>
        <v>0.735294117647059</v>
      </c>
      <c r="DW58" s="24" t="n">
        <f aca="false">IF('Food Data'!$C$127="Vegetables",100/'Food Data'!$AJ$127,0)</f>
        <v>1.42857142857143</v>
      </c>
      <c r="DX58" s="24" t="n">
        <f aca="false">IF('Food Data'!$C$128="Vegetables",100/'Food Data'!$AJ$128,0)</f>
        <v>0.684931506849315</v>
      </c>
      <c r="DY58" s="24" t="n">
        <f aca="false">IF('Food Data'!$C$129="Vegetables",100/'Food Data'!$AJ$129,0)</f>
        <v>0.529100529100529</v>
      </c>
      <c r="DZ58" s="24" t="n">
        <f aca="false">IF('Food Data'!$C$130="Vegetables",100/'Food Data'!$AJ$130,0)</f>
        <v>0.625</v>
      </c>
      <c r="EA58" s="24" t="n">
        <f aca="false">IF('Food Data'!$C$131="Vegetables",100/'Food Data'!$AJ$131,0)</f>
        <v>0.408163265306122</v>
      </c>
      <c r="EB58" s="24" t="n">
        <f aca="false">IF('Food Data'!$C$132="Vegetables",100/'Food Data'!$AJ$132,0)</f>
        <v>0.862068965517241</v>
      </c>
      <c r="EC58" s="24" t="n">
        <f aca="false">IF('Food Data'!$C$133="Vegetables",100/'Food Data'!$AJ$133,0)</f>
        <v>0.671140939597316</v>
      </c>
      <c r="ED58" s="24" t="n">
        <f aca="false">IF('Food Data'!$C$134="Vegetables",100/'Food Data'!$AJ$134,0)</f>
        <v>1.06382978723404</v>
      </c>
      <c r="EE58" s="24" t="n">
        <f aca="false">IF('Food Data'!$C$135="Vegetables",100/'Food Data'!$AJ$135,0)</f>
        <v>0.423728813559322</v>
      </c>
      <c r="EF58" s="24" t="n">
        <f aca="false">IF('Food Data'!$C$136="Vegetables",100/'Food Data'!$AJ$136,0)</f>
        <v>0.427350427350427</v>
      </c>
      <c r="EG58" s="24" t="n">
        <f aca="false">IF('Food Data'!$C$137="Vegetables",100/'Food Data'!$AJ$137,0)</f>
        <v>1.66666666666667</v>
      </c>
      <c r="EH58" s="24" t="n">
        <f aca="false">IF('Food Data'!$C$138="Vegetables",100/'Food Data'!$AJ$138,0)</f>
        <v>0.641025641025641</v>
      </c>
      <c r="EI58" s="24" t="n">
        <f aca="false">IF('Food Data'!$C$139="Vegetables",100/'Food Data'!$AJ$139,0)</f>
        <v>0.416666666666667</v>
      </c>
      <c r="EJ58" s="24" t="n">
        <f aca="false">IF('Food Data'!$C$140="Vegetables",100/'Food Data'!$AJ$140,0)</f>
        <v>0.555555555555556</v>
      </c>
      <c r="EK58" s="24" t="n">
        <f aca="false">IF('Food Data'!$C$141="Vegetables",100/'Food Data'!$AJ$141,0)</f>
        <v>0.609756097560976</v>
      </c>
      <c r="EL58" s="24" t="n">
        <f aca="false">IF('Food Data'!$C$142="Vegetables",100/'Food Data'!$AJ$142,0)</f>
        <v>0.806451612903226</v>
      </c>
      <c r="EM58" s="24" t="n">
        <f aca="false">IF('Food Data'!$C$143="Vegetables",100/'Food Data'!$AJ$143,0)</f>
        <v>0</v>
      </c>
      <c r="EN58" s="24" t="n">
        <f aca="false">IF('Food Data'!$C$144="Vegetables",100/'Food Data'!$AJ$144,0)</f>
        <v>0</v>
      </c>
      <c r="EO58" s="24" t="n">
        <f aca="false">IF('Food Data'!$C$145="Vegetables",100/'Food Data'!$AJ$145,0)</f>
        <v>0</v>
      </c>
      <c r="EP58" s="24" t="n">
        <f aca="false">IF('Food Data'!$C$146="Vegetables",100/'Food Data'!$AJ$146,0)</f>
        <v>0</v>
      </c>
      <c r="EQ58" s="24" t="n">
        <f aca="false">IF('Food Data'!$C$147="Vegetables",100/'Food Data'!$AJ$147,0)</f>
        <v>0</v>
      </c>
      <c r="ER58" s="24" t="n">
        <f aca="false">IF('Food Data'!$C$148="Vegetables",100/'Food Data'!$AJ$148,0)</f>
        <v>0</v>
      </c>
      <c r="ES58" s="24" t="n">
        <f aca="false">IF('Food Data'!$C$149="Vegetables",100/'Food Data'!$AJ$149,0)</f>
        <v>0</v>
      </c>
      <c r="ET58" s="24" t="n">
        <f aca="false">IF('Food Data'!$C$150="Vegetables",100/'Food Data'!$AJ$150,0)</f>
        <v>0</v>
      </c>
      <c r="EU58" s="24" t="n">
        <f aca="false">IF('Food Data'!$C$151="Vegetables",100/'Food Data'!$AJ$151,0)</f>
        <v>0</v>
      </c>
    </row>
    <row r="59" customFormat="false" ht="15" hidden="false" customHeight="false" outlineLevel="0" collapsed="false">
      <c r="A59" s="4" t="s">
        <v>994</v>
      </c>
      <c r="B59" s="75" t="s">
        <v>993</v>
      </c>
      <c r="C59" s="76" t="n">
        <f aca="false">Planner!$C$50</f>
        <v>2</v>
      </c>
      <c r="D59" s="77" t="n">
        <v>2</v>
      </c>
      <c r="E59" s="75" t="str">
        <f aca="false">IF(D59&gt;=C59-0.000001*MAX(1,ABS(C59)),IF(ABS(D59-C59)&lt;=0.000001*MAX(1,ABS(C59)),"tight","ok"),"VIOLATED")</f>
        <v>tight</v>
      </c>
      <c r="F59" s="24" t="n">
        <f aca="false">IF('Food Data'!$C$6="Fruit",100/'Food Data'!$AJ$6,0)</f>
        <v>0</v>
      </c>
      <c r="G59" s="24" t="n">
        <f aca="false">IF('Food Data'!$C$7="Fruit",100/'Food Data'!$AJ$7,0)</f>
        <v>0</v>
      </c>
      <c r="H59" s="24" t="n">
        <f aca="false">IF('Food Data'!$C$8="Fruit",100/'Food Data'!$AJ$8,0)</f>
        <v>0</v>
      </c>
      <c r="I59" s="24" t="n">
        <f aca="false">IF('Food Data'!$C$9="Fruit",100/'Food Data'!$AJ$9,0)</f>
        <v>0</v>
      </c>
      <c r="J59" s="24" t="n">
        <f aca="false">IF('Food Data'!$C$10="Fruit",100/'Food Data'!$AJ$10,0)</f>
        <v>0</v>
      </c>
      <c r="K59" s="24" t="n">
        <f aca="false">IF('Food Data'!$C$11="Fruit",100/'Food Data'!$AJ$11,0)</f>
        <v>0</v>
      </c>
      <c r="L59" s="24" t="n">
        <f aca="false">IF('Food Data'!$C$12="Fruit",100/'Food Data'!$AJ$12,0)</f>
        <v>0</v>
      </c>
      <c r="M59" s="24" t="n">
        <f aca="false">IF('Food Data'!$C$13="Fruit",100/'Food Data'!$AJ$13,0)</f>
        <v>0</v>
      </c>
      <c r="N59" s="24" t="n">
        <f aca="false">IF('Food Data'!$C$14="Fruit",100/'Food Data'!$AJ$14,0)</f>
        <v>0</v>
      </c>
      <c r="O59" s="24" t="n">
        <f aca="false">IF('Food Data'!$C$15="Fruit",100/'Food Data'!$AJ$15,0)</f>
        <v>0</v>
      </c>
      <c r="P59" s="24" t="n">
        <f aca="false">IF('Food Data'!$C$16="Fruit",100/'Food Data'!$AJ$16,0)</f>
        <v>0</v>
      </c>
      <c r="Q59" s="24" t="n">
        <f aca="false">IF('Food Data'!$C$17="Fruit",100/'Food Data'!$AJ$17,0)</f>
        <v>0</v>
      </c>
      <c r="R59" s="24" t="n">
        <f aca="false">IF('Food Data'!$C$18="Fruit",100/'Food Data'!$AJ$18,0)</f>
        <v>0</v>
      </c>
      <c r="S59" s="24" t="n">
        <f aca="false">IF('Food Data'!$C$19="Fruit",100/'Food Data'!$AJ$19,0)</f>
        <v>0</v>
      </c>
      <c r="T59" s="24" t="n">
        <f aca="false">IF('Food Data'!$C$20="Fruit",100/'Food Data'!$AJ$20,0)</f>
        <v>0</v>
      </c>
      <c r="U59" s="24" t="n">
        <f aca="false">IF('Food Data'!$C$21="Fruit",100/'Food Data'!$AJ$21,0)</f>
        <v>0</v>
      </c>
      <c r="V59" s="24" t="n">
        <f aca="false">IF('Food Data'!$C$22="Fruit",100/'Food Data'!$AJ$22,0)</f>
        <v>0</v>
      </c>
      <c r="W59" s="24" t="n">
        <f aca="false">IF('Food Data'!$C$23="Fruit",100/'Food Data'!$AJ$23,0)</f>
        <v>0</v>
      </c>
      <c r="X59" s="24" t="n">
        <f aca="false">IF('Food Data'!$C$24="Fruit",100/'Food Data'!$AJ$24,0)</f>
        <v>0</v>
      </c>
      <c r="Y59" s="24" t="n">
        <f aca="false">IF('Food Data'!$C$25="Fruit",100/'Food Data'!$AJ$25,0)</f>
        <v>0</v>
      </c>
      <c r="Z59" s="24" t="n">
        <f aca="false">IF('Food Data'!$C$26="Fruit",100/'Food Data'!$AJ$26,0)</f>
        <v>0</v>
      </c>
      <c r="AA59" s="24" t="n">
        <f aca="false">IF('Food Data'!$C$27="Fruit",100/'Food Data'!$AJ$27,0)</f>
        <v>0</v>
      </c>
      <c r="AB59" s="24" t="n">
        <f aca="false">IF('Food Data'!$C$28="Fruit",100/'Food Data'!$AJ$28,0)</f>
        <v>0</v>
      </c>
      <c r="AC59" s="24" t="n">
        <f aca="false">IF('Food Data'!$C$29="Fruit",100/'Food Data'!$AJ$29,0)</f>
        <v>0</v>
      </c>
      <c r="AD59" s="24" t="n">
        <f aca="false">IF('Food Data'!$C$30="Fruit",100/'Food Data'!$AJ$30,0)</f>
        <v>0</v>
      </c>
      <c r="AE59" s="24" t="n">
        <f aca="false">IF('Food Data'!$C$31="Fruit",100/'Food Data'!$AJ$31,0)</f>
        <v>0</v>
      </c>
      <c r="AF59" s="24" t="n">
        <f aca="false">IF('Food Data'!$C$32="Fruit",100/'Food Data'!$AJ$32,0)</f>
        <v>0</v>
      </c>
      <c r="AG59" s="24" t="n">
        <f aca="false">IF('Food Data'!$C$33="Fruit",100/'Food Data'!$AJ$33,0)</f>
        <v>0</v>
      </c>
      <c r="AH59" s="24" t="n">
        <f aca="false">IF('Food Data'!$C$34="Fruit",100/'Food Data'!$AJ$34,0)</f>
        <v>0</v>
      </c>
      <c r="AI59" s="24" t="n">
        <f aca="false">IF('Food Data'!$C$35="Fruit",100/'Food Data'!$AJ$35,0)</f>
        <v>0</v>
      </c>
      <c r="AJ59" s="24" t="n">
        <f aca="false">IF('Food Data'!$C$36="Fruit",100/'Food Data'!$AJ$36,0)</f>
        <v>0</v>
      </c>
      <c r="AK59" s="24" t="n">
        <f aca="false">IF('Food Data'!$C$37="Fruit",100/'Food Data'!$AJ$37,0)</f>
        <v>0</v>
      </c>
      <c r="AL59" s="24" t="n">
        <f aca="false">IF('Food Data'!$C$38="Fruit",100/'Food Data'!$AJ$38,0)</f>
        <v>0</v>
      </c>
      <c r="AM59" s="24" t="n">
        <f aca="false">IF('Food Data'!$C$39="Fruit",100/'Food Data'!$AJ$39,0)</f>
        <v>0</v>
      </c>
      <c r="AN59" s="24" t="n">
        <f aca="false">IF('Food Data'!$C$40="Fruit",100/'Food Data'!$AJ$40,0)</f>
        <v>0</v>
      </c>
      <c r="AO59" s="24" t="n">
        <f aca="false">IF('Food Data'!$C$41="Fruit",100/'Food Data'!$AJ$41,0)</f>
        <v>0</v>
      </c>
      <c r="AP59" s="24" t="n">
        <f aca="false">IF('Food Data'!$C$42="Fruit",100/'Food Data'!$AJ$42,0)</f>
        <v>0</v>
      </c>
      <c r="AQ59" s="24" t="n">
        <f aca="false">IF('Food Data'!$C$43="Fruit",100/'Food Data'!$AJ$43,0)</f>
        <v>0</v>
      </c>
      <c r="AR59" s="24" t="n">
        <f aca="false">IF('Food Data'!$C$44="Fruit",100/'Food Data'!$AJ$44,0)</f>
        <v>0</v>
      </c>
      <c r="AS59" s="24" t="n">
        <f aca="false">IF('Food Data'!$C$45="Fruit",100/'Food Data'!$AJ$45,0)</f>
        <v>0</v>
      </c>
      <c r="AT59" s="24" t="n">
        <f aca="false">IF('Food Data'!$C$46="Fruit",100/'Food Data'!$AJ$46,0)</f>
        <v>0</v>
      </c>
      <c r="AU59" s="24" t="n">
        <f aca="false">IF('Food Data'!$C$47="Fruit",100/'Food Data'!$AJ$47,0)</f>
        <v>0</v>
      </c>
      <c r="AV59" s="24" t="n">
        <f aca="false">IF('Food Data'!$C$48="Fruit",100/'Food Data'!$AJ$48,0)</f>
        <v>0</v>
      </c>
      <c r="AW59" s="24" t="n">
        <f aca="false">IF('Food Data'!$C$49="Fruit",100/'Food Data'!$AJ$49,0)</f>
        <v>0</v>
      </c>
      <c r="AX59" s="24" t="n">
        <f aca="false">IF('Food Data'!$C$50="Fruit",100/'Food Data'!$AJ$50,0)</f>
        <v>0</v>
      </c>
      <c r="AY59" s="24" t="n">
        <f aca="false">IF('Food Data'!$C$51="Fruit",100/'Food Data'!$AJ$51,0)</f>
        <v>0</v>
      </c>
      <c r="AZ59" s="24" t="n">
        <f aca="false">IF('Food Data'!$C$52="Fruit",100/'Food Data'!$AJ$52,0)</f>
        <v>0</v>
      </c>
      <c r="BA59" s="24" t="n">
        <f aca="false">IF('Food Data'!$C$53="Fruit",100/'Food Data'!$AJ$53,0)</f>
        <v>0</v>
      </c>
      <c r="BB59" s="24" t="n">
        <f aca="false">IF('Food Data'!$C$54="Fruit",100/'Food Data'!$AJ$54,0)</f>
        <v>0</v>
      </c>
      <c r="BC59" s="24" t="n">
        <f aca="false">IF('Food Data'!$C$55="Fruit",100/'Food Data'!$AJ$55,0)</f>
        <v>0</v>
      </c>
      <c r="BD59" s="24" t="n">
        <f aca="false">IF('Food Data'!$C$56="Fruit",100/'Food Data'!$AJ$56,0)</f>
        <v>0</v>
      </c>
      <c r="BE59" s="24" t="n">
        <f aca="false">IF('Food Data'!$C$57="Fruit",100/'Food Data'!$AJ$57,0)</f>
        <v>0</v>
      </c>
      <c r="BF59" s="24" t="n">
        <f aca="false">IF('Food Data'!$C$58="Fruit",100/'Food Data'!$AJ$58,0)</f>
        <v>0</v>
      </c>
      <c r="BG59" s="24" t="n">
        <f aca="false">IF('Food Data'!$C$59="Fruit",100/'Food Data'!$AJ$59,0)</f>
        <v>0</v>
      </c>
      <c r="BH59" s="24" t="n">
        <f aca="false">IF('Food Data'!$C$60="Fruit",100/'Food Data'!$AJ$60,0)</f>
        <v>0</v>
      </c>
      <c r="BI59" s="24" t="n">
        <f aca="false">IF('Food Data'!$C$61="Fruit",100/'Food Data'!$AJ$61,0)</f>
        <v>0</v>
      </c>
      <c r="BJ59" s="24" t="n">
        <f aca="false">IF('Food Data'!$C$62="Fruit",100/'Food Data'!$AJ$62,0)</f>
        <v>0</v>
      </c>
      <c r="BK59" s="24" t="n">
        <f aca="false">IF('Food Data'!$C$63="Fruit",100/'Food Data'!$AJ$63,0)</f>
        <v>0</v>
      </c>
      <c r="BL59" s="24" t="n">
        <f aca="false">IF('Food Data'!$C$64="Fruit",100/'Food Data'!$AJ$64,0)</f>
        <v>0</v>
      </c>
      <c r="BM59" s="24" t="n">
        <f aca="false">IF('Food Data'!$C$65="Fruit",100/'Food Data'!$AJ$65,0)</f>
        <v>0</v>
      </c>
      <c r="BN59" s="24" t="n">
        <f aca="false">IF('Food Data'!$C$66="Fruit",100/'Food Data'!$AJ$66,0)</f>
        <v>0</v>
      </c>
      <c r="BO59" s="24" t="n">
        <f aca="false">IF('Food Data'!$C$67="Fruit",100/'Food Data'!$AJ$67,0)</f>
        <v>0</v>
      </c>
      <c r="BP59" s="24" t="n">
        <f aca="false">IF('Food Data'!$C$68="Fruit",100/'Food Data'!$AJ$68,0)</f>
        <v>0</v>
      </c>
      <c r="BQ59" s="24" t="n">
        <f aca="false">IF('Food Data'!$C$69="Fruit",100/'Food Data'!$AJ$69,0)</f>
        <v>0</v>
      </c>
      <c r="BR59" s="24" t="n">
        <f aca="false">IF('Food Data'!$C$70="Fruit",100/'Food Data'!$AJ$70,0)</f>
        <v>0.8</v>
      </c>
      <c r="BS59" s="24" t="n">
        <f aca="false">IF('Food Data'!$C$71="Fruit",100/'Food Data'!$AJ$71,0)</f>
        <v>0.409836065573771</v>
      </c>
      <c r="BT59" s="24" t="n">
        <f aca="false">IF('Food Data'!$C$72="Fruit",100/'Food Data'!$AJ$72,0)</f>
        <v>0.847457627118644</v>
      </c>
      <c r="BU59" s="24" t="n">
        <f aca="false">IF('Food Data'!$C$73="Fruit",100/'Food Data'!$AJ$73,0)</f>
        <v>0.694444444444444</v>
      </c>
      <c r="BV59" s="24" t="n">
        <f aca="false">IF('Food Data'!$C$74="Fruit",100/'Food Data'!$AJ$74,0)</f>
        <v>0.645161290322581</v>
      </c>
      <c r="BW59" s="24" t="n">
        <f aca="false">IF('Food Data'!$C$75="Fruit",100/'Food Data'!$AJ$75,0)</f>
        <v>0.625</v>
      </c>
      <c r="BX59" s="24" t="n">
        <f aca="false">IF('Food Data'!$C$76="Fruit",100/'Food Data'!$AJ$76,0)</f>
        <v>0.649350649350649</v>
      </c>
      <c r="BY59" s="24" t="n">
        <f aca="false">IF('Food Data'!$C$77="Fruit",100/'Food Data'!$AJ$77,0)</f>
        <v>0.476190476190476</v>
      </c>
      <c r="BZ59" s="24" t="n">
        <f aca="false">IF('Food Data'!$C$78="Fruit",100/'Food Data'!$AJ$78,0)</f>
        <v>1.36054421768707</v>
      </c>
      <c r="CA59" s="24" t="n">
        <f aca="false">IF('Food Data'!$C$79="Fruit",100/'Food Data'!$AJ$79,0)</f>
        <v>1.53846153846154</v>
      </c>
      <c r="CB59" s="24" t="n">
        <f aca="false">IF('Food Data'!$C$80="Fruit",100/'Food Data'!$AJ$80,0)</f>
        <v>1.25</v>
      </c>
      <c r="CC59" s="24" t="n">
        <f aca="false">IF('Food Data'!$C$81="Fruit",100/'Food Data'!$AJ$81,0)</f>
        <v>0.421940928270042</v>
      </c>
      <c r="CD59" s="24" t="n">
        <f aca="false">IF('Food Data'!$C$82="Fruit",100/'Food Data'!$AJ$82,0)</f>
        <v>0.434782608695652</v>
      </c>
      <c r="CE59" s="24" t="n">
        <f aca="false">IF('Food Data'!$C$83="Fruit",100/'Food Data'!$AJ$83,0)</f>
        <v>0.662251655629139</v>
      </c>
      <c r="CF59" s="24" t="n">
        <f aca="false">IF('Food Data'!$C$84="Fruit",100/'Food Data'!$AJ$84,0)</f>
        <v>0.588235294117647</v>
      </c>
      <c r="CG59" s="24" t="n">
        <f aca="false">IF('Food Data'!$C$85="Fruit",100/'Food Data'!$AJ$85,0)</f>
        <v>0.555555555555556</v>
      </c>
      <c r="CH59" s="24" t="n">
        <f aca="false">IF('Food Data'!$C$86="Fruit",100/'Food Data'!$AJ$86,0)</f>
        <v>0.606060606060606</v>
      </c>
      <c r="CI59" s="24" t="n">
        <f aca="false">IF('Food Data'!$C$87="Fruit",100/'Food Data'!$AJ$87,0)</f>
        <v>0.699300699300699</v>
      </c>
      <c r="CJ59" s="24" t="n">
        <f aca="false">IF('Food Data'!$C$88="Fruit",100/'Food Data'!$AJ$88,0)</f>
        <v>0.401606425702811</v>
      </c>
      <c r="CK59" s="24" t="n">
        <f aca="false">IF('Food Data'!$C$89="Fruit",100/'Food Data'!$AJ$89,0)</f>
        <v>0.714285714285714</v>
      </c>
      <c r="CL59" s="24" t="n">
        <f aca="false">IF('Food Data'!$C$90="Fruit",100/'Food Data'!$AJ$90,0)</f>
        <v>0.689655172413793</v>
      </c>
      <c r="CM59" s="24" t="n">
        <f aca="false">IF('Food Data'!$C$91="Fruit",100/'Food Data'!$AJ$91,0)</f>
        <v>0.649350649350649</v>
      </c>
      <c r="CN59" s="24" t="n">
        <f aca="false">IF('Food Data'!$C$92="Fruit",100/'Food Data'!$AJ$92,0)</f>
        <v>0.4</v>
      </c>
      <c r="CO59" s="24" t="n">
        <f aca="false">IF('Food Data'!$C$93="Fruit",100/'Food Data'!$AJ$93,0)</f>
        <v>0.714285714285714</v>
      </c>
      <c r="CP59" s="24" t="n">
        <f aca="false">IF('Food Data'!$C$94="Fruit",100/'Food Data'!$AJ$94,0)</f>
        <v>0.403225806451613</v>
      </c>
      <c r="CQ59" s="24" t="n">
        <f aca="false">IF('Food Data'!$C$95="Fruit",100/'Food Data'!$AJ$95,0)</f>
        <v>0.606060606060606</v>
      </c>
      <c r="CR59" s="24" t="n">
        <f aca="false">IF('Food Data'!$C$96="Fruit",100/'Food Data'!$AJ$96,0)</f>
        <v>0.401606425702811</v>
      </c>
      <c r="CS59" s="24" t="n">
        <f aca="false">IF('Food Data'!$C$97="Fruit",100/'Food Data'!$AJ$97,0)</f>
        <v>0.606060606060606</v>
      </c>
      <c r="CT59" s="24" t="n">
        <f aca="false">IF('Food Data'!$C$98="Fruit",100/'Food Data'!$AJ$98,0)</f>
        <v>1.14942528735632</v>
      </c>
      <c r="CU59" s="24" t="n">
        <f aca="false">IF('Food Data'!$C$99="Fruit",100/'Food Data'!$AJ$99,0)</f>
        <v>1.21951219512195</v>
      </c>
      <c r="CV59" s="24" t="n">
        <f aca="false">IF('Food Data'!$C$100="Fruit",100/'Food Data'!$AJ$100,0)</f>
        <v>0.813008130081301</v>
      </c>
      <c r="CW59" s="24" t="n">
        <f aca="false">IF('Food Data'!$C$101="Fruit",100/'Food Data'!$AJ$101,0)</f>
        <v>0.657894736842105</v>
      </c>
      <c r="CX59" s="24" t="n">
        <f aca="false">IF('Food Data'!$C$102="Fruit",100/'Food Data'!$AJ$102,0)</f>
        <v>0.671140939597316</v>
      </c>
      <c r="CY59" s="24" t="n">
        <f aca="false">IF('Food Data'!$C$103="Fruit",100/'Food Data'!$AJ$103,0)</f>
        <v>0.657894736842105</v>
      </c>
      <c r="CZ59" s="24" t="n">
        <f aca="false">IF('Food Data'!$C$104="Fruit",100/'Food Data'!$AJ$104,0)</f>
        <v>0</v>
      </c>
      <c r="DA59" s="24" t="n">
        <f aca="false">IF('Food Data'!$C$105="Fruit",100/'Food Data'!$AJ$105,0)</f>
        <v>0</v>
      </c>
      <c r="DB59" s="24" t="n">
        <f aca="false">IF('Food Data'!$C$106="Fruit",100/'Food Data'!$AJ$106,0)</f>
        <v>0</v>
      </c>
      <c r="DC59" s="24" t="n">
        <f aca="false">IF('Food Data'!$C$107="Fruit",100/'Food Data'!$AJ$107,0)</f>
        <v>0</v>
      </c>
      <c r="DD59" s="24" t="n">
        <f aca="false">IF('Food Data'!$C$108="Fruit",100/'Food Data'!$AJ$108,0)</f>
        <v>0</v>
      </c>
      <c r="DE59" s="24" t="n">
        <f aca="false">IF('Food Data'!$C$109="Fruit",100/'Food Data'!$AJ$109,0)</f>
        <v>0</v>
      </c>
      <c r="DF59" s="24" t="n">
        <f aca="false">IF('Food Data'!$C$110="Fruit",100/'Food Data'!$AJ$110,0)</f>
        <v>0</v>
      </c>
      <c r="DG59" s="24" t="n">
        <f aca="false">IF('Food Data'!$C$111="Fruit",100/'Food Data'!$AJ$111,0)</f>
        <v>0</v>
      </c>
      <c r="DH59" s="24" t="n">
        <f aca="false">IF('Food Data'!$C$112="Fruit",100/'Food Data'!$AJ$112,0)</f>
        <v>0</v>
      </c>
      <c r="DI59" s="24" t="n">
        <f aca="false">IF('Food Data'!$C$113="Fruit",100/'Food Data'!$AJ$113,0)</f>
        <v>0</v>
      </c>
      <c r="DJ59" s="24" t="n">
        <f aca="false">IF('Food Data'!$C$114="Fruit",100/'Food Data'!$AJ$114,0)</f>
        <v>0</v>
      </c>
      <c r="DK59" s="24" t="n">
        <f aca="false">IF('Food Data'!$C$115="Fruit",100/'Food Data'!$AJ$115,0)</f>
        <v>0</v>
      </c>
      <c r="DL59" s="24" t="n">
        <f aca="false">IF('Food Data'!$C$116="Fruit",100/'Food Data'!$AJ$116,0)</f>
        <v>0</v>
      </c>
      <c r="DM59" s="24" t="n">
        <f aca="false">IF('Food Data'!$C$117="Fruit",100/'Food Data'!$AJ$117,0)</f>
        <v>0</v>
      </c>
      <c r="DN59" s="24" t="n">
        <f aca="false">IF('Food Data'!$C$118="Fruit",100/'Food Data'!$AJ$118,0)</f>
        <v>0</v>
      </c>
      <c r="DO59" s="24" t="n">
        <f aca="false">IF('Food Data'!$C$119="Fruit",100/'Food Data'!$AJ$119,0)</f>
        <v>0</v>
      </c>
      <c r="DP59" s="24" t="n">
        <f aca="false">IF('Food Data'!$C$120="Fruit",100/'Food Data'!$AJ$120,0)</f>
        <v>0</v>
      </c>
      <c r="DQ59" s="24" t="n">
        <f aca="false">IF('Food Data'!$C$121="Fruit",100/'Food Data'!$AJ$121,0)</f>
        <v>0</v>
      </c>
      <c r="DR59" s="24" t="n">
        <f aca="false">IF('Food Data'!$C$122="Fruit",100/'Food Data'!$AJ$122,0)</f>
        <v>0</v>
      </c>
      <c r="DS59" s="24" t="n">
        <f aca="false">IF('Food Data'!$C$123="Fruit",100/'Food Data'!$AJ$123,0)</f>
        <v>0</v>
      </c>
      <c r="DT59" s="24" t="n">
        <f aca="false">IF('Food Data'!$C$124="Fruit",100/'Food Data'!$AJ$124,0)</f>
        <v>0</v>
      </c>
      <c r="DU59" s="24" t="n">
        <f aca="false">IF('Food Data'!$C$125="Fruit",100/'Food Data'!$AJ$125,0)</f>
        <v>0</v>
      </c>
      <c r="DV59" s="24" t="n">
        <f aca="false">IF('Food Data'!$C$126="Fruit",100/'Food Data'!$AJ$126,0)</f>
        <v>0</v>
      </c>
      <c r="DW59" s="24" t="n">
        <f aca="false">IF('Food Data'!$C$127="Fruit",100/'Food Data'!$AJ$127,0)</f>
        <v>0</v>
      </c>
      <c r="DX59" s="24" t="n">
        <f aca="false">IF('Food Data'!$C$128="Fruit",100/'Food Data'!$AJ$128,0)</f>
        <v>0</v>
      </c>
      <c r="DY59" s="24" t="n">
        <f aca="false">IF('Food Data'!$C$129="Fruit",100/'Food Data'!$AJ$129,0)</f>
        <v>0</v>
      </c>
      <c r="DZ59" s="24" t="n">
        <f aca="false">IF('Food Data'!$C$130="Fruit",100/'Food Data'!$AJ$130,0)</f>
        <v>0</v>
      </c>
      <c r="EA59" s="24" t="n">
        <f aca="false">IF('Food Data'!$C$131="Fruit",100/'Food Data'!$AJ$131,0)</f>
        <v>0</v>
      </c>
      <c r="EB59" s="24" t="n">
        <f aca="false">IF('Food Data'!$C$132="Fruit",100/'Food Data'!$AJ$132,0)</f>
        <v>0</v>
      </c>
      <c r="EC59" s="24" t="n">
        <f aca="false">IF('Food Data'!$C$133="Fruit",100/'Food Data'!$AJ$133,0)</f>
        <v>0</v>
      </c>
      <c r="ED59" s="24" t="n">
        <f aca="false">IF('Food Data'!$C$134="Fruit",100/'Food Data'!$AJ$134,0)</f>
        <v>0</v>
      </c>
      <c r="EE59" s="24" t="n">
        <f aca="false">IF('Food Data'!$C$135="Fruit",100/'Food Data'!$AJ$135,0)</f>
        <v>0</v>
      </c>
      <c r="EF59" s="24" t="n">
        <f aca="false">IF('Food Data'!$C$136="Fruit",100/'Food Data'!$AJ$136,0)</f>
        <v>0</v>
      </c>
      <c r="EG59" s="24" t="n">
        <f aca="false">IF('Food Data'!$C$137="Fruit",100/'Food Data'!$AJ$137,0)</f>
        <v>0</v>
      </c>
      <c r="EH59" s="24" t="n">
        <f aca="false">IF('Food Data'!$C$138="Fruit",100/'Food Data'!$AJ$138,0)</f>
        <v>0</v>
      </c>
      <c r="EI59" s="24" t="n">
        <f aca="false">IF('Food Data'!$C$139="Fruit",100/'Food Data'!$AJ$139,0)</f>
        <v>0</v>
      </c>
      <c r="EJ59" s="24" t="n">
        <f aca="false">IF('Food Data'!$C$140="Fruit",100/'Food Data'!$AJ$140,0)</f>
        <v>0</v>
      </c>
      <c r="EK59" s="24" t="n">
        <f aca="false">IF('Food Data'!$C$141="Fruit",100/'Food Data'!$AJ$141,0)</f>
        <v>0</v>
      </c>
      <c r="EL59" s="24" t="n">
        <f aca="false">IF('Food Data'!$C$142="Fruit",100/'Food Data'!$AJ$142,0)</f>
        <v>0</v>
      </c>
      <c r="EM59" s="24" t="n">
        <f aca="false">IF('Food Data'!$C$143="Fruit",100/'Food Data'!$AJ$143,0)</f>
        <v>0</v>
      </c>
      <c r="EN59" s="24" t="n">
        <f aca="false">IF('Food Data'!$C$144="Fruit",100/'Food Data'!$AJ$144,0)</f>
        <v>0</v>
      </c>
      <c r="EO59" s="24" t="n">
        <f aca="false">IF('Food Data'!$C$145="Fruit",100/'Food Data'!$AJ$145,0)</f>
        <v>0</v>
      </c>
      <c r="EP59" s="24" t="n">
        <f aca="false">IF('Food Data'!$C$146="Fruit",100/'Food Data'!$AJ$146,0)</f>
        <v>0</v>
      </c>
      <c r="EQ59" s="24" t="n">
        <f aca="false">IF('Food Data'!$C$147="Fruit",100/'Food Data'!$AJ$147,0)</f>
        <v>0</v>
      </c>
      <c r="ER59" s="24" t="n">
        <f aca="false">IF('Food Data'!$C$148="Fruit",100/'Food Data'!$AJ$148,0)</f>
        <v>0</v>
      </c>
      <c r="ES59" s="24" t="n">
        <f aca="false">IF('Food Data'!$C$149="Fruit",100/'Food Data'!$AJ$149,0)</f>
        <v>0</v>
      </c>
      <c r="ET59" s="24" t="n">
        <f aca="false">IF('Food Data'!$C$150="Fruit",100/'Food Data'!$AJ$150,0)</f>
        <v>0</v>
      </c>
      <c r="EU59" s="24" t="n">
        <f aca="false">IF('Food Data'!$C$151="Fruit",100/'Food Data'!$AJ$151,0)</f>
        <v>0</v>
      </c>
    </row>
    <row r="60" customFormat="false" ht="15" hidden="false" customHeight="false" outlineLevel="0" collapsed="false">
      <c r="A60" s="4" t="s">
        <v>995</v>
      </c>
      <c r="B60" s="75" t="s">
        <v>996</v>
      </c>
      <c r="C60" s="76" t="n">
        <f aca="false">Planner!$E$16*(1+Planner!$C$42)</f>
        <v>3181.5</v>
      </c>
      <c r="D60" s="77" t="n">
        <v>2878.499999883</v>
      </c>
      <c r="E60" s="75" t="str">
        <f aca="false">IF(D60&lt;=C60+0.000001*MAX(1,ABS(C60)),IF(ABS(D60-C60)&lt;=0.000001*MAX(1,ABS(C60)),"tight","ok"),"VIOLATED")</f>
        <v>ok</v>
      </c>
      <c r="F60" s="24" t="n">
        <f aca="false">F$20</f>
        <v>120</v>
      </c>
      <c r="G60" s="24" t="n">
        <f aca="false">G$20</f>
        <v>161</v>
      </c>
      <c r="H60" s="24" t="n">
        <f aca="false">H$20</f>
        <v>121</v>
      </c>
      <c r="I60" s="24" t="n">
        <f aca="false">I$20</f>
        <v>100</v>
      </c>
      <c r="J60" s="24" t="n">
        <f aca="false">J$20</f>
        <v>150</v>
      </c>
      <c r="K60" s="24" t="n">
        <f aca="false">K$20</f>
        <v>215</v>
      </c>
      <c r="L60" s="24" t="n">
        <f aca="false">L$20</f>
        <v>417</v>
      </c>
      <c r="M60" s="24" t="n">
        <f aca="false">M$20</f>
        <v>128</v>
      </c>
      <c r="N60" s="24" t="n">
        <f aca="false">N$20</f>
        <v>254</v>
      </c>
      <c r="O60" s="24" t="n">
        <f aca="false">O$20</f>
        <v>152</v>
      </c>
      <c r="P60" s="24" t="n">
        <f aca="false">P$20</f>
        <v>163</v>
      </c>
      <c r="Q60" s="24" t="n">
        <f aca="false">Q$20</f>
        <v>201</v>
      </c>
      <c r="R60" s="24" t="n">
        <f aca="false">R$20</f>
        <v>168</v>
      </c>
      <c r="S60" s="24" t="n">
        <f aca="false">S$20</f>
        <v>214</v>
      </c>
      <c r="T60" s="24" t="n">
        <f aca="false">T$20</f>
        <v>86</v>
      </c>
      <c r="U60" s="24" t="n">
        <f aca="false">U$20</f>
        <v>208</v>
      </c>
      <c r="V60" s="24" t="n">
        <f aca="false">V$20</f>
        <v>71</v>
      </c>
      <c r="W60" s="24" t="n">
        <f aca="false">W$20</f>
        <v>96</v>
      </c>
      <c r="X60" s="24" t="n">
        <f aca="false">X$20</f>
        <v>143</v>
      </c>
      <c r="Y60" s="24" t="n">
        <f aca="false">Y$20</f>
        <v>91</v>
      </c>
      <c r="Z60" s="24" t="n">
        <f aca="false">Z$20</f>
        <v>341</v>
      </c>
      <c r="AA60" s="24" t="n">
        <f aca="false">AA$20</f>
        <v>77</v>
      </c>
      <c r="AB60" s="24" t="n">
        <f aca="false">AB$20</f>
        <v>336</v>
      </c>
      <c r="AC60" s="24" t="n">
        <f aca="false">AC$20</f>
        <v>88</v>
      </c>
      <c r="AD60" s="24" t="n">
        <f aca="false">AD$20</f>
        <v>114</v>
      </c>
      <c r="AE60" s="24" t="n">
        <f aca="false">AE$20</f>
        <v>339</v>
      </c>
      <c r="AF60" s="24" t="n">
        <f aca="false">AF$20</f>
        <v>81</v>
      </c>
      <c r="AG60" s="24" t="n">
        <f aca="false">AG$20</f>
        <v>333</v>
      </c>
      <c r="AH60" s="24" t="n">
        <f aca="false">AH$20</f>
        <v>352</v>
      </c>
      <c r="AI60" s="24" t="n">
        <f aca="false">AI$20</f>
        <v>338</v>
      </c>
      <c r="AJ60" s="24" t="n">
        <f aca="false">AJ$20</f>
        <v>113</v>
      </c>
      <c r="AK60" s="24" t="n">
        <f aca="false">AK$20</f>
        <v>337</v>
      </c>
      <c r="AL60" s="24" t="n">
        <f aca="false">AL$20</f>
        <v>598</v>
      </c>
      <c r="AM60" s="24" t="n">
        <f aca="false">AM$20</f>
        <v>82</v>
      </c>
      <c r="AN60" s="24" t="n">
        <f aca="false">AN$20</f>
        <v>347</v>
      </c>
      <c r="AO60" s="24" t="n">
        <f aca="false">AO$20</f>
        <v>98</v>
      </c>
      <c r="AP60" s="24" t="n">
        <f aca="false">AP$20</f>
        <v>50</v>
      </c>
      <c r="AQ60" s="24" t="n">
        <f aca="false">AQ$20</f>
        <v>59</v>
      </c>
      <c r="AR60" s="24" t="n">
        <f aca="false">AR$20</f>
        <v>43</v>
      </c>
      <c r="AS60" s="24" t="n">
        <f aca="false">AS$20</f>
        <v>61</v>
      </c>
      <c r="AT60" s="24" t="n">
        <f aca="false">AT$20</f>
        <v>366</v>
      </c>
      <c r="AU60" s="24" t="n">
        <f aca="false">AU$20</f>
        <v>404</v>
      </c>
      <c r="AV60" s="24" t="n">
        <f aca="false">AV$20</f>
        <v>81</v>
      </c>
      <c r="AW60" s="24" t="n">
        <f aca="false">AW$20</f>
        <v>295</v>
      </c>
      <c r="AX60" s="24" t="n">
        <f aca="false">AX$20</f>
        <v>264</v>
      </c>
      <c r="AY60" s="24" t="n">
        <f aca="false">AY$20</f>
        <v>367</v>
      </c>
      <c r="AZ60" s="24" t="n">
        <f aca="false">AZ$20</f>
        <v>376</v>
      </c>
      <c r="BA60" s="24" t="n">
        <f aca="false">BA$20</f>
        <v>218</v>
      </c>
      <c r="BB60" s="24" t="n">
        <f aca="false">BB$20</f>
        <v>297</v>
      </c>
      <c r="BC60" s="24" t="n">
        <f aca="false">BC$20</f>
        <v>368</v>
      </c>
      <c r="BD60" s="24" t="n">
        <f aca="false">BD$20</f>
        <v>379</v>
      </c>
      <c r="BE60" s="24" t="n">
        <f aca="false">BE$20</f>
        <v>371</v>
      </c>
      <c r="BF60" s="24" t="n">
        <f aca="false">BF$20</f>
        <v>266</v>
      </c>
      <c r="BG60" s="24" t="n">
        <f aca="false">BG$20</f>
        <v>365</v>
      </c>
      <c r="BH60" s="24" t="n">
        <f aca="false">BH$20</f>
        <v>252</v>
      </c>
      <c r="BI60" s="24" t="n">
        <f aca="false">BI$20</f>
        <v>352</v>
      </c>
      <c r="BJ60" s="24" t="n">
        <f aca="false">BJ$20</f>
        <v>132</v>
      </c>
      <c r="BK60" s="24" t="n">
        <f aca="false">BK$20</f>
        <v>61</v>
      </c>
      <c r="BL60" s="24" t="n">
        <f aca="false">BL$20</f>
        <v>88</v>
      </c>
      <c r="BM60" s="24" t="n">
        <f aca="false">BM$20</f>
        <v>150</v>
      </c>
      <c r="BN60" s="24" t="n">
        <f aca="false">BN$20</f>
        <v>58</v>
      </c>
      <c r="BO60" s="24" t="n">
        <f aca="false">BO$20</f>
        <v>77</v>
      </c>
      <c r="BP60" s="24" t="n">
        <f aca="false">BP$20</f>
        <v>77</v>
      </c>
      <c r="BQ60" s="24" t="n">
        <f aca="false">BQ$20</f>
        <v>86</v>
      </c>
      <c r="BR60" s="24" t="n">
        <f aca="false">BR$20</f>
        <v>52</v>
      </c>
      <c r="BS60" s="24" t="n">
        <f aca="false">BS$20</f>
        <v>42</v>
      </c>
      <c r="BT60" s="24" t="n">
        <f aca="false">BT$20</f>
        <v>89</v>
      </c>
      <c r="BU60" s="24" t="n">
        <f aca="false">BU$20</f>
        <v>43</v>
      </c>
      <c r="BV60" s="24" t="n">
        <f aca="false">BV$20</f>
        <v>51</v>
      </c>
      <c r="BW60" s="24" t="n">
        <f aca="false">BW$20</f>
        <v>34</v>
      </c>
      <c r="BX60" s="24" t="n">
        <f aca="false">BX$20</f>
        <v>63</v>
      </c>
      <c r="BY60" s="24" t="n">
        <f aca="false">BY$20</f>
        <v>47</v>
      </c>
      <c r="BZ60" s="24" t="n">
        <f aca="false">BZ$20</f>
        <v>282</v>
      </c>
      <c r="CA60" s="24" t="n">
        <f aca="false">CA$20</f>
        <v>241</v>
      </c>
      <c r="CB60" s="24" t="n">
        <f aca="false">CB$20</f>
        <v>308</v>
      </c>
      <c r="CC60" s="24" t="n">
        <f aca="false">CC$20</f>
        <v>46</v>
      </c>
      <c r="CD60" s="24" t="n">
        <f aca="false">CD$20</f>
        <v>32</v>
      </c>
      <c r="CE60" s="24" t="n">
        <f aca="false">CE$20</f>
        <v>69</v>
      </c>
      <c r="CF60" s="24" t="n">
        <f aca="false">CF$20</f>
        <v>36</v>
      </c>
      <c r="CG60" s="24" t="n">
        <f aca="false">CG$20</f>
        <v>61</v>
      </c>
      <c r="CH60" s="24" t="n">
        <f aca="false">CH$20</f>
        <v>60</v>
      </c>
      <c r="CI60" s="24" t="n">
        <f aca="false">CI$20</f>
        <v>44</v>
      </c>
      <c r="CJ60" s="24" t="n">
        <f aca="false">CJ$20</f>
        <v>49</v>
      </c>
      <c r="CK60" s="24" t="n">
        <f aca="false">CK$20</f>
        <v>49</v>
      </c>
      <c r="CL60" s="24" t="n">
        <f aca="false">CL$20</f>
        <v>43</v>
      </c>
      <c r="CM60" s="24" t="n">
        <f aca="false">CM$20</f>
        <v>39</v>
      </c>
      <c r="CN60" s="24" t="n">
        <f aca="false">CN$20</f>
        <v>44</v>
      </c>
      <c r="CO60" s="24" t="n">
        <f aca="false">CO$20</f>
        <v>57</v>
      </c>
      <c r="CP60" s="24" t="n">
        <f aca="false">CP$20</f>
        <v>50</v>
      </c>
      <c r="CQ60" s="24" t="n">
        <f aca="false">CQ$20</f>
        <v>50</v>
      </c>
      <c r="CR60" s="24" t="n">
        <f aca="false">CR$20</f>
        <v>60</v>
      </c>
      <c r="CS60" s="24" t="n">
        <f aca="false">CS$20</f>
        <v>46</v>
      </c>
      <c r="CT60" s="24" t="n">
        <f aca="false">CT$20</f>
        <v>240</v>
      </c>
      <c r="CU60" s="24" t="n">
        <f aca="false">CU$20</f>
        <v>299</v>
      </c>
      <c r="CV60" s="24" t="n">
        <f aca="false">CV$20</f>
        <v>52</v>
      </c>
      <c r="CW60" s="24" t="n">
        <f aca="false">CW$20</f>
        <v>32</v>
      </c>
      <c r="CX60" s="24" t="n">
        <f aca="false">CX$20</f>
        <v>35</v>
      </c>
      <c r="CY60" s="24" t="n">
        <f aca="false">CY$20</f>
        <v>30</v>
      </c>
      <c r="CZ60" s="24" t="n">
        <f aca="false">CZ$20</f>
        <v>40</v>
      </c>
      <c r="DA60" s="24" t="n">
        <f aca="false">DA$20</f>
        <v>20</v>
      </c>
      <c r="DB60" s="24" t="n">
        <f aca="false">DB$20</f>
        <v>35</v>
      </c>
      <c r="DC60" s="24" t="n">
        <f aca="false">DC$20</f>
        <v>30</v>
      </c>
      <c r="DD60" s="24" t="n">
        <f aca="false">DD$20</f>
        <v>29</v>
      </c>
      <c r="DE60" s="24" t="n">
        <f aca="false">DE$20</f>
        <v>41</v>
      </c>
      <c r="DF60" s="24" t="n">
        <f aca="false">DF$20</f>
        <v>45</v>
      </c>
      <c r="DG60" s="24" t="n">
        <f aca="false">DG$20</f>
        <v>25</v>
      </c>
      <c r="DH60" s="24" t="n">
        <f aca="false">DH$20</f>
        <v>31</v>
      </c>
      <c r="DI60" s="24" t="n">
        <f aca="false">DI$20</f>
        <v>41</v>
      </c>
      <c r="DJ60" s="24" t="n">
        <f aca="false">DJ$20</f>
        <v>23</v>
      </c>
      <c r="DK60" s="24" t="n">
        <f aca="false">DK$20</f>
        <v>36</v>
      </c>
      <c r="DL60" s="24" t="n">
        <f aca="false">DL$20</f>
        <v>24</v>
      </c>
      <c r="DM60" s="24" t="n">
        <f aca="false">DM$20</f>
        <v>16</v>
      </c>
      <c r="DN60" s="24" t="n">
        <f aca="false">DN$20</f>
        <v>32</v>
      </c>
      <c r="DO60" s="24" t="n">
        <f aca="false">DO$20</f>
        <v>33</v>
      </c>
      <c r="DP60" s="24" t="n">
        <f aca="false">DP$20</f>
        <v>15</v>
      </c>
      <c r="DQ60" s="24" t="n">
        <f aca="false">DQ$20</f>
        <v>15</v>
      </c>
      <c r="DR60" s="24" t="n">
        <f aca="false">DR$20</f>
        <v>39</v>
      </c>
      <c r="DS60" s="24" t="n">
        <f aca="false">DS$20</f>
        <v>20</v>
      </c>
      <c r="DT60" s="24" t="n">
        <f aca="false">DT$20</f>
        <v>14</v>
      </c>
      <c r="DU60" s="24" t="n">
        <f aca="false">DU$20</f>
        <v>28</v>
      </c>
      <c r="DV60" s="24" t="n">
        <f aca="false">DV$20</f>
        <v>72</v>
      </c>
      <c r="DW60" s="24" t="n">
        <f aca="false">DW$20</f>
        <v>22</v>
      </c>
      <c r="DX60" s="24" t="n">
        <f aca="false">DX$20</f>
        <v>20</v>
      </c>
      <c r="DY60" s="24" t="n">
        <f aca="false">DY$20</f>
        <v>30</v>
      </c>
      <c r="DZ60" s="24" t="n">
        <f aca="false">DZ$20</f>
        <v>40</v>
      </c>
      <c r="EA60" s="24" t="n">
        <f aca="false">EA$20</f>
        <v>34</v>
      </c>
      <c r="EB60" s="24" t="n">
        <f aca="false">EB$20</f>
        <v>16</v>
      </c>
      <c r="EC60" s="24" t="n">
        <f aca="false">EC$20</f>
        <v>31</v>
      </c>
      <c r="ED60" s="24" t="n">
        <f aca="false">ED$20</f>
        <v>17</v>
      </c>
      <c r="EE60" s="24" t="n">
        <f aca="false">EE$20</f>
        <v>19</v>
      </c>
      <c r="EF60" s="24" t="n">
        <f aca="false">EF$20</f>
        <v>19</v>
      </c>
      <c r="EG60" s="24" t="n">
        <f aca="false">EG$20</f>
        <v>23</v>
      </c>
      <c r="EH60" s="24" t="n">
        <f aca="false">EH$20</f>
        <v>29</v>
      </c>
      <c r="EI60" s="24" t="n">
        <f aca="false">EI$20</f>
        <v>16</v>
      </c>
      <c r="EJ60" s="24" t="n">
        <f aca="false">EJ$20</f>
        <v>18</v>
      </c>
      <c r="EK60" s="24" t="n">
        <f aca="false">EK$20</f>
        <v>22</v>
      </c>
      <c r="EL60" s="24" t="n">
        <f aca="false">EL$20</f>
        <v>17</v>
      </c>
      <c r="EM60" s="24" t="n">
        <f aca="false">EM$20</f>
        <v>717</v>
      </c>
      <c r="EN60" s="24" t="n">
        <f aca="false">EN$20</f>
        <v>884</v>
      </c>
      <c r="EO60" s="24" t="n">
        <f aca="false">EO$20</f>
        <v>884</v>
      </c>
      <c r="EP60" s="24" t="n">
        <f aca="false">EP$20</f>
        <v>579</v>
      </c>
      <c r="EQ60" s="24" t="n">
        <f aca="false">EQ$20</f>
        <v>167</v>
      </c>
      <c r="ER60" s="24" t="n">
        <f aca="false">ER$20</f>
        <v>492</v>
      </c>
      <c r="ES60" s="24" t="n">
        <f aca="false">ES$20</f>
        <v>418</v>
      </c>
      <c r="ET60" s="24" t="n">
        <f aca="false">ET$20</f>
        <v>532</v>
      </c>
      <c r="EU60" s="24" t="n">
        <f aca="false">EU$20</f>
        <v>207</v>
      </c>
    </row>
    <row r="61" customFormat="false" ht="15" hidden="false" customHeight="false" outlineLevel="0" collapsed="false">
      <c r="A61" s="4" t="s">
        <v>997</v>
      </c>
      <c r="B61" s="75" t="s">
        <v>998</v>
      </c>
      <c r="C61" s="78" t="n">
        <v>0</v>
      </c>
      <c r="D61" s="77" t="n">
        <v>-559.47499998953</v>
      </c>
      <c r="E61" s="75" t="str">
        <f aca="false">IF(D61&lt;=C61+0.000001*MAX(1,ABS(C61)),IF(ABS(D61-C61)&lt;=0.000001*MAX(1,ABS(C61)),"tight","ok"),"VIOLATED")</f>
        <v>ok</v>
      </c>
      <c r="F61" s="24" t="n">
        <f aca="false">4*F$21-$D$8*F$20</f>
        <v>48</v>
      </c>
      <c r="G61" s="24" t="n">
        <f aca="false">4*G$21-$D$8*G$20</f>
        <v>15.97</v>
      </c>
      <c r="H61" s="24" t="n">
        <f aca="false">4*H$21-$D$8*H$20</f>
        <v>36.29</v>
      </c>
      <c r="I61" s="24" t="n">
        <f aca="false">4*I$21-$D$8*I$20</f>
        <v>30.32</v>
      </c>
      <c r="J61" s="24" t="n">
        <f aca="false">4*J$21-$D$8*J$20</f>
        <v>22.42</v>
      </c>
      <c r="K61" s="24" t="n">
        <f aca="false">4*K$21-$D$8*K$20</f>
        <v>-0.849999999999994</v>
      </c>
      <c r="L61" s="24" t="n">
        <f aca="false">4*L$21-$D$8*L$20</f>
        <v>-95.47</v>
      </c>
      <c r="M61" s="24" t="n">
        <f aca="false">4*M$21-$D$8*M$20</f>
        <v>42.2</v>
      </c>
      <c r="N61" s="24" t="n">
        <f aca="false">4*N$21-$D$8*N$20</f>
        <v>-20.22</v>
      </c>
      <c r="O61" s="24" t="n">
        <f aca="false">4*O$21-$D$8*O$20</f>
        <v>30.2</v>
      </c>
      <c r="P61" s="24" t="n">
        <f aca="false">4*P$21-$D$8*P$20</f>
        <v>9.35000000000001</v>
      </c>
      <c r="Q61" s="24" t="n">
        <f aca="false">4*Q$21-$D$8*Q$20</f>
        <v>14.21</v>
      </c>
      <c r="R61" s="24" t="n">
        <f aca="false">4*R$21-$D$8*R$20</f>
        <v>28.96</v>
      </c>
      <c r="S61" s="24" t="n">
        <f aca="false">4*S$21-$D$8*S$20</f>
        <v>4.78000000000002</v>
      </c>
      <c r="T61" s="24" t="n">
        <f aca="false">4*T$21-$D$8*T$20</f>
        <v>47.66</v>
      </c>
      <c r="U61" s="24" t="n">
        <f aca="false">4*U$21-$D$8*U$20</f>
        <v>8.88000000000001</v>
      </c>
      <c r="V61" s="24" t="n">
        <f aca="false">4*V$21-$D$8*V$20</f>
        <v>29.59</v>
      </c>
      <c r="W61" s="24" t="n">
        <f aca="false">4*W$21-$D$8*W$20</f>
        <v>46.72</v>
      </c>
      <c r="X61" s="24" t="n">
        <f aca="false">4*X$21-$D$8*X$20</f>
        <v>0.190000000000005</v>
      </c>
      <c r="Y61" s="24" t="n">
        <f aca="false">4*Y$21-$D$8*Y$20</f>
        <v>-7.73</v>
      </c>
      <c r="Z61" s="24" t="n">
        <f aca="false">4*Z$21-$D$8*Z$20</f>
        <v>-32.95</v>
      </c>
      <c r="AA61" s="24" t="n">
        <f aca="false">4*AA$21-$D$8*AA$20</f>
        <v>-7.99</v>
      </c>
      <c r="AB61" s="24" t="n">
        <f aca="false">4*AB$21-$D$8*AB$20</f>
        <v>-23.52</v>
      </c>
      <c r="AC61" s="24" t="n">
        <f aca="false">4*AC$21-$D$8*AC$20</f>
        <v>-11.12</v>
      </c>
      <c r="AD61" s="24" t="n">
        <f aca="false">4*AD$21-$D$8*AD$20</f>
        <v>-10.42</v>
      </c>
      <c r="AE61" s="24" t="n">
        <f aca="false">4*AE$21-$D$8*AE$20</f>
        <v>-31.21</v>
      </c>
      <c r="AF61" s="24" t="n">
        <f aca="false">4*AF$21-$D$8*AF$20</f>
        <v>-7.47</v>
      </c>
      <c r="AG61" s="24" t="n">
        <f aca="false">4*AG$21-$D$8*AG$20</f>
        <v>-22.23</v>
      </c>
      <c r="AH61" s="24" t="n">
        <f aca="false">4*AH$21-$D$8*AH$20</f>
        <v>-24.68</v>
      </c>
      <c r="AI61" s="24" t="n">
        <f aca="false">4*AI$21-$D$8*AI$20</f>
        <v>-32.46</v>
      </c>
      <c r="AJ61" s="24" t="n">
        <f aca="false">4*AJ$21-$D$8*AJ$20</f>
        <v>-9.43</v>
      </c>
      <c r="AK61" s="24" t="n">
        <f aca="false">4*AK$21-$D$8*AK$20</f>
        <v>-28.63</v>
      </c>
      <c r="AL61" s="24" t="n">
        <f aca="false">4*AL$21-$D$8*AL$20</f>
        <v>-120.46</v>
      </c>
      <c r="AM61" s="24" t="n">
        <f aca="false">4*AM$21-$D$8*AM$20</f>
        <v>-10.3</v>
      </c>
      <c r="AN61" s="24" t="n">
        <f aca="false">4*AN$21-$D$8*AN$20</f>
        <v>-35.77</v>
      </c>
      <c r="AO61" s="24" t="n">
        <f aca="false">4*AO$21-$D$8*AO$20</f>
        <v>6.1</v>
      </c>
      <c r="AP61" s="24" t="n">
        <f aca="false">4*AP$21-$D$8*AP$20</f>
        <v>-4.3</v>
      </c>
      <c r="AQ61" s="24" t="n">
        <f aca="false">4*AQ$21-$D$8*AQ$20</f>
        <v>20.11</v>
      </c>
      <c r="AR61" s="24" t="n">
        <f aca="false">4*AR$21-$D$8*AR$20</f>
        <v>-4.65</v>
      </c>
      <c r="AS61" s="24" t="n">
        <f aca="false">4*AS$21-$D$8*AS$20</f>
        <v>-8.75</v>
      </c>
      <c r="AT61" s="24" t="n">
        <f aca="false">4*AT$21-$D$8*AT$20</f>
        <v>-55.58</v>
      </c>
      <c r="AU61" s="24" t="n">
        <f aca="false">4*AU$21-$D$8*AU$20</f>
        <v>-49.92</v>
      </c>
      <c r="AV61" s="24" t="n">
        <f aca="false">4*AV$21-$D$8*AV$20</f>
        <v>13.45</v>
      </c>
      <c r="AW61" s="24" t="n">
        <f aca="false">4*AW$21-$D$8*AW$20</f>
        <v>-8.25</v>
      </c>
      <c r="AX61" s="24" t="n">
        <f aca="false">4*AX$21-$D$8*AX$20</f>
        <v>-50.16</v>
      </c>
      <c r="AY61" s="24" t="n">
        <f aca="false">4*AY$21-$D$8*AY$20</f>
        <v>-98.29</v>
      </c>
      <c r="AZ61" s="24" t="n">
        <f aca="false">4*AZ$21-$D$8*AZ$20</f>
        <v>-83.24</v>
      </c>
      <c r="BA61" s="24" t="n">
        <f aca="false">4*BA$21-$D$8*BA$20</f>
        <v>-53.5</v>
      </c>
      <c r="BB61" s="24" t="n">
        <f aca="false">4*BB$21-$D$8*BB$20</f>
        <v>-71.91</v>
      </c>
      <c r="BC61" s="24" t="n">
        <f aca="false">4*BC$21-$D$8*BC$20</f>
        <v>-72.32</v>
      </c>
      <c r="BD61" s="24" t="n">
        <f aca="false">4*BD$21-$D$8*BD$20</f>
        <v>-80.05</v>
      </c>
      <c r="BE61" s="24" t="n">
        <f aca="false">4*BE$21-$D$8*BE$20</f>
        <v>-77.69</v>
      </c>
      <c r="BF61" s="24" t="n">
        <f aca="false">4*BF$21-$D$8*BF$20</f>
        <v>-57.7</v>
      </c>
      <c r="BG61" s="24" t="n">
        <f aca="false">4*BG$21-$D$8*BG$20</f>
        <v>-99.23</v>
      </c>
      <c r="BH61" s="24" t="n">
        <f aca="false">4*BH$21-$D$8*BH$20</f>
        <v>-38.4</v>
      </c>
      <c r="BI61" s="24" t="n">
        <f aca="false">4*BI$21-$D$8*BI$20</f>
        <v>-67.72</v>
      </c>
      <c r="BJ61" s="24" t="n">
        <f aca="false">4*BJ$21-$D$8*BJ$20</f>
        <v>-15.84</v>
      </c>
      <c r="BK61" s="24" t="n">
        <f aca="false">4*BK$21-$D$8*BK$20</f>
        <v>-13.55</v>
      </c>
      <c r="BL61" s="24" t="n">
        <f aca="false">4*BL$21-$D$8*BL$20</f>
        <v>-18.72</v>
      </c>
      <c r="BM61" s="24" t="n">
        <f aca="false">4*BM$21-$D$8*BM$20</f>
        <v>-43.54</v>
      </c>
      <c r="BN61" s="24" t="n">
        <f aca="false">4*BN$21-$D$8*BN$20</f>
        <v>-8.26</v>
      </c>
      <c r="BO61" s="24" t="n">
        <f aca="false">4*BO$21-$D$8*BO$20</f>
        <v>-6.07</v>
      </c>
      <c r="BP61" s="24" t="n">
        <f aca="false">4*BP$21-$D$8*BP$20</f>
        <v>-18.75</v>
      </c>
      <c r="BQ61" s="24" t="n">
        <f aca="false">4*BQ$21-$D$8*BQ$20</f>
        <v>-23.82</v>
      </c>
      <c r="BR61" s="24" t="n">
        <f aca="false">4*BR$21-$D$8*BR$20</f>
        <v>-17.16</v>
      </c>
      <c r="BS61" s="24" t="n">
        <f aca="false">4*BS$21-$D$8*BS$20</f>
        <v>-14.02</v>
      </c>
      <c r="BT61" s="24" t="n">
        <f aca="false">4*BT$21-$D$8*BT$20</f>
        <v>-26.79</v>
      </c>
      <c r="BU61" s="24" t="n">
        <f aca="false">4*BU$21-$D$8*BU$20</f>
        <v>-9.49</v>
      </c>
      <c r="BV61" s="24" t="n">
        <f aca="false">4*BV$21-$D$8*BV$20</f>
        <v>-16.17</v>
      </c>
      <c r="BW61" s="24" t="n">
        <f aca="false">4*BW$21-$D$8*BW$20</f>
        <v>-8.54</v>
      </c>
      <c r="BX61" s="24" t="n">
        <f aca="false">4*BX$21-$D$8*BX$20</f>
        <v>-17.81</v>
      </c>
      <c r="BY61" s="24" t="n">
        <f aca="false">4*BY$21-$D$8*BY$20</f>
        <v>-13.05</v>
      </c>
      <c r="BZ61" s="24" t="n">
        <f aca="false">4*BZ$21-$D$8*BZ$20</f>
        <v>-88.9</v>
      </c>
      <c r="CA61" s="24" t="n">
        <f aca="false">4*CA$21-$D$8*CA$20</f>
        <v>-70.79</v>
      </c>
      <c r="CB61" s="24" t="n">
        <f aca="false">4*CB$21-$D$8*CB$20</f>
        <v>-107.12</v>
      </c>
      <c r="CC61" s="24" t="n">
        <f aca="false">4*CC$21-$D$8*CC$20</f>
        <v>-14.26</v>
      </c>
      <c r="CD61" s="24" t="n">
        <f aca="false">4*CD$21-$D$8*CD$20</f>
        <v>-8.68</v>
      </c>
      <c r="CE61" s="24" t="n">
        <f aca="false">4*CE$21-$D$8*CE$20</f>
        <v>-21.27</v>
      </c>
      <c r="CF61" s="24" t="n">
        <f aca="false">4*CF$21-$D$8*CF$20</f>
        <v>-10.44</v>
      </c>
      <c r="CG61" s="24" t="n">
        <f aca="false">4*CG$21-$D$8*CG$20</f>
        <v>-16.79</v>
      </c>
      <c r="CH61" s="24" t="n">
        <f aca="false">4*CH$21-$D$8*CH$20</f>
        <v>-17.72</v>
      </c>
      <c r="CI61" s="24" t="n">
        <f aca="false">4*CI$21-$D$8*CI$20</f>
        <v>-11.16</v>
      </c>
      <c r="CJ61" s="24" t="n">
        <f aca="false">4*CJ$21-$D$8*CJ$20</f>
        <v>-14.43</v>
      </c>
      <c r="CK61" s="24" t="n">
        <f aca="false">4*CK$21-$D$8*CK$20</f>
        <v>-13.51</v>
      </c>
      <c r="CL61" s="24" t="n">
        <f aca="false">4*CL$21-$D$8*CL$20</f>
        <v>-13.17</v>
      </c>
      <c r="CM61" s="24" t="n">
        <f aca="false">4*CM$21-$D$8*CM$20</f>
        <v>-10.01</v>
      </c>
      <c r="CN61" s="24" t="n">
        <f aca="false">4*CN$21-$D$8*CN$20</f>
        <v>-12.88</v>
      </c>
      <c r="CO61" s="24" t="n">
        <f aca="false">4*CO$21-$D$8*CO$20</f>
        <v>-18.51</v>
      </c>
      <c r="CP61" s="24" t="n">
        <f aca="false">4*CP$21-$D$8*CP$20</f>
        <v>-16.14</v>
      </c>
      <c r="CQ61" s="24" t="n">
        <f aca="false">4*CQ$21-$D$8*CQ$20</f>
        <v>-15.34</v>
      </c>
      <c r="CR61" s="24" t="n">
        <f aca="false">4*CR$21-$D$8*CR$20</f>
        <v>-19.32</v>
      </c>
      <c r="CS61" s="24" t="n">
        <f aca="false">4*CS$21-$D$8*CS$20</f>
        <v>-13.3</v>
      </c>
      <c r="CT61" s="24" t="n">
        <f aca="false">4*CT$21-$D$8*CT$20</f>
        <v>-75.28</v>
      </c>
      <c r="CU61" s="24" t="n">
        <f aca="false">4*CU$21-$D$8*CU$20</f>
        <v>-92.37</v>
      </c>
      <c r="CV61" s="24" t="n">
        <f aca="false">4*CV$21-$D$8*CV$20</f>
        <v>-13.4</v>
      </c>
      <c r="CW61" s="24" t="n">
        <f aca="false">4*CW$21-$D$8*CW$20</f>
        <v>-8.52</v>
      </c>
      <c r="CX61" s="24" t="n">
        <f aca="false">4*CX$21-$D$8*CX$20</f>
        <v>-10.53</v>
      </c>
      <c r="CY61" s="24" t="n">
        <f aca="false">4*CY$21-$D$8*CY$20</f>
        <v>-8.06</v>
      </c>
      <c r="CZ61" s="24" t="n">
        <f aca="false">4*CZ$21-$D$8*CZ$20</f>
        <v>-10.8</v>
      </c>
      <c r="DA61" s="24" t="n">
        <f aca="false">4*DA$21-$D$8*DA$20</f>
        <v>1.8</v>
      </c>
      <c r="DB61" s="24" t="n">
        <f aca="false">4*DB$21-$D$8*DB$20</f>
        <v>-9.69</v>
      </c>
      <c r="DC61" s="24" t="n">
        <f aca="false">4*DC$21-$D$8*DC$20</f>
        <v>-7.58</v>
      </c>
      <c r="DD61" s="24" t="n">
        <f aca="false">4*DD$21-$D$8*DD$20</f>
        <v>2.09</v>
      </c>
      <c r="DE61" s="24" t="n">
        <f aca="false">4*DE$21-$D$8*DE$20</f>
        <v>0.77</v>
      </c>
      <c r="DF61" s="24" t="n">
        <f aca="false">4*DF$21-$D$8*DF$20</f>
        <v>-11.75</v>
      </c>
      <c r="DG61" s="24" t="n">
        <f aca="false">4*DG$21-$D$8*DG$20</f>
        <v>-3.63</v>
      </c>
      <c r="DH61" s="24" t="n">
        <f aca="false">4*DH$21-$D$8*DH$20</f>
        <v>-5.13</v>
      </c>
      <c r="DI61" s="24" t="n">
        <f aca="false">4*DI$21-$D$8*DI$20</f>
        <v>-10.63</v>
      </c>
      <c r="DJ61" s="24" t="n">
        <f aca="false">4*DJ$21-$D$8*DJ$20</f>
        <v>-5.73</v>
      </c>
      <c r="DK61" s="24" t="n">
        <f aca="false">4*DK$21-$D$8*DK$20</f>
        <v>-9.48</v>
      </c>
      <c r="DL61" s="24" t="n">
        <f aca="false">4*DL$21-$D$8*DL$20</f>
        <v>-0.359999999999999</v>
      </c>
      <c r="DM61" s="24" t="n">
        <f aca="false">4*DM$21-$D$8*DM$20</f>
        <v>-2.84</v>
      </c>
      <c r="DN61" s="24" t="n">
        <f aca="false">4*DN$21-$D$8*DN$20</f>
        <v>0.880000000000001</v>
      </c>
      <c r="DO61" s="24" t="n">
        <f aca="false">4*DO$21-$D$8*DO$20</f>
        <v>-0.789999999999999</v>
      </c>
      <c r="DP61" s="24" t="n">
        <f aca="false">4*DP$21-$D$8*DP$20</f>
        <v>-2.65</v>
      </c>
      <c r="DQ61" s="24" t="n">
        <f aca="false">4*DQ$21-$D$8*DQ$20</f>
        <v>-2.37</v>
      </c>
      <c r="DR61" s="24" t="n">
        <f aca="false">4*DR$21-$D$8*DR$20</f>
        <v>-6.49</v>
      </c>
      <c r="DS61" s="24" t="n">
        <f aca="false">4*DS$21-$D$8*DS$20</f>
        <v>-3.56</v>
      </c>
      <c r="DT61" s="24" t="n">
        <f aca="false">4*DT$21-$D$8*DT$20</f>
        <v>-1.3</v>
      </c>
      <c r="DU61" s="24" t="n">
        <f aca="false">4*DU$21-$D$8*DU$20</f>
        <v>0.840000000000002</v>
      </c>
      <c r="DV61" s="24" t="n">
        <f aca="false">4*DV$21-$D$8*DV$20</f>
        <v>-11.88</v>
      </c>
      <c r="DW61" s="24" t="n">
        <f aca="false">4*DW$21-$D$8*DW$20</f>
        <v>4.66</v>
      </c>
      <c r="DX61" s="24" t="n">
        <f aca="false">4*DX$21-$D$8*DX$20</f>
        <v>2.96</v>
      </c>
      <c r="DY61" s="24" t="n">
        <f aca="false">4*DY$21-$D$8*DY$20</f>
        <v>-3.74</v>
      </c>
      <c r="DZ61" s="24" t="n">
        <f aca="false">4*DZ$21-$D$8*DZ$20</f>
        <v>-9.6</v>
      </c>
      <c r="EA61" s="24" t="n">
        <f aca="false">4*EA$21-$D$8*EA$20</f>
        <v>-7.5</v>
      </c>
      <c r="EB61" s="24" t="n">
        <f aca="false">4*EB$21-$D$8*EB$20</f>
        <v>-2.88</v>
      </c>
      <c r="EC61" s="24" t="n">
        <f aca="false">4*EC$21-$D$8*EC$20</f>
        <v>-6.89</v>
      </c>
      <c r="ED61" s="24" t="n">
        <f aca="false">4*ED$21-$D$8*ED$20</f>
        <v>-1.03</v>
      </c>
      <c r="EE61" s="24" t="n">
        <f aca="false">4*EE$21-$D$8*EE$20</f>
        <v>-3.01</v>
      </c>
      <c r="EF61" s="24" t="n">
        <f aca="false">4*EF$21-$D$8*EF$20</f>
        <v>1.79</v>
      </c>
      <c r="EG61" s="24" t="n">
        <f aca="false">4*EG$21-$D$8*EG$20</f>
        <v>3.39</v>
      </c>
      <c r="EH61" s="24" t="n">
        <f aca="false">4*EH$21-$D$8*EH$20</f>
        <v>4.37</v>
      </c>
      <c r="EI61" s="24" t="n">
        <f aca="false">4*EI$21-$D$8*EI$20</f>
        <v>-2.44</v>
      </c>
      <c r="EJ61" s="24" t="n">
        <f aca="false">4*EJ$21-$D$8*EJ$20</f>
        <v>-2.78</v>
      </c>
      <c r="EK61" s="24" t="n">
        <f aca="false">4*EK$21-$D$8*EK$20</f>
        <v>2.18</v>
      </c>
      <c r="EL61" s="24" t="n">
        <f aca="false">4*EL$21-$D$8*EL$20</f>
        <v>-1.11</v>
      </c>
      <c r="EM61" s="24" t="n">
        <f aca="false">4*EM$21-$D$8*EM$20</f>
        <v>-247.55</v>
      </c>
      <c r="EN61" s="24" t="n">
        <f aca="false">4*EN$21-$D$8*EN$20</f>
        <v>-309.4</v>
      </c>
      <c r="EO61" s="24" t="n">
        <f aca="false">4*EO$21-$D$8*EO$20</f>
        <v>-309.4</v>
      </c>
      <c r="EP61" s="24" t="n">
        <f aca="false">4*EP$21-$D$8*EP$20</f>
        <v>-118.05</v>
      </c>
      <c r="EQ61" s="24" t="n">
        <f aca="false">4*EQ$21-$D$8*EQ$20</f>
        <v>-50.61</v>
      </c>
      <c r="ER61" s="24" t="n">
        <f aca="false">4*ER$21-$D$8*ER$20</f>
        <v>-151.8</v>
      </c>
      <c r="ES61" s="24" t="n">
        <f aca="false">4*ES$21-$D$8*ES$20</f>
        <v>-123.7</v>
      </c>
      <c r="ET61" s="24" t="n">
        <f aca="false">4*ET$21-$D$8*ET$20</f>
        <v>-160.64</v>
      </c>
      <c r="EU61" s="24" t="n">
        <f aca="false">4*EU$21-$D$8*EU$20</f>
        <v>-58.45</v>
      </c>
    </row>
    <row r="62" customFormat="false" ht="15" hidden="false" customHeight="false" outlineLevel="0" collapsed="false">
      <c r="A62" s="4" t="s">
        <v>999</v>
      </c>
      <c r="B62" s="75" t="s">
        <v>998</v>
      </c>
      <c r="C62" s="78" t="n">
        <v>0</v>
      </c>
      <c r="D62" s="77" t="n">
        <v>9.52996814795881E-009</v>
      </c>
      <c r="E62" s="75" t="str">
        <f aca="false">IF(D62&lt;=C62+0.000001*MAX(1,ABS(C62)),IF(ABS(D62-C62)&lt;=0.000001*MAX(1,ABS(C62)),"tight","ok"),"VIOLATED")</f>
        <v>tight</v>
      </c>
      <c r="F62" s="24" t="n">
        <f aca="false">4*F$22-$D$9*F$20</f>
        <v>-78</v>
      </c>
      <c r="G62" s="24" t="n">
        <f aca="false">4*G$22-$D$9*G$20</f>
        <v>-104.21</v>
      </c>
      <c r="H62" s="24" t="n">
        <f aca="false">4*H$22-$D$9*H$20</f>
        <v>-78.65</v>
      </c>
      <c r="I62" s="24" t="n">
        <f aca="false">4*I$22-$D$9*I$20</f>
        <v>-55.64</v>
      </c>
      <c r="J62" s="24" t="n">
        <f aca="false">4*J$22-$D$9*J$20</f>
        <v>-97.5</v>
      </c>
      <c r="K62" s="24" t="n">
        <f aca="false">4*K$22-$D$9*K$20</f>
        <v>-139.75</v>
      </c>
      <c r="L62" s="24" t="n">
        <f aca="false">4*L$22-$D$9*L$20</f>
        <v>-265.93</v>
      </c>
      <c r="M62" s="24" t="n">
        <f aca="false">4*M$22-$D$9*M$20</f>
        <v>-82.56</v>
      </c>
      <c r="N62" s="24" t="n">
        <f aca="false">4*N$22-$D$9*N$20</f>
        <v>-165.1</v>
      </c>
      <c r="O62" s="24" t="n">
        <f aca="false">4*O$22-$D$9*O$20</f>
        <v>-98.8</v>
      </c>
      <c r="P62" s="24" t="n">
        <f aca="false">4*P$22-$D$9*P$20</f>
        <v>-90.63</v>
      </c>
      <c r="Q62" s="24" t="n">
        <f aca="false">4*Q$22-$D$9*Q$20</f>
        <v>-130.65</v>
      </c>
      <c r="R62" s="24" t="n">
        <f aca="false">4*R$22-$D$9*R$20</f>
        <v>-109.2</v>
      </c>
      <c r="S62" s="24" t="n">
        <f aca="false">4*S$22-$D$9*S$20</f>
        <v>-139.1</v>
      </c>
      <c r="T62" s="24" t="n">
        <f aca="false">4*T$22-$D$9*T$20</f>
        <v>-55.9</v>
      </c>
      <c r="U62" s="24" t="n">
        <f aca="false">4*U$22-$D$9*U$20</f>
        <v>-135.2</v>
      </c>
      <c r="V62" s="24" t="n">
        <f aca="false">4*V$22-$D$9*V$20</f>
        <v>-42.51</v>
      </c>
      <c r="W62" s="24" t="n">
        <f aca="false">4*W$22-$D$9*W$20</f>
        <v>-62.4</v>
      </c>
      <c r="X62" s="24" t="n">
        <f aca="false">4*X$22-$D$9*X$20</f>
        <v>-90.07</v>
      </c>
      <c r="Y62" s="24" t="n">
        <f aca="false">4*Y$22-$D$9*Y$20</f>
        <v>7.05</v>
      </c>
      <c r="Z62" s="24" t="n">
        <f aca="false">4*Z$22-$D$9*Z$20</f>
        <v>27.79</v>
      </c>
      <c r="AA62" s="24" t="n">
        <f aca="false">4*AA$22-$D$9*AA$20</f>
        <v>4.47</v>
      </c>
      <c r="AB62" s="24" t="n">
        <f aca="false">4*AB$22-$D$9*AB$20</f>
        <v>21.72</v>
      </c>
      <c r="AC62" s="24" t="n">
        <f aca="false">4*AC$22-$D$9*AC$20</f>
        <v>-3.24</v>
      </c>
      <c r="AD62" s="24" t="n">
        <f aca="false">4*AD$22-$D$9*AD$20</f>
        <v>9.97999999999999</v>
      </c>
      <c r="AE62" s="24" t="n">
        <f aca="false">4*AE$22-$D$9*AE$20</f>
        <v>29.13</v>
      </c>
      <c r="AF62" s="24" t="n">
        <f aca="false">4*AF$22-$D$9*AF$20</f>
        <v>6.67</v>
      </c>
      <c r="AG62" s="24" t="n">
        <f aca="false">4*AG$22-$D$9*AG$20</f>
        <v>23.59</v>
      </c>
      <c r="AH62" s="24" t="n">
        <f aca="false">4*AH$22-$D$9*AH$20</f>
        <v>24.6</v>
      </c>
      <c r="AI62" s="24" t="n">
        <f aca="false">4*AI$22-$D$9*AI$20</f>
        <v>33.82</v>
      </c>
      <c r="AJ62" s="24" t="n">
        <f aca="false">4*AJ$22-$D$9*AJ$20</f>
        <v>8.34999999999999</v>
      </c>
      <c r="AK62" s="24" t="n">
        <f aca="false">4*AK$22-$D$9*AK$20</f>
        <v>23.95</v>
      </c>
      <c r="AL62" s="24" t="n">
        <f aca="false">4*AL$22-$D$9*AL$20</f>
        <v>-299.46</v>
      </c>
      <c r="AM62" s="24" t="n">
        <f aca="false">4*AM$22-$D$9*AM$20</f>
        <v>7.42</v>
      </c>
      <c r="AN62" s="24" t="n">
        <f aca="false">4*AN$22-$D$9*AN$20</f>
        <v>24.65</v>
      </c>
      <c r="AO62" s="24" t="n">
        <f aca="false">4*AO$22-$D$9*AO$20</f>
        <v>-53.3</v>
      </c>
      <c r="AP62" s="24" t="n">
        <f aca="false">4*AP$22-$D$9*AP$20</f>
        <v>-13.3</v>
      </c>
      <c r="AQ62" s="24" t="n">
        <f aca="false">4*AQ$22-$D$9*AQ$20</f>
        <v>-23.95</v>
      </c>
      <c r="AR62" s="24" t="n">
        <f aca="false">4*AR$22-$D$9*AR$20</f>
        <v>-8.27</v>
      </c>
      <c r="AS62" s="24" t="n">
        <f aca="false">4*AS$22-$D$9*AS$20</f>
        <v>-20.45</v>
      </c>
      <c r="AT62" s="24" t="n">
        <f aca="false">4*AT$22-$D$9*AT$20</f>
        <v>-218.78</v>
      </c>
      <c r="AU62" s="24" t="n">
        <f aca="false">4*AU$22-$D$9*AU$20</f>
        <v>-250.24</v>
      </c>
      <c r="AV62" s="24" t="n">
        <f aca="false">4*AV$22-$D$9*AV$20</f>
        <v>-33.61</v>
      </c>
      <c r="AW62" s="24" t="n">
        <f aca="false">4*AW$22-$D$9*AW$20</f>
        <v>-169.43</v>
      </c>
      <c r="AX62" s="24" t="n">
        <f aca="false">4*AX$22-$D$9*AX$20</f>
        <v>37.92</v>
      </c>
      <c r="AY62" s="24" t="n">
        <f aca="false">4*AY$22-$D$9*AY$20</f>
        <v>66.45</v>
      </c>
      <c r="AZ62" s="24" t="n">
        <f aca="false">4*AZ$22-$D$9*AZ$20</f>
        <v>48.52</v>
      </c>
      <c r="BA62" s="24" t="n">
        <f aca="false">4*BA$22-$D$9*BA$20</f>
        <v>36.86</v>
      </c>
      <c r="BB62" s="24" t="n">
        <f aca="false">4*BB$22-$D$9*BB$20</f>
        <v>4.03</v>
      </c>
      <c r="BC62" s="24" t="n">
        <f aca="false">4*BC$22-$D$9*BC$20</f>
        <v>17.44</v>
      </c>
      <c r="BD62" s="24" t="n">
        <f aca="false">4*BD$22-$D$9*BD$20</f>
        <v>24.45</v>
      </c>
      <c r="BE62" s="24" t="n">
        <f aca="false">4*BE$22-$D$9*BE$20</f>
        <v>57.53</v>
      </c>
      <c r="BF62" s="24" t="n">
        <f aca="false">4*BF$22-$D$9*BF$20</f>
        <v>24.78</v>
      </c>
      <c r="BG62" s="24" t="n">
        <f aca="false">4*BG$22-$D$9*BG$20</f>
        <v>82.55</v>
      </c>
      <c r="BH62" s="24" t="n">
        <f aca="false">4*BH$22-$D$9*BH$20</f>
        <v>7.03999999999999</v>
      </c>
      <c r="BI62" s="24" t="n">
        <f aca="false">4*BI$22-$D$9*BI$20</f>
        <v>64.68</v>
      </c>
      <c r="BJ62" s="24" t="n">
        <f aca="false">4*BJ$22-$D$9*BJ$20</f>
        <v>14.76</v>
      </c>
      <c r="BK62" s="24" t="n">
        <f aca="false">4*BK$22-$D$9*BK$20</f>
        <v>15.79</v>
      </c>
      <c r="BL62" s="24" t="n">
        <f aca="false">4*BL$22-$D$9*BL$20</f>
        <v>25.64</v>
      </c>
      <c r="BM62" s="24" t="n">
        <f aca="false">4*BM$22-$D$9*BM$20</f>
        <v>1.73999999999999</v>
      </c>
      <c r="BN62" s="24" t="n">
        <f aca="false">4*BN$22-$D$9*BN$20</f>
        <v>4.7</v>
      </c>
      <c r="BO62" s="24" t="n">
        <f aca="false">4*BO$22-$D$9*BO$20</f>
        <v>4.42999999999999</v>
      </c>
      <c r="BP62" s="24" t="n">
        <f aca="false">4*BP$22-$D$9*BP$20</f>
        <v>19.91</v>
      </c>
      <c r="BQ62" s="24" t="n">
        <f aca="false">4*BQ$22-$D$9*BQ$20</f>
        <v>24.58</v>
      </c>
      <c r="BR62" s="24" t="n">
        <f aca="false">4*BR$22-$D$9*BR$20</f>
        <v>21.44</v>
      </c>
      <c r="BS62" s="24" t="n">
        <f aca="false">4*BS$22-$D$9*BS$20</f>
        <v>17.78</v>
      </c>
      <c r="BT62" s="24" t="n">
        <f aca="false">4*BT$22-$D$9*BT$20</f>
        <v>33.51</v>
      </c>
      <c r="BU62" s="24" t="n">
        <f aca="false">4*BU$22-$D$9*BU$20</f>
        <v>10.49</v>
      </c>
      <c r="BV62" s="24" t="n">
        <f aca="false">4*BV$22-$D$9*BV$20</f>
        <v>15.53</v>
      </c>
      <c r="BW62" s="24" t="n">
        <f aca="false">4*BW$22-$D$9*BW$20</f>
        <v>10.54</v>
      </c>
      <c r="BX62" s="24" t="n">
        <f aca="false">4*BX$22-$D$9*BX$20</f>
        <v>23.09</v>
      </c>
      <c r="BY62" s="24" t="n">
        <f aca="false">4*BY$22-$D$9*BY$20</f>
        <v>17.53</v>
      </c>
      <c r="BZ62" s="24" t="n">
        <f aca="false">4*BZ$22-$D$9*BZ$20</f>
        <v>116.82</v>
      </c>
      <c r="CA62" s="24" t="n">
        <f aca="false">4*CA$22-$D$9*CA$20</f>
        <v>93.91</v>
      </c>
      <c r="CB62" s="24" t="n">
        <f aca="false">4*CB$22-$D$9*CB$20</f>
        <v>131</v>
      </c>
      <c r="CC62" s="24" t="n">
        <f aca="false">4*CC$22-$D$9*CC$20</f>
        <v>17.54</v>
      </c>
      <c r="CD62" s="24" t="n">
        <f aca="false">4*CD$22-$D$9*CD$20</f>
        <v>11.52</v>
      </c>
      <c r="CE62" s="24" t="n">
        <f aca="false">4*CE$22-$D$9*CE$20</f>
        <v>27.55</v>
      </c>
      <c r="CF62" s="24" t="n">
        <f aca="false">4*CF$22-$D$9*CF$20</f>
        <v>12.96</v>
      </c>
      <c r="CG62" s="24" t="n">
        <f aca="false">4*CG$22-$D$9*CG$20</f>
        <v>18.99</v>
      </c>
      <c r="CH62" s="24" t="n">
        <f aca="false">4*CH$22-$D$9*CH$20</f>
        <v>20.92</v>
      </c>
      <c r="CI62" s="24" t="n">
        <f aca="false">4*CI$22-$D$9*CI$20</f>
        <v>13.6</v>
      </c>
      <c r="CJ62" s="24" t="n">
        <f aca="false">4*CJ$22-$D$9*CJ$20</f>
        <v>14.31</v>
      </c>
      <c r="CK62" s="24" t="n">
        <f aca="false">4*CK$22-$D$9*CK$20</f>
        <v>18.31</v>
      </c>
      <c r="CL62" s="24" t="n">
        <f aca="false">4*CL$22-$D$9*CL$20</f>
        <v>15.33</v>
      </c>
      <c r="CM62" s="24" t="n">
        <f aca="false">4*CM$22-$D$9*CM$20</f>
        <v>12.81</v>
      </c>
      <c r="CN62" s="24" t="n">
        <f aca="false">4*CN$22-$D$9*CN$20</f>
        <v>17.68</v>
      </c>
      <c r="CO62" s="24" t="n">
        <f aca="false">4*CO$22-$D$9*CO$20</f>
        <v>23.87</v>
      </c>
      <c r="CP62" s="24" t="n">
        <f aca="false">4*CP$22-$D$9*CP$20</f>
        <v>19.26</v>
      </c>
      <c r="CQ62" s="24" t="n">
        <f aca="false">4*CQ$22-$D$9*CQ$20</f>
        <v>19.98</v>
      </c>
      <c r="CR62" s="24" t="n">
        <f aca="false">4*CR$22-$D$9*CR$20</f>
        <v>23.8</v>
      </c>
      <c r="CS62" s="24" t="n">
        <f aca="false">4*CS$22-$D$9*CS$20</f>
        <v>15.78</v>
      </c>
      <c r="CT62" s="24" t="n">
        <f aca="false">4*CT$22-$D$9*CT$20</f>
        <v>99.52</v>
      </c>
      <c r="CU62" s="24" t="n">
        <f aca="false">4*CU$22-$D$9*CU$20</f>
        <v>122.37</v>
      </c>
      <c r="CV62" s="24" t="n">
        <f aca="false">4*CV$22-$D$9*CV$20</f>
        <v>13.96</v>
      </c>
      <c r="CW62" s="24" t="n">
        <f aca="false">4*CW$22-$D$9*CW$20</f>
        <v>9.92</v>
      </c>
      <c r="CX62" s="24" t="n">
        <f aca="false">4*CX$22-$D$9*CX$20</f>
        <v>13.77</v>
      </c>
      <c r="CY62" s="24" t="n">
        <f aca="false">4*CY$22-$D$9*CY$20</f>
        <v>10.7</v>
      </c>
      <c r="CZ62" s="24" t="n">
        <f aca="false">4*CZ$22-$D$9*CZ$20</f>
        <v>15.68</v>
      </c>
      <c r="DA62" s="24" t="n">
        <f aca="false">4*DA$22-$D$9*DA$20</f>
        <v>2.52</v>
      </c>
      <c r="DB62" s="24" t="n">
        <f aca="false">4*DB$22-$D$9*DB$20</f>
        <v>10.21</v>
      </c>
      <c r="DC62" s="24" t="n">
        <f aca="false">4*DC$22-$D$9*DC$20</f>
        <v>9.06</v>
      </c>
      <c r="DD62" s="24" t="n">
        <f aca="false">4*DD$22-$D$9*DD$20</f>
        <v>2.55</v>
      </c>
      <c r="DE62" s="24" t="n">
        <f aca="false">4*DE$22-$D$9*DE$20</f>
        <v>4.79</v>
      </c>
      <c r="DF62" s="24" t="n">
        <f aca="false">4*DF$22-$D$9*DF$20</f>
        <v>17.51</v>
      </c>
      <c r="DG62" s="24" t="n">
        <f aca="false">4*DG$22-$D$9*DG$20</f>
        <v>6.95</v>
      </c>
      <c r="DH62" s="24" t="n">
        <f aca="false">4*DH$22-$D$9*DH$20</f>
        <v>9.33</v>
      </c>
      <c r="DI62" s="24" t="n">
        <f aca="false">4*DI$22-$D$9*DI$20</f>
        <v>11.67</v>
      </c>
      <c r="DJ62" s="24" t="n">
        <f aca="false">4*DJ$22-$D$9*DJ$20</f>
        <v>6.53</v>
      </c>
      <c r="DK62" s="24" t="n">
        <f aca="false">4*DK$22-$D$9*DK$20</f>
        <v>8.2</v>
      </c>
      <c r="DL62" s="24" t="n">
        <f aca="false">4*DL$22-$D$9*DL$20</f>
        <v>3.12</v>
      </c>
      <c r="DM62" s="24" t="n">
        <f aca="false">4*DM$22-$D$9*DM$20</f>
        <v>1.48</v>
      </c>
      <c r="DN62" s="24" t="n">
        <f aca="false">4*DN$22-$D$9*DN$20</f>
        <v>0.879999999999999</v>
      </c>
      <c r="DO62" s="24" t="n">
        <f aca="false">4*DO$22-$D$9*DO$20</f>
        <v>4.39</v>
      </c>
      <c r="DP62" s="24" t="n">
        <f aca="false">4*DP$22-$D$9*DP$20</f>
        <v>4.77</v>
      </c>
      <c r="DQ62" s="24" t="n">
        <f aca="false">4*DQ$22-$D$9*DQ$20</f>
        <v>3.33</v>
      </c>
      <c r="DR62" s="24" t="n">
        <f aca="false">4*DR$22-$D$9*DR$20</f>
        <v>4.81</v>
      </c>
      <c r="DS62" s="24" t="n">
        <f aca="false">4*DS$22-$D$9*DS$20</f>
        <v>5.56</v>
      </c>
      <c r="DT62" s="24" t="n">
        <f aca="false">4*DT$22-$D$9*DT$20</f>
        <v>2.78</v>
      </c>
      <c r="DU62" s="24" t="n">
        <f aca="false">4*DU$22-$D$9*DU$20</f>
        <v>1.4</v>
      </c>
      <c r="DV62" s="24" t="n">
        <f aca="false">4*DV$22-$D$9*DV$20</f>
        <v>7.08</v>
      </c>
      <c r="DW62" s="24" t="n">
        <f aca="false">4*DW$22-$D$9*DW$20</f>
        <v>-1.26</v>
      </c>
      <c r="DX62" s="24" t="n">
        <f aca="false">4*DX$22-$D$9*DX$20</f>
        <v>0.640000000000001</v>
      </c>
      <c r="DY62" s="24" t="n">
        <f aca="false">4*DY$22-$D$9*DY$20</f>
        <v>7.02</v>
      </c>
      <c r="DZ62" s="24" t="n">
        <f aca="false">4*DZ$22-$D$9*DZ$20</f>
        <v>11.36</v>
      </c>
      <c r="EA62" s="24" t="n">
        <f aca="false">4*EA$22-$D$9*EA$20</f>
        <v>10.26</v>
      </c>
      <c r="EB62" s="24" t="n">
        <f aca="false">4*EB$22-$D$9*EB$20</f>
        <v>3.2</v>
      </c>
      <c r="EC62" s="24" t="n">
        <f aca="false">4*EC$22-$D$9*EC$20</f>
        <v>3.97</v>
      </c>
      <c r="ED62" s="24" t="n">
        <f aca="false">4*ED$22-$D$9*ED$20</f>
        <v>2.11</v>
      </c>
      <c r="EE62" s="24" t="n">
        <f aca="false">4*EE$22-$D$9*EE$20</f>
        <v>4.77</v>
      </c>
      <c r="EF62" s="24" t="n">
        <f aca="false">4*EF$22-$D$9*EF$20</f>
        <v>-0.67</v>
      </c>
      <c r="EG62" s="24" t="n">
        <f aca="false">4*EG$22-$D$9*EG$20</f>
        <v>-0.430000000000002</v>
      </c>
      <c r="EH62" s="24" t="n">
        <f aca="false">4*EH$22-$D$9*EH$20</f>
        <v>-2.01</v>
      </c>
      <c r="EI62" s="24" t="n">
        <f aca="false">4*EI$22-$D$9*EI$20</f>
        <v>3.48</v>
      </c>
      <c r="EJ62" s="24" t="n">
        <f aca="false">4*EJ$22-$D$9*EJ$20</f>
        <v>3.86</v>
      </c>
      <c r="EK62" s="24" t="n">
        <f aca="false">4*EK$22-$D$9*EK$20</f>
        <v>0.379999999999999</v>
      </c>
      <c r="EL62" s="24" t="n">
        <f aca="false">4*EL$22-$D$9*EL$20</f>
        <v>1.39</v>
      </c>
      <c r="EM62" s="24" t="n">
        <f aca="false">4*EM$22-$D$9*EM$20</f>
        <v>-465.81</v>
      </c>
      <c r="EN62" s="24" t="n">
        <f aca="false">4*EN$22-$D$9*EN$20</f>
        <v>-574.6</v>
      </c>
      <c r="EO62" s="24" t="n">
        <f aca="false">4*EO$22-$D$9*EO$20</f>
        <v>-574.6</v>
      </c>
      <c r="EP62" s="24" t="n">
        <f aca="false">4*EP$22-$D$9*EP$20</f>
        <v>-290.15</v>
      </c>
      <c r="EQ62" s="24" t="n">
        <f aca="false">4*EQ$22-$D$9*EQ$20</f>
        <v>-73.99</v>
      </c>
      <c r="ER62" s="24" t="n">
        <f aca="false">4*ER$22-$D$9*ER$20</f>
        <v>-58.36</v>
      </c>
      <c r="ES62" s="24" t="n">
        <f aca="false">4*ES$22-$D$9*ES$20</f>
        <v>9.10000000000002</v>
      </c>
      <c r="ET62" s="24" t="n">
        <f aca="false">4*ET$22-$D$9*ET$20</f>
        <v>-130.48</v>
      </c>
      <c r="EU62" s="24" t="n">
        <f aca="false">4*EU$22-$D$9*EU$20</f>
        <v>-40.15</v>
      </c>
    </row>
    <row r="63" customFormat="false" ht="15" hidden="false" customHeight="false" outlineLevel="0" collapsed="false">
      <c r="A63" s="4" t="s">
        <v>1000</v>
      </c>
      <c r="B63" s="75" t="s">
        <v>998</v>
      </c>
      <c r="C63" s="78" t="n">
        <v>0</v>
      </c>
      <c r="D63" s="77" t="n">
        <v>-417.93350330823</v>
      </c>
      <c r="E63" s="75" t="str">
        <f aca="false">IF(D63&lt;=C63+0.000001*MAX(1,ABS(C63)),IF(ABS(D63-C63)&lt;=0.000001*MAX(1,ABS(C63)),"tight","ok"),"VIOLATED")</f>
        <v>ok</v>
      </c>
      <c r="F63" s="24" t="n">
        <f aca="false">9*F$23-$D$10*F$20</f>
        <v>-18.42</v>
      </c>
      <c r="G63" s="24" t="n">
        <f aca="false">9*G$23-$D$10*G$20</f>
        <v>26.45</v>
      </c>
      <c r="H63" s="24" t="n">
        <f aca="false">9*H$23-$D$10*H$20</f>
        <v>-5.27</v>
      </c>
      <c r="I63" s="24" t="n">
        <f aca="false">9*I$23-$D$10*I$20</f>
        <v>-13.67</v>
      </c>
      <c r="J63" s="24" t="n">
        <f aca="false">9*J$23-$D$10*J$20</f>
        <v>22.56</v>
      </c>
      <c r="K63" s="24" t="n">
        <f aca="false">9*K$23-$D$10*K$20</f>
        <v>60.29</v>
      </c>
      <c r="L63" s="24" t="n">
        <f aca="false">9*L$23-$D$10*L$20</f>
        <v>211.26</v>
      </c>
      <c r="M63" s="24" t="n">
        <f aca="false">9*M$23-$D$10*M$20</f>
        <v>-4.47999999999999</v>
      </c>
      <c r="N63" s="24" t="n">
        <f aca="false">9*N$23-$D$10*N$20</f>
        <v>91.1</v>
      </c>
      <c r="O63" s="24" t="n">
        <f aca="false">9*O$23-$D$10*O$20</f>
        <v>9.8</v>
      </c>
      <c r="P63" s="24" t="n">
        <f aca="false">9*P$23-$D$10*P$20</f>
        <v>20.35</v>
      </c>
      <c r="Q63" s="24" t="n">
        <f aca="false">9*Q$23-$D$10*Q$20</f>
        <v>46.29</v>
      </c>
      <c r="R63" s="24" t="n">
        <f aca="false">9*R$23-$D$10*R$20</f>
        <v>14.91</v>
      </c>
      <c r="S63" s="24" t="n">
        <f aca="false">9*S$23-$D$10*S$20</f>
        <v>53.62</v>
      </c>
      <c r="T63" s="24" t="n">
        <f aca="false">9*T$23-$D$10*T$20</f>
        <v>-21.46</v>
      </c>
      <c r="U63" s="24" t="n">
        <f aca="false">9*U$23-$D$10*U$20</f>
        <v>47.98</v>
      </c>
      <c r="V63" s="24" t="n">
        <f aca="false">9*V$23-$D$10*V$20</f>
        <v>-15.76</v>
      </c>
      <c r="W63" s="24" t="n">
        <f aca="false">9*W$23-$D$10*W$20</f>
        <v>-18.3</v>
      </c>
      <c r="X63" s="24" t="n">
        <f aca="false">9*X$23-$D$10*X$20</f>
        <v>35.54</v>
      </c>
      <c r="Y63" s="24" t="n">
        <f aca="false">9*Y$23-$D$10*Y$20</f>
        <v>-29.24</v>
      </c>
      <c r="Z63" s="24" t="n">
        <f aca="false">9*Z$23-$D$10*Z$20</f>
        <v>-106.57</v>
      </c>
      <c r="AA63" s="24" t="n">
        <f aca="false">9*AA$23-$D$10*AA$20</f>
        <v>-22</v>
      </c>
      <c r="AB63" s="24" t="n">
        <f aca="false">9*AB$23-$D$10*AB$20</f>
        <v>-106.26</v>
      </c>
      <c r="AC63" s="24" t="n">
        <f aca="false">9*AC$23-$D$10*AC$20</f>
        <v>-13.25</v>
      </c>
      <c r="AD63" s="24" t="n">
        <f aca="false">9*AD$23-$D$10*AD$20</f>
        <v>-36.39</v>
      </c>
      <c r="AE63" s="24" t="n">
        <f aca="false">9*AE$23-$D$10*AE$20</f>
        <v>-108.39</v>
      </c>
      <c r="AF63" s="24" t="n">
        <f aca="false">9*AF$23-$D$10*AF$20</f>
        <v>-25.11</v>
      </c>
      <c r="AG63" s="24" t="n">
        <f aca="false">9*AG$23-$D$10*AG$20</f>
        <v>-109.08</v>
      </c>
      <c r="AH63" s="24" t="n">
        <f aca="false">9*AH$23-$D$10*AH$20</f>
        <v>-113.66</v>
      </c>
      <c r="AI63" s="24" t="n">
        <f aca="false">9*AI$23-$D$10*AI$20</f>
        <v>-112.09</v>
      </c>
      <c r="AJ63" s="24" t="n">
        <f aca="false">9*AJ$23-$D$10*AJ$20</f>
        <v>-35.68</v>
      </c>
      <c r="AK63" s="24" t="n">
        <f aca="false">9*AK$23-$D$10*AK$20</f>
        <v>-104.45</v>
      </c>
      <c r="AL63" s="24" t="n">
        <f aca="false">9*AL$23-$D$10*AL$20</f>
        <v>252.94</v>
      </c>
      <c r="AM63" s="24" t="n">
        <f aca="false">9*AM$23-$D$10*AM$20</f>
        <v>-23.66</v>
      </c>
      <c r="AN63" s="24" t="n">
        <f aca="false">9*AN$23-$D$10*AN$20</f>
        <v>-110.38</v>
      </c>
      <c r="AO63" s="24" t="n">
        <f aca="false">9*AO$23-$D$10*AO$20</f>
        <v>12.5</v>
      </c>
      <c r="AP63" s="24" t="n">
        <f aca="false">9*AP$23-$D$10*AP$20</f>
        <v>0.32</v>
      </c>
      <c r="AQ63" s="24" t="n">
        <f aca="false">9*AQ$23-$D$10*AQ$20</f>
        <v>-17.14</v>
      </c>
      <c r="AR63" s="24" t="n">
        <f aca="false">9*AR$23-$D$10*AR$20</f>
        <v>-1.82</v>
      </c>
      <c r="AS63" s="24" t="n">
        <f aca="false">9*AS$23-$D$10*AS$20</f>
        <v>7.9</v>
      </c>
      <c r="AT63" s="24" t="n">
        <f aca="false">9*AT$23-$D$10*AT$20</f>
        <v>148.29</v>
      </c>
      <c r="AU63" s="24" t="n">
        <f aca="false">9*AU$23-$D$10*AU$20</f>
        <v>158.39</v>
      </c>
      <c r="AV63" s="24" t="n">
        <f aca="false">9*AV$23-$D$10*AV$20</f>
        <v>-7.92</v>
      </c>
      <c r="AW63" s="24" t="n">
        <f aca="false">9*AW$23-$D$10*AW$20</f>
        <v>74.77</v>
      </c>
      <c r="AX63" s="24" t="n">
        <f aca="false">9*AX$23-$D$10*AX$20</f>
        <v>-80.52</v>
      </c>
      <c r="AY63" s="24" t="n">
        <f aca="false">9*AY$23-$D$10*AY$20</f>
        <v>-99.65</v>
      </c>
      <c r="AZ63" s="24" t="n">
        <f aca="false">9*AZ$23-$D$10*AZ$20</f>
        <v>-71.03</v>
      </c>
      <c r="BA63" s="24" t="n">
        <f aca="false">9*BA$23-$D$10*BA$20</f>
        <v>-50.65</v>
      </c>
      <c r="BB63" s="24" t="n">
        <f aca="false">9*BB$23-$D$10*BB$20</f>
        <v>-35.73</v>
      </c>
      <c r="BC63" s="24" t="n">
        <f aca="false">9*BC$23-$D$10*BC$20</f>
        <v>-74.17</v>
      </c>
      <c r="BD63" s="24" t="n">
        <f aca="false">9*BD$23-$D$10*BD$20</f>
        <v>-73.97</v>
      </c>
      <c r="BE63" s="24" t="n">
        <f aca="false">9*BE$23-$D$10*BE$20</f>
        <v>-116.26</v>
      </c>
      <c r="BF63" s="24" t="n">
        <f aca="false">9*BF$23-$D$10*BF$20</f>
        <v>-63.13</v>
      </c>
      <c r="BG63" s="24" t="n">
        <f aca="false">9*BG$23-$D$10*BG$20</f>
        <v>-121.81</v>
      </c>
      <c r="BH63" s="24" t="n">
        <f aca="false">9*BH$23-$D$10*BH$20</f>
        <v>-56.7</v>
      </c>
      <c r="BI63" s="24" t="n">
        <f aca="false">9*BI$23-$D$10*BI$20</f>
        <v>-96.83</v>
      </c>
      <c r="BJ63" s="24" t="n">
        <f aca="false">9*BJ$23-$D$10*BJ$20</f>
        <v>-42.24</v>
      </c>
      <c r="BK63" s="24" t="n">
        <f aca="false">9*BK$23-$D$10*BK$20</f>
        <v>-14.42</v>
      </c>
      <c r="BL63" s="24" t="n">
        <f aca="false">9*BL$23-$D$10*BL$20</f>
        <v>-23.78</v>
      </c>
      <c r="BM63" s="24" t="n">
        <f aca="false">9*BM$23-$D$10*BM$20</f>
        <v>-10.56</v>
      </c>
      <c r="BN63" s="24" t="n">
        <f aca="false">9*BN$23-$D$10*BN$20</f>
        <v>-15.98</v>
      </c>
      <c r="BO63" s="24" t="n">
        <f aca="false">9*BO$23-$D$10*BO$20</f>
        <v>-23.35</v>
      </c>
      <c r="BP63" s="24" t="n">
        <f aca="false">9*BP$23-$D$10*BP$20</f>
        <v>-26.14</v>
      </c>
      <c r="BQ63" s="24" t="n">
        <f aca="false">9*BQ$23-$D$10*BQ$20</f>
        <v>-29.65</v>
      </c>
      <c r="BR63" s="24" t="n">
        <f aca="false">9*BR$23-$D$10*BR$20</f>
        <v>-16.67</v>
      </c>
      <c r="BS63" s="24" t="n">
        <f aca="false">9*BS$23-$D$10*BS$20</f>
        <v>-13.8</v>
      </c>
      <c r="BT63" s="24" t="n">
        <f aca="false">9*BT$23-$D$10*BT$20</f>
        <v>-28.18</v>
      </c>
      <c r="BU63" s="24" t="n">
        <f aca="false">9*BU$23-$D$10*BU$20</f>
        <v>-10.64</v>
      </c>
      <c r="BV63" s="24" t="n">
        <f aca="false">9*BV$23-$D$10*BV$20</f>
        <v>-12.09</v>
      </c>
      <c r="BW63" s="24" t="n">
        <f aca="false">9*BW$23-$D$10*BW$20</f>
        <v>-10.19</v>
      </c>
      <c r="BX63" s="24" t="n">
        <f aca="false">9*BX$23-$D$10*BX$20</f>
        <v>-20.25</v>
      </c>
      <c r="BY63" s="24" t="n">
        <f aca="false">9*BY$23-$D$10*BY$20</f>
        <v>-15.1</v>
      </c>
      <c r="BZ63" s="24" t="n">
        <f aca="false">9*BZ$23-$D$10*BZ$20</f>
        <v>-95.19</v>
      </c>
      <c r="CA63" s="24" t="n">
        <f aca="false">9*CA$23-$D$10*CA$20</f>
        <v>-79.76</v>
      </c>
      <c r="CB63" s="24" t="n">
        <f aca="false">9*CB$23-$D$10*CB$20</f>
        <v>-97.99</v>
      </c>
      <c r="CC63" s="24" t="n">
        <f aca="false">9*CC$23-$D$10*CC$20</f>
        <v>-16.01</v>
      </c>
      <c r="CD63" s="24" t="n">
        <f aca="false">9*CD$23-$D$10*CD$20</f>
        <v>-10.3</v>
      </c>
      <c r="CE63" s="24" t="n">
        <f aca="false">9*CE$23-$D$10*CE$20</f>
        <v>-22.71</v>
      </c>
      <c r="CF63" s="24" t="n">
        <f aca="false">9*CF$23-$D$10*CF$20</f>
        <v>-11.34</v>
      </c>
      <c r="CG63" s="24" t="n">
        <f aca="false">9*CG$23-$D$10*CG$20</f>
        <v>-16.67</v>
      </c>
      <c r="CH63" s="24" t="n">
        <f aca="false">9*CH$23-$D$10*CH$20</f>
        <v>-17.58</v>
      </c>
      <c r="CI63" s="24" t="n">
        <f aca="false">9*CI$23-$D$10*CI$20</f>
        <v>-12.52</v>
      </c>
      <c r="CJ63" s="24" t="n">
        <f aca="false">9*CJ$23-$D$10*CJ$20</f>
        <v>-16.07</v>
      </c>
      <c r="CK63" s="24" t="n">
        <f aca="false">9*CK$23-$D$10*CK$20</f>
        <v>-15.8</v>
      </c>
      <c r="CL63" s="24" t="n">
        <f aca="false">9*CL$23-$D$10*CL$20</f>
        <v>-12.71</v>
      </c>
      <c r="CM63" s="24" t="n">
        <f aca="false">9*CM$23-$D$10*CM$20</f>
        <v>-11.4</v>
      </c>
      <c r="CN63" s="24" t="n">
        <f aca="false">9*CN$23-$D$10*CN$20</f>
        <v>-15.13</v>
      </c>
      <c r="CO63" s="24" t="n">
        <f aca="false">9*CO$23-$D$10*CO$20</f>
        <v>-18.69</v>
      </c>
      <c r="CP63" s="24" t="n">
        <f aca="false">9*CP$23-$D$10*CP$20</f>
        <v>-16.87</v>
      </c>
      <c r="CQ63" s="24" t="n">
        <f aca="false">9*CQ$23-$D$10*CQ$20</f>
        <v>-16.42</v>
      </c>
      <c r="CR63" s="24" t="n">
        <f aca="false">9*CR$23-$D$10*CR$20</f>
        <v>-20.28</v>
      </c>
      <c r="CS63" s="24" t="n">
        <f aca="false">9*CS$23-$D$10*CS$20</f>
        <v>-13.58</v>
      </c>
      <c r="CT63" s="24" t="n">
        <f aca="false">9*CT$23-$D$10*CT$20</f>
        <v>-80.58</v>
      </c>
      <c r="CU63" s="24" t="n">
        <f aca="false">9*CU$23-$D$10*CU$20</f>
        <v>-100.51</v>
      </c>
      <c r="CV63" s="24" t="n">
        <f aca="false">9*CV$23-$D$10*CV$20</f>
        <v>-12.35</v>
      </c>
      <c r="CW63" s="24" t="n">
        <f aca="false">9*CW$23-$D$10*CW$20</f>
        <v>-8.5</v>
      </c>
      <c r="CX63" s="24" t="n">
        <f aca="false">9*CX$23-$D$10*CX$20</f>
        <v>-11.26</v>
      </c>
      <c r="CY63" s="24" t="n">
        <f aca="false">9*CY$23-$D$10*CY$20</f>
        <v>-9.15</v>
      </c>
      <c r="CZ63" s="24" t="n">
        <f aca="false">9*CZ$23-$D$10*CZ$20</f>
        <v>-13.1</v>
      </c>
      <c r="DA63" s="24" t="n">
        <f aca="false">9*DA$23-$D$10*DA$20</f>
        <v>-5.92</v>
      </c>
      <c r="DB63" s="24" t="n">
        <f aca="false">9*DB$23-$D$10*DB$20</f>
        <v>-11.08</v>
      </c>
      <c r="DC63" s="24" t="n">
        <f aca="false">9*DC$23-$D$10*DC$20</f>
        <v>-9.69</v>
      </c>
      <c r="DD63" s="24" t="n">
        <f aca="false">9*DD$23-$D$10*DD$20</f>
        <v>-7.09</v>
      </c>
      <c r="DE63" s="24" t="n">
        <f aca="false">9*DE$23-$D$10*DE$20</f>
        <v>-10.66</v>
      </c>
      <c r="DF63" s="24" t="n">
        <f aca="false">9*DF$23-$D$10*DF$20</f>
        <v>-14.85</v>
      </c>
      <c r="DG63" s="24" t="n">
        <f aca="false">9*DG$23-$D$10*DG$20</f>
        <v>-7.85</v>
      </c>
      <c r="DH63" s="24" t="n">
        <f aca="false">9*DH$23-$D$10*DH$20</f>
        <v>-9.41</v>
      </c>
      <c r="DI63" s="24" t="n">
        <f aca="false">9*DI$23-$D$10*DI$20</f>
        <v>-12.19</v>
      </c>
      <c r="DJ63" s="24" t="n">
        <f aca="false">9*DJ$23-$D$10*DJ$20</f>
        <v>-6.79</v>
      </c>
      <c r="DK63" s="24" t="n">
        <f aca="false">9*DK$23-$D$10*DK$20</f>
        <v>-8.46</v>
      </c>
      <c r="DL63" s="24" t="n">
        <f aca="false">9*DL$23-$D$10*DL$20</f>
        <v>-5.97</v>
      </c>
      <c r="DM63" s="24" t="n">
        <f aca="false">9*DM$23-$D$10*DM$20</f>
        <v>-4.07</v>
      </c>
      <c r="DN63" s="24" t="n">
        <f aca="false">9*DN$23-$D$10*DN$20</f>
        <v>-5.71</v>
      </c>
      <c r="DO63" s="24" t="n">
        <f aca="false">9*DO$23-$D$10*DO$20</f>
        <v>-8.22</v>
      </c>
      <c r="DP63" s="24" t="n">
        <f aca="false">9*DP$23-$D$10*DP$20</f>
        <v>-4.26</v>
      </c>
      <c r="DQ63" s="24" t="n">
        <f aca="false">9*DQ$23-$D$10*DQ$20</f>
        <v>-3.72</v>
      </c>
      <c r="DR63" s="24" t="n">
        <f aca="false">9*DR$23-$D$10*DR$20</f>
        <v>-11.76</v>
      </c>
      <c r="DS63" s="24" t="n">
        <f aca="false">9*DS$23-$D$10*DS$20</f>
        <v>-5.47</v>
      </c>
      <c r="DT63" s="24" t="n">
        <f aca="false">9*DT$23-$D$10*DT$20</f>
        <v>-3.64</v>
      </c>
      <c r="DU63" s="24" t="n">
        <f aca="false">9*DU$23-$D$10*DU$20</f>
        <v>-5.66</v>
      </c>
      <c r="DV63" s="24" t="n">
        <f aca="false">9*DV$23-$D$10*DV$20</f>
        <v>-20.52</v>
      </c>
      <c r="DW63" s="24" t="n">
        <f aca="false">9*DW$23-$D$10*DW$20</f>
        <v>-4.64</v>
      </c>
      <c r="DX63" s="24" t="n">
        <f aca="false">9*DX$23-$D$10*DX$20</f>
        <v>-4.57</v>
      </c>
      <c r="DY63" s="24" t="n">
        <f aca="false">9*DY$23-$D$10*DY$20</f>
        <v>-8.25</v>
      </c>
      <c r="DZ63" s="24" t="n">
        <f aca="false">9*DZ$23-$D$10*DZ$20</f>
        <v>-13.1</v>
      </c>
      <c r="EA63" s="24" t="n">
        <f aca="false">9*EA$23-$D$10*EA$20</f>
        <v>-9.38</v>
      </c>
      <c r="EB63" s="24" t="n">
        <f aca="false">9*EB$23-$D$10*EB$20</f>
        <v>-4.7</v>
      </c>
      <c r="EC63" s="24" t="n">
        <f aca="false">9*EC$23-$D$10*EC$20</f>
        <v>-8.15</v>
      </c>
      <c r="ED63" s="24" t="n">
        <f aca="false">9*ED$23-$D$10*ED$20</f>
        <v>-3.25</v>
      </c>
      <c r="EE63" s="24" t="n">
        <f aca="false">9*EE$23-$D$10*EE$20</f>
        <v>-5.39</v>
      </c>
      <c r="EF63" s="24" t="n">
        <f aca="false">9*EF$23-$D$10*EF$20</f>
        <v>-3.32</v>
      </c>
      <c r="EG63" s="24" t="n">
        <f aca="false">9*EG$23-$D$10*EG$20</f>
        <v>-4.54</v>
      </c>
      <c r="EH63" s="24" t="n">
        <f aca="false">9*EH$23-$D$10*EH$20</f>
        <v>-5.02</v>
      </c>
      <c r="EI63" s="24" t="n">
        <f aca="false">9*EI$23-$D$10*EI$20</f>
        <v>-3.35</v>
      </c>
      <c r="EJ63" s="24" t="n">
        <f aca="false">9*EJ$23-$D$10*EJ$20</f>
        <v>-4.5</v>
      </c>
      <c r="EK63" s="24" t="n">
        <f aca="false">9*EK$23-$D$10*EK$20</f>
        <v>-4.91</v>
      </c>
      <c r="EL63" s="24" t="n">
        <f aca="false">9*EL$23-$D$10*EL$20</f>
        <v>-3.07</v>
      </c>
      <c r="EM63" s="24" t="n">
        <f aca="false">9*EM$23-$D$10*EM$20</f>
        <v>479.04</v>
      </c>
      <c r="EN63" s="24" t="n">
        <f aca="false">9*EN$23-$D$10*EN$20</f>
        <v>590.6</v>
      </c>
      <c r="EO63" s="24" t="n">
        <f aca="false">9*EO$23-$D$10*EO$20</f>
        <v>590.6</v>
      </c>
      <c r="EP63" s="24" t="n">
        <f aca="false">9*EP$23-$D$10*EP$20</f>
        <v>246.72</v>
      </c>
      <c r="EQ63" s="24" t="n">
        <f aca="false">9*EQ$23-$D$10*EQ$20</f>
        <v>80.24</v>
      </c>
      <c r="ER63" s="24" t="n">
        <f aca="false">9*ER$23-$D$10*ER$20</f>
        <v>50.28</v>
      </c>
      <c r="ES63" s="24" t="n">
        <f aca="false">9*ES$23-$D$10*ES$20</f>
        <v>2.83000000000001</v>
      </c>
      <c r="ET63" s="24" t="n">
        <f aca="false">9*ET$23-$D$10*ET$20</f>
        <v>119.62</v>
      </c>
      <c r="EU63" s="24" t="n">
        <f aca="false">9*EU$23-$D$10*EU$20</f>
        <v>26.55</v>
      </c>
    </row>
    <row r="64" customFormat="false" ht="15" hidden="false" customHeight="false" outlineLevel="0" collapsed="false">
      <c r="A64" s="4" t="s">
        <v>1001</v>
      </c>
      <c r="B64" s="75" t="s">
        <v>998</v>
      </c>
      <c r="C64" s="78" t="n">
        <v>0</v>
      </c>
      <c r="D64" s="77" t="n">
        <v>-2706.97417267203</v>
      </c>
      <c r="E64" s="75" t="str">
        <f aca="false">IF(D64&lt;=C64+0.000001*MAX(1,ABS(C64)),IF(ABS(D64-C64)&lt;=0.000001*MAX(1,ABS(C64)),"tight","ok"),"VIOLATED")</f>
        <v>ok</v>
      </c>
      <c r="F64" s="24" t="n">
        <f aca="false">9*F$31-$D$11*F$20</f>
        <v>-114.933</v>
      </c>
      <c r="G64" s="24" t="n">
        <f aca="false">9*G$31-$D$11*G$20</f>
        <v>-138.869</v>
      </c>
      <c r="H64" s="24" t="n">
        <f aca="false">9*H$31-$D$11*H$20</f>
        <v>-111.127</v>
      </c>
      <c r="I64" s="24" t="n">
        <f aca="false">9*I$31-$D$11*I$20</f>
        <v>-97.138</v>
      </c>
      <c r="J64" s="24" t="n">
        <f aca="false">9*J$31-$D$11*J$20</f>
        <v>-130.47</v>
      </c>
      <c r="K64" s="24" t="n">
        <f aca="false">9*K$31-$D$11*K$20</f>
        <v>-176.21</v>
      </c>
      <c r="L64" s="24" t="n">
        <f aca="false">9*L$31-$D$11*L$20</f>
        <v>-297.336</v>
      </c>
      <c r="M64" s="24" t="n">
        <f aca="false">9*M$31-$D$11*M$20</f>
        <v>-111.26</v>
      </c>
      <c r="N64" s="24" t="n">
        <f aca="false">9*N$31-$D$11*N$20</f>
        <v>-185.771</v>
      </c>
      <c r="O64" s="24" t="n">
        <f aca="false">9*O$31-$D$11*O$20</f>
        <v>-126.098</v>
      </c>
      <c r="P64" s="24" t="n">
        <f aca="false">9*P$31-$D$11*P$20</f>
        <v>-136.576</v>
      </c>
      <c r="Q64" s="24" t="n">
        <f aca="false">9*Q$31-$D$11*Q$20</f>
        <v>-161.283</v>
      </c>
      <c r="R64" s="24" t="n">
        <f aca="false">9*R$31-$D$11*R$20</f>
        <v>-138.984</v>
      </c>
      <c r="S64" s="24" t="n">
        <f aca="false">9*S$31-$D$11*S$20</f>
        <v>-162.133</v>
      </c>
      <c r="T64" s="24" t="n">
        <f aca="false">9*T$31-$D$11*T$20</f>
        <v>-84.101</v>
      </c>
      <c r="U64" s="24" t="n">
        <f aca="false">9*U$31-$D$11*U$20</f>
        <v>-180.55</v>
      </c>
      <c r="V64" s="24" t="n">
        <f aca="false">9*V$31-$D$11*V$20</f>
        <v>-68.651</v>
      </c>
      <c r="W64" s="24" t="n">
        <f aca="false">9*W$31-$D$11*W$20</f>
        <v>-90.735</v>
      </c>
      <c r="X64" s="24" t="n">
        <f aca="false">9*X$31-$D$11*X$20</f>
        <v>-114.866</v>
      </c>
      <c r="Y64" s="24" t="n">
        <f aca="false">9*Y$31-$D$11*Y$20</f>
        <v>-90.325</v>
      </c>
      <c r="Z64" s="24" t="n">
        <f aca="false">9*Z$31-$D$11*Z$20</f>
        <v>-337.706</v>
      </c>
      <c r="AA64" s="24" t="n">
        <f aca="false">9*AA$31-$D$11*AA$20</f>
        <v>-75.704</v>
      </c>
      <c r="AB64" s="24" t="n">
        <f aca="false">9*AB$31-$D$11*AB$20</f>
        <v>-333.021</v>
      </c>
      <c r="AC64" s="24" t="n">
        <f aca="false">9*AC$31-$D$11*AC$20</f>
        <v>-86.164</v>
      </c>
      <c r="AD64" s="24" t="n">
        <f aca="false">9*AD$31-$D$11*AD$20</f>
        <v>-112.92</v>
      </c>
      <c r="AE64" s="24" t="n">
        <f aca="false">9*AE$31-$D$11*AE$20</f>
        <v>-335.796</v>
      </c>
      <c r="AF64" s="24" t="n">
        <f aca="false">9*AF$31-$D$11*AF$20</f>
        <v>-79.875</v>
      </c>
      <c r="AG64" s="24" t="n">
        <f aca="false">9*AG$31-$D$11*AG$20</f>
        <v>-331.92</v>
      </c>
      <c r="AH64" s="24" t="n">
        <f aca="false">9*AH$31-$D$11*AH$20</f>
        <v>-350.614</v>
      </c>
      <c r="AI64" s="24" t="n">
        <f aca="false">9*AI$31-$D$11*AI$20</f>
        <v>-336.551</v>
      </c>
      <c r="AJ64" s="24" t="n">
        <f aca="false">9*AJ$31-$D$11*AJ$20</f>
        <v>-111.992</v>
      </c>
      <c r="AK64" s="24" t="n">
        <f aca="false">9*AK$31-$D$11*AK$20</f>
        <v>-335.47</v>
      </c>
      <c r="AL64" s="24" t="n">
        <f aca="false">9*AL$31-$D$11*AL$20</f>
        <v>-505.075</v>
      </c>
      <c r="AM64" s="24" t="n">
        <f aca="false">9*AM$31-$D$11*AM$20</f>
        <v>-80.893</v>
      </c>
      <c r="AN64" s="24" t="n">
        <f aca="false">9*AN$31-$D$11*AN$20</f>
        <v>-344.885</v>
      </c>
      <c r="AO64" s="24" t="n">
        <f aca="false">9*AO$31-$D$11*AO$20</f>
        <v>-91.7</v>
      </c>
      <c r="AP64" s="24" t="n">
        <f aca="false">9*AP$31-$D$11*AP$20</f>
        <v>-38.687</v>
      </c>
      <c r="AQ64" s="24" t="n">
        <f aca="false">9*AQ$31-$D$11*AQ$20</f>
        <v>-57.947</v>
      </c>
      <c r="AR64" s="24" t="n">
        <f aca="false">9*AR$31-$D$11*AR$20</f>
        <v>-41.155</v>
      </c>
      <c r="AS64" s="24" t="n">
        <f aca="false">9*AS$31-$D$11*AS$20</f>
        <v>-44.215</v>
      </c>
      <c r="AT64" s="24" t="n">
        <f aca="false">9*AT$31-$D$11*AT$20</f>
        <v>-203.487</v>
      </c>
      <c r="AU64" s="24" t="n">
        <f aca="false">9*AU$31-$D$11*AU$20</f>
        <v>-234.197</v>
      </c>
      <c r="AV64" s="24" t="n">
        <f aca="false">9*AV$31-$D$11*AV$20</f>
        <v>-69.885</v>
      </c>
      <c r="AW64" s="24" t="n">
        <f aca="false">9*AW$31-$D$11*AW$20</f>
        <v>-193.345</v>
      </c>
      <c r="AX64" s="24" t="n">
        <f aca="false">9*AX$31-$D$11*AX$20</f>
        <v>-260.76</v>
      </c>
      <c r="AY64" s="24" t="n">
        <f aca="false">9*AY$31-$D$11*AY$20</f>
        <v>-361.681</v>
      </c>
      <c r="AZ64" s="24" t="n">
        <f aca="false">9*AZ$31-$D$11*AZ$20</f>
        <v>-362.5</v>
      </c>
      <c r="BA64" s="24" t="n">
        <f aca="false">9*BA$31-$D$11*BA$20</f>
        <v>-213.923</v>
      </c>
      <c r="BB64" s="24" t="n">
        <f aca="false">9*BB$31-$D$11*BB$20</f>
        <v>-285.975</v>
      </c>
      <c r="BC64" s="24" t="n">
        <f aca="false">9*BC$31-$D$11*BC$20</f>
        <v>-361.646</v>
      </c>
      <c r="BD64" s="24" t="n">
        <f aca="false">9*BD$31-$D$11*BD$20</f>
        <v>-369.01</v>
      </c>
      <c r="BE64" s="24" t="n">
        <f aca="false">9*BE$31-$D$11*BE$20</f>
        <v>-368.507</v>
      </c>
      <c r="BF64" s="24" t="n">
        <f aca="false">9*BF$31-$D$11*BF$20</f>
        <v>-259.718</v>
      </c>
      <c r="BG64" s="24" t="n">
        <f aca="false">9*BG$31-$D$11*BG$20</f>
        <v>-363.38</v>
      </c>
      <c r="BH64" s="24" t="n">
        <f aca="false">9*BH$31-$D$11*BH$20</f>
        <v>-245.502</v>
      </c>
      <c r="BI64" s="24" t="n">
        <f aca="false">9*BI$31-$D$11*BI$20</f>
        <v>-348.148</v>
      </c>
      <c r="BJ64" s="24" t="n">
        <f aca="false">9*BJ$31-$D$11*BJ$20</f>
        <v>-131.082</v>
      </c>
      <c r="BK64" s="24" t="n">
        <f aca="false">9*BK$31-$D$11*BK$20</f>
        <v>-60.307</v>
      </c>
      <c r="BL64" s="24" t="n">
        <f aca="false">9*BL$31-$D$11*BL$20</f>
        <v>-86.929</v>
      </c>
      <c r="BM64" s="24" t="n">
        <f aca="false">9*BM$31-$D$11*BM$20</f>
        <v>-141.54</v>
      </c>
      <c r="BN64" s="24" t="n">
        <f aca="false">9*BN$31-$D$11*BN$20</f>
        <v>-57.226</v>
      </c>
      <c r="BO64" s="24" t="n">
        <f aca="false">9*BO$31-$D$11*BO$20</f>
        <v>-76.406</v>
      </c>
      <c r="BP64" s="24" t="n">
        <f aca="false">9*BP$31-$D$11*BP$20</f>
        <v>-76.775</v>
      </c>
      <c r="BQ64" s="24" t="n">
        <f aca="false">9*BQ$31-$D$11*BQ$20</f>
        <v>-85.838</v>
      </c>
      <c r="BR64" s="24" t="n">
        <f aca="false">9*BR$31-$D$11*BR$20</f>
        <v>-51.748</v>
      </c>
      <c r="BS64" s="24" t="n">
        <f aca="false">9*BS$31-$D$11*BS$20</f>
        <v>-41.928</v>
      </c>
      <c r="BT64" s="24" t="n">
        <f aca="false">9*BT$31-$D$11*BT$20</f>
        <v>-87.992</v>
      </c>
      <c r="BU64" s="24" t="n">
        <f aca="false">9*BU$31-$D$11*BU$20</f>
        <v>-42.874</v>
      </c>
      <c r="BV64" s="24" t="n">
        <f aca="false">9*BV$31-$D$11*BV$20</f>
        <v>-50.523</v>
      </c>
      <c r="BW64" s="24" t="n">
        <f aca="false">9*BW$31-$D$11*BW$20</f>
        <v>-33.541</v>
      </c>
      <c r="BX64" s="24" t="n">
        <f aca="false">9*BX$31-$D$11*BX$20</f>
        <v>-62.658</v>
      </c>
      <c r="BY64" s="24" t="n">
        <f aca="false">9*BY$31-$D$11*BY$20</f>
        <v>-47</v>
      </c>
      <c r="BZ64" s="24" t="n">
        <f aca="false">9*BZ$31-$D$11*BZ$20</f>
        <v>-281.712</v>
      </c>
      <c r="CA64" s="24" t="n">
        <f aca="false">9*CA$31-$D$11*CA$20</f>
        <v>-240.847</v>
      </c>
      <c r="CB64" s="24" t="n">
        <f aca="false">9*CB$31-$D$11*CB$20</f>
        <v>-307.208</v>
      </c>
      <c r="CC64" s="24" t="n">
        <f aca="false">9*CC$31-$D$11*CC$20</f>
        <v>-45.991</v>
      </c>
      <c r="CD64" s="24" t="n">
        <f aca="false">9*CD$31-$D$11*CD$20</f>
        <v>-31.874</v>
      </c>
      <c r="CE64" s="24" t="n">
        <f aca="false">9*CE$31-$D$11*CE$20</f>
        <v>-68.514</v>
      </c>
      <c r="CF64" s="24" t="n">
        <f aca="false">9*CF$31-$D$11*CF$20</f>
        <v>-35.658</v>
      </c>
      <c r="CG64" s="24" t="n">
        <f aca="false">9*CG$31-$D$11*CG$20</f>
        <v>-60.739</v>
      </c>
      <c r="CH64" s="24" t="n">
        <f aca="false">9*CH$31-$D$11*CH$20</f>
        <v>-59.172</v>
      </c>
      <c r="CI64" s="24" t="n">
        <f aca="false">9*CI$31-$D$11*CI$20</f>
        <v>-43.775</v>
      </c>
      <c r="CJ64" s="24" t="n">
        <f aca="false">9*CJ$31-$D$11*CJ$20</f>
        <v>-48.874</v>
      </c>
      <c r="CK64" s="24" t="n">
        <f aca="false">9*CK$31-$D$11*CK$20</f>
        <v>-48.847</v>
      </c>
      <c r="CL64" s="24" t="n">
        <f aca="false">9*CL$31-$D$11*CL$20</f>
        <v>-42.271</v>
      </c>
      <c r="CM64" s="24" t="n">
        <f aca="false">9*CM$31-$D$11*CM$20</f>
        <v>-38.829</v>
      </c>
      <c r="CN64" s="24" t="n">
        <f aca="false">9*CN$31-$D$11*CN$20</f>
        <v>-43.964</v>
      </c>
      <c r="CO64" s="24" t="n">
        <f aca="false">9*CO$31-$D$11*CO$20</f>
        <v>-56.802</v>
      </c>
      <c r="CP64" s="24" t="n">
        <f aca="false">9*CP$31-$D$11*CP$20</f>
        <v>-49.964</v>
      </c>
      <c r="CQ64" s="24" t="n">
        <f aca="false">9*CQ$31-$D$11*CQ$20</f>
        <v>-49.919</v>
      </c>
      <c r="CR64" s="24" t="n">
        <f aca="false">9*CR$31-$D$11*CR$20</f>
        <v>-59.946</v>
      </c>
      <c r="CS64" s="24" t="n">
        <f aca="false">9*CS$31-$D$11*CS$20</f>
        <v>-45.847</v>
      </c>
      <c r="CT64" s="24" t="n">
        <f aca="false">9*CT$31-$D$11*CT$20</f>
        <v>-239.208</v>
      </c>
      <c r="CU64" s="24" t="n">
        <f aca="false">9*CU$31-$D$11*CU$20</f>
        <v>-298.478</v>
      </c>
      <c r="CV64" s="24" t="n">
        <f aca="false">9*CV$31-$D$11*CV$20</f>
        <v>-51.829</v>
      </c>
      <c r="CW64" s="24" t="n">
        <f aca="false">9*CW$31-$D$11*CW$20</f>
        <v>-31.865</v>
      </c>
      <c r="CX64" s="24" t="n">
        <f aca="false">9*CX$31-$D$11*CX$20</f>
        <v>-34.946</v>
      </c>
      <c r="CY64" s="24" t="n">
        <f aca="false">9*CY$31-$D$11*CY$20</f>
        <v>-29.856</v>
      </c>
      <c r="CZ64" s="24" t="n">
        <f aca="false">9*CZ$31-$D$11*CZ$20</f>
        <v>-39.811</v>
      </c>
      <c r="DA64" s="24" t="n">
        <f aca="false">9*DA$31-$D$11*DA$20</f>
        <v>-19.64</v>
      </c>
      <c r="DB64" s="24" t="n">
        <f aca="false">9*DB$31-$D$11*DB$20</f>
        <v>-34.793</v>
      </c>
      <c r="DC64" s="24" t="n">
        <f aca="false">9*DC$31-$D$11*DC$20</f>
        <v>-29.901</v>
      </c>
      <c r="DD64" s="24" t="n">
        <f aca="false">9*DD$31-$D$11*DD$20</f>
        <v>-28.532</v>
      </c>
      <c r="DE64" s="24" t="n">
        <f aca="false">9*DE$31-$D$11*DE$20</f>
        <v>-40.244</v>
      </c>
      <c r="DF64" s="24" t="n">
        <f aca="false">9*DF$31-$D$11*DF$20</f>
        <v>-44.811</v>
      </c>
      <c r="DG64" s="24" t="n">
        <f aca="false">9*DG$31-$D$11*DG$20</f>
        <v>-24.694</v>
      </c>
      <c r="DH64" s="24" t="n">
        <f aca="false">9*DH$31-$D$11*DH$20</f>
        <v>-30.811</v>
      </c>
      <c r="DI64" s="24" t="n">
        <f aca="false">9*DI$31-$D$11*DI$20</f>
        <v>-40.667</v>
      </c>
      <c r="DJ64" s="24" t="n">
        <f aca="false">9*DJ$31-$D$11*DJ$20</f>
        <v>-22.775</v>
      </c>
      <c r="DK64" s="24" t="n">
        <f aca="false">9*DK$31-$D$11*DK$20</f>
        <v>-35.577</v>
      </c>
      <c r="DL64" s="24" t="n">
        <f aca="false">9*DL$31-$D$11*DL$20</f>
        <v>-23.631</v>
      </c>
      <c r="DM64" s="24" t="n">
        <f aca="false">9*DM$31-$D$11*DM$20</f>
        <v>-15.622</v>
      </c>
      <c r="DN64" s="24" t="n">
        <f aca="false">9*DN$31-$D$11*DN$20</f>
        <v>-31.505</v>
      </c>
      <c r="DO64" s="24" t="n">
        <f aca="false">9*DO$31-$D$11*DO$20</f>
        <v>-32.568</v>
      </c>
      <c r="DP64" s="24" t="n">
        <f aca="false">9*DP$31-$D$11*DP$20</f>
        <v>-14.667</v>
      </c>
      <c r="DQ64" s="24" t="n">
        <f aca="false">9*DQ$31-$D$11*DQ$20</f>
        <v>-14.64</v>
      </c>
      <c r="DR64" s="24" t="n">
        <f aca="false">9*DR$31-$D$11*DR$20</f>
        <v>-38.577</v>
      </c>
      <c r="DS64" s="24" t="n">
        <f aca="false">9*DS$31-$D$11*DS$20</f>
        <v>-19.478</v>
      </c>
      <c r="DT64" s="24" t="n">
        <f aca="false">9*DT$31-$D$11*DT$20</f>
        <v>-13.838</v>
      </c>
      <c r="DU64" s="24" t="n">
        <f aca="false">9*DU$31-$D$11*DU$20</f>
        <v>-27.469</v>
      </c>
      <c r="DV64" s="24" t="n">
        <f aca="false">9*DV$31-$D$11*DV$20</f>
        <v>-71.118</v>
      </c>
      <c r="DW64" s="24" t="n">
        <f aca="false">9*DW$31-$D$11*DW$20</f>
        <v>-21.55</v>
      </c>
      <c r="DX64" s="24" t="n">
        <f aca="false">9*DX$31-$D$11*DX$20</f>
        <v>-19.874</v>
      </c>
      <c r="DY64" s="24" t="n">
        <f aca="false">9*DY$31-$D$11*DY$20</f>
        <v>-29.415</v>
      </c>
      <c r="DZ64" s="24" t="n">
        <f aca="false">9*DZ$31-$D$11*DZ$20</f>
        <v>-39.622</v>
      </c>
      <c r="EA64" s="24" t="n">
        <f aca="false">9*EA$31-$D$11*EA$20</f>
        <v>-32.686</v>
      </c>
      <c r="EB64" s="24" t="n">
        <f aca="false">9*EB$31-$D$11*EB$20</f>
        <v>-15.712</v>
      </c>
      <c r="EC64" s="24" t="n">
        <f aca="false">9*EC$31-$D$11*EC$20</f>
        <v>-30.757</v>
      </c>
      <c r="ED64" s="24" t="n">
        <f aca="false">9*ED$31-$D$11*ED$20</f>
        <v>-16.649</v>
      </c>
      <c r="EE64" s="24" t="n">
        <f aca="false">9*EE$31-$D$11*EE$20</f>
        <v>-18.694</v>
      </c>
      <c r="EF64" s="24" t="n">
        <f aca="false">9*EF$31-$D$11*EF$20</f>
        <v>-18.46</v>
      </c>
      <c r="EG64" s="24" t="n">
        <f aca="false">9*EG$31-$D$11*EG$20</f>
        <v>-22.433</v>
      </c>
      <c r="EH64" s="24" t="n">
        <f aca="false">9*EH$31-$D$11*EH$20</f>
        <v>-28.631</v>
      </c>
      <c r="EI64" s="24" t="n">
        <f aca="false">9*EI$31-$D$11*EI$20</f>
        <v>-15.694</v>
      </c>
      <c r="EJ64" s="24" t="n">
        <f aca="false">9*EJ$31-$D$11*EJ$20</f>
        <v>-17.748</v>
      </c>
      <c r="EK64" s="24" t="n">
        <f aca="false">9*EK$31-$D$11*EK$20</f>
        <v>-21.343</v>
      </c>
      <c r="EL64" s="24" t="n">
        <f aca="false">9*EL$31-$D$11*EL$20</f>
        <v>-16.244</v>
      </c>
      <c r="EM64" s="24" t="n">
        <f aca="false">9*EM$31-$D$11*EM$20</f>
        <v>-254.688</v>
      </c>
      <c r="EN64" s="24" t="n">
        <f aca="false">9*EN$31-$D$11*EN$20</f>
        <v>-817.715</v>
      </c>
      <c r="EO64" s="24" t="n">
        <f aca="false">9*EO$31-$D$11*EO$20</f>
        <v>-759.728</v>
      </c>
      <c r="EP64" s="24" t="n">
        <f aca="false">9*EP$31-$D$11*EP$20</f>
        <v>-544.782</v>
      </c>
      <c r="EQ64" s="24" t="n">
        <f aca="false">9*EQ$31-$D$11*EQ$20</f>
        <v>-147.866</v>
      </c>
      <c r="ER64" s="24" t="n">
        <f aca="false">9*ER$31-$D$11*ER$20</f>
        <v>-419.181</v>
      </c>
      <c r="ES64" s="24" t="n">
        <f aca="false">9*ES$31-$D$11*ES$20</f>
        <v>-363.451</v>
      </c>
      <c r="ET64" s="24" t="n">
        <f aca="false">9*ET$31-$D$11*ET$20</f>
        <v>-501.4</v>
      </c>
      <c r="EU64" s="24" t="n">
        <f aca="false">9*EU$31-$D$11*EU$20</f>
        <v>-145.89</v>
      </c>
    </row>
    <row r="65" customFormat="false" ht="15" hidden="false" customHeight="false" outlineLevel="0" collapsed="false">
      <c r="A65" s="4" t="s">
        <v>1002</v>
      </c>
      <c r="B65" s="75" t="s">
        <v>996</v>
      </c>
      <c r="C65" s="76" t="n">
        <f aca="false">N(Planner!$E$23)</f>
        <v>2300</v>
      </c>
      <c r="D65" s="77" t="n">
        <v>780.055020859</v>
      </c>
      <c r="E65" s="75" t="str">
        <f aca="false">IF(D65&lt;=C65+0.000001*MAX(1,ABS(C65)),IF(ABS(D65-C65)&lt;=0.000001*MAX(1,ABS(C65)),"tight","ok"),"VIOLATED")</f>
        <v>ok</v>
      </c>
      <c r="F65" s="24" t="n">
        <f aca="false">F$29</f>
        <v>45</v>
      </c>
      <c r="G65" s="24" t="n">
        <f aca="false">G$29</f>
        <v>106</v>
      </c>
      <c r="H65" s="24" t="n">
        <f aca="false">H$29</f>
        <v>95</v>
      </c>
      <c r="I65" s="24" t="n">
        <f aca="false">I$29</f>
        <v>922</v>
      </c>
      <c r="J65" s="24" t="n">
        <f aca="false">J$29</f>
        <v>69</v>
      </c>
      <c r="K65" s="24" t="n">
        <f aca="false">K$29</f>
        <v>70</v>
      </c>
      <c r="L65" s="24" t="n">
        <f aca="false">L$29</f>
        <v>662</v>
      </c>
      <c r="M65" s="24" t="n">
        <f aca="false">M$29</f>
        <v>80</v>
      </c>
      <c r="N65" s="24" t="n">
        <f aca="false">N$29</f>
        <v>66</v>
      </c>
      <c r="O65" s="24" t="n">
        <f aca="false">O$29</f>
        <v>66</v>
      </c>
      <c r="P65" s="24" t="n">
        <f aca="false">P$29</f>
        <v>1143</v>
      </c>
      <c r="Q65" s="24" t="n">
        <f aca="false">Q$29</f>
        <v>82</v>
      </c>
      <c r="R65" s="24" t="n">
        <f aca="false">R$29</f>
        <v>57</v>
      </c>
      <c r="S65" s="24" t="n">
        <f aca="false">S$29</f>
        <v>51</v>
      </c>
      <c r="T65" s="24" t="n">
        <f aca="false">T$29</f>
        <v>247</v>
      </c>
      <c r="U65" s="24" t="n">
        <f aca="false">U$29</f>
        <v>59</v>
      </c>
      <c r="V65" s="24" t="n">
        <f aca="false">V$29</f>
        <v>566</v>
      </c>
      <c r="W65" s="24" t="n">
        <f aca="false">W$29</f>
        <v>52</v>
      </c>
      <c r="X65" s="24" t="n">
        <f aca="false">X$29</f>
        <v>142</v>
      </c>
      <c r="Y65" s="24" t="n">
        <f aca="false">Y$29</f>
        <v>138</v>
      </c>
      <c r="Z65" s="24" t="n">
        <f aca="false">Z$29</f>
        <v>5</v>
      </c>
      <c r="AA65" s="24" t="n">
        <f aca="false">AA$29</f>
        <v>293</v>
      </c>
      <c r="AB65" s="24" t="n">
        <f aca="false">AB$29</f>
        <v>16</v>
      </c>
      <c r="AC65" s="24" t="n">
        <f aca="false">AC$29</f>
        <v>278</v>
      </c>
      <c r="AD65" s="24" t="n">
        <f aca="false">AD$29</f>
        <v>370</v>
      </c>
      <c r="AE65" s="24" t="n">
        <f aca="false">AE$29</f>
        <v>14</v>
      </c>
      <c r="AF65" s="24" t="n">
        <f aca="false">AF$29</f>
        <v>256</v>
      </c>
      <c r="AG65" s="24" t="n">
        <f aca="false">AG$29</f>
        <v>24</v>
      </c>
      <c r="AH65" s="24" t="n">
        <f aca="false">AH$29</f>
        <v>6</v>
      </c>
      <c r="AI65" s="24" t="n">
        <f aca="false">AI$29</f>
        <v>18</v>
      </c>
      <c r="AJ65" s="24" t="n">
        <f aca="false">AJ$29</f>
        <v>336</v>
      </c>
      <c r="AK65" s="24" t="n">
        <f aca="false">AK$29</f>
        <v>5</v>
      </c>
      <c r="AL65" s="24" t="n">
        <f aca="false">AL$29</f>
        <v>426</v>
      </c>
      <c r="AM65" s="24" t="n">
        <f aca="false">AM$29</f>
        <v>268</v>
      </c>
      <c r="AN65" s="24" t="n">
        <f aca="false">AN$29</f>
        <v>12</v>
      </c>
      <c r="AO65" s="24" t="n">
        <f aca="false">AO$29</f>
        <v>4</v>
      </c>
      <c r="AP65" s="24" t="n">
        <f aca="false">AP$29</f>
        <v>47</v>
      </c>
      <c r="AQ65" s="24" t="n">
        <f aca="false">AQ$29</f>
        <v>36</v>
      </c>
      <c r="AR65" s="24" t="n">
        <f aca="false">AR$29</f>
        <v>47</v>
      </c>
      <c r="AS65" s="24" t="n">
        <f aca="false">AS$29</f>
        <v>43</v>
      </c>
      <c r="AT65" s="24" t="n">
        <f aca="false">AT$29</f>
        <v>1671</v>
      </c>
      <c r="AU65" s="24" t="n">
        <f aca="false">AU$29</f>
        <v>653</v>
      </c>
      <c r="AV65" s="24" t="n">
        <f aca="false">AV$29</f>
        <v>308</v>
      </c>
      <c r="AW65" s="24" t="n">
        <f aca="false">AW$29</f>
        <v>666</v>
      </c>
      <c r="AX65" s="24" t="n">
        <f aca="false">AX$29</f>
        <v>422</v>
      </c>
      <c r="AY65" s="24" t="n">
        <f aca="false">AY$29</f>
        <v>5</v>
      </c>
      <c r="AZ65" s="24" t="n">
        <f aca="false">AZ$29</f>
        <v>497</v>
      </c>
      <c r="BA65" s="24" t="n">
        <f aca="false">BA$29</f>
        <v>45</v>
      </c>
      <c r="BB65" s="24" t="n">
        <f aca="false">BB$29</f>
        <v>742</v>
      </c>
      <c r="BC65" s="24" t="n">
        <f aca="false">BC$29</f>
        <v>5</v>
      </c>
      <c r="BD65" s="24" t="n">
        <f aca="false">BD$29</f>
        <v>6</v>
      </c>
      <c r="BE65" s="24" t="n">
        <f aca="false">BE$29</f>
        <v>6</v>
      </c>
      <c r="BF65" s="24" t="n">
        <f aca="false">BF$29</f>
        <v>490</v>
      </c>
      <c r="BG65" s="24" t="n">
        <f aca="false">BG$29</f>
        <v>5</v>
      </c>
      <c r="BH65" s="24" t="n">
        <f aca="false">BH$29</f>
        <v>455</v>
      </c>
      <c r="BI65" s="24" t="n">
        <f aca="false">BI$29</f>
        <v>6</v>
      </c>
      <c r="BJ65" s="24" t="n">
        <f aca="false">BJ$29</f>
        <v>52</v>
      </c>
      <c r="BK65" s="24" t="n">
        <f aca="false">BK$29</f>
        <v>195</v>
      </c>
      <c r="BL65" s="24" t="n">
        <f aca="false">BL$29</f>
        <v>3</v>
      </c>
      <c r="BM65" s="24" t="n">
        <f aca="false">BM$29</f>
        <v>23</v>
      </c>
      <c r="BN65" s="24" t="n">
        <f aca="false">BN$29</f>
        <v>185</v>
      </c>
      <c r="BO65" s="24" t="n">
        <f aca="false">BO$29</f>
        <v>108</v>
      </c>
      <c r="BP65" s="24" t="n">
        <f aca="false">BP$29</f>
        <v>6</v>
      </c>
      <c r="BQ65" s="24" t="n">
        <f aca="false">BQ$29</f>
        <v>55</v>
      </c>
      <c r="BR65" s="24" t="n">
        <f aca="false">BR$29</f>
        <v>1</v>
      </c>
      <c r="BS65" s="24" t="n">
        <f aca="false">BS$29</f>
        <v>2</v>
      </c>
      <c r="BT65" s="24" t="n">
        <f aca="false">BT$29</f>
        <v>1</v>
      </c>
      <c r="BU65" s="24" t="n">
        <f aca="false">BU$29</f>
        <v>1</v>
      </c>
      <c r="BV65" s="24" t="n">
        <f aca="false">BV$29</f>
        <v>1</v>
      </c>
      <c r="BW65" s="24" t="n">
        <f aca="false">BW$29</f>
        <v>16</v>
      </c>
      <c r="BX65" s="24" t="n">
        <f aca="false">BX$29</f>
        <v>0</v>
      </c>
      <c r="BY65" s="24" t="n">
        <f aca="false">BY$29</f>
        <v>1</v>
      </c>
      <c r="BZ65" s="24" t="n">
        <f aca="false">BZ$29</f>
        <v>2</v>
      </c>
      <c r="CA65" s="24" t="n">
        <f aca="false">CA$29</f>
        <v>10</v>
      </c>
      <c r="CB65" s="24" t="n">
        <f aca="false">CB$29</f>
        <v>5</v>
      </c>
      <c r="CC65" s="24" t="n">
        <f aca="false">CC$29</f>
        <v>4</v>
      </c>
      <c r="CD65" s="24" t="n">
        <f aca="false">CD$29</f>
        <v>0</v>
      </c>
      <c r="CE65" s="24" t="n">
        <f aca="false">CE$29</f>
        <v>2</v>
      </c>
      <c r="CF65" s="24" t="n">
        <f aca="false">CF$29</f>
        <v>18</v>
      </c>
      <c r="CG65" s="24" t="n">
        <f aca="false">CG$29</f>
        <v>3</v>
      </c>
      <c r="CH65" s="24" t="n">
        <f aca="false">CH$29</f>
        <v>1</v>
      </c>
      <c r="CI65" s="24" t="n">
        <f aca="false">CI$29</f>
        <v>0</v>
      </c>
      <c r="CJ65" s="24" t="n">
        <f aca="false">CJ$29</f>
        <v>2</v>
      </c>
      <c r="CK65" s="24" t="n">
        <f aca="false">CK$29</f>
        <v>1</v>
      </c>
      <c r="CL65" s="24" t="n">
        <f aca="false">CL$29</f>
        <v>8</v>
      </c>
      <c r="CM65" s="24" t="n">
        <f aca="false">CM$29</f>
        <v>0</v>
      </c>
      <c r="CN65" s="24" t="n">
        <f aca="false">CN$29</f>
        <v>4</v>
      </c>
      <c r="CO65" s="24" t="n">
        <f aca="false">CO$29</f>
        <v>1</v>
      </c>
      <c r="CP65" s="24" t="n">
        <f aca="false">CP$29</f>
        <v>4</v>
      </c>
      <c r="CQ65" s="24" t="n">
        <f aca="false">CQ$29</f>
        <v>1</v>
      </c>
      <c r="CR65" s="24" t="n">
        <f aca="false">CR$29</f>
        <v>1</v>
      </c>
      <c r="CS65" s="24" t="n">
        <f aca="false">CS$29</f>
        <v>0</v>
      </c>
      <c r="CT65" s="24" t="n">
        <f aca="false">CT$29</f>
        <v>2</v>
      </c>
      <c r="CU65" s="24" t="n">
        <f aca="false">CU$29</f>
        <v>11</v>
      </c>
      <c r="CV65" s="24" t="n">
        <f aca="false">CV$29</f>
        <v>1</v>
      </c>
      <c r="CW65" s="24" t="n">
        <f aca="false">CW$29</f>
        <v>1</v>
      </c>
      <c r="CX65" s="24" t="n">
        <f aca="false">CX$29</f>
        <v>2</v>
      </c>
      <c r="CY65" s="24" t="n">
        <f aca="false">CY$29</f>
        <v>1</v>
      </c>
      <c r="CZ65" s="24" t="n">
        <f aca="false">CZ$29</f>
        <v>3</v>
      </c>
      <c r="DA65" s="24" t="n">
        <f aca="false">DA$29</f>
        <v>2</v>
      </c>
      <c r="DB65" s="24" t="n">
        <f aca="false">DB$29</f>
        <v>78</v>
      </c>
      <c r="DC65" s="24" t="n">
        <f aca="false">DC$29</f>
        <v>143</v>
      </c>
      <c r="DD65" s="24" t="n">
        <f aca="false">DD$29</f>
        <v>17</v>
      </c>
      <c r="DE65" s="24" t="n">
        <f aca="false">DE$29</f>
        <v>10</v>
      </c>
      <c r="DF65" s="24" t="n">
        <f aca="false">DF$29</f>
        <v>4</v>
      </c>
      <c r="DG65" s="24" t="n">
        <f aca="false">DG$29</f>
        <v>18</v>
      </c>
      <c r="DH65" s="24" t="n">
        <f aca="false">DH$29</f>
        <v>27</v>
      </c>
      <c r="DI65" s="24" t="n">
        <f aca="false">DI$29</f>
        <v>69</v>
      </c>
      <c r="DJ65" s="24" t="n">
        <f aca="false">DJ$29</f>
        <v>240</v>
      </c>
      <c r="DK65" s="24" t="n">
        <f aca="false">DK$29</f>
        <v>68</v>
      </c>
      <c r="DL65" s="24" t="n">
        <f aca="false">DL$29</f>
        <v>24</v>
      </c>
      <c r="DM65" s="24" t="n">
        <f aca="false">DM$29</f>
        <v>80</v>
      </c>
      <c r="DN65" s="24" t="n">
        <f aca="false">DN$29</f>
        <v>17</v>
      </c>
      <c r="DO65" s="24" t="n">
        <f aca="false">DO$29</f>
        <v>48</v>
      </c>
      <c r="DP65" s="24" t="n">
        <f aca="false">DP$29</f>
        <v>2</v>
      </c>
      <c r="DQ65" s="24" t="n">
        <f aca="false">DQ$29</f>
        <v>192</v>
      </c>
      <c r="DR65" s="24" t="n">
        <f aca="false">DR$29</f>
        <v>3</v>
      </c>
      <c r="DS65" s="24" t="n">
        <f aca="false">DS$29</f>
        <v>3</v>
      </c>
      <c r="DT65" s="24" t="n">
        <f aca="false">DT$29</f>
        <v>10</v>
      </c>
      <c r="DU65" s="24" t="n">
        <f aca="false">DU$29</f>
        <v>15</v>
      </c>
      <c r="DV65" s="24" t="n">
        <f aca="false">DV$29</f>
        <v>47</v>
      </c>
      <c r="DW65" s="24" t="n">
        <f aca="false">DW$29</f>
        <v>5</v>
      </c>
      <c r="DX65" s="24" t="n">
        <f aca="false">DX$29</f>
        <v>29</v>
      </c>
      <c r="DY65" s="24" t="n">
        <f aca="false">DY$29</f>
        <v>3</v>
      </c>
      <c r="DZ65" s="24" t="n">
        <f aca="false">DZ$29</f>
        <v>4</v>
      </c>
      <c r="EA65" s="24" t="n">
        <f aca="false">EA$29</f>
        <v>5</v>
      </c>
      <c r="EB65" s="24" t="n">
        <f aca="false">EB$29</f>
        <v>39</v>
      </c>
      <c r="EC65" s="24" t="n">
        <f aca="false">EC$29</f>
        <v>4</v>
      </c>
      <c r="ED65" s="24" t="n">
        <f aca="false">ED$29</f>
        <v>8</v>
      </c>
      <c r="EE65" s="24" t="n">
        <f aca="false">EE$29</f>
        <v>661</v>
      </c>
      <c r="EF65" s="24" t="n">
        <f aca="false">EF$29</f>
        <v>319</v>
      </c>
      <c r="EG65" s="24" t="n">
        <f aca="false">EG$29</f>
        <v>79</v>
      </c>
      <c r="EH65" s="24" t="n">
        <f aca="false">EH$29</f>
        <v>74</v>
      </c>
      <c r="EI65" s="24" t="n">
        <f aca="false">EI$29</f>
        <v>115</v>
      </c>
      <c r="EJ65" s="24" t="n">
        <f aca="false">EJ$29</f>
        <v>5</v>
      </c>
      <c r="EK65" s="24" t="n">
        <f aca="false">EK$29</f>
        <v>12</v>
      </c>
      <c r="EL65" s="24" t="n">
        <f aca="false">EL$29</f>
        <v>8</v>
      </c>
      <c r="EM65" s="24" t="n">
        <f aca="false">EM$29</f>
        <v>643</v>
      </c>
      <c r="EN65" s="24" t="n">
        <f aca="false">EN$29</f>
        <v>0</v>
      </c>
      <c r="EO65" s="24" t="n">
        <f aca="false">EO$29</f>
        <v>2</v>
      </c>
      <c r="EP65" s="24" t="n">
        <f aca="false">EP$29</f>
        <v>1</v>
      </c>
      <c r="EQ65" s="24" t="n">
        <f aca="false">EQ$29</f>
        <v>8</v>
      </c>
      <c r="ER65" s="24" t="n">
        <f aca="false">ER$29</f>
        <v>311</v>
      </c>
      <c r="ES65" s="24" t="n">
        <f aca="false">ES$29</f>
        <v>251</v>
      </c>
      <c r="ET65" s="24" t="n">
        <f aca="false">ET$29</f>
        <v>527</v>
      </c>
      <c r="EU65" s="24" t="n">
        <f aca="false">EU$29</f>
        <v>80</v>
      </c>
    </row>
    <row r="66" customFormat="false" ht="15" hidden="false" customHeight="false" outlineLevel="0" collapsed="false">
      <c r="A66" s="4" t="s">
        <v>1003</v>
      </c>
      <c r="B66" s="75" t="s">
        <v>996</v>
      </c>
      <c r="C66" s="76" t="n">
        <f aca="false">IF(Planner!$E$24="",1000000,Planner!$E$24)</f>
        <v>1000000</v>
      </c>
      <c r="D66" s="77" t="n">
        <v>70.42665832904</v>
      </c>
      <c r="E66" s="75" t="str">
        <f aca="false">IF(D66&lt;=C66+0.000001*MAX(1,ABS(C66)),IF(ABS(D66-C66)&lt;=0.000001*MAX(1,ABS(C66)),"tight","ok"),"VIOLATED")</f>
        <v>ok</v>
      </c>
      <c r="F66" s="24" t="n">
        <f aca="false">F$25</f>
        <v>0</v>
      </c>
      <c r="G66" s="24" t="n">
        <f aca="false">G$25</f>
        <v>0</v>
      </c>
      <c r="H66" s="24" t="n">
        <f aca="false">H$25</f>
        <v>0</v>
      </c>
      <c r="I66" s="24" t="n">
        <f aca="false">I$25</f>
        <v>3.28</v>
      </c>
      <c r="J66" s="24" t="n">
        <f aca="false">J$25</f>
        <v>0</v>
      </c>
      <c r="K66" s="24" t="n">
        <f aca="false">K$25</f>
        <v>0</v>
      </c>
      <c r="L66" s="24" t="n">
        <f aca="false">L$25</f>
        <v>1</v>
      </c>
      <c r="M66" s="24" t="n">
        <f aca="false">M$25</f>
        <v>0</v>
      </c>
      <c r="N66" s="24" t="n">
        <f aca="false">N$25</f>
        <v>0</v>
      </c>
      <c r="O66" s="24" t="n">
        <f aca="false">O$25</f>
        <v>0</v>
      </c>
      <c r="P66" s="24" t="n">
        <f aca="false">P$25</f>
        <v>0</v>
      </c>
      <c r="Q66" s="24" t="n">
        <f aca="false">Q$25</f>
        <v>0</v>
      </c>
      <c r="R66" s="24" t="n">
        <f aca="false">R$25</f>
        <v>0</v>
      </c>
      <c r="S66" s="24" t="n">
        <f aca="false">S$25</f>
        <v>0</v>
      </c>
      <c r="T66" s="24" t="n">
        <f aca="false">T$25</f>
        <v>0</v>
      </c>
      <c r="U66" s="24" t="n">
        <f aca="false">U$25</f>
        <v>0</v>
      </c>
      <c r="V66" s="24" t="n">
        <f aca="false">V$25</f>
        <v>0</v>
      </c>
      <c r="W66" s="24" t="n">
        <f aca="false">W$25</f>
        <v>0</v>
      </c>
      <c r="X66" s="24" t="n">
        <f aca="false">X$25</f>
        <v>0.37</v>
      </c>
      <c r="Y66" s="24" t="n">
        <f aca="false">Y$25</f>
        <v>0.23</v>
      </c>
      <c r="Z66" s="24" t="n">
        <f aca="false">Z$25</f>
        <v>2.12</v>
      </c>
      <c r="AA66" s="24" t="n">
        <f aca="false">AA$25</f>
        <v>0</v>
      </c>
      <c r="AB66" s="24" t="n">
        <f aca="false">AB$25</f>
        <v>6.9</v>
      </c>
      <c r="AC66" s="24" t="n">
        <f aca="false">AC$25</f>
        <v>0</v>
      </c>
      <c r="AD66" s="24" t="n">
        <f aca="false">AD$25</f>
        <v>1.41</v>
      </c>
      <c r="AE66" s="24" t="n">
        <f aca="false">AE$25</f>
        <v>2.26</v>
      </c>
      <c r="AF66" s="24" t="n">
        <f aca="false">AF$25</f>
        <v>1.85</v>
      </c>
      <c r="AG66" s="24" t="n">
        <f aca="false">AG$25</f>
        <v>2.23</v>
      </c>
      <c r="AH66" s="24" t="n">
        <f aca="false">AH$25</f>
        <v>2.03</v>
      </c>
      <c r="AI66" s="24" t="n">
        <f aca="false">AI$25</f>
        <v>8.5</v>
      </c>
      <c r="AJ66" s="24" t="n">
        <f aca="false">AJ$25</f>
        <v>0.28</v>
      </c>
      <c r="AK66" s="24" t="n">
        <f aca="false">AK$25</f>
        <v>3.88</v>
      </c>
      <c r="AL66" s="24" t="n">
        <f aca="false">AL$25</f>
        <v>10.49</v>
      </c>
      <c r="AM66" s="24" t="n">
        <f aca="false">AM$25</f>
        <v>1.02</v>
      </c>
      <c r="AN66" s="24" t="n">
        <f aca="false">AN$25</f>
        <v>2.11</v>
      </c>
      <c r="AO66" s="24" t="n">
        <f aca="false">AO$25</f>
        <v>0.4</v>
      </c>
      <c r="AP66" s="24" t="n">
        <f aca="false">AP$25</f>
        <v>5.06</v>
      </c>
      <c r="AQ66" s="24" t="n">
        <f aca="false">AQ$25</f>
        <v>3.24</v>
      </c>
      <c r="AR66" s="24" t="n">
        <f aca="false">AR$25</f>
        <v>3.65</v>
      </c>
      <c r="AS66" s="24" t="n">
        <f aca="false">AS$25</f>
        <v>5.05</v>
      </c>
      <c r="AT66" s="24" t="n">
        <f aca="false">AT$25</f>
        <v>2.26</v>
      </c>
      <c r="AU66" s="24" t="n">
        <f aca="false">AU$25</f>
        <v>0.48</v>
      </c>
      <c r="AV66" s="24" t="n">
        <f aca="false">AV$25</f>
        <v>4</v>
      </c>
      <c r="AW66" s="24" t="n">
        <f aca="false">AW$25</f>
        <v>1.9</v>
      </c>
      <c r="AX66" s="24" t="n">
        <f aca="false">AX$25</f>
        <v>8.43</v>
      </c>
      <c r="AY66" s="24" t="n">
        <f aca="false">AY$25</f>
        <v>0.66</v>
      </c>
      <c r="AZ66" s="24" t="n">
        <f aca="false">AZ$25</f>
        <v>4.36</v>
      </c>
      <c r="BA66" s="24" t="n">
        <f aca="false">BA$25</f>
        <v>0.88</v>
      </c>
      <c r="BB66" s="24" t="n">
        <f aca="false">BB$25</f>
        <v>2.66</v>
      </c>
      <c r="BC66" s="24" t="n">
        <f aca="false">BC$25</f>
        <v>0</v>
      </c>
      <c r="BD66" s="24" t="n">
        <f aca="false">BD$25</f>
        <v>0.99</v>
      </c>
      <c r="BE66" s="24" t="n">
        <f aca="false">BE$25</f>
        <v>2.67</v>
      </c>
      <c r="BF66" s="24" t="n">
        <f aca="false">BF$25</f>
        <v>5.67</v>
      </c>
      <c r="BG66" s="24" t="n">
        <f aca="false">BG$25</f>
        <v>0.12</v>
      </c>
      <c r="BH66" s="24" t="n">
        <f aca="false">BH$25</f>
        <v>4.34</v>
      </c>
      <c r="BI66" s="24" t="n">
        <f aca="false">BI$25</f>
        <v>2.74</v>
      </c>
      <c r="BJ66" s="24" t="n">
        <f aca="false">BJ$25</f>
        <v>0</v>
      </c>
      <c r="BK66" s="24" t="n">
        <f aca="false">BK$25</f>
        <v>4.15</v>
      </c>
      <c r="BL66" s="24" t="n">
        <f aca="false">BL$25</f>
        <v>2.5</v>
      </c>
      <c r="BM66" s="24" t="n">
        <f aca="false">BM$25</f>
        <v>0.2</v>
      </c>
      <c r="BN66" s="24" t="n">
        <f aca="false">BN$25</f>
        <v>3.2</v>
      </c>
      <c r="BO66" s="24" t="n">
        <f aca="false">BO$25</f>
        <v>5</v>
      </c>
      <c r="BP66" s="24" t="n">
        <f aca="false">BP$25</f>
        <v>0.82</v>
      </c>
      <c r="BQ66" s="24" t="n">
        <f aca="false">BQ$25</f>
        <v>4.18</v>
      </c>
      <c r="BR66" s="24" t="n">
        <f aca="false">BR$25</f>
        <v>10.39</v>
      </c>
      <c r="BS66" s="24" t="n">
        <f aca="false">BS$25</f>
        <v>9.39</v>
      </c>
      <c r="BT66" s="24" t="n">
        <f aca="false">BT$25</f>
        <v>12.23</v>
      </c>
      <c r="BU66" s="24" t="n">
        <f aca="false">BU$25</f>
        <v>4.88</v>
      </c>
      <c r="BV66" s="24" t="n">
        <f aca="false">BV$25</f>
        <v>8.45</v>
      </c>
      <c r="BW66" s="24" t="n">
        <f aca="false">BW$25</f>
        <v>7.86</v>
      </c>
      <c r="BX66" s="24" t="n">
        <f aca="false">BX$25</f>
        <v>12.82</v>
      </c>
      <c r="BY66" s="24" t="n">
        <f aca="false">BY$25</f>
        <v>9.18</v>
      </c>
      <c r="BZ66" s="24" t="n">
        <f aca="false">BZ$25</f>
        <v>63.35</v>
      </c>
      <c r="CA66" s="24" t="n">
        <f aca="false">CA$25</f>
        <v>53.44</v>
      </c>
      <c r="CB66" s="24" t="n">
        <f aca="false">CB$25</f>
        <v>72.56</v>
      </c>
      <c r="CC66" s="24" t="n">
        <f aca="false">CC$25</f>
        <v>10.86</v>
      </c>
      <c r="CD66" s="24" t="n">
        <f aca="false">CD$25</f>
        <v>6.98</v>
      </c>
      <c r="CE66" s="24" t="n">
        <f aca="false">CE$25</f>
        <v>15.48</v>
      </c>
      <c r="CF66" s="24" t="n">
        <f aca="false">CF$25</f>
        <v>8.12</v>
      </c>
      <c r="CG66" s="24" t="n">
        <f aca="false">CG$25</f>
        <v>8.99</v>
      </c>
      <c r="CH66" s="24" t="n">
        <f aca="false">CH$25</f>
        <v>13.66</v>
      </c>
      <c r="CI66" s="24" t="n">
        <f aca="false">CI$25</f>
        <v>7.89</v>
      </c>
      <c r="CJ66" s="24" t="n">
        <f aca="false">CJ$25</f>
        <v>8.31</v>
      </c>
      <c r="CK66" s="24" t="n">
        <f aca="false">CK$25</f>
        <v>8.5</v>
      </c>
      <c r="CL66" s="24" t="n">
        <f aca="false">CL$25</f>
        <v>7.82</v>
      </c>
      <c r="CM66" s="24" t="n">
        <f aca="false">CM$25</f>
        <v>8.39</v>
      </c>
      <c r="CN66" s="24" t="n">
        <f aca="false">CN$25</f>
        <v>10.27</v>
      </c>
      <c r="CO66" s="24" t="n">
        <f aca="false">CO$25</f>
        <v>9.75</v>
      </c>
      <c r="CP66" s="24" t="n">
        <f aca="false">CP$25</f>
        <v>9.7</v>
      </c>
      <c r="CQ66" s="24" t="n">
        <f aca="false">CQ$25</f>
        <v>9.85</v>
      </c>
      <c r="CR66" s="24" t="n">
        <f aca="false">CR$25</f>
        <v>14.45</v>
      </c>
      <c r="CS66" s="24" t="n">
        <f aca="false">CS$25</f>
        <v>9.92</v>
      </c>
      <c r="CT66" s="24" t="n">
        <f aca="false">CT$25</f>
        <v>38.13</v>
      </c>
      <c r="CU66" s="24" t="n">
        <f aca="false">CU$25</f>
        <v>59.19</v>
      </c>
      <c r="CV66" s="24" t="n">
        <f aca="false">CV$25</f>
        <v>4.42</v>
      </c>
      <c r="CW66" s="24" t="n">
        <f aca="false">CW$25</f>
        <v>4.89</v>
      </c>
      <c r="CX66" s="24" t="n">
        <f aca="false">CX$25</f>
        <v>4.56</v>
      </c>
      <c r="CY66" s="24" t="n">
        <f aca="false">CY$25</f>
        <v>6.2</v>
      </c>
      <c r="CZ66" s="24" t="n">
        <f aca="false">CZ$25</f>
        <v>0</v>
      </c>
      <c r="DA66" s="24" t="n">
        <f aca="false">DA$25</f>
        <v>1.88</v>
      </c>
      <c r="DB66" s="24" t="n">
        <f aca="false">DB$25</f>
        <v>4.76</v>
      </c>
      <c r="DC66" s="24" t="n">
        <f aca="false">DC$25</f>
        <v>6.53</v>
      </c>
      <c r="DD66" s="24" t="n">
        <f aca="false">DD$25</f>
        <v>1.47</v>
      </c>
      <c r="DE66" s="24" t="n">
        <f aca="false">DE$25</f>
        <v>0</v>
      </c>
      <c r="DF66" s="24" t="n">
        <f aca="false">DF$25</f>
        <v>2.2</v>
      </c>
      <c r="DG66" s="24" t="n">
        <f aca="false">DG$25</f>
        <v>3.2</v>
      </c>
      <c r="DH66" s="24" t="n">
        <f aca="false">DH$25</f>
        <v>3.83</v>
      </c>
      <c r="DI66" s="24" t="n">
        <f aca="false">DI$25</f>
        <v>4.74</v>
      </c>
      <c r="DJ66" s="24" t="n">
        <f aca="false">DJ$25</f>
        <v>2.46</v>
      </c>
      <c r="DK66" s="24" t="n">
        <f aca="false">DK$25</f>
        <v>4.76</v>
      </c>
      <c r="DL66" s="24" t="n">
        <f aca="false">DL$25</f>
        <v>2.22</v>
      </c>
      <c r="DM66" s="24" t="n">
        <f aca="false">DM$25</f>
        <v>1.34</v>
      </c>
      <c r="DN66" s="24" t="n">
        <f aca="false">DN$25</f>
        <v>0.46</v>
      </c>
      <c r="DO66" s="24" t="n">
        <f aca="false">DO$25</f>
        <v>0</v>
      </c>
      <c r="DP66" s="24" t="n">
        <f aca="false">DP$25</f>
        <v>1.67</v>
      </c>
      <c r="DQ66" s="24" t="n">
        <f aca="false">DQ$25</f>
        <v>1.25</v>
      </c>
      <c r="DR66" s="24" t="n">
        <f aca="false">DR$25</f>
        <v>2.21</v>
      </c>
      <c r="DS66" s="24" t="n">
        <f aca="false">DS$25</f>
        <v>2.4</v>
      </c>
      <c r="DT66" s="24" t="n">
        <f aca="false">DT$25</f>
        <v>1.97</v>
      </c>
      <c r="DU66" s="24" t="n">
        <f aca="false">DU$25</f>
        <v>0</v>
      </c>
      <c r="DV66" s="24" t="n">
        <f aca="false">DV$25</f>
        <v>0</v>
      </c>
      <c r="DW66" s="24" t="n">
        <f aca="false">DW$25</f>
        <v>1.98</v>
      </c>
      <c r="DX66" s="24" t="n">
        <f aca="false">DX$25</f>
        <v>0</v>
      </c>
      <c r="DY66" s="24" t="n">
        <f aca="false">DY$25</f>
        <v>2.97</v>
      </c>
      <c r="DZ66" s="24" t="n">
        <f aca="false">DZ$25</f>
        <v>4.24</v>
      </c>
      <c r="EA66" s="24" t="n">
        <f aca="false">EA$25</f>
        <v>3.3</v>
      </c>
      <c r="EB66" s="24" t="n">
        <f aca="false">EB$25</f>
        <v>1.86</v>
      </c>
      <c r="EC66" s="24" t="n">
        <f aca="false">EC$25</f>
        <v>4.2</v>
      </c>
      <c r="ED66" s="24" t="n">
        <f aca="false">ED$25</f>
        <v>1.19</v>
      </c>
      <c r="EE66" s="24" t="n">
        <f aca="false">EE$25</f>
        <v>1.78</v>
      </c>
      <c r="EF66" s="24" t="n">
        <f aca="false">EF$25</f>
        <v>0.33</v>
      </c>
      <c r="EG66" s="24" t="n">
        <f aca="false">EG$25</f>
        <v>0.42</v>
      </c>
      <c r="EH66" s="24" t="n">
        <f aca="false">EH$25</f>
        <v>0.65</v>
      </c>
      <c r="EI66" s="24" t="n">
        <f aca="false">EI$25</f>
        <v>2.55</v>
      </c>
      <c r="EJ66" s="24" t="n">
        <f aca="false">EJ$25</f>
        <v>2.63</v>
      </c>
      <c r="EK66" s="24" t="n">
        <f aca="false">EK$25</f>
        <v>0</v>
      </c>
      <c r="EL66" s="24" t="n">
        <f aca="false">EL$25</f>
        <v>2.5</v>
      </c>
      <c r="EM66" s="24" t="n">
        <f aca="false">EM$25</f>
        <v>0.06</v>
      </c>
      <c r="EN66" s="24" t="n">
        <f aca="false">EN$25</f>
        <v>0</v>
      </c>
      <c r="EO66" s="24" t="n">
        <f aca="false">EO$25</f>
        <v>0</v>
      </c>
      <c r="EP66" s="24" t="n">
        <f aca="false">EP$25</f>
        <v>4.35</v>
      </c>
      <c r="EQ66" s="24" t="n">
        <f aca="false">EQ$25</f>
        <v>0.3</v>
      </c>
      <c r="ER66" s="24" t="n">
        <f aca="false">ER$25</f>
        <v>32.9</v>
      </c>
      <c r="ES66" s="24" t="n">
        <f aca="false">ES$25</f>
        <v>28.92</v>
      </c>
      <c r="ET66" s="24" t="n">
        <f aca="false">ET$25</f>
        <v>0.33</v>
      </c>
      <c r="EU66" s="24" t="n">
        <f aca="false">EU$25</f>
        <v>21.22</v>
      </c>
    </row>
    <row r="67" customFormat="false" ht="15" hidden="false" customHeight="false" outlineLevel="0" collapsed="false">
      <c r="A67" s="4" t="s">
        <v>1004</v>
      </c>
      <c r="B67" s="75" t="s">
        <v>1005</v>
      </c>
      <c r="C67" s="76" t="n">
        <f aca="false">Planner!$E$16*Planner!$D$45</f>
        <v>909</v>
      </c>
      <c r="D67" s="77" t="n">
        <v>625.8570244</v>
      </c>
      <c r="E67" s="75" t="str">
        <f aca="false">IF(D67&lt;=C67+0.000001*MAX(1,ABS(C67)),IF(ABS(D67-C67)&lt;=0.000001*MAX(1,ABS(C67)),"tight","ok"),"VIOLATED")</f>
        <v>ok</v>
      </c>
      <c r="F67" s="24" t="n">
        <f aca="false">F$20*F$34</f>
        <v>0</v>
      </c>
      <c r="G67" s="24" t="n">
        <f aca="false">G$20*G$34</f>
        <v>0</v>
      </c>
      <c r="H67" s="24" t="n">
        <f aca="false">H$20*H$34</f>
        <v>0</v>
      </c>
      <c r="I67" s="24" t="n">
        <f aca="false">I$20*I$34</f>
        <v>0</v>
      </c>
      <c r="J67" s="24" t="n">
        <f aca="false">J$20*J$34</f>
        <v>0</v>
      </c>
      <c r="K67" s="24" t="n">
        <f aca="false">K$20*K$34</f>
        <v>0</v>
      </c>
      <c r="L67" s="24" t="n">
        <f aca="false">L$20*L$34</f>
        <v>417</v>
      </c>
      <c r="M67" s="24" t="n">
        <f aca="false">M$20*M$34</f>
        <v>0</v>
      </c>
      <c r="N67" s="24" t="n">
        <f aca="false">N$20*N$34</f>
        <v>0</v>
      </c>
      <c r="O67" s="24" t="n">
        <f aca="false">O$20*O$34</f>
        <v>0</v>
      </c>
      <c r="P67" s="24" t="n">
        <f aca="false">P$20*P$34</f>
        <v>0</v>
      </c>
      <c r="Q67" s="24" t="n">
        <f aca="false">Q$20*Q$34</f>
        <v>0</v>
      </c>
      <c r="R67" s="24" t="n">
        <f aca="false">R$20*R$34</f>
        <v>0</v>
      </c>
      <c r="S67" s="24" t="n">
        <f aca="false">S$20*S$34</f>
        <v>0</v>
      </c>
      <c r="T67" s="24" t="n">
        <f aca="false">T$20*T$34</f>
        <v>0</v>
      </c>
      <c r="U67" s="24" t="n">
        <f aca="false">U$20*U$34</f>
        <v>0</v>
      </c>
      <c r="V67" s="24" t="n">
        <f aca="false">V$20*V$34</f>
        <v>0</v>
      </c>
      <c r="W67" s="24" t="n">
        <f aca="false">W$20*W$34</f>
        <v>0</v>
      </c>
      <c r="X67" s="24" t="n">
        <f aca="false">X$20*X$34</f>
        <v>143</v>
      </c>
      <c r="Y67" s="24" t="n">
        <f aca="false">Y$20*Y$34</f>
        <v>0</v>
      </c>
      <c r="Z67" s="24" t="n">
        <f aca="false">Z$20*Z$34</f>
        <v>0</v>
      </c>
      <c r="AA67" s="24" t="n">
        <f aca="false">AA$20*AA$34</f>
        <v>0</v>
      </c>
      <c r="AB67" s="24" t="n">
        <f aca="false">AB$20*AB$34</f>
        <v>0</v>
      </c>
      <c r="AC67" s="24" t="n">
        <f aca="false">AC$20*AC$34</f>
        <v>0</v>
      </c>
      <c r="AD67" s="24" t="n">
        <f aca="false">AD$20*AD$34</f>
        <v>0</v>
      </c>
      <c r="AE67" s="24" t="n">
        <f aca="false">AE$20*AE$34</f>
        <v>0</v>
      </c>
      <c r="AF67" s="24" t="n">
        <f aca="false">AF$20*AF$34</f>
        <v>0</v>
      </c>
      <c r="AG67" s="24" t="n">
        <f aca="false">AG$20*AG$34</f>
        <v>0</v>
      </c>
      <c r="AH67" s="24" t="n">
        <f aca="false">AH$20*AH$34</f>
        <v>0</v>
      </c>
      <c r="AI67" s="24" t="n">
        <f aca="false">AI$20*AI$34</f>
        <v>0</v>
      </c>
      <c r="AJ67" s="24" t="n">
        <f aca="false">AJ$20*AJ$34</f>
        <v>0</v>
      </c>
      <c r="AK67" s="24" t="n">
        <f aca="false">AK$20*AK$34</f>
        <v>0</v>
      </c>
      <c r="AL67" s="24" t="n">
        <f aca="false">AL$20*AL$34</f>
        <v>299</v>
      </c>
      <c r="AM67" s="24" t="n">
        <f aca="false">AM$20*AM$34</f>
        <v>0</v>
      </c>
      <c r="AN67" s="24" t="n">
        <f aca="false">AN$20*AN$34</f>
        <v>0</v>
      </c>
      <c r="AO67" s="24" t="n">
        <f aca="false">AO$20*AO$34</f>
        <v>0</v>
      </c>
      <c r="AP67" s="24" t="n">
        <f aca="false">AP$20*AP$34</f>
        <v>25</v>
      </c>
      <c r="AQ67" s="24" t="n">
        <f aca="false">AQ$20*AQ$34</f>
        <v>29.5</v>
      </c>
      <c r="AR67" s="24" t="n">
        <f aca="false">AR$20*AR$34</f>
        <v>21.5</v>
      </c>
      <c r="AS67" s="24" t="n">
        <f aca="false">AS$20*AS$34</f>
        <v>30.5</v>
      </c>
      <c r="AT67" s="24" t="n">
        <f aca="false">AT$20*AT$34</f>
        <v>0</v>
      </c>
      <c r="AU67" s="24" t="n">
        <f aca="false">AU$20*AU$34</f>
        <v>0</v>
      </c>
      <c r="AV67" s="24" t="n">
        <f aca="false">AV$20*AV$34</f>
        <v>0</v>
      </c>
      <c r="AW67" s="24" t="n">
        <f aca="false">AW$20*AW$34</f>
        <v>0</v>
      </c>
      <c r="AX67" s="24" t="n">
        <f aca="false">AX$20*AX$34</f>
        <v>264</v>
      </c>
      <c r="AY67" s="24" t="n">
        <f aca="false">AY$20*AY$34</f>
        <v>0</v>
      </c>
      <c r="AZ67" s="24" t="n">
        <f aca="false">AZ$20*AZ$34</f>
        <v>376</v>
      </c>
      <c r="BA67" s="24" t="n">
        <f aca="false">BA$20*BA$34</f>
        <v>0</v>
      </c>
      <c r="BB67" s="24" t="n">
        <f aca="false">BB$20*BB$34</f>
        <v>0</v>
      </c>
      <c r="BC67" s="24" t="n">
        <f aca="false">BC$20*BC$34</f>
        <v>0</v>
      </c>
      <c r="BD67" s="24" t="n">
        <f aca="false">BD$20*BD$34</f>
        <v>379</v>
      </c>
      <c r="BE67" s="24" t="n">
        <f aca="false">BE$20*BE$34</f>
        <v>0</v>
      </c>
      <c r="BF67" s="24" t="n">
        <f aca="false">BF$20*BF$34</f>
        <v>133</v>
      </c>
      <c r="BG67" s="24" t="n">
        <f aca="false">BG$20*BG$34</f>
        <v>0</v>
      </c>
      <c r="BH67" s="24" t="n">
        <f aca="false">BH$20*BH$34</f>
        <v>126</v>
      </c>
      <c r="BI67" s="24" t="n">
        <f aca="false">BI$20*BI$34</f>
        <v>0</v>
      </c>
      <c r="BJ67" s="24" t="n">
        <f aca="false">BJ$20*BJ$34</f>
        <v>0</v>
      </c>
      <c r="BK67" s="24" t="n">
        <f aca="false">BK$20*BK$34</f>
        <v>0</v>
      </c>
      <c r="BL67" s="24" t="n">
        <f aca="false">BL$20*BL$34</f>
        <v>0</v>
      </c>
      <c r="BM67" s="24" t="n">
        <f aca="false">BM$20*BM$34</f>
        <v>0</v>
      </c>
      <c r="BN67" s="24" t="n">
        <f aca="false">BN$20*BN$34</f>
        <v>0</v>
      </c>
      <c r="BO67" s="24" t="n">
        <f aca="false">BO$20*BO$34</f>
        <v>0</v>
      </c>
      <c r="BP67" s="24" t="n">
        <f aca="false">BP$20*BP$34</f>
        <v>0</v>
      </c>
      <c r="BQ67" s="24" t="n">
        <f aca="false">BQ$20*BQ$34</f>
        <v>0</v>
      </c>
      <c r="BR67" s="24" t="n">
        <f aca="false">BR$20*BR$34</f>
        <v>0</v>
      </c>
      <c r="BS67" s="24" t="n">
        <f aca="false">BS$20*BS$34</f>
        <v>21</v>
      </c>
      <c r="BT67" s="24" t="n">
        <f aca="false">BT$20*BT$34</f>
        <v>44.5</v>
      </c>
      <c r="BU67" s="24" t="n">
        <f aca="false">BU$20*BU$34</f>
        <v>21.5</v>
      </c>
      <c r="BV67" s="24" t="n">
        <f aca="false">BV$20*BV$34</f>
        <v>51</v>
      </c>
      <c r="BW67" s="24" t="n">
        <f aca="false">BW$20*BW$34</f>
        <v>17</v>
      </c>
      <c r="BX67" s="24" t="n">
        <f aca="false">BX$20*BX$34</f>
        <v>0</v>
      </c>
      <c r="BY67" s="24" t="n">
        <f aca="false">BY$20*BY$34</f>
        <v>0</v>
      </c>
      <c r="BZ67" s="24" t="n">
        <f aca="false">BZ$20*BZ$34</f>
        <v>0</v>
      </c>
      <c r="CA67" s="24" t="n">
        <f aca="false">CA$20*CA$34</f>
        <v>0</v>
      </c>
      <c r="CB67" s="24" t="n">
        <f aca="false">CB$20*CB$34</f>
        <v>0</v>
      </c>
      <c r="CC67" s="24" t="n">
        <f aca="false">CC$20*CC$34</f>
        <v>23</v>
      </c>
      <c r="CD67" s="24" t="n">
        <f aca="false">CD$20*CD$34</f>
        <v>16</v>
      </c>
      <c r="CE67" s="24" t="n">
        <f aca="false">CE$20*CE$34</f>
        <v>0</v>
      </c>
      <c r="CF67" s="24" t="n">
        <f aca="false">CF$20*CF$34</f>
        <v>18</v>
      </c>
      <c r="CG67" s="24" t="n">
        <f aca="false">CG$20*CG$34</f>
        <v>30.5</v>
      </c>
      <c r="CH67" s="24" t="n">
        <f aca="false">CH$20*CH$34</f>
        <v>30</v>
      </c>
      <c r="CI67" s="24" t="n">
        <f aca="false">CI$20*CI$34</f>
        <v>22</v>
      </c>
      <c r="CJ67" s="24" t="n">
        <f aca="false">CJ$20*CJ$34</f>
        <v>49</v>
      </c>
      <c r="CK67" s="24" t="n">
        <f aca="false">CK$20*CK$34</f>
        <v>0</v>
      </c>
      <c r="CL67" s="24" t="n">
        <f aca="false">CL$20*CL$34</f>
        <v>21.5</v>
      </c>
      <c r="CM67" s="24" t="n">
        <f aca="false">CM$20*CM$34</f>
        <v>19.5</v>
      </c>
      <c r="CN67" s="24" t="n">
        <f aca="false">CN$20*CN$34</f>
        <v>22</v>
      </c>
      <c r="CO67" s="24" t="n">
        <f aca="false">CO$20*CO$34</f>
        <v>0</v>
      </c>
      <c r="CP67" s="24" t="n">
        <f aca="false">CP$20*CP$34</f>
        <v>25</v>
      </c>
      <c r="CQ67" s="24" t="n">
        <f aca="false">CQ$20*CQ$34</f>
        <v>25</v>
      </c>
      <c r="CR67" s="24" t="n">
        <f aca="false">CR$20*CR$34</f>
        <v>30</v>
      </c>
      <c r="CS67" s="24" t="n">
        <f aca="false">CS$20*CS$34</f>
        <v>0</v>
      </c>
      <c r="CT67" s="24" t="n">
        <f aca="false">CT$20*CT$34</f>
        <v>0</v>
      </c>
      <c r="CU67" s="24" t="n">
        <f aca="false">CU$20*CU$34</f>
        <v>0</v>
      </c>
      <c r="CV67" s="24" t="n">
        <f aca="false">CV$20*CV$34</f>
        <v>26</v>
      </c>
      <c r="CW67" s="24" t="n">
        <f aca="false">CW$20*CW$34</f>
        <v>16</v>
      </c>
      <c r="CX67" s="24" t="n">
        <f aca="false">CX$20*CX$34</f>
        <v>17.5</v>
      </c>
      <c r="CY67" s="24" t="n">
        <f aca="false">CY$20*CY$34</f>
        <v>0</v>
      </c>
      <c r="CZ67" s="24" t="n">
        <f aca="false">CZ$20*CZ$34</f>
        <v>0</v>
      </c>
      <c r="DA67" s="24" t="n">
        <f aca="false">DA$20*DA$34</f>
        <v>0</v>
      </c>
      <c r="DB67" s="24" t="n">
        <f aca="false">DB$20*DB$34</f>
        <v>0</v>
      </c>
      <c r="DC67" s="24" t="n">
        <f aca="false">DC$20*DC$34</f>
        <v>0</v>
      </c>
      <c r="DD67" s="24" t="n">
        <f aca="false">DD$20*DD$34</f>
        <v>0</v>
      </c>
      <c r="DE67" s="24" t="n">
        <f aca="false">DE$20*DE$34</f>
        <v>0</v>
      </c>
      <c r="DF67" s="24" t="n">
        <f aca="false">DF$20*DF$34</f>
        <v>0</v>
      </c>
      <c r="DG67" s="24" t="n">
        <f aca="false">DG$20*DG$34</f>
        <v>0</v>
      </c>
      <c r="DH67" s="24" t="n">
        <f aca="false">DH$20*DH$34</f>
        <v>0</v>
      </c>
      <c r="DI67" s="24" t="n">
        <f aca="false">DI$20*DI$34</f>
        <v>0</v>
      </c>
      <c r="DJ67" s="24" t="n">
        <f aca="false">DJ$20*DJ$34</f>
        <v>0</v>
      </c>
      <c r="DK67" s="24" t="n">
        <f aca="false">DK$20*DK$34</f>
        <v>0</v>
      </c>
      <c r="DL67" s="24" t="n">
        <f aca="false">DL$20*DL$34</f>
        <v>0</v>
      </c>
      <c r="DM67" s="24" t="n">
        <f aca="false">DM$20*DM$34</f>
        <v>0</v>
      </c>
      <c r="DN67" s="24" t="n">
        <f aca="false">DN$20*DN$34</f>
        <v>0</v>
      </c>
      <c r="DO67" s="24" t="n">
        <f aca="false">DO$20*DO$34</f>
        <v>0</v>
      </c>
      <c r="DP67" s="24" t="n">
        <f aca="false">DP$20*DP$34</f>
        <v>0</v>
      </c>
      <c r="DQ67" s="24" t="n">
        <f aca="false">DQ$20*DQ$34</f>
        <v>0</v>
      </c>
      <c r="DR67" s="24" t="n">
        <f aca="false">DR$20*DR$34</f>
        <v>0</v>
      </c>
      <c r="DS67" s="24" t="n">
        <f aca="false">DS$20*DS$34</f>
        <v>0</v>
      </c>
      <c r="DT67" s="24" t="n">
        <f aca="false">DT$20*DT$34</f>
        <v>0</v>
      </c>
      <c r="DU67" s="24" t="n">
        <f aca="false">DU$20*DU$34</f>
        <v>0</v>
      </c>
      <c r="DV67" s="24" t="n">
        <f aca="false">DV$20*DV$34</f>
        <v>0</v>
      </c>
      <c r="DW67" s="24" t="n">
        <f aca="false">DW$20*DW$34</f>
        <v>0</v>
      </c>
      <c r="DX67" s="24" t="n">
        <f aca="false">DX$20*DX$34</f>
        <v>0</v>
      </c>
      <c r="DY67" s="24" t="n">
        <f aca="false">DY$20*DY$34</f>
        <v>0</v>
      </c>
      <c r="DZ67" s="24" t="n">
        <f aca="false">DZ$20*DZ$34</f>
        <v>0</v>
      </c>
      <c r="EA67" s="24" t="n">
        <f aca="false">EA$20*EA$34</f>
        <v>0</v>
      </c>
      <c r="EB67" s="24" t="n">
        <f aca="false">EB$20*EB$34</f>
        <v>0</v>
      </c>
      <c r="EC67" s="24" t="n">
        <f aca="false">EC$20*EC$34</f>
        <v>0</v>
      </c>
      <c r="ED67" s="24" t="n">
        <f aca="false">ED$20*ED$34</f>
        <v>0</v>
      </c>
      <c r="EE67" s="24" t="n">
        <f aca="false">EE$20*EE$34</f>
        <v>0</v>
      </c>
      <c r="EF67" s="24" t="n">
        <f aca="false">EF$20*EF$34</f>
        <v>0</v>
      </c>
      <c r="EG67" s="24" t="n">
        <f aca="false">EG$20*EG$34</f>
        <v>0</v>
      </c>
      <c r="EH67" s="24" t="n">
        <f aca="false">EH$20*EH$34</f>
        <v>0</v>
      </c>
      <c r="EI67" s="24" t="n">
        <f aca="false">EI$20*EI$34</f>
        <v>0</v>
      </c>
      <c r="EJ67" s="24" t="n">
        <f aca="false">EJ$20*EJ$34</f>
        <v>0</v>
      </c>
      <c r="EK67" s="24" t="n">
        <f aca="false">EK$20*EK$34</f>
        <v>0</v>
      </c>
      <c r="EL67" s="24" t="n">
        <f aca="false">EL$20*EL$34</f>
        <v>0</v>
      </c>
      <c r="EM67" s="24" t="n">
        <f aca="false">EM$20*EM$34</f>
        <v>358.5</v>
      </c>
      <c r="EN67" s="24" t="n">
        <f aca="false">EN$20*EN$34</f>
        <v>0</v>
      </c>
      <c r="EO67" s="24" t="n">
        <f aca="false">EO$20*EO$34</f>
        <v>0</v>
      </c>
      <c r="EP67" s="24" t="n">
        <f aca="false">EP$20*EP$34</f>
        <v>0</v>
      </c>
      <c r="EQ67" s="24" t="n">
        <f aca="false">EQ$20*EQ$34</f>
        <v>0</v>
      </c>
      <c r="ER67" s="24" t="n">
        <f aca="false">ER$20*ER$34</f>
        <v>0</v>
      </c>
      <c r="ES67" s="24" t="n">
        <f aca="false">ES$20*ES$34</f>
        <v>0</v>
      </c>
      <c r="ET67" s="24" t="n">
        <f aca="false">ET$20*ET$34</f>
        <v>0</v>
      </c>
      <c r="EU67" s="24" t="n">
        <f aca="false">EU$20*EU$34</f>
        <v>0</v>
      </c>
    </row>
    <row r="68" customFormat="false" ht="15" hidden="false" customHeight="false" outlineLevel="0" collapsed="false">
      <c r="A68" s="4" t="s">
        <v>1006</v>
      </c>
      <c r="B68" s="75" t="s">
        <v>1005</v>
      </c>
      <c r="C68" s="76" t="n">
        <f aca="false">Planner!$E$16*Planner!$D$46</f>
        <v>1060.5</v>
      </c>
      <c r="D68" s="77" t="n">
        <v>920.6429755415</v>
      </c>
      <c r="E68" s="75" t="str">
        <f aca="false">IF(D68&lt;=C68+0.000001*MAX(1,ABS(C68)),IF(ABS(D68-C68)&lt;=0.000001*MAX(1,ABS(C68)),"tight","ok"),"VIOLATED")</f>
        <v>ok</v>
      </c>
      <c r="F68" s="24" t="n">
        <f aca="false">F$20*F$35</f>
        <v>60</v>
      </c>
      <c r="G68" s="24" t="n">
        <f aca="false">G$20*G$35</f>
        <v>80.5</v>
      </c>
      <c r="H68" s="24" t="n">
        <f aca="false">H$20*H$35</f>
        <v>60.5</v>
      </c>
      <c r="I68" s="24" t="n">
        <f aca="false">I$20*I$35</f>
        <v>100</v>
      </c>
      <c r="J68" s="24" t="n">
        <f aca="false">J$20*J$35</f>
        <v>75</v>
      </c>
      <c r="K68" s="24" t="n">
        <f aca="false">K$20*K$35</f>
        <v>107.5</v>
      </c>
      <c r="L68" s="24" t="n">
        <f aca="false">L$20*L$35</f>
        <v>0</v>
      </c>
      <c r="M68" s="24" t="n">
        <f aca="false">M$20*M$35</f>
        <v>0</v>
      </c>
      <c r="N68" s="24" t="n">
        <f aca="false">N$20*N$35</f>
        <v>127</v>
      </c>
      <c r="O68" s="24" t="n">
        <f aca="false">O$20*O$35</f>
        <v>76</v>
      </c>
      <c r="P68" s="24" t="n">
        <f aca="false">P$20*P$35</f>
        <v>163</v>
      </c>
      <c r="Q68" s="24" t="n">
        <f aca="false">Q$20*Q$35</f>
        <v>100.5</v>
      </c>
      <c r="R68" s="24" t="n">
        <f aca="false">R$20*R$35</f>
        <v>0</v>
      </c>
      <c r="S68" s="24" t="n">
        <f aca="false">S$20*S$35</f>
        <v>0</v>
      </c>
      <c r="T68" s="24" t="n">
        <f aca="false">T$20*T$35</f>
        <v>86</v>
      </c>
      <c r="U68" s="24" t="n">
        <f aca="false">U$20*U$35</f>
        <v>0</v>
      </c>
      <c r="V68" s="24" t="n">
        <f aca="false">V$20*V$35</f>
        <v>0</v>
      </c>
      <c r="W68" s="24" t="n">
        <f aca="false">W$20*W$35</f>
        <v>48</v>
      </c>
      <c r="X68" s="24" t="n">
        <f aca="false">X$20*X$35</f>
        <v>0</v>
      </c>
      <c r="Y68" s="24" t="n">
        <f aca="false">Y$20*Y$35</f>
        <v>45.5</v>
      </c>
      <c r="Z68" s="24" t="n">
        <f aca="false">Z$20*Z$35</f>
        <v>170.5</v>
      </c>
      <c r="AA68" s="24" t="n">
        <f aca="false">AA$20*AA$35</f>
        <v>38.5</v>
      </c>
      <c r="AB68" s="24" t="n">
        <f aca="false">AB$20*AB$35</f>
        <v>168</v>
      </c>
      <c r="AC68" s="24" t="n">
        <f aca="false">AC$20*AC$35</f>
        <v>44</v>
      </c>
      <c r="AD68" s="24" t="n">
        <f aca="false">AD$20*AD$35</f>
        <v>57</v>
      </c>
      <c r="AE68" s="24" t="n">
        <f aca="false">AE$20*AE$35</f>
        <v>169.5</v>
      </c>
      <c r="AF68" s="24" t="n">
        <f aca="false">AF$20*AF$35</f>
        <v>40.5</v>
      </c>
      <c r="AG68" s="24" t="n">
        <f aca="false">AG$20*AG$35</f>
        <v>166.5</v>
      </c>
      <c r="AH68" s="24" t="n">
        <f aca="false">AH$20*AH$35</f>
        <v>176</v>
      </c>
      <c r="AI68" s="24" t="n">
        <f aca="false">AI$20*AI$35</f>
        <v>169</v>
      </c>
      <c r="AJ68" s="24" t="n">
        <f aca="false">AJ$20*AJ$35</f>
        <v>56.5</v>
      </c>
      <c r="AK68" s="24" t="n">
        <f aca="false">AK$20*AK$35</f>
        <v>168.5</v>
      </c>
      <c r="AL68" s="24" t="n">
        <f aca="false">AL$20*AL$35</f>
        <v>0</v>
      </c>
      <c r="AM68" s="24" t="n">
        <f aca="false">AM$20*AM$35</f>
        <v>41</v>
      </c>
      <c r="AN68" s="24" t="n">
        <f aca="false">AN$20*AN$35</f>
        <v>173.5</v>
      </c>
      <c r="AO68" s="24" t="n">
        <f aca="false">AO$20*AO$35</f>
        <v>49</v>
      </c>
      <c r="AP68" s="24" t="n">
        <f aca="false">AP$20*AP$35</f>
        <v>0</v>
      </c>
      <c r="AQ68" s="24" t="n">
        <f aca="false">AQ$20*AQ$35</f>
        <v>0</v>
      </c>
      <c r="AR68" s="24" t="n">
        <f aca="false">AR$20*AR$35</f>
        <v>0</v>
      </c>
      <c r="AS68" s="24" t="n">
        <f aca="false">AS$20*AS$35</f>
        <v>0</v>
      </c>
      <c r="AT68" s="24" t="n">
        <f aca="false">AT$20*AT$35</f>
        <v>366</v>
      </c>
      <c r="AU68" s="24" t="n">
        <f aca="false">AU$20*AU$35</f>
        <v>202</v>
      </c>
      <c r="AV68" s="24" t="n">
        <f aca="false">AV$20*AV$35</f>
        <v>40.5</v>
      </c>
      <c r="AW68" s="24" t="n">
        <f aca="false">AW$20*AW$35</f>
        <v>0</v>
      </c>
      <c r="AX68" s="24" t="n">
        <f aca="false">AX$20*AX$35</f>
        <v>0</v>
      </c>
      <c r="AY68" s="24" t="n">
        <f aca="false">AY$20*AY$35</f>
        <v>183.5</v>
      </c>
      <c r="AZ68" s="24" t="n">
        <f aca="false">AZ$20*AZ$35</f>
        <v>0</v>
      </c>
      <c r="BA68" s="24" t="n">
        <f aca="false">BA$20*BA$35</f>
        <v>109</v>
      </c>
      <c r="BB68" s="24" t="n">
        <f aca="false">BB$20*BB$35</f>
        <v>148.5</v>
      </c>
      <c r="BC68" s="24" t="n">
        <f aca="false">BC$20*BC$35</f>
        <v>184</v>
      </c>
      <c r="BD68" s="24" t="n">
        <f aca="false">BD$20*BD$35</f>
        <v>0</v>
      </c>
      <c r="BE68" s="24" t="n">
        <f aca="false">BE$20*BE$35</f>
        <v>185.5</v>
      </c>
      <c r="BF68" s="24" t="n">
        <f aca="false">BF$20*BF$35</f>
        <v>133</v>
      </c>
      <c r="BG68" s="24" t="n">
        <f aca="false">BG$20*BG$35</f>
        <v>182.5</v>
      </c>
      <c r="BH68" s="24" t="n">
        <f aca="false">BH$20*BH$35</f>
        <v>126</v>
      </c>
      <c r="BI68" s="24" t="n">
        <f aca="false">BI$20*BI$35</f>
        <v>176</v>
      </c>
      <c r="BJ68" s="24" t="n">
        <f aca="false">BJ$20*BJ$35</f>
        <v>66</v>
      </c>
      <c r="BK68" s="24" t="n">
        <f aca="false">BK$20*BK$35</f>
        <v>30.5</v>
      </c>
      <c r="BL68" s="24" t="n">
        <f aca="false">BL$20*BL$35</f>
        <v>44</v>
      </c>
      <c r="BM68" s="24" t="n">
        <f aca="false">BM$20*BM$35</f>
        <v>75</v>
      </c>
      <c r="BN68" s="24" t="n">
        <f aca="false">BN$20*BN$35</f>
        <v>29</v>
      </c>
      <c r="BO68" s="24" t="n">
        <f aca="false">BO$20*BO$35</f>
        <v>38.5</v>
      </c>
      <c r="BP68" s="24" t="n">
        <f aca="false">BP$20*BP$35</f>
        <v>38.5</v>
      </c>
      <c r="BQ68" s="24" t="n">
        <f aca="false">BQ$20*BQ$35</f>
        <v>43</v>
      </c>
      <c r="BR68" s="24" t="n">
        <f aca="false">BR$20*BR$35</f>
        <v>26</v>
      </c>
      <c r="BS68" s="24" t="n">
        <f aca="false">BS$20*BS$35</f>
        <v>0</v>
      </c>
      <c r="BT68" s="24" t="n">
        <f aca="false">BT$20*BT$35</f>
        <v>0</v>
      </c>
      <c r="BU68" s="24" t="n">
        <f aca="false">BU$20*BU$35</f>
        <v>0</v>
      </c>
      <c r="BV68" s="24" t="n">
        <f aca="false">BV$20*BV$35</f>
        <v>0</v>
      </c>
      <c r="BW68" s="24" t="n">
        <f aca="false">BW$20*BW$35</f>
        <v>0</v>
      </c>
      <c r="BX68" s="24" t="n">
        <f aca="false">BX$20*BX$35</f>
        <v>0</v>
      </c>
      <c r="BY68" s="24" t="n">
        <f aca="false">BY$20*BY$35</f>
        <v>0</v>
      </c>
      <c r="BZ68" s="24" t="n">
        <f aca="false">BZ$20*BZ$35</f>
        <v>0</v>
      </c>
      <c r="CA68" s="24" t="n">
        <f aca="false">CA$20*CA$35</f>
        <v>0</v>
      </c>
      <c r="CB68" s="24" t="n">
        <f aca="false">CB$20*CB$35</f>
        <v>0</v>
      </c>
      <c r="CC68" s="24" t="n">
        <f aca="false">CC$20*CC$35</f>
        <v>0</v>
      </c>
      <c r="CD68" s="24" t="n">
        <f aca="false">CD$20*CD$35</f>
        <v>0</v>
      </c>
      <c r="CE68" s="24" t="n">
        <f aca="false">CE$20*CE$35</f>
        <v>0</v>
      </c>
      <c r="CF68" s="24" t="n">
        <f aca="false">CF$20*CF$35</f>
        <v>0</v>
      </c>
      <c r="CG68" s="24" t="n">
        <f aca="false">CG$20*CG$35</f>
        <v>0</v>
      </c>
      <c r="CH68" s="24" t="n">
        <f aca="false">CH$20*CH$35</f>
        <v>0</v>
      </c>
      <c r="CI68" s="24" t="n">
        <f aca="false">CI$20*CI$35</f>
        <v>0</v>
      </c>
      <c r="CJ68" s="24" t="n">
        <f aca="false">CJ$20*CJ$35</f>
        <v>0</v>
      </c>
      <c r="CK68" s="24" t="n">
        <f aca="false">CK$20*CK$35</f>
        <v>24.5</v>
      </c>
      <c r="CL68" s="24" t="n">
        <f aca="false">CL$20*CL$35</f>
        <v>0</v>
      </c>
      <c r="CM68" s="24" t="n">
        <f aca="false">CM$20*CM$35</f>
        <v>0</v>
      </c>
      <c r="CN68" s="24" t="n">
        <f aca="false">CN$20*CN$35</f>
        <v>0</v>
      </c>
      <c r="CO68" s="24" t="n">
        <f aca="false">CO$20*CO$35</f>
        <v>28.5</v>
      </c>
      <c r="CP68" s="24" t="n">
        <f aca="false">CP$20*CP$35</f>
        <v>0</v>
      </c>
      <c r="CQ68" s="24" t="n">
        <f aca="false">CQ$20*CQ$35</f>
        <v>0</v>
      </c>
      <c r="CR68" s="24" t="n">
        <f aca="false">CR$20*CR$35</f>
        <v>0</v>
      </c>
      <c r="CS68" s="24" t="n">
        <f aca="false">CS$20*CS$35</f>
        <v>0</v>
      </c>
      <c r="CT68" s="24" t="n">
        <f aca="false">CT$20*CT$35</f>
        <v>0</v>
      </c>
      <c r="CU68" s="24" t="n">
        <f aca="false">CU$20*CU$35</f>
        <v>0</v>
      </c>
      <c r="CV68" s="24" t="n">
        <f aca="false">CV$20*CV$35</f>
        <v>0</v>
      </c>
      <c r="CW68" s="24" t="n">
        <f aca="false">CW$20*CW$35</f>
        <v>0</v>
      </c>
      <c r="CX68" s="24" t="n">
        <f aca="false">CX$20*CX$35</f>
        <v>0</v>
      </c>
      <c r="CY68" s="24" t="n">
        <f aca="false">CY$20*CY$35</f>
        <v>0</v>
      </c>
      <c r="CZ68" s="24" t="n">
        <f aca="false">CZ$20*CZ$35</f>
        <v>20</v>
      </c>
      <c r="DA68" s="24" t="n">
        <f aca="false">DA$20*DA$35</f>
        <v>10</v>
      </c>
      <c r="DB68" s="24" t="n">
        <f aca="false">DB$20*DB$35</f>
        <v>17.5</v>
      </c>
      <c r="DC68" s="24" t="n">
        <f aca="false">DC$20*DC$35</f>
        <v>15</v>
      </c>
      <c r="DD68" s="24" t="n">
        <f aca="false">DD$20*DD$35</f>
        <v>14.5</v>
      </c>
      <c r="DE68" s="24" t="n">
        <f aca="false">DE$20*DE$35</f>
        <v>20.5</v>
      </c>
      <c r="DF68" s="24" t="n">
        <f aca="false">DF$20*DF$35</f>
        <v>22.5</v>
      </c>
      <c r="DG68" s="24" t="n">
        <f aca="false">DG$20*DG$35</f>
        <v>12.5</v>
      </c>
      <c r="DH68" s="24" t="n">
        <f aca="false">DH$20*DH$35</f>
        <v>15.5</v>
      </c>
      <c r="DI68" s="24" t="n">
        <f aca="false">DI$20*DI$35</f>
        <v>20.5</v>
      </c>
      <c r="DJ68" s="24" t="n">
        <f aca="false">DJ$20*DJ$35</f>
        <v>11.5</v>
      </c>
      <c r="DK68" s="24" t="n">
        <f aca="false">DK$20*DK$35</f>
        <v>18</v>
      </c>
      <c r="DL68" s="24" t="n">
        <f aca="false">DL$20*DL$35</f>
        <v>12</v>
      </c>
      <c r="DM68" s="24" t="n">
        <f aca="false">DM$20*DM$35</f>
        <v>8</v>
      </c>
      <c r="DN68" s="24" t="n">
        <f aca="false">DN$20*DN$35</f>
        <v>16</v>
      </c>
      <c r="DO68" s="24" t="n">
        <f aca="false">DO$20*DO$35</f>
        <v>16.5</v>
      </c>
      <c r="DP68" s="24" t="n">
        <f aca="false">DP$20*DP$35</f>
        <v>7.5</v>
      </c>
      <c r="DQ68" s="24" t="n">
        <f aca="false">DQ$20*DQ$35</f>
        <v>7.5</v>
      </c>
      <c r="DR68" s="24" t="n">
        <f aca="false">DR$20*DR$35</f>
        <v>19.5</v>
      </c>
      <c r="DS68" s="24" t="n">
        <f aca="false">DS$20*DS$35</f>
        <v>10</v>
      </c>
      <c r="DT68" s="24" t="n">
        <f aca="false">DT$20*DT$35</f>
        <v>7</v>
      </c>
      <c r="DU68" s="24" t="n">
        <f aca="false">DU$20*DU$35</f>
        <v>14</v>
      </c>
      <c r="DV68" s="24" t="n">
        <f aca="false">DV$20*DV$35</f>
        <v>36</v>
      </c>
      <c r="DW68" s="24" t="n">
        <f aca="false">DW$20*DW$35</f>
        <v>11</v>
      </c>
      <c r="DX68" s="24" t="n">
        <f aca="false">DX$20*DX$35</f>
        <v>10</v>
      </c>
      <c r="DY68" s="24" t="n">
        <f aca="false">DY$20*DY$35</f>
        <v>15</v>
      </c>
      <c r="DZ68" s="24" t="n">
        <f aca="false">DZ$20*DZ$35</f>
        <v>20</v>
      </c>
      <c r="EA68" s="24" t="n">
        <f aca="false">EA$20*EA$35</f>
        <v>17</v>
      </c>
      <c r="EB68" s="24" t="n">
        <f aca="false">EB$20*EB$35</f>
        <v>8</v>
      </c>
      <c r="EC68" s="24" t="n">
        <f aca="false">EC$20*EC$35</f>
        <v>15.5</v>
      </c>
      <c r="ED68" s="24" t="n">
        <f aca="false">ED$20*ED$35</f>
        <v>8.5</v>
      </c>
      <c r="EE68" s="24" t="n">
        <f aca="false">EE$20*EE$35</f>
        <v>9.5</v>
      </c>
      <c r="EF68" s="24" t="n">
        <f aca="false">EF$20*EF$35</f>
        <v>9.5</v>
      </c>
      <c r="EG68" s="24" t="n">
        <f aca="false">EG$20*EG$35</f>
        <v>11.5</v>
      </c>
      <c r="EH68" s="24" t="n">
        <f aca="false">EH$20*EH$35</f>
        <v>14.5</v>
      </c>
      <c r="EI68" s="24" t="n">
        <f aca="false">EI$20*EI$35</f>
        <v>8</v>
      </c>
      <c r="EJ68" s="24" t="n">
        <f aca="false">EJ$20*EJ$35</f>
        <v>9</v>
      </c>
      <c r="EK68" s="24" t="n">
        <f aca="false">EK$20*EK$35</f>
        <v>11</v>
      </c>
      <c r="EL68" s="24" t="n">
        <f aca="false">EL$20*EL$35</f>
        <v>8.5</v>
      </c>
      <c r="EM68" s="24" t="n">
        <f aca="false">EM$20*EM$35</f>
        <v>0</v>
      </c>
      <c r="EN68" s="24" t="n">
        <f aca="false">EN$20*EN$35</f>
        <v>442</v>
      </c>
      <c r="EO68" s="24" t="n">
        <f aca="false">EO$20*EO$35</f>
        <v>442</v>
      </c>
      <c r="EP68" s="24" t="n">
        <f aca="false">EP$20*EP$35</f>
        <v>0</v>
      </c>
      <c r="EQ68" s="24" t="n">
        <f aca="false">EQ$20*EQ$35</f>
        <v>83.5</v>
      </c>
      <c r="ER68" s="24" t="n">
        <f aca="false">ER$20*ER$35</f>
        <v>0</v>
      </c>
      <c r="ES68" s="24" t="n">
        <f aca="false">ES$20*ES$35</f>
        <v>0</v>
      </c>
      <c r="ET68" s="24" t="n">
        <f aca="false">ET$20*ET$35</f>
        <v>0</v>
      </c>
      <c r="EU68" s="24" t="n">
        <f aca="false">EU$20*EU$35</f>
        <v>0</v>
      </c>
    </row>
    <row r="69" customFormat="false" ht="15" hidden="false" customHeight="false" outlineLevel="0" collapsed="false">
      <c r="A69" s="4" t="s">
        <v>1007</v>
      </c>
      <c r="B69" s="75" t="s">
        <v>1005</v>
      </c>
      <c r="C69" s="76" t="n">
        <f aca="false">Planner!$E$16*Planner!$D$47</f>
        <v>1212</v>
      </c>
      <c r="D69" s="77" t="n">
        <v>920.6429755415</v>
      </c>
      <c r="E69" s="75" t="str">
        <f aca="false">IF(D69&lt;=C69+0.000001*MAX(1,ABS(C69)),IF(ABS(D69-C69)&lt;=0.000001*MAX(1,ABS(C69)),"tight","ok"),"VIOLATED")</f>
        <v>ok</v>
      </c>
      <c r="F69" s="24" t="n">
        <f aca="false">F$20*F$36</f>
        <v>60</v>
      </c>
      <c r="G69" s="24" t="n">
        <f aca="false">G$20*G$36</f>
        <v>80.5</v>
      </c>
      <c r="H69" s="24" t="n">
        <f aca="false">H$20*H$36</f>
        <v>60.5</v>
      </c>
      <c r="I69" s="24" t="n">
        <f aca="false">I$20*I$36</f>
        <v>0</v>
      </c>
      <c r="J69" s="24" t="n">
        <f aca="false">J$20*J$36</f>
        <v>75</v>
      </c>
      <c r="K69" s="24" t="n">
        <f aca="false">K$20*K$36</f>
        <v>107.5</v>
      </c>
      <c r="L69" s="24" t="n">
        <f aca="false">L$20*L$36</f>
        <v>0</v>
      </c>
      <c r="M69" s="24" t="n">
        <f aca="false">M$20*M$36</f>
        <v>128</v>
      </c>
      <c r="N69" s="24" t="n">
        <f aca="false">N$20*N$36</f>
        <v>127</v>
      </c>
      <c r="O69" s="24" t="n">
        <f aca="false">O$20*O$36</f>
        <v>76</v>
      </c>
      <c r="P69" s="24" t="n">
        <f aca="false">P$20*P$36</f>
        <v>0</v>
      </c>
      <c r="Q69" s="24" t="n">
        <f aca="false">Q$20*Q$36</f>
        <v>100.5</v>
      </c>
      <c r="R69" s="24" t="n">
        <f aca="false">R$20*R$36</f>
        <v>168</v>
      </c>
      <c r="S69" s="24" t="n">
        <f aca="false">S$20*S$36</f>
        <v>214</v>
      </c>
      <c r="T69" s="24" t="n">
        <f aca="false">T$20*T$36</f>
        <v>0</v>
      </c>
      <c r="U69" s="24" t="n">
        <f aca="false">U$20*U$36</f>
        <v>208</v>
      </c>
      <c r="V69" s="24" t="n">
        <f aca="false">V$20*V$36</f>
        <v>71</v>
      </c>
      <c r="W69" s="24" t="n">
        <f aca="false">W$20*W$36</f>
        <v>48</v>
      </c>
      <c r="X69" s="24" t="n">
        <f aca="false">X$20*X$36</f>
        <v>0</v>
      </c>
      <c r="Y69" s="24" t="n">
        <f aca="false">Y$20*Y$36</f>
        <v>45.5</v>
      </c>
      <c r="Z69" s="24" t="n">
        <f aca="false">Z$20*Z$36</f>
        <v>170.5</v>
      </c>
      <c r="AA69" s="24" t="n">
        <f aca="false">AA$20*AA$36</f>
        <v>38.5</v>
      </c>
      <c r="AB69" s="24" t="n">
        <f aca="false">AB$20*AB$36</f>
        <v>168</v>
      </c>
      <c r="AC69" s="24" t="n">
        <f aca="false">AC$20*AC$36</f>
        <v>44</v>
      </c>
      <c r="AD69" s="24" t="n">
        <f aca="false">AD$20*AD$36</f>
        <v>57</v>
      </c>
      <c r="AE69" s="24" t="n">
        <f aca="false">AE$20*AE$36</f>
        <v>169.5</v>
      </c>
      <c r="AF69" s="24" t="n">
        <f aca="false">AF$20*AF$36</f>
        <v>40.5</v>
      </c>
      <c r="AG69" s="24" t="n">
        <f aca="false">AG$20*AG$36</f>
        <v>166.5</v>
      </c>
      <c r="AH69" s="24" t="n">
        <f aca="false">AH$20*AH$36</f>
        <v>176</v>
      </c>
      <c r="AI69" s="24" t="n">
        <f aca="false">AI$20*AI$36</f>
        <v>169</v>
      </c>
      <c r="AJ69" s="24" t="n">
        <f aca="false">AJ$20*AJ$36</f>
        <v>56.5</v>
      </c>
      <c r="AK69" s="24" t="n">
        <f aca="false">AK$20*AK$36</f>
        <v>168.5</v>
      </c>
      <c r="AL69" s="24" t="n">
        <f aca="false">AL$20*AL$36</f>
        <v>0</v>
      </c>
      <c r="AM69" s="24" t="n">
        <f aca="false">AM$20*AM$36</f>
        <v>41</v>
      </c>
      <c r="AN69" s="24" t="n">
        <f aca="false">AN$20*AN$36</f>
        <v>173.5</v>
      </c>
      <c r="AO69" s="24" t="n">
        <f aca="false">AO$20*AO$36</f>
        <v>49</v>
      </c>
      <c r="AP69" s="24" t="n">
        <f aca="false">AP$20*AP$36</f>
        <v>0</v>
      </c>
      <c r="AQ69" s="24" t="n">
        <f aca="false">AQ$20*AQ$36</f>
        <v>0</v>
      </c>
      <c r="AR69" s="24" t="n">
        <f aca="false">AR$20*AR$36</f>
        <v>0</v>
      </c>
      <c r="AS69" s="24" t="n">
        <f aca="false">AS$20*AS$36</f>
        <v>0</v>
      </c>
      <c r="AT69" s="24" t="n">
        <f aca="false">AT$20*AT$36</f>
        <v>0</v>
      </c>
      <c r="AU69" s="24" t="n">
        <f aca="false">AU$20*AU$36</f>
        <v>202</v>
      </c>
      <c r="AV69" s="24" t="n">
        <f aca="false">AV$20*AV$36</f>
        <v>0</v>
      </c>
      <c r="AW69" s="24" t="n">
        <f aca="false">AW$20*AW$36</f>
        <v>0</v>
      </c>
      <c r="AX69" s="24" t="n">
        <f aca="false">AX$20*AX$36</f>
        <v>0</v>
      </c>
      <c r="AY69" s="24" t="n">
        <f aca="false">AY$20*AY$36</f>
        <v>183.5</v>
      </c>
      <c r="AZ69" s="24" t="n">
        <f aca="false">AZ$20*AZ$36</f>
        <v>0</v>
      </c>
      <c r="BA69" s="24" t="n">
        <f aca="false">BA$20*BA$36</f>
        <v>109</v>
      </c>
      <c r="BB69" s="24" t="n">
        <f aca="false">BB$20*BB$36</f>
        <v>148.5</v>
      </c>
      <c r="BC69" s="24" t="n">
        <f aca="false">BC$20*BC$36</f>
        <v>184</v>
      </c>
      <c r="BD69" s="24" t="n">
        <f aca="false">BD$20*BD$36</f>
        <v>0</v>
      </c>
      <c r="BE69" s="24" t="n">
        <f aca="false">BE$20*BE$36</f>
        <v>185.5</v>
      </c>
      <c r="BF69" s="24" t="n">
        <f aca="false">BF$20*BF$36</f>
        <v>0</v>
      </c>
      <c r="BG69" s="24" t="n">
        <f aca="false">BG$20*BG$36</f>
        <v>182.5</v>
      </c>
      <c r="BH69" s="24" t="n">
        <f aca="false">BH$20*BH$36</f>
        <v>0</v>
      </c>
      <c r="BI69" s="24" t="n">
        <f aca="false">BI$20*BI$36</f>
        <v>176</v>
      </c>
      <c r="BJ69" s="24" t="n">
        <f aca="false">BJ$20*BJ$36</f>
        <v>66</v>
      </c>
      <c r="BK69" s="24" t="n">
        <f aca="false">BK$20*BK$36</f>
        <v>30.5</v>
      </c>
      <c r="BL69" s="24" t="n">
        <f aca="false">BL$20*BL$36</f>
        <v>44</v>
      </c>
      <c r="BM69" s="24" t="n">
        <f aca="false">BM$20*BM$36</f>
        <v>75</v>
      </c>
      <c r="BN69" s="24" t="n">
        <f aca="false">BN$20*BN$36</f>
        <v>29</v>
      </c>
      <c r="BO69" s="24" t="n">
        <f aca="false">BO$20*BO$36</f>
        <v>38.5</v>
      </c>
      <c r="BP69" s="24" t="n">
        <f aca="false">BP$20*BP$36</f>
        <v>38.5</v>
      </c>
      <c r="BQ69" s="24" t="n">
        <f aca="false">BQ$20*BQ$36</f>
        <v>43</v>
      </c>
      <c r="BR69" s="24" t="n">
        <f aca="false">BR$20*BR$36</f>
        <v>0</v>
      </c>
      <c r="BS69" s="24" t="n">
        <f aca="false">BS$20*BS$36</f>
        <v>0</v>
      </c>
      <c r="BT69" s="24" t="n">
        <f aca="false">BT$20*BT$36</f>
        <v>0</v>
      </c>
      <c r="BU69" s="24" t="n">
        <f aca="false">BU$20*BU$36</f>
        <v>0</v>
      </c>
      <c r="BV69" s="24" t="n">
        <f aca="false">BV$20*BV$36</f>
        <v>0</v>
      </c>
      <c r="BW69" s="24" t="n">
        <f aca="false">BW$20*BW$36</f>
        <v>0</v>
      </c>
      <c r="BX69" s="24" t="n">
        <f aca="false">BX$20*BX$36</f>
        <v>0</v>
      </c>
      <c r="BY69" s="24" t="n">
        <f aca="false">BY$20*BY$36</f>
        <v>0</v>
      </c>
      <c r="BZ69" s="24" t="n">
        <f aca="false">BZ$20*BZ$36</f>
        <v>0</v>
      </c>
      <c r="CA69" s="24" t="n">
        <f aca="false">CA$20*CA$36</f>
        <v>0</v>
      </c>
      <c r="CB69" s="24" t="n">
        <f aca="false">CB$20*CB$36</f>
        <v>0</v>
      </c>
      <c r="CC69" s="24" t="n">
        <f aca="false">CC$20*CC$36</f>
        <v>0</v>
      </c>
      <c r="CD69" s="24" t="n">
        <f aca="false">CD$20*CD$36</f>
        <v>0</v>
      </c>
      <c r="CE69" s="24" t="n">
        <f aca="false">CE$20*CE$36</f>
        <v>0</v>
      </c>
      <c r="CF69" s="24" t="n">
        <f aca="false">CF$20*CF$36</f>
        <v>0</v>
      </c>
      <c r="CG69" s="24" t="n">
        <f aca="false">CG$20*CG$36</f>
        <v>0</v>
      </c>
      <c r="CH69" s="24" t="n">
        <f aca="false">CH$20*CH$36</f>
        <v>0</v>
      </c>
      <c r="CI69" s="24" t="n">
        <f aca="false">CI$20*CI$36</f>
        <v>0</v>
      </c>
      <c r="CJ69" s="24" t="n">
        <f aca="false">CJ$20*CJ$36</f>
        <v>0</v>
      </c>
      <c r="CK69" s="24" t="n">
        <f aca="false">CK$20*CK$36</f>
        <v>0</v>
      </c>
      <c r="CL69" s="24" t="n">
        <f aca="false">CL$20*CL$36</f>
        <v>0</v>
      </c>
      <c r="CM69" s="24" t="n">
        <f aca="false">CM$20*CM$36</f>
        <v>0</v>
      </c>
      <c r="CN69" s="24" t="n">
        <f aca="false">CN$20*CN$36</f>
        <v>0</v>
      </c>
      <c r="CO69" s="24" t="n">
        <f aca="false">CO$20*CO$36</f>
        <v>0</v>
      </c>
      <c r="CP69" s="24" t="n">
        <f aca="false">CP$20*CP$36</f>
        <v>0</v>
      </c>
      <c r="CQ69" s="24" t="n">
        <f aca="false">CQ$20*CQ$36</f>
        <v>0</v>
      </c>
      <c r="CR69" s="24" t="n">
        <f aca="false">CR$20*CR$36</f>
        <v>0</v>
      </c>
      <c r="CS69" s="24" t="n">
        <f aca="false">CS$20*CS$36</f>
        <v>0</v>
      </c>
      <c r="CT69" s="24" t="n">
        <f aca="false">CT$20*CT$36</f>
        <v>0</v>
      </c>
      <c r="CU69" s="24" t="n">
        <f aca="false">CU$20*CU$36</f>
        <v>0</v>
      </c>
      <c r="CV69" s="24" t="n">
        <f aca="false">CV$20*CV$36</f>
        <v>0</v>
      </c>
      <c r="CW69" s="24" t="n">
        <f aca="false">CW$20*CW$36</f>
        <v>0</v>
      </c>
      <c r="CX69" s="24" t="n">
        <f aca="false">CX$20*CX$36</f>
        <v>0</v>
      </c>
      <c r="CY69" s="24" t="n">
        <f aca="false">CY$20*CY$36</f>
        <v>0</v>
      </c>
      <c r="CZ69" s="24" t="n">
        <f aca="false">CZ$20*CZ$36</f>
        <v>20</v>
      </c>
      <c r="DA69" s="24" t="n">
        <f aca="false">DA$20*DA$36</f>
        <v>10</v>
      </c>
      <c r="DB69" s="24" t="n">
        <f aca="false">DB$20*DB$36</f>
        <v>0</v>
      </c>
      <c r="DC69" s="24" t="n">
        <f aca="false">DC$20*DC$36</f>
        <v>15</v>
      </c>
      <c r="DD69" s="24" t="n">
        <f aca="false">DD$20*DD$36</f>
        <v>14.5</v>
      </c>
      <c r="DE69" s="24" t="n">
        <f aca="false">DE$20*DE$36</f>
        <v>20.5</v>
      </c>
      <c r="DF69" s="24" t="n">
        <f aca="false">DF$20*DF$36</f>
        <v>22.5</v>
      </c>
      <c r="DG69" s="24" t="n">
        <f aca="false">DG$20*DG$36</f>
        <v>12.5</v>
      </c>
      <c r="DH69" s="24" t="n">
        <f aca="false">DH$20*DH$36</f>
        <v>15.5</v>
      </c>
      <c r="DI69" s="24" t="n">
        <f aca="false">DI$20*DI$36</f>
        <v>0</v>
      </c>
      <c r="DJ69" s="24" t="n">
        <f aca="false">DJ$20*DJ$36</f>
        <v>11.5</v>
      </c>
      <c r="DK69" s="24" t="n">
        <f aca="false">DK$20*DK$36</f>
        <v>18</v>
      </c>
      <c r="DL69" s="24" t="n">
        <f aca="false">DL$20*DL$36</f>
        <v>12</v>
      </c>
      <c r="DM69" s="24" t="n">
        <f aca="false">DM$20*DM$36</f>
        <v>0</v>
      </c>
      <c r="DN69" s="24" t="n">
        <f aca="false">DN$20*DN$36</f>
        <v>16</v>
      </c>
      <c r="DO69" s="24" t="n">
        <f aca="false">DO$20*DO$36</f>
        <v>16.5</v>
      </c>
      <c r="DP69" s="24" t="n">
        <f aca="false">DP$20*DP$36</f>
        <v>7.5</v>
      </c>
      <c r="DQ69" s="24" t="n">
        <f aca="false">DQ$20*DQ$36</f>
        <v>7.5</v>
      </c>
      <c r="DR69" s="24" t="n">
        <f aca="false">DR$20*DR$36</f>
        <v>19.5</v>
      </c>
      <c r="DS69" s="24" t="n">
        <f aca="false">DS$20*DS$36</f>
        <v>10</v>
      </c>
      <c r="DT69" s="24" t="n">
        <f aca="false">DT$20*DT$36</f>
        <v>7</v>
      </c>
      <c r="DU69" s="24" t="n">
        <f aca="false">DU$20*DU$36</f>
        <v>14</v>
      </c>
      <c r="DV69" s="24" t="n">
        <f aca="false">DV$20*DV$36</f>
        <v>36</v>
      </c>
      <c r="DW69" s="24" t="n">
        <f aca="false">DW$20*DW$36</f>
        <v>11</v>
      </c>
      <c r="DX69" s="24" t="n">
        <f aca="false">DX$20*DX$36</f>
        <v>10</v>
      </c>
      <c r="DY69" s="24" t="n">
        <f aca="false">DY$20*DY$36</f>
        <v>15</v>
      </c>
      <c r="DZ69" s="24" t="n">
        <f aca="false">DZ$20*DZ$36</f>
        <v>20</v>
      </c>
      <c r="EA69" s="24" t="n">
        <f aca="false">EA$20*EA$36</f>
        <v>17</v>
      </c>
      <c r="EB69" s="24" t="n">
        <f aca="false">EB$20*EB$36</f>
        <v>8</v>
      </c>
      <c r="EC69" s="24" t="n">
        <f aca="false">EC$20*EC$36</f>
        <v>15.5</v>
      </c>
      <c r="ED69" s="24" t="n">
        <f aca="false">ED$20*ED$36</f>
        <v>8.5</v>
      </c>
      <c r="EE69" s="24" t="n">
        <f aca="false">EE$20*EE$36</f>
        <v>9.5</v>
      </c>
      <c r="EF69" s="24" t="n">
        <f aca="false">EF$20*EF$36</f>
        <v>9.5</v>
      </c>
      <c r="EG69" s="24" t="n">
        <f aca="false">EG$20*EG$36</f>
        <v>11.5</v>
      </c>
      <c r="EH69" s="24" t="n">
        <f aca="false">EH$20*EH$36</f>
        <v>14.5</v>
      </c>
      <c r="EI69" s="24" t="n">
        <f aca="false">EI$20*EI$36</f>
        <v>8</v>
      </c>
      <c r="EJ69" s="24" t="n">
        <f aca="false">EJ$20*EJ$36</f>
        <v>9</v>
      </c>
      <c r="EK69" s="24" t="n">
        <f aca="false">EK$20*EK$36</f>
        <v>11</v>
      </c>
      <c r="EL69" s="24" t="n">
        <f aca="false">EL$20*EL$36</f>
        <v>8.5</v>
      </c>
      <c r="EM69" s="24" t="n">
        <f aca="false">EM$20*EM$36</f>
        <v>358.5</v>
      </c>
      <c r="EN69" s="24" t="n">
        <f aca="false">EN$20*EN$36</f>
        <v>442</v>
      </c>
      <c r="EO69" s="24" t="n">
        <f aca="false">EO$20*EO$36</f>
        <v>442</v>
      </c>
      <c r="EP69" s="24" t="n">
        <f aca="false">EP$20*EP$36</f>
        <v>0</v>
      </c>
      <c r="EQ69" s="24" t="n">
        <f aca="false">EQ$20*EQ$36</f>
        <v>83.5</v>
      </c>
      <c r="ER69" s="24" t="n">
        <f aca="false">ER$20*ER$36</f>
        <v>0</v>
      </c>
      <c r="ES69" s="24" t="n">
        <f aca="false">ES$20*ES$36</f>
        <v>0</v>
      </c>
      <c r="ET69" s="24" t="n">
        <f aca="false">ET$20*ET$36</f>
        <v>0</v>
      </c>
      <c r="EU69" s="24" t="n">
        <f aca="false">EU$20*EU$36</f>
        <v>0</v>
      </c>
    </row>
    <row r="70" customFormat="false" ht="15" hidden="false" customHeight="false" outlineLevel="0" collapsed="false">
      <c r="A70" s="4" t="s">
        <v>1008</v>
      </c>
      <c r="B70" s="75" t="s">
        <v>1005</v>
      </c>
      <c r="C70" s="76" t="n">
        <f aca="false">Planner!$E$16*Planner!$D$48</f>
        <v>606</v>
      </c>
      <c r="D70" s="77" t="n">
        <v>411.3570244</v>
      </c>
      <c r="E70" s="75" t="str">
        <f aca="false">IF(D70&lt;=C70+0.000001*MAX(1,ABS(C70)),IF(ABS(D70-C70)&lt;=0.000001*MAX(1,ABS(C70)),"tight","ok"),"VIOLATED")</f>
        <v>ok</v>
      </c>
      <c r="F70" s="24" t="n">
        <f aca="false">F$20*F$37</f>
        <v>0</v>
      </c>
      <c r="G70" s="24" t="n">
        <f aca="false">G$20*G$37</f>
        <v>0</v>
      </c>
      <c r="H70" s="24" t="n">
        <f aca="false">H$20*H$37</f>
        <v>0</v>
      </c>
      <c r="I70" s="24" t="n">
        <f aca="false">I$20*I$37</f>
        <v>0</v>
      </c>
      <c r="J70" s="24" t="n">
        <f aca="false">J$20*J$37</f>
        <v>0</v>
      </c>
      <c r="K70" s="24" t="n">
        <f aca="false">K$20*K$37</f>
        <v>0</v>
      </c>
      <c r="L70" s="24" t="n">
        <f aca="false">L$20*L$37</f>
        <v>0</v>
      </c>
      <c r="M70" s="24" t="n">
        <f aca="false">M$20*M$37</f>
        <v>0</v>
      </c>
      <c r="N70" s="24" t="n">
        <f aca="false">N$20*N$37</f>
        <v>0</v>
      </c>
      <c r="O70" s="24" t="n">
        <f aca="false">O$20*O$37</f>
        <v>0</v>
      </c>
      <c r="P70" s="24" t="n">
        <f aca="false">P$20*P$37</f>
        <v>0</v>
      </c>
      <c r="Q70" s="24" t="n">
        <f aca="false">Q$20*Q$37</f>
        <v>0</v>
      </c>
      <c r="R70" s="24" t="n">
        <f aca="false">R$20*R$37</f>
        <v>0</v>
      </c>
      <c r="S70" s="24" t="n">
        <f aca="false">S$20*S$37</f>
        <v>0</v>
      </c>
      <c r="T70" s="24" t="n">
        <f aca="false">T$20*T$37</f>
        <v>0</v>
      </c>
      <c r="U70" s="24" t="n">
        <f aca="false">U$20*U$37</f>
        <v>0</v>
      </c>
      <c r="V70" s="24" t="n">
        <f aca="false">V$20*V$37</f>
        <v>0</v>
      </c>
      <c r="W70" s="24" t="n">
        <f aca="false">W$20*W$37</f>
        <v>0</v>
      </c>
      <c r="X70" s="24" t="n">
        <f aca="false">X$20*X$37</f>
        <v>0</v>
      </c>
      <c r="Y70" s="24" t="n">
        <f aca="false">Y$20*Y$37</f>
        <v>0</v>
      </c>
      <c r="Z70" s="24" t="n">
        <f aca="false">Z$20*Z$37</f>
        <v>0</v>
      </c>
      <c r="AA70" s="24" t="n">
        <f aca="false">AA$20*AA$37</f>
        <v>0</v>
      </c>
      <c r="AB70" s="24" t="n">
        <f aca="false">AB$20*AB$37</f>
        <v>0</v>
      </c>
      <c r="AC70" s="24" t="n">
        <f aca="false">AC$20*AC$37</f>
        <v>0</v>
      </c>
      <c r="AD70" s="24" t="n">
        <f aca="false">AD$20*AD$37</f>
        <v>0</v>
      </c>
      <c r="AE70" s="24" t="n">
        <f aca="false">AE$20*AE$37</f>
        <v>0</v>
      </c>
      <c r="AF70" s="24" t="n">
        <f aca="false">AF$20*AF$37</f>
        <v>0</v>
      </c>
      <c r="AG70" s="24" t="n">
        <f aca="false">AG$20*AG$37</f>
        <v>0</v>
      </c>
      <c r="AH70" s="24" t="n">
        <f aca="false">AH$20*AH$37</f>
        <v>0</v>
      </c>
      <c r="AI70" s="24" t="n">
        <f aca="false">AI$20*AI$37</f>
        <v>0</v>
      </c>
      <c r="AJ70" s="24" t="n">
        <f aca="false">AJ$20*AJ$37</f>
        <v>0</v>
      </c>
      <c r="AK70" s="24" t="n">
        <f aca="false">AK$20*AK$37</f>
        <v>0</v>
      </c>
      <c r="AL70" s="24" t="n">
        <f aca="false">AL$20*AL$37</f>
        <v>299</v>
      </c>
      <c r="AM70" s="24" t="n">
        <f aca="false">AM$20*AM$37</f>
        <v>0</v>
      </c>
      <c r="AN70" s="24" t="n">
        <f aca="false">AN$20*AN$37</f>
        <v>0</v>
      </c>
      <c r="AO70" s="24" t="n">
        <f aca="false">AO$20*AO$37</f>
        <v>0</v>
      </c>
      <c r="AP70" s="24" t="n">
        <f aca="false">AP$20*AP$37</f>
        <v>25</v>
      </c>
      <c r="AQ70" s="24" t="n">
        <f aca="false">AQ$20*AQ$37</f>
        <v>29.5</v>
      </c>
      <c r="AR70" s="24" t="n">
        <f aca="false">AR$20*AR$37</f>
        <v>21.5</v>
      </c>
      <c r="AS70" s="24" t="n">
        <f aca="false">AS$20*AS$37</f>
        <v>30.5</v>
      </c>
      <c r="AT70" s="24" t="n">
        <f aca="false">AT$20*AT$37</f>
        <v>0</v>
      </c>
      <c r="AU70" s="24" t="n">
        <f aca="false">AU$20*AU$37</f>
        <v>0</v>
      </c>
      <c r="AV70" s="24" t="n">
        <f aca="false">AV$20*AV$37</f>
        <v>40.5</v>
      </c>
      <c r="AW70" s="24" t="n">
        <f aca="false">AW$20*AW$37</f>
        <v>295</v>
      </c>
      <c r="AX70" s="24" t="n">
        <f aca="false">AX$20*AX$37</f>
        <v>0</v>
      </c>
      <c r="AY70" s="24" t="n">
        <f aca="false">AY$20*AY$37</f>
        <v>0</v>
      </c>
      <c r="AZ70" s="24" t="n">
        <f aca="false">AZ$20*AZ$37</f>
        <v>0</v>
      </c>
      <c r="BA70" s="24" t="n">
        <f aca="false">BA$20*BA$37</f>
        <v>0</v>
      </c>
      <c r="BB70" s="24" t="n">
        <f aca="false">BB$20*BB$37</f>
        <v>0</v>
      </c>
      <c r="BC70" s="24" t="n">
        <f aca="false">BC$20*BC$37</f>
        <v>0</v>
      </c>
      <c r="BD70" s="24" t="n">
        <f aca="false">BD$20*BD$37</f>
        <v>0</v>
      </c>
      <c r="BE70" s="24" t="n">
        <f aca="false">BE$20*BE$37</f>
        <v>0</v>
      </c>
      <c r="BF70" s="24" t="n">
        <f aca="false">BF$20*BF$37</f>
        <v>0</v>
      </c>
      <c r="BG70" s="24" t="n">
        <f aca="false">BG$20*BG$37</f>
        <v>0</v>
      </c>
      <c r="BH70" s="24" t="n">
        <f aca="false">BH$20*BH$37</f>
        <v>0</v>
      </c>
      <c r="BI70" s="24" t="n">
        <f aca="false">BI$20*BI$37</f>
        <v>0</v>
      </c>
      <c r="BJ70" s="24" t="n">
        <f aca="false">BJ$20*BJ$37</f>
        <v>0</v>
      </c>
      <c r="BK70" s="24" t="n">
        <f aca="false">BK$20*BK$37</f>
        <v>0</v>
      </c>
      <c r="BL70" s="24" t="n">
        <f aca="false">BL$20*BL$37</f>
        <v>0</v>
      </c>
      <c r="BM70" s="24" t="n">
        <f aca="false">BM$20*BM$37</f>
        <v>0</v>
      </c>
      <c r="BN70" s="24" t="n">
        <f aca="false">BN$20*BN$37</f>
        <v>0</v>
      </c>
      <c r="BO70" s="24" t="n">
        <f aca="false">BO$20*BO$37</f>
        <v>0</v>
      </c>
      <c r="BP70" s="24" t="n">
        <f aca="false">BP$20*BP$37</f>
        <v>0</v>
      </c>
      <c r="BQ70" s="24" t="n">
        <f aca="false">BQ$20*BQ$37</f>
        <v>0</v>
      </c>
      <c r="BR70" s="24" t="n">
        <f aca="false">BR$20*BR$37</f>
        <v>26</v>
      </c>
      <c r="BS70" s="24" t="n">
        <f aca="false">BS$20*BS$37</f>
        <v>21</v>
      </c>
      <c r="BT70" s="24" t="n">
        <f aca="false">BT$20*BT$37</f>
        <v>44.5</v>
      </c>
      <c r="BU70" s="24" t="n">
        <f aca="false">BU$20*BU$37</f>
        <v>21.5</v>
      </c>
      <c r="BV70" s="24" t="n">
        <f aca="false">BV$20*BV$37</f>
        <v>0</v>
      </c>
      <c r="BW70" s="24" t="n">
        <f aca="false">BW$20*BW$37</f>
        <v>17</v>
      </c>
      <c r="BX70" s="24" t="n">
        <f aca="false">BX$20*BX$37</f>
        <v>63</v>
      </c>
      <c r="BY70" s="24" t="n">
        <f aca="false">BY$20*BY$37</f>
        <v>47</v>
      </c>
      <c r="BZ70" s="24" t="n">
        <f aca="false">BZ$20*BZ$37</f>
        <v>282</v>
      </c>
      <c r="CA70" s="24" t="n">
        <f aca="false">CA$20*CA$37</f>
        <v>241</v>
      </c>
      <c r="CB70" s="24" t="n">
        <f aca="false">CB$20*CB$37</f>
        <v>308</v>
      </c>
      <c r="CC70" s="24" t="n">
        <f aca="false">CC$20*CC$37</f>
        <v>23</v>
      </c>
      <c r="CD70" s="24" t="n">
        <f aca="false">CD$20*CD$37</f>
        <v>16</v>
      </c>
      <c r="CE70" s="24" t="n">
        <f aca="false">CE$20*CE$37</f>
        <v>69</v>
      </c>
      <c r="CF70" s="24" t="n">
        <f aca="false">CF$20*CF$37</f>
        <v>18</v>
      </c>
      <c r="CG70" s="24" t="n">
        <f aca="false">CG$20*CG$37</f>
        <v>30.5</v>
      </c>
      <c r="CH70" s="24" t="n">
        <f aca="false">CH$20*CH$37</f>
        <v>30</v>
      </c>
      <c r="CI70" s="24" t="n">
        <f aca="false">CI$20*CI$37</f>
        <v>22</v>
      </c>
      <c r="CJ70" s="24" t="n">
        <f aca="false">CJ$20*CJ$37</f>
        <v>0</v>
      </c>
      <c r="CK70" s="24" t="n">
        <f aca="false">CK$20*CK$37</f>
        <v>24.5</v>
      </c>
      <c r="CL70" s="24" t="n">
        <f aca="false">CL$20*CL$37</f>
        <v>21.5</v>
      </c>
      <c r="CM70" s="24" t="n">
        <f aca="false">CM$20*CM$37</f>
        <v>19.5</v>
      </c>
      <c r="CN70" s="24" t="n">
        <f aca="false">CN$20*CN$37</f>
        <v>22</v>
      </c>
      <c r="CO70" s="24" t="n">
        <f aca="false">CO$20*CO$37</f>
        <v>28.5</v>
      </c>
      <c r="CP70" s="24" t="n">
        <f aca="false">CP$20*CP$37</f>
        <v>25</v>
      </c>
      <c r="CQ70" s="24" t="n">
        <f aca="false">CQ$20*CQ$37</f>
        <v>25</v>
      </c>
      <c r="CR70" s="24" t="n">
        <f aca="false">CR$20*CR$37</f>
        <v>30</v>
      </c>
      <c r="CS70" s="24" t="n">
        <f aca="false">CS$20*CS$37</f>
        <v>46</v>
      </c>
      <c r="CT70" s="24" t="n">
        <f aca="false">CT$20*CT$37</f>
        <v>240</v>
      </c>
      <c r="CU70" s="24" t="n">
        <f aca="false">CU$20*CU$37</f>
        <v>299</v>
      </c>
      <c r="CV70" s="24" t="n">
        <f aca="false">CV$20*CV$37</f>
        <v>26</v>
      </c>
      <c r="CW70" s="24" t="n">
        <f aca="false">CW$20*CW$37</f>
        <v>16</v>
      </c>
      <c r="CX70" s="24" t="n">
        <f aca="false">CX$20*CX$37</f>
        <v>17.5</v>
      </c>
      <c r="CY70" s="24" t="n">
        <f aca="false">CY$20*CY$37</f>
        <v>30</v>
      </c>
      <c r="CZ70" s="24" t="n">
        <f aca="false">CZ$20*CZ$37</f>
        <v>0</v>
      </c>
      <c r="DA70" s="24" t="n">
        <f aca="false">DA$20*DA$37</f>
        <v>0</v>
      </c>
      <c r="DB70" s="24" t="n">
        <f aca="false">DB$20*DB$37</f>
        <v>17.5</v>
      </c>
      <c r="DC70" s="24" t="n">
        <f aca="false">DC$20*DC$37</f>
        <v>0</v>
      </c>
      <c r="DD70" s="24" t="n">
        <f aca="false">DD$20*DD$37</f>
        <v>0</v>
      </c>
      <c r="DE70" s="24" t="n">
        <f aca="false">DE$20*DE$37</f>
        <v>0</v>
      </c>
      <c r="DF70" s="24" t="n">
        <f aca="false">DF$20*DF$37</f>
        <v>0</v>
      </c>
      <c r="DG70" s="24" t="n">
        <f aca="false">DG$20*DG$37</f>
        <v>0</v>
      </c>
      <c r="DH70" s="24" t="n">
        <f aca="false">DH$20*DH$37</f>
        <v>0</v>
      </c>
      <c r="DI70" s="24" t="n">
        <f aca="false">DI$20*DI$37</f>
        <v>20.5</v>
      </c>
      <c r="DJ70" s="24" t="n">
        <f aca="false">DJ$20*DJ$37</f>
        <v>0</v>
      </c>
      <c r="DK70" s="24" t="n">
        <f aca="false">DK$20*DK$37</f>
        <v>0</v>
      </c>
      <c r="DL70" s="24" t="n">
        <f aca="false">DL$20*DL$37</f>
        <v>0</v>
      </c>
      <c r="DM70" s="24" t="n">
        <f aca="false">DM$20*DM$37</f>
        <v>8</v>
      </c>
      <c r="DN70" s="24" t="n">
        <f aca="false">DN$20*DN$37</f>
        <v>0</v>
      </c>
      <c r="DO70" s="24" t="n">
        <f aca="false">DO$20*DO$37</f>
        <v>0</v>
      </c>
      <c r="DP70" s="24" t="n">
        <f aca="false">DP$20*DP$37</f>
        <v>0</v>
      </c>
      <c r="DQ70" s="24" t="n">
        <f aca="false">DQ$20*DQ$37</f>
        <v>0</v>
      </c>
      <c r="DR70" s="24" t="n">
        <f aca="false">DR$20*DR$37</f>
        <v>0</v>
      </c>
      <c r="DS70" s="24" t="n">
        <f aca="false">DS$20*DS$37</f>
        <v>0</v>
      </c>
      <c r="DT70" s="24" t="n">
        <f aca="false">DT$20*DT$37</f>
        <v>0</v>
      </c>
      <c r="DU70" s="24" t="n">
        <f aca="false">DU$20*DU$37</f>
        <v>0</v>
      </c>
      <c r="DV70" s="24" t="n">
        <f aca="false">DV$20*DV$37</f>
        <v>0</v>
      </c>
      <c r="DW70" s="24" t="n">
        <f aca="false">DW$20*DW$37</f>
        <v>0</v>
      </c>
      <c r="DX70" s="24" t="n">
        <f aca="false">DX$20*DX$37</f>
        <v>0</v>
      </c>
      <c r="DY70" s="24" t="n">
        <f aca="false">DY$20*DY$37</f>
        <v>0</v>
      </c>
      <c r="DZ70" s="24" t="n">
        <f aca="false">DZ$20*DZ$37</f>
        <v>0</v>
      </c>
      <c r="EA70" s="24" t="n">
        <f aca="false">EA$20*EA$37</f>
        <v>0</v>
      </c>
      <c r="EB70" s="24" t="n">
        <f aca="false">EB$20*EB$37</f>
        <v>0</v>
      </c>
      <c r="EC70" s="24" t="n">
        <f aca="false">EC$20*EC$37</f>
        <v>0</v>
      </c>
      <c r="ED70" s="24" t="n">
        <f aca="false">ED$20*ED$37</f>
        <v>0</v>
      </c>
      <c r="EE70" s="24" t="n">
        <f aca="false">EE$20*EE$37</f>
        <v>0</v>
      </c>
      <c r="EF70" s="24" t="n">
        <f aca="false">EF$20*EF$37</f>
        <v>0</v>
      </c>
      <c r="EG70" s="24" t="n">
        <f aca="false">EG$20*EG$37</f>
        <v>0</v>
      </c>
      <c r="EH70" s="24" t="n">
        <f aca="false">EH$20*EH$37</f>
        <v>0</v>
      </c>
      <c r="EI70" s="24" t="n">
        <f aca="false">EI$20*EI$37</f>
        <v>0</v>
      </c>
      <c r="EJ70" s="24" t="n">
        <f aca="false">EJ$20*EJ$37</f>
        <v>0</v>
      </c>
      <c r="EK70" s="24" t="n">
        <f aca="false">EK$20*EK$37</f>
        <v>0</v>
      </c>
      <c r="EL70" s="24" t="n">
        <f aca="false">EL$20*EL$37</f>
        <v>0</v>
      </c>
      <c r="EM70" s="24" t="n">
        <f aca="false">EM$20*EM$37</f>
        <v>0</v>
      </c>
      <c r="EN70" s="24" t="n">
        <f aca="false">EN$20*EN$37</f>
        <v>0</v>
      </c>
      <c r="EO70" s="24" t="n">
        <f aca="false">EO$20*EO$37</f>
        <v>0</v>
      </c>
      <c r="EP70" s="24" t="n">
        <f aca="false">EP$20*EP$37</f>
        <v>579</v>
      </c>
      <c r="EQ70" s="24" t="n">
        <f aca="false">EQ$20*EQ$37</f>
        <v>0</v>
      </c>
      <c r="ER70" s="24" t="n">
        <f aca="false">ER$20*ER$37</f>
        <v>492</v>
      </c>
      <c r="ES70" s="24" t="n">
        <f aca="false">ES$20*ES$37</f>
        <v>418</v>
      </c>
      <c r="ET70" s="24" t="n">
        <f aca="false">ET$20*ET$37</f>
        <v>532</v>
      </c>
      <c r="EU70" s="24" t="n">
        <f aca="false">EU$20*EU$37</f>
        <v>207</v>
      </c>
    </row>
    <row r="71" customFormat="false" ht="15" hidden="false" customHeight="false" outlineLevel="0" collapsed="false">
      <c r="A71" s="4" t="s">
        <v>1009</v>
      </c>
      <c r="B71" s="75" t="s">
        <v>1010</v>
      </c>
      <c r="C71" s="76" t="n">
        <f aca="false">Planner!$C$51</f>
        <v>340</v>
      </c>
      <c r="D71" s="77" t="n">
        <v>1.1160812</v>
      </c>
      <c r="E71" s="75" t="str">
        <f aca="false">IF(D71&lt;=C71+0.000001*MAX(1,ABS(C71)),IF(ABS(D71-C71)&lt;=0.000001*MAX(1,ABS(C71)),"tight","ok"),"VIOLATED")</f>
        <v>ok</v>
      </c>
      <c r="F71" s="24" t="n">
        <f aca="false">IF('Food Data'!$AK$6="Meat, poultry &amp; fish",100,0)</f>
        <v>100</v>
      </c>
      <c r="G71" s="24" t="n">
        <f aca="false">IF('Food Data'!$AK$7="Meat, poultry &amp; fish",100,0)</f>
        <v>100</v>
      </c>
      <c r="H71" s="24" t="n">
        <f aca="false">IF('Food Data'!$AK$8="Meat, poultry &amp; fish",100,0)</f>
        <v>100</v>
      </c>
      <c r="I71" s="24" t="n">
        <f aca="false">IF('Food Data'!$AK$9="Meat, poultry &amp; fish",100,0)</f>
        <v>100</v>
      </c>
      <c r="J71" s="24" t="n">
        <f aca="false">IF('Food Data'!$AK$10="Meat, poultry &amp; fish",100,0)</f>
        <v>100</v>
      </c>
      <c r="K71" s="24" t="n">
        <f aca="false">IF('Food Data'!$AK$11="Meat, poultry &amp; fish",100,0)</f>
        <v>100</v>
      </c>
      <c r="L71" s="24" t="n">
        <f aca="false">IF('Food Data'!$AK$12="Meat, poultry &amp; fish",100,0)</f>
        <v>100</v>
      </c>
      <c r="M71" s="24" t="n">
        <f aca="false">IF('Food Data'!$AK$13="Meat, poultry &amp; fish",100,0)</f>
        <v>100</v>
      </c>
      <c r="N71" s="24" t="n">
        <f aca="false">IF('Food Data'!$AK$14="Meat, poultry &amp; fish",100,0)</f>
        <v>100</v>
      </c>
      <c r="O71" s="24" t="n">
        <f aca="false">IF('Food Data'!$AK$15="Meat, poultry &amp; fish",100,0)</f>
        <v>100</v>
      </c>
      <c r="P71" s="24" t="n">
        <f aca="false">IF('Food Data'!$AK$16="Meat, poultry &amp; fish",100,0)</f>
        <v>100</v>
      </c>
      <c r="Q71" s="24" t="n">
        <f aca="false">IF('Food Data'!$AK$17="Meat, poultry &amp; fish",100,0)</f>
        <v>100</v>
      </c>
      <c r="R71" s="24" t="n">
        <f aca="false">IF('Food Data'!$AK$18="Meat, poultry &amp; fish",100,0)</f>
        <v>100</v>
      </c>
      <c r="S71" s="24" t="n">
        <f aca="false">IF('Food Data'!$AK$19="Meat, poultry &amp; fish",100,0)</f>
        <v>100</v>
      </c>
      <c r="T71" s="24" t="n">
        <f aca="false">IF('Food Data'!$AK$20="Meat, poultry &amp; fish",100,0)</f>
        <v>100</v>
      </c>
      <c r="U71" s="24" t="n">
        <f aca="false">IF('Food Data'!$AK$21="Meat, poultry &amp; fish",100,0)</f>
        <v>100</v>
      </c>
      <c r="V71" s="24" t="n">
        <f aca="false">IF('Food Data'!$AK$22="Meat, poultry &amp; fish",100,0)</f>
        <v>100</v>
      </c>
      <c r="W71" s="24" t="n">
        <f aca="false">IF('Food Data'!$AK$23="Meat, poultry &amp; fish",100,0)</f>
        <v>100</v>
      </c>
      <c r="X71" s="24" t="n">
        <f aca="false">IF('Food Data'!$AK$24="Meat, poultry &amp; fish",100,0)</f>
        <v>0</v>
      </c>
      <c r="Y71" s="24" t="n">
        <f aca="false">IF('Food Data'!$AK$25="Meat, poultry &amp; fish",100,0)</f>
        <v>0</v>
      </c>
      <c r="Z71" s="24" t="n">
        <f aca="false">IF('Food Data'!$AK$26="Meat, poultry &amp; fish",100,0)</f>
        <v>0</v>
      </c>
      <c r="AA71" s="24" t="n">
        <f aca="false">IF('Food Data'!$AK$27="Meat, poultry &amp; fish",100,0)</f>
        <v>0</v>
      </c>
      <c r="AB71" s="24" t="n">
        <f aca="false">IF('Food Data'!$AK$28="Meat, poultry &amp; fish",100,0)</f>
        <v>0</v>
      </c>
      <c r="AC71" s="24" t="n">
        <f aca="false">IF('Food Data'!$AK$29="Meat, poultry &amp; fish",100,0)</f>
        <v>0</v>
      </c>
      <c r="AD71" s="24" t="n">
        <f aca="false">IF('Food Data'!$AK$30="Meat, poultry &amp; fish",100,0)</f>
        <v>0</v>
      </c>
      <c r="AE71" s="24" t="n">
        <f aca="false">IF('Food Data'!$AK$31="Meat, poultry &amp; fish",100,0)</f>
        <v>0</v>
      </c>
      <c r="AF71" s="24" t="n">
        <f aca="false">IF('Food Data'!$AK$32="Meat, poultry &amp; fish",100,0)</f>
        <v>0</v>
      </c>
      <c r="AG71" s="24" t="n">
        <f aca="false">IF('Food Data'!$AK$33="Meat, poultry &amp; fish",100,0)</f>
        <v>0</v>
      </c>
      <c r="AH71" s="24" t="n">
        <f aca="false">IF('Food Data'!$AK$34="Meat, poultry &amp; fish",100,0)</f>
        <v>0</v>
      </c>
      <c r="AI71" s="24" t="n">
        <f aca="false">IF('Food Data'!$AK$35="Meat, poultry &amp; fish",100,0)</f>
        <v>0</v>
      </c>
      <c r="AJ71" s="24" t="n">
        <f aca="false">IF('Food Data'!$AK$36="Meat, poultry &amp; fish",100,0)</f>
        <v>0</v>
      </c>
      <c r="AK71" s="24" t="n">
        <f aca="false">IF('Food Data'!$AK$37="Meat, poultry &amp; fish",100,0)</f>
        <v>0</v>
      </c>
      <c r="AL71" s="24" t="n">
        <f aca="false">IF('Food Data'!$AK$38="Meat, poultry &amp; fish",100,0)</f>
        <v>0</v>
      </c>
      <c r="AM71" s="24" t="n">
        <f aca="false">IF('Food Data'!$AK$39="Meat, poultry &amp; fish",100,0)</f>
        <v>0</v>
      </c>
      <c r="AN71" s="24" t="n">
        <f aca="false">IF('Food Data'!$AK$40="Meat, poultry &amp; fish",100,0)</f>
        <v>0</v>
      </c>
      <c r="AO71" s="24" t="n">
        <f aca="false">IF('Food Data'!$AK$41="Meat, poultry &amp; fish",100,0)</f>
        <v>0</v>
      </c>
      <c r="AP71" s="24" t="n">
        <f aca="false">IF('Food Data'!$AK$42="Meat, poultry &amp; fish",100,0)</f>
        <v>0</v>
      </c>
      <c r="AQ71" s="24" t="n">
        <f aca="false">IF('Food Data'!$AK$43="Meat, poultry &amp; fish",100,0)</f>
        <v>0</v>
      </c>
      <c r="AR71" s="24" t="n">
        <f aca="false">IF('Food Data'!$AK$44="Meat, poultry &amp; fish",100,0)</f>
        <v>0</v>
      </c>
      <c r="AS71" s="24" t="n">
        <f aca="false">IF('Food Data'!$AK$45="Meat, poultry &amp; fish",100,0)</f>
        <v>0</v>
      </c>
      <c r="AT71" s="24" t="n">
        <f aca="false">IF('Food Data'!$AK$46="Meat, poultry &amp; fish",100,0)</f>
        <v>0</v>
      </c>
      <c r="AU71" s="24" t="n">
        <f aca="false">IF('Food Data'!$AK$47="Meat, poultry &amp; fish",100,0)</f>
        <v>0</v>
      </c>
      <c r="AV71" s="24" t="n">
        <f aca="false">IF('Food Data'!$AK$48="Meat, poultry &amp; fish",100,0)</f>
        <v>0</v>
      </c>
      <c r="AW71" s="24" t="n">
        <f aca="false">IF('Food Data'!$AK$49="Meat, poultry &amp; fish",100,0)</f>
        <v>0</v>
      </c>
      <c r="AX71" s="24" t="n">
        <f aca="false">IF('Food Data'!$AK$50="Meat, poultry &amp; fish",100,0)</f>
        <v>0</v>
      </c>
      <c r="AY71" s="24" t="n">
        <f aca="false">IF('Food Data'!$AK$51="Meat, poultry &amp; fish",100,0)</f>
        <v>0</v>
      </c>
      <c r="AZ71" s="24" t="n">
        <f aca="false">IF('Food Data'!$AK$52="Meat, poultry &amp; fish",100,0)</f>
        <v>0</v>
      </c>
      <c r="BA71" s="24" t="n">
        <f aca="false">IF('Food Data'!$AK$53="Meat, poultry &amp; fish",100,0)</f>
        <v>0</v>
      </c>
      <c r="BB71" s="24" t="n">
        <f aca="false">IF('Food Data'!$AK$54="Meat, poultry &amp; fish",100,0)</f>
        <v>0</v>
      </c>
      <c r="BC71" s="24" t="n">
        <f aca="false">IF('Food Data'!$AK$55="Meat, poultry &amp; fish",100,0)</f>
        <v>0</v>
      </c>
      <c r="BD71" s="24" t="n">
        <f aca="false">IF('Food Data'!$AK$56="Meat, poultry &amp; fish",100,0)</f>
        <v>0</v>
      </c>
      <c r="BE71" s="24" t="n">
        <f aca="false">IF('Food Data'!$AK$57="Meat, poultry &amp; fish",100,0)</f>
        <v>0</v>
      </c>
      <c r="BF71" s="24" t="n">
        <f aca="false">IF('Food Data'!$AK$58="Meat, poultry &amp; fish",100,0)</f>
        <v>0</v>
      </c>
      <c r="BG71" s="24" t="n">
        <f aca="false">IF('Food Data'!$AK$59="Meat, poultry &amp; fish",100,0)</f>
        <v>0</v>
      </c>
      <c r="BH71" s="24" t="n">
        <f aca="false">IF('Food Data'!$AK$60="Meat, poultry &amp; fish",100,0)</f>
        <v>0</v>
      </c>
      <c r="BI71" s="24" t="n">
        <f aca="false">IF('Food Data'!$AK$61="Meat, poultry &amp; fish",100,0)</f>
        <v>0</v>
      </c>
      <c r="BJ71" s="24" t="n">
        <f aca="false">IF('Food Data'!$AK$62="Meat, poultry &amp; fish",100,0)</f>
        <v>0</v>
      </c>
      <c r="BK71" s="24" t="n">
        <f aca="false">IF('Food Data'!$AK$63="Meat, poultry &amp; fish",100,0)</f>
        <v>0</v>
      </c>
      <c r="BL71" s="24" t="n">
        <f aca="false">IF('Food Data'!$AK$64="Meat, poultry &amp; fish",100,0)</f>
        <v>0</v>
      </c>
      <c r="BM71" s="24" t="n">
        <f aca="false">IF('Food Data'!$AK$65="Meat, poultry &amp; fish",100,0)</f>
        <v>0</v>
      </c>
      <c r="BN71" s="24" t="n">
        <f aca="false">IF('Food Data'!$AK$66="Meat, poultry &amp; fish",100,0)</f>
        <v>0</v>
      </c>
      <c r="BO71" s="24" t="n">
        <f aca="false">IF('Food Data'!$AK$67="Meat, poultry &amp; fish",100,0)</f>
        <v>0</v>
      </c>
      <c r="BP71" s="24" t="n">
        <f aca="false">IF('Food Data'!$AK$68="Meat, poultry &amp; fish",100,0)</f>
        <v>0</v>
      </c>
      <c r="BQ71" s="24" t="n">
        <f aca="false">IF('Food Data'!$AK$69="Meat, poultry &amp; fish",100,0)</f>
        <v>0</v>
      </c>
      <c r="BR71" s="24" t="n">
        <f aca="false">IF('Food Data'!$AK$70="Meat, poultry &amp; fish",100,0)</f>
        <v>0</v>
      </c>
      <c r="BS71" s="24" t="n">
        <f aca="false">IF('Food Data'!$AK$71="Meat, poultry &amp; fish",100,0)</f>
        <v>0</v>
      </c>
      <c r="BT71" s="24" t="n">
        <f aca="false">IF('Food Data'!$AK$72="Meat, poultry &amp; fish",100,0)</f>
        <v>0</v>
      </c>
      <c r="BU71" s="24" t="n">
        <f aca="false">IF('Food Data'!$AK$73="Meat, poultry &amp; fish",100,0)</f>
        <v>0</v>
      </c>
      <c r="BV71" s="24" t="n">
        <f aca="false">IF('Food Data'!$AK$74="Meat, poultry &amp; fish",100,0)</f>
        <v>0</v>
      </c>
      <c r="BW71" s="24" t="n">
        <f aca="false">IF('Food Data'!$AK$75="Meat, poultry &amp; fish",100,0)</f>
        <v>0</v>
      </c>
      <c r="BX71" s="24" t="n">
        <f aca="false">IF('Food Data'!$AK$76="Meat, poultry &amp; fish",100,0)</f>
        <v>0</v>
      </c>
      <c r="BY71" s="24" t="n">
        <f aca="false">IF('Food Data'!$AK$77="Meat, poultry &amp; fish",100,0)</f>
        <v>0</v>
      </c>
      <c r="BZ71" s="24" t="n">
        <f aca="false">IF('Food Data'!$AK$78="Meat, poultry &amp; fish",100,0)</f>
        <v>0</v>
      </c>
      <c r="CA71" s="24" t="n">
        <f aca="false">IF('Food Data'!$AK$79="Meat, poultry &amp; fish",100,0)</f>
        <v>0</v>
      </c>
      <c r="CB71" s="24" t="n">
        <f aca="false">IF('Food Data'!$AK$80="Meat, poultry &amp; fish",100,0)</f>
        <v>0</v>
      </c>
      <c r="CC71" s="24" t="n">
        <f aca="false">IF('Food Data'!$AK$81="Meat, poultry &amp; fish",100,0)</f>
        <v>0</v>
      </c>
      <c r="CD71" s="24" t="n">
        <f aca="false">IF('Food Data'!$AK$82="Meat, poultry &amp; fish",100,0)</f>
        <v>0</v>
      </c>
      <c r="CE71" s="24" t="n">
        <f aca="false">IF('Food Data'!$AK$83="Meat, poultry &amp; fish",100,0)</f>
        <v>0</v>
      </c>
      <c r="CF71" s="24" t="n">
        <f aca="false">IF('Food Data'!$AK$84="Meat, poultry &amp; fish",100,0)</f>
        <v>0</v>
      </c>
      <c r="CG71" s="24" t="n">
        <f aca="false">IF('Food Data'!$AK$85="Meat, poultry &amp; fish",100,0)</f>
        <v>0</v>
      </c>
      <c r="CH71" s="24" t="n">
        <f aca="false">IF('Food Data'!$AK$86="Meat, poultry &amp; fish",100,0)</f>
        <v>0</v>
      </c>
      <c r="CI71" s="24" t="n">
        <f aca="false">IF('Food Data'!$AK$87="Meat, poultry &amp; fish",100,0)</f>
        <v>0</v>
      </c>
      <c r="CJ71" s="24" t="n">
        <f aca="false">IF('Food Data'!$AK$88="Meat, poultry &amp; fish",100,0)</f>
        <v>0</v>
      </c>
      <c r="CK71" s="24" t="n">
        <f aca="false">IF('Food Data'!$AK$89="Meat, poultry &amp; fish",100,0)</f>
        <v>0</v>
      </c>
      <c r="CL71" s="24" t="n">
        <f aca="false">IF('Food Data'!$AK$90="Meat, poultry &amp; fish",100,0)</f>
        <v>0</v>
      </c>
      <c r="CM71" s="24" t="n">
        <f aca="false">IF('Food Data'!$AK$91="Meat, poultry &amp; fish",100,0)</f>
        <v>0</v>
      </c>
      <c r="CN71" s="24" t="n">
        <f aca="false">IF('Food Data'!$AK$92="Meat, poultry &amp; fish",100,0)</f>
        <v>0</v>
      </c>
      <c r="CO71" s="24" t="n">
        <f aca="false">IF('Food Data'!$AK$93="Meat, poultry &amp; fish",100,0)</f>
        <v>0</v>
      </c>
      <c r="CP71" s="24" t="n">
        <f aca="false">IF('Food Data'!$AK$94="Meat, poultry &amp; fish",100,0)</f>
        <v>0</v>
      </c>
      <c r="CQ71" s="24" t="n">
        <f aca="false">IF('Food Data'!$AK$95="Meat, poultry &amp; fish",100,0)</f>
        <v>0</v>
      </c>
      <c r="CR71" s="24" t="n">
        <f aca="false">IF('Food Data'!$AK$96="Meat, poultry &amp; fish",100,0)</f>
        <v>0</v>
      </c>
      <c r="CS71" s="24" t="n">
        <f aca="false">IF('Food Data'!$AK$97="Meat, poultry &amp; fish",100,0)</f>
        <v>0</v>
      </c>
      <c r="CT71" s="24" t="n">
        <f aca="false">IF('Food Data'!$AK$98="Meat, poultry &amp; fish",100,0)</f>
        <v>0</v>
      </c>
      <c r="CU71" s="24" t="n">
        <f aca="false">IF('Food Data'!$AK$99="Meat, poultry &amp; fish",100,0)</f>
        <v>0</v>
      </c>
      <c r="CV71" s="24" t="n">
        <f aca="false">IF('Food Data'!$AK$100="Meat, poultry &amp; fish",100,0)</f>
        <v>0</v>
      </c>
      <c r="CW71" s="24" t="n">
        <f aca="false">IF('Food Data'!$AK$101="Meat, poultry &amp; fish",100,0)</f>
        <v>0</v>
      </c>
      <c r="CX71" s="24" t="n">
        <f aca="false">IF('Food Data'!$AK$102="Meat, poultry &amp; fish",100,0)</f>
        <v>0</v>
      </c>
      <c r="CY71" s="24" t="n">
        <f aca="false">IF('Food Data'!$AK$103="Meat, poultry &amp; fish",100,0)</f>
        <v>0</v>
      </c>
      <c r="CZ71" s="24" t="n">
        <f aca="false">IF('Food Data'!$AK$104="Meat, poultry &amp; fish",100,0)</f>
        <v>0</v>
      </c>
      <c r="DA71" s="24" t="n">
        <f aca="false">IF('Food Data'!$AK$105="Meat, poultry &amp; fish",100,0)</f>
        <v>0</v>
      </c>
      <c r="DB71" s="24" t="n">
        <f aca="false">IF('Food Data'!$AK$106="Meat, poultry &amp; fish",100,0)</f>
        <v>0</v>
      </c>
      <c r="DC71" s="24" t="n">
        <f aca="false">IF('Food Data'!$AK$107="Meat, poultry &amp; fish",100,0)</f>
        <v>0</v>
      </c>
      <c r="DD71" s="24" t="n">
        <f aca="false">IF('Food Data'!$AK$108="Meat, poultry &amp; fish",100,0)</f>
        <v>0</v>
      </c>
      <c r="DE71" s="24" t="n">
        <f aca="false">IF('Food Data'!$AK$109="Meat, poultry &amp; fish",100,0)</f>
        <v>0</v>
      </c>
      <c r="DF71" s="24" t="n">
        <f aca="false">IF('Food Data'!$AK$110="Meat, poultry &amp; fish",100,0)</f>
        <v>0</v>
      </c>
      <c r="DG71" s="24" t="n">
        <f aca="false">IF('Food Data'!$AK$111="Meat, poultry &amp; fish",100,0)</f>
        <v>0</v>
      </c>
      <c r="DH71" s="24" t="n">
        <f aca="false">IF('Food Data'!$AK$112="Meat, poultry &amp; fish",100,0)</f>
        <v>0</v>
      </c>
      <c r="DI71" s="24" t="n">
        <f aca="false">IF('Food Data'!$AK$113="Meat, poultry &amp; fish",100,0)</f>
        <v>0</v>
      </c>
      <c r="DJ71" s="24" t="n">
        <f aca="false">IF('Food Data'!$AK$114="Meat, poultry &amp; fish",100,0)</f>
        <v>0</v>
      </c>
      <c r="DK71" s="24" t="n">
        <f aca="false">IF('Food Data'!$AK$115="Meat, poultry &amp; fish",100,0)</f>
        <v>0</v>
      </c>
      <c r="DL71" s="24" t="n">
        <f aca="false">IF('Food Data'!$AK$116="Meat, poultry &amp; fish",100,0)</f>
        <v>0</v>
      </c>
      <c r="DM71" s="24" t="n">
        <f aca="false">IF('Food Data'!$AK$117="Meat, poultry &amp; fish",100,0)</f>
        <v>0</v>
      </c>
      <c r="DN71" s="24" t="n">
        <f aca="false">IF('Food Data'!$AK$118="Meat, poultry &amp; fish",100,0)</f>
        <v>0</v>
      </c>
      <c r="DO71" s="24" t="n">
        <f aca="false">IF('Food Data'!$AK$119="Meat, poultry &amp; fish",100,0)</f>
        <v>0</v>
      </c>
      <c r="DP71" s="24" t="n">
        <f aca="false">IF('Food Data'!$AK$120="Meat, poultry &amp; fish",100,0)</f>
        <v>0</v>
      </c>
      <c r="DQ71" s="24" t="n">
        <f aca="false">IF('Food Data'!$AK$121="Meat, poultry &amp; fish",100,0)</f>
        <v>0</v>
      </c>
      <c r="DR71" s="24" t="n">
        <f aca="false">IF('Food Data'!$AK$122="Meat, poultry &amp; fish",100,0)</f>
        <v>0</v>
      </c>
      <c r="DS71" s="24" t="n">
        <f aca="false">IF('Food Data'!$AK$123="Meat, poultry &amp; fish",100,0)</f>
        <v>0</v>
      </c>
      <c r="DT71" s="24" t="n">
        <f aca="false">IF('Food Data'!$AK$124="Meat, poultry &amp; fish",100,0)</f>
        <v>0</v>
      </c>
      <c r="DU71" s="24" t="n">
        <f aca="false">IF('Food Data'!$AK$125="Meat, poultry &amp; fish",100,0)</f>
        <v>0</v>
      </c>
      <c r="DV71" s="24" t="n">
        <f aca="false">IF('Food Data'!$AK$126="Meat, poultry &amp; fish",100,0)</f>
        <v>0</v>
      </c>
      <c r="DW71" s="24" t="n">
        <f aca="false">IF('Food Data'!$AK$127="Meat, poultry &amp; fish",100,0)</f>
        <v>0</v>
      </c>
      <c r="DX71" s="24" t="n">
        <f aca="false">IF('Food Data'!$AK$128="Meat, poultry &amp; fish",100,0)</f>
        <v>0</v>
      </c>
      <c r="DY71" s="24" t="n">
        <f aca="false">IF('Food Data'!$AK$129="Meat, poultry &amp; fish",100,0)</f>
        <v>0</v>
      </c>
      <c r="DZ71" s="24" t="n">
        <f aca="false">IF('Food Data'!$AK$130="Meat, poultry &amp; fish",100,0)</f>
        <v>0</v>
      </c>
      <c r="EA71" s="24" t="n">
        <f aca="false">IF('Food Data'!$AK$131="Meat, poultry &amp; fish",100,0)</f>
        <v>0</v>
      </c>
      <c r="EB71" s="24" t="n">
        <f aca="false">IF('Food Data'!$AK$132="Meat, poultry &amp; fish",100,0)</f>
        <v>0</v>
      </c>
      <c r="EC71" s="24" t="n">
        <f aca="false">IF('Food Data'!$AK$133="Meat, poultry &amp; fish",100,0)</f>
        <v>0</v>
      </c>
      <c r="ED71" s="24" t="n">
        <f aca="false">IF('Food Data'!$AK$134="Meat, poultry &amp; fish",100,0)</f>
        <v>0</v>
      </c>
      <c r="EE71" s="24" t="n">
        <f aca="false">IF('Food Data'!$AK$135="Meat, poultry &amp; fish",100,0)</f>
        <v>0</v>
      </c>
      <c r="EF71" s="24" t="n">
        <f aca="false">IF('Food Data'!$AK$136="Meat, poultry &amp; fish",100,0)</f>
        <v>0</v>
      </c>
      <c r="EG71" s="24" t="n">
        <f aca="false">IF('Food Data'!$AK$137="Meat, poultry &amp; fish",100,0)</f>
        <v>0</v>
      </c>
      <c r="EH71" s="24" t="n">
        <f aca="false">IF('Food Data'!$AK$138="Meat, poultry &amp; fish",100,0)</f>
        <v>0</v>
      </c>
      <c r="EI71" s="24" t="n">
        <f aca="false">IF('Food Data'!$AK$139="Meat, poultry &amp; fish",100,0)</f>
        <v>0</v>
      </c>
      <c r="EJ71" s="24" t="n">
        <f aca="false">IF('Food Data'!$AK$140="Meat, poultry &amp; fish",100,0)</f>
        <v>0</v>
      </c>
      <c r="EK71" s="24" t="n">
        <f aca="false">IF('Food Data'!$AK$141="Meat, poultry &amp; fish",100,0)</f>
        <v>0</v>
      </c>
      <c r="EL71" s="24" t="n">
        <f aca="false">IF('Food Data'!$AK$142="Meat, poultry &amp; fish",100,0)</f>
        <v>0</v>
      </c>
      <c r="EM71" s="24" t="n">
        <f aca="false">IF('Food Data'!$AK$143="Meat, poultry &amp; fish",100,0)</f>
        <v>0</v>
      </c>
      <c r="EN71" s="24" t="n">
        <f aca="false">IF('Food Data'!$AK$144="Meat, poultry &amp; fish",100,0)</f>
        <v>0</v>
      </c>
      <c r="EO71" s="24" t="n">
        <f aca="false">IF('Food Data'!$AK$145="Meat, poultry &amp; fish",100,0)</f>
        <v>0</v>
      </c>
      <c r="EP71" s="24" t="n">
        <f aca="false">IF('Food Data'!$AK$146="Meat, poultry &amp; fish",100,0)</f>
        <v>0</v>
      </c>
      <c r="EQ71" s="24" t="n">
        <f aca="false">IF('Food Data'!$AK$147="Meat, poultry &amp; fish",100,0)</f>
        <v>0</v>
      </c>
      <c r="ER71" s="24" t="n">
        <f aca="false">IF('Food Data'!$AK$148="Meat, poultry &amp; fish",100,0)</f>
        <v>0</v>
      </c>
      <c r="ES71" s="24" t="n">
        <f aca="false">IF('Food Data'!$AK$149="Meat, poultry &amp; fish",100,0)</f>
        <v>0</v>
      </c>
      <c r="ET71" s="24" t="n">
        <f aca="false">IF('Food Data'!$AK$150="Meat, poultry &amp; fish",100,0)</f>
        <v>0</v>
      </c>
      <c r="EU71" s="24" t="n">
        <f aca="false">IF('Food Data'!$AK$151="Meat, poultry &amp; fish",100,0)</f>
        <v>0</v>
      </c>
    </row>
    <row r="72" customFormat="false" ht="15" hidden="false" customHeight="false" outlineLevel="0" collapsed="false">
      <c r="A72" s="4" t="s">
        <v>1011</v>
      </c>
      <c r="B72" s="75" t="s">
        <v>1010</v>
      </c>
      <c r="C72" s="76" t="n">
        <f aca="false">Planner!$C$52</f>
        <v>3</v>
      </c>
      <c r="D72" s="77" t="n">
        <v>3</v>
      </c>
      <c r="E72" s="75" t="str">
        <f aca="false">IF(D72&lt;=C72+0.000001*MAX(1,ABS(C72)),IF(ABS(D72-C72)&lt;=0.000001*MAX(1,ABS(C72)),"tight","ok"),"VIOLATED")</f>
        <v>tight</v>
      </c>
      <c r="F72" s="24" t="n">
        <f aca="false">IF('Food Data'!$AK$6="Beans &amp; lentils",100/'Food Data'!$N$6,0)</f>
        <v>0</v>
      </c>
      <c r="G72" s="24" t="n">
        <f aca="false">IF('Food Data'!$AK$7="Beans &amp; lentils",100/'Food Data'!$N$7,0)</f>
        <v>0</v>
      </c>
      <c r="H72" s="24" t="n">
        <f aca="false">IF('Food Data'!$AK$8="Beans &amp; lentils",100/'Food Data'!$N$8,0)</f>
        <v>0</v>
      </c>
      <c r="I72" s="24" t="n">
        <f aca="false">IF('Food Data'!$AK$9="Beans &amp; lentils",100/'Food Data'!$N$9,0)</f>
        <v>0</v>
      </c>
      <c r="J72" s="24" t="n">
        <f aca="false">IF('Food Data'!$AK$10="Beans &amp; lentils",100/'Food Data'!$N$10,0)</f>
        <v>0</v>
      </c>
      <c r="K72" s="24" t="n">
        <f aca="false">IF('Food Data'!$AK$11="Beans &amp; lentils",100/'Food Data'!$N$11,0)</f>
        <v>0</v>
      </c>
      <c r="L72" s="24" t="n">
        <f aca="false">IF('Food Data'!$AK$12="Beans &amp; lentils",100/'Food Data'!$N$12,0)</f>
        <v>0</v>
      </c>
      <c r="M72" s="24" t="n">
        <f aca="false">IF('Food Data'!$AK$13="Beans &amp; lentils",100/'Food Data'!$N$13,0)</f>
        <v>0</v>
      </c>
      <c r="N72" s="24" t="n">
        <f aca="false">IF('Food Data'!$AK$14="Beans &amp; lentils",100/'Food Data'!$N$14,0)</f>
        <v>0</v>
      </c>
      <c r="O72" s="24" t="n">
        <f aca="false">IF('Food Data'!$AK$15="Beans &amp; lentils",100/'Food Data'!$N$15,0)</f>
        <v>0</v>
      </c>
      <c r="P72" s="24" t="n">
        <f aca="false">IF('Food Data'!$AK$16="Beans &amp; lentils",100/'Food Data'!$N$16,0)</f>
        <v>0</v>
      </c>
      <c r="Q72" s="24" t="n">
        <f aca="false">IF('Food Data'!$AK$17="Beans &amp; lentils",100/'Food Data'!$N$17,0)</f>
        <v>0</v>
      </c>
      <c r="R72" s="24" t="n">
        <f aca="false">IF('Food Data'!$AK$18="Beans &amp; lentils",100/'Food Data'!$N$18,0)</f>
        <v>0</v>
      </c>
      <c r="S72" s="24" t="n">
        <f aca="false">IF('Food Data'!$AK$19="Beans &amp; lentils",100/'Food Data'!$N$19,0)</f>
        <v>0</v>
      </c>
      <c r="T72" s="24" t="n">
        <f aca="false">IF('Food Data'!$AK$20="Beans &amp; lentils",100/'Food Data'!$N$20,0)</f>
        <v>0</v>
      </c>
      <c r="U72" s="24" t="n">
        <f aca="false">IF('Food Data'!$AK$21="Beans &amp; lentils",100/'Food Data'!$N$21,0)</f>
        <v>0</v>
      </c>
      <c r="V72" s="24" t="n">
        <f aca="false">IF('Food Data'!$AK$22="Beans &amp; lentils",100/'Food Data'!$N$22,0)</f>
        <v>0</v>
      </c>
      <c r="W72" s="24" t="n">
        <f aca="false">IF('Food Data'!$AK$23="Beans &amp; lentils",100/'Food Data'!$N$23,0)</f>
        <v>0</v>
      </c>
      <c r="X72" s="24" t="n">
        <f aca="false">IF('Food Data'!$AK$24="Beans &amp; lentils",100/'Food Data'!$N$24,0)</f>
        <v>0</v>
      </c>
      <c r="Y72" s="24" t="n">
        <f aca="false">IF('Food Data'!$AK$25="Beans &amp; lentils",100/'Food Data'!$N$25,0)</f>
        <v>0.833333333333333</v>
      </c>
      <c r="Z72" s="24" t="n">
        <f aca="false">IF('Food Data'!$AK$26="Beans &amp; lentils",100/'Food Data'!$N$26,0)</f>
        <v>2.08333333333333</v>
      </c>
      <c r="AA72" s="24" t="n">
        <f aca="false">IF('Food Data'!$AK$27="Beans &amp; lentils",100/'Food Data'!$N$27,0)</f>
        <v>0.833333333333333</v>
      </c>
      <c r="AB72" s="24" t="n">
        <f aca="false">IF('Food Data'!$AK$28="Beans &amp; lentils",100/'Food Data'!$N$28,0)</f>
        <v>2.08333333333333</v>
      </c>
      <c r="AC72" s="24" t="n">
        <f aca="false">IF('Food Data'!$AK$29="Beans &amp; lentils",100/'Food Data'!$N$29,0)</f>
        <v>0.833333333333333</v>
      </c>
      <c r="AD72" s="24" t="n">
        <f aca="false">IF('Food Data'!$AK$30="Beans &amp; lentils",100/'Food Data'!$N$30,0)</f>
        <v>0.833333333333333</v>
      </c>
      <c r="AE72" s="24" t="n">
        <f aca="false">IF('Food Data'!$AK$31="Beans &amp; lentils",100/'Food Data'!$N$31,0)</f>
        <v>2.08333333333333</v>
      </c>
      <c r="AF72" s="24" t="n">
        <f aca="false">IF('Food Data'!$AK$32="Beans &amp; lentils",100/'Food Data'!$N$32,0)</f>
        <v>0.833333333333333</v>
      </c>
      <c r="AG72" s="24" t="n">
        <f aca="false">IF('Food Data'!$AK$33="Beans &amp; lentils",100/'Food Data'!$N$33,0)</f>
        <v>2.08333333333333</v>
      </c>
      <c r="AH72" s="24" t="n">
        <f aca="false">IF('Food Data'!$AK$34="Beans &amp; lentils",100/'Food Data'!$N$34,0)</f>
        <v>2.08333333333333</v>
      </c>
      <c r="AI72" s="24" t="n">
        <f aca="false">IF('Food Data'!$AK$35="Beans &amp; lentils",100/'Food Data'!$N$35,0)</f>
        <v>2.08333333333333</v>
      </c>
      <c r="AJ72" s="24" t="n">
        <f aca="false">IF('Food Data'!$AK$36="Beans &amp; lentils",100/'Food Data'!$N$36,0)</f>
        <v>0.833333333333333</v>
      </c>
      <c r="AK72" s="24" t="n">
        <f aca="false">IF('Food Data'!$AK$37="Beans &amp; lentils",100/'Food Data'!$N$37,0)</f>
        <v>2.08333333333333</v>
      </c>
      <c r="AL72" s="24" t="n">
        <f aca="false">IF('Food Data'!$AK$38="Beans &amp; lentils",100/'Food Data'!$N$38,0)</f>
        <v>0</v>
      </c>
      <c r="AM72" s="24" t="n">
        <f aca="false">IF('Food Data'!$AK$39="Beans &amp; lentils",100/'Food Data'!$N$39,0)</f>
        <v>0.833333333333333</v>
      </c>
      <c r="AN72" s="24" t="n">
        <f aca="false">IF('Food Data'!$AK$40="Beans &amp; lentils",100/'Food Data'!$N$40,0)</f>
        <v>2.08333333333333</v>
      </c>
      <c r="AO72" s="24" t="n">
        <f aca="false">IF('Food Data'!$AK$41="Beans &amp; lentils",100/'Food Data'!$N$41,0)</f>
        <v>0</v>
      </c>
      <c r="AP72" s="24" t="n">
        <f aca="false">IF('Food Data'!$AK$42="Beans &amp; lentils",100/'Food Data'!$N$42,0)</f>
        <v>0</v>
      </c>
      <c r="AQ72" s="24" t="n">
        <f aca="false">IF('Food Data'!$AK$43="Beans &amp; lentils",100/'Food Data'!$N$43,0)</f>
        <v>0</v>
      </c>
      <c r="AR72" s="24" t="n">
        <f aca="false">IF('Food Data'!$AK$44="Beans &amp; lentils",100/'Food Data'!$N$44,0)</f>
        <v>0</v>
      </c>
      <c r="AS72" s="24" t="n">
        <f aca="false">IF('Food Data'!$AK$45="Beans &amp; lentils",100/'Food Data'!$N$45,0)</f>
        <v>0</v>
      </c>
      <c r="AT72" s="24" t="n">
        <f aca="false">IF('Food Data'!$AK$46="Beans &amp; lentils",100/'Food Data'!$N$46,0)</f>
        <v>0</v>
      </c>
      <c r="AU72" s="24" t="n">
        <f aca="false">IF('Food Data'!$AK$47="Beans &amp; lentils",100/'Food Data'!$N$47,0)</f>
        <v>0</v>
      </c>
      <c r="AV72" s="24" t="n">
        <f aca="false">IF('Food Data'!$AK$48="Beans &amp; lentils",100/'Food Data'!$N$48,0)</f>
        <v>0</v>
      </c>
      <c r="AW72" s="24" t="n">
        <f aca="false">IF('Food Data'!$AK$49="Beans &amp; lentils",100/'Food Data'!$N$49,0)</f>
        <v>0</v>
      </c>
      <c r="AX72" s="24" t="n">
        <f aca="false">IF('Food Data'!$AK$50="Beans &amp; lentils",100/'Food Data'!$N$50,0)</f>
        <v>0</v>
      </c>
      <c r="AY72" s="24" t="n">
        <f aca="false">IF('Food Data'!$AK$51="Beans &amp; lentils",100/'Food Data'!$N$51,0)</f>
        <v>0</v>
      </c>
      <c r="AZ72" s="24" t="n">
        <f aca="false">IF('Food Data'!$AK$52="Beans &amp; lentils",100/'Food Data'!$N$52,0)</f>
        <v>0</v>
      </c>
      <c r="BA72" s="24" t="n">
        <f aca="false">IF('Food Data'!$AK$53="Beans &amp; lentils",100/'Food Data'!$N$53,0)</f>
        <v>0</v>
      </c>
      <c r="BB72" s="24" t="n">
        <f aca="false">IF('Food Data'!$AK$54="Beans &amp; lentils",100/'Food Data'!$N$54,0)</f>
        <v>0</v>
      </c>
      <c r="BC72" s="24" t="n">
        <f aca="false">IF('Food Data'!$AK$55="Beans &amp; lentils",100/'Food Data'!$N$55,0)</f>
        <v>0</v>
      </c>
      <c r="BD72" s="24" t="n">
        <f aca="false">IF('Food Data'!$AK$56="Beans &amp; lentils",100/'Food Data'!$N$56,0)</f>
        <v>0</v>
      </c>
      <c r="BE72" s="24" t="n">
        <f aca="false">IF('Food Data'!$AK$57="Beans &amp; lentils",100/'Food Data'!$N$57,0)</f>
        <v>0</v>
      </c>
      <c r="BF72" s="24" t="n">
        <f aca="false">IF('Food Data'!$AK$58="Beans &amp; lentils",100/'Food Data'!$N$58,0)</f>
        <v>0</v>
      </c>
      <c r="BG72" s="24" t="n">
        <f aca="false">IF('Food Data'!$AK$59="Beans &amp; lentils",100/'Food Data'!$N$59,0)</f>
        <v>0</v>
      </c>
      <c r="BH72" s="24" t="n">
        <f aca="false">IF('Food Data'!$AK$60="Beans &amp; lentils",100/'Food Data'!$N$60,0)</f>
        <v>0</v>
      </c>
      <c r="BI72" s="24" t="n">
        <f aca="false">IF('Food Data'!$AK$61="Beans &amp; lentils",100/'Food Data'!$N$61,0)</f>
        <v>0</v>
      </c>
      <c r="BJ72" s="24" t="n">
        <f aca="false">IF('Food Data'!$AK$62="Beans &amp; lentils",100/'Food Data'!$N$62,0)</f>
        <v>0</v>
      </c>
      <c r="BK72" s="24" t="n">
        <f aca="false">IF('Food Data'!$AK$63="Beans &amp; lentils",100/'Food Data'!$N$63,0)</f>
        <v>0</v>
      </c>
      <c r="BL72" s="24" t="n">
        <f aca="false">IF('Food Data'!$AK$64="Beans &amp; lentils",100/'Food Data'!$N$64,0)</f>
        <v>0</v>
      </c>
      <c r="BM72" s="24" t="n">
        <f aca="false">IF('Food Data'!$AK$65="Beans &amp; lentils",100/'Food Data'!$N$65,0)</f>
        <v>0</v>
      </c>
      <c r="BN72" s="24" t="n">
        <f aca="false">IF('Food Data'!$AK$66="Beans &amp; lentils",100/'Food Data'!$N$66,0)</f>
        <v>0</v>
      </c>
      <c r="BO72" s="24" t="n">
        <f aca="false">IF('Food Data'!$AK$67="Beans &amp; lentils",100/'Food Data'!$N$67,0)</f>
        <v>0</v>
      </c>
      <c r="BP72" s="24" t="n">
        <f aca="false">IF('Food Data'!$AK$68="Beans &amp; lentils",100/'Food Data'!$N$68,0)</f>
        <v>0</v>
      </c>
      <c r="BQ72" s="24" t="n">
        <f aca="false">IF('Food Data'!$AK$69="Beans &amp; lentils",100/'Food Data'!$N$69,0)</f>
        <v>0</v>
      </c>
      <c r="BR72" s="24" t="n">
        <f aca="false">IF('Food Data'!$AK$70="Beans &amp; lentils",100/'Food Data'!$N$70,0)</f>
        <v>0</v>
      </c>
      <c r="BS72" s="24" t="n">
        <f aca="false">IF('Food Data'!$AK$71="Beans &amp; lentils",100/'Food Data'!$N$71,0)</f>
        <v>0</v>
      </c>
      <c r="BT72" s="24" t="n">
        <f aca="false">IF('Food Data'!$AK$72="Beans &amp; lentils",100/'Food Data'!$N$72,0)</f>
        <v>0</v>
      </c>
      <c r="BU72" s="24" t="n">
        <f aca="false">IF('Food Data'!$AK$73="Beans &amp; lentils",100/'Food Data'!$N$73,0)</f>
        <v>0</v>
      </c>
      <c r="BV72" s="24" t="n">
        <f aca="false">IF('Food Data'!$AK$74="Beans &amp; lentils",100/'Food Data'!$N$74,0)</f>
        <v>0</v>
      </c>
      <c r="BW72" s="24" t="n">
        <f aca="false">IF('Food Data'!$AK$75="Beans &amp; lentils",100/'Food Data'!$N$75,0)</f>
        <v>0</v>
      </c>
      <c r="BX72" s="24" t="n">
        <f aca="false">IF('Food Data'!$AK$76="Beans &amp; lentils",100/'Food Data'!$N$76,0)</f>
        <v>0</v>
      </c>
      <c r="BY72" s="24" t="n">
        <f aca="false">IF('Food Data'!$AK$77="Beans &amp; lentils",100/'Food Data'!$N$77,0)</f>
        <v>0</v>
      </c>
      <c r="BZ72" s="24" t="n">
        <f aca="false">IF('Food Data'!$AK$78="Beans &amp; lentils",100/'Food Data'!$N$78,0)</f>
        <v>0</v>
      </c>
      <c r="CA72" s="24" t="n">
        <f aca="false">IF('Food Data'!$AK$79="Beans &amp; lentils",100/'Food Data'!$N$79,0)</f>
        <v>0</v>
      </c>
      <c r="CB72" s="24" t="n">
        <f aca="false">IF('Food Data'!$AK$80="Beans &amp; lentils",100/'Food Data'!$N$80,0)</f>
        <v>0</v>
      </c>
      <c r="CC72" s="24" t="n">
        <f aca="false">IF('Food Data'!$AK$81="Beans &amp; lentils",100/'Food Data'!$N$81,0)</f>
        <v>0</v>
      </c>
      <c r="CD72" s="24" t="n">
        <f aca="false">IF('Food Data'!$AK$82="Beans &amp; lentils",100/'Food Data'!$N$82,0)</f>
        <v>0</v>
      </c>
      <c r="CE72" s="24" t="n">
        <f aca="false">IF('Food Data'!$AK$83="Beans &amp; lentils",100/'Food Data'!$N$83,0)</f>
        <v>0</v>
      </c>
      <c r="CF72" s="24" t="n">
        <f aca="false">IF('Food Data'!$AK$84="Beans &amp; lentils",100/'Food Data'!$N$84,0)</f>
        <v>0</v>
      </c>
      <c r="CG72" s="24" t="n">
        <f aca="false">IF('Food Data'!$AK$85="Beans &amp; lentils",100/'Food Data'!$N$85,0)</f>
        <v>0</v>
      </c>
      <c r="CH72" s="24" t="n">
        <f aca="false">IF('Food Data'!$AK$86="Beans &amp; lentils",100/'Food Data'!$N$86,0)</f>
        <v>0</v>
      </c>
      <c r="CI72" s="24" t="n">
        <f aca="false">IF('Food Data'!$AK$87="Beans &amp; lentils",100/'Food Data'!$N$87,0)</f>
        <v>0</v>
      </c>
      <c r="CJ72" s="24" t="n">
        <f aca="false">IF('Food Data'!$AK$88="Beans &amp; lentils",100/'Food Data'!$N$88,0)</f>
        <v>0</v>
      </c>
      <c r="CK72" s="24" t="n">
        <f aca="false">IF('Food Data'!$AK$89="Beans &amp; lentils",100/'Food Data'!$N$89,0)</f>
        <v>0</v>
      </c>
      <c r="CL72" s="24" t="n">
        <f aca="false">IF('Food Data'!$AK$90="Beans &amp; lentils",100/'Food Data'!$N$90,0)</f>
        <v>0</v>
      </c>
      <c r="CM72" s="24" t="n">
        <f aca="false">IF('Food Data'!$AK$91="Beans &amp; lentils",100/'Food Data'!$N$91,0)</f>
        <v>0</v>
      </c>
      <c r="CN72" s="24" t="n">
        <f aca="false">IF('Food Data'!$AK$92="Beans &amp; lentils",100/'Food Data'!$N$92,0)</f>
        <v>0</v>
      </c>
      <c r="CO72" s="24" t="n">
        <f aca="false">IF('Food Data'!$AK$93="Beans &amp; lentils",100/'Food Data'!$N$93,0)</f>
        <v>0</v>
      </c>
      <c r="CP72" s="24" t="n">
        <f aca="false">IF('Food Data'!$AK$94="Beans &amp; lentils",100/'Food Data'!$N$94,0)</f>
        <v>0</v>
      </c>
      <c r="CQ72" s="24" t="n">
        <f aca="false">IF('Food Data'!$AK$95="Beans &amp; lentils",100/'Food Data'!$N$95,0)</f>
        <v>0</v>
      </c>
      <c r="CR72" s="24" t="n">
        <f aca="false">IF('Food Data'!$AK$96="Beans &amp; lentils",100/'Food Data'!$N$96,0)</f>
        <v>0</v>
      </c>
      <c r="CS72" s="24" t="n">
        <f aca="false">IF('Food Data'!$AK$97="Beans &amp; lentils",100/'Food Data'!$N$97,0)</f>
        <v>0</v>
      </c>
      <c r="CT72" s="24" t="n">
        <f aca="false">IF('Food Data'!$AK$98="Beans &amp; lentils",100/'Food Data'!$N$98,0)</f>
        <v>0</v>
      </c>
      <c r="CU72" s="24" t="n">
        <f aca="false">IF('Food Data'!$AK$99="Beans &amp; lentils",100/'Food Data'!$N$99,0)</f>
        <v>0</v>
      </c>
      <c r="CV72" s="24" t="n">
        <f aca="false">IF('Food Data'!$AK$100="Beans &amp; lentils",100/'Food Data'!$N$100,0)</f>
        <v>0</v>
      </c>
      <c r="CW72" s="24" t="n">
        <f aca="false">IF('Food Data'!$AK$101="Beans &amp; lentils",100/'Food Data'!$N$101,0)</f>
        <v>0</v>
      </c>
      <c r="CX72" s="24" t="n">
        <f aca="false">IF('Food Data'!$AK$102="Beans &amp; lentils",100/'Food Data'!$N$102,0)</f>
        <v>0</v>
      </c>
      <c r="CY72" s="24" t="n">
        <f aca="false">IF('Food Data'!$AK$103="Beans &amp; lentils",100/'Food Data'!$N$103,0)</f>
        <v>0</v>
      </c>
      <c r="CZ72" s="24" t="n">
        <f aca="false">IF('Food Data'!$AK$104="Beans &amp; lentils",100/'Food Data'!$N$104,0)</f>
        <v>0</v>
      </c>
      <c r="DA72" s="24" t="n">
        <f aca="false">IF('Food Data'!$AK$105="Beans &amp; lentils",100/'Food Data'!$N$105,0)</f>
        <v>0</v>
      </c>
      <c r="DB72" s="24" t="n">
        <f aca="false">IF('Food Data'!$AK$106="Beans &amp; lentils",100/'Food Data'!$N$106,0)</f>
        <v>0</v>
      </c>
      <c r="DC72" s="24" t="n">
        <f aca="false">IF('Food Data'!$AK$107="Beans &amp; lentils",100/'Food Data'!$N$107,0)</f>
        <v>0</v>
      </c>
      <c r="DD72" s="24" t="n">
        <f aca="false">IF('Food Data'!$AK$108="Beans &amp; lentils",100/'Food Data'!$N$108,0)</f>
        <v>0</v>
      </c>
      <c r="DE72" s="24" t="n">
        <f aca="false">IF('Food Data'!$AK$109="Beans &amp; lentils",100/'Food Data'!$N$109,0)</f>
        <v>0</v>
      </c>
      <c r="DF72" s="24" t="n">
        <f aca="false">IF('Food Data'!$AK$110="Beans &amp; lentils",100/'Food Data'!$N$110,0)</f>
        <v>0</v>
      </c>
      <c r="DG72" s="24" t="n">
        <f aca="false">IF('Food Data'!$AK$111="Beans &amp; lentils",100/'Food Data'!$N$111,0)</f>
        <v>0</v>
      </c>
      <c r="DH72" s="24" t="n">
        <f aca="false">IF('Food Data'!$AK$112="Beans &amp; lentils",100/'Food Data'!$N$112,0)</f>
        <v>0</v>
      </c>
      <c r="DI72" s="24" t="n">
        <f aca="false">IF('Food Data'!$AK$113="Beans &amp; lentils",100/'Food Data'!$N$113,0)</f>
        <v>0</v>
      </c>
      <c r="DJ72" s="24" t="n">
        <f aca="false">IF('Food Data'!$AK$114="Beans &amp; lentils",100/'Food Data'!$N$114,0)</f>
        <v>0</v>
      </c>
      <c r="DK72" s="24" t="n">
        <f aca="false">IF('Food Data'!$AK$115="Beans &amp; lentils",100/'Food Data'!$N$115,0)</f>
        <v>0</v>
      </c>
      <c r="DL72" s="24" t="n">
        <f aca="false">IF('Food Data'!$AK$116="Beans &amp; lentils",100/'Food Data'!$N$116,0)</f>
        <v>0</v>
      </c>
      <c r="DM72" s="24" t="n">
        <f aca="false">IF('Food Data'!$AK$117="Beans &amp; lentils",100/'Food Data'!$N$117,0)</f>
        <v>0</v>
      </c>
      <c r="DN72" s="24" t="n">
        <f aca="false">IF('Food Data'!$AK$118="Beans &amp; lentils",100/'Food Data'!$N$118,0)</f>
        <v>0</v>
      </c>
      <c r="DO72" s="24" t="n">
        <f aca="false">IF('Food Data'!$AK$119="Beans &amp; lentils",100/'Food Data'!$N$119,0)</f>
        <v>0</v>
      </c>
      <c r="DP72" s="24" t="n">
        <f aca="false">IF('Food Data'!$AK$120="Beans &amp; lentils",100/'Food Data'!$N$120,0)</f>
        <v>0</v>
      </c>
      <c r="DQ72" s="24" t="n">
        <f aca="false">IF('Food Data'!$AK$121="Beans &amp; lentils",100/'Food Data'!$N$121,0)</f>
        <v>0</v>
      </c>
      <c r="DR72" s="24" t="n">
        <f aca="false">IF('Food Data'!$AK$122="Beans &amp; lentils",100/'Food Data'!$N$122,0)</f>
        <v>0</v>
      </c>
      <c r="DS72" s="24" t="n">
        <f aca="false">IF('Food Data'!$AK$123="Beans &amp; lentils",100/'Food Data'!$N$123,0)</f>
        <v>0</v>
      </c>
      <c r="DT72" s="24" t="n">
        <f aca="false">IF('Food Data'!$AK$124="Beans &amp; lentils",100/'Food Data'!$N$124,0)</f>
        <v>0</v>
      </c>
      <c r="DU72" s="24" t="n">
        <f aca="false">IF('Food Data'!$AK$125="Beans &amp; lentils",100/'Food Data'!$N$125,0)</f>
        <v>0</v>
      </c>
      <c r="DV72" s="24" t="n">
        <f aca="false">IF('Food Data'!$AK$126="Beans &amp; lentils",100/'Food Data'!$N$126,0)</f>
        <v>0</v>
      </c>
      <c r="DW72" s="24" t="n">
        <f aca="false">IF('Food Data'!$AK$127="Beans &amp; lentils",100/'Food Data'!$N$127,0)</f>
        <v>0</v>
      </c>
      <c r="DX72" s="24" t="n">
        <f aca="false">IF('Food Data'!$AK$128="Beans &amp; lentils",100/'Food Data'!$N$128,0)</f>
        <v>0</v>
      </c>
      <c r="DY72" s="24" t="n">
        <f aca="false">IF('Food Data'!$AK$129="Beans &amp; lentils",100/'Food Data'!$N$129,0)</f>
        <v>0</v>
      </c>
      <c r="DZ72" s="24" t="n">
        <f aca="false">IF('Food Data'!$AK$130="Beans &amp; lentils",100/'Food Data'!$N$130,0)</f>
        <v>0</v>
      </c>
      <c r="EA72" s="24" t="n">
        <f aca="false">IF('Food Data'!$AK$131="Beans &amp; lentils",100/'Food Data'!$N$131,0)</f>
        <v>0</v>
      </c>
      <c r="EB72" s="24" t="n">
        <f aca="false">IF('Food Data'!$AK$132="Beans &amp; lentils",100/'Food Data'!$N$132,0)</f>
        <v>0</v>
      </c>
      <c r="EC72" s="24" t="n">
        <f aca="false">IF('Food Data'!$AK$133="Beans &amp; lentils",100/'Food Data'!$N$133,0)</f>
        <v>0</v>
      </c>
      <c r="ED72" s="24" t="n">
        <f aca="false">IF('Food Data'!$AK$134="Beans &amp; lentils",100/'Food Data'!$N$134,0)</f>
        <v>0</v>
      </c>
      <c r="EE72" s="24" t="n">
        <f aca="false">IF('Food Data'!$AK$135="Beans &amp; lentils",100/'Food Data'!$N$135,0)</f>
        <v>0</v>
      </c>
      <c r="EF72" s="24" t="n">
        <f aca="false">IF('Food Data'!$AK$136="Beans &amp; lentils",100/'Food Data'!$N$136,0)</f>
        <v>0</v>
      </c>
      <c r="EG72" s="24" t="n">
        <f aca="false">IF('Food Data'!$AK$137="Beans &amp; lentils",100/'Food Data'!$N$137,0)</f>
        <v>0</v>
      </c>
      <c r="EH72" s="24" t="n">
        <f aca="false">IF('Food Data'!$AK$138="Beans &amp; lentils",100/'Food Data'!$N$138,0)</f>
        <v>0</v>
      </c>
      <c r="EI72" s="24" t="n">
        <f aca="false">IF('Food Data'!$AK$139="Beans &amp; lentils",100/'Food Data'!$N$139,0)</f>
        <v>0</v>
      </c>
      <c r="EJ72" s="24" t="n">
        <f aca="false">IF('Food Data'!$AK$140="Beans &amp; lentils",100/'Food Data'!$N$140,0)</f>
        <v>0</v>
      </c>
      <c r="EK72" s="24" t="n">
        <f aca="false">IF('Food Data'!$AK$141="Beans &amp; lentils",100/'Food Data'!$N$141,0)</f>
        <v>0</v>
      </c>
      <c r="EL72" s="24" t="n">
        <f aca="false">IF('Food Data'!$AK$142="Beans &amp; lentils",100/'Food Data'!$N$142,0)</f>
        <v>0</v>
      </c>
      <c r="EM72" s="24" t="n">
        <f aca="false">IF('Food Data'!$AK$143="Beans &amp; lentils",100/'Food Data'!$N$143,0)</f>
        <v>0</v>
      </c>
      <c r="EN72" s="24" t="n">
        <f aca="false">IF('Food Data'!$AK$144="Beans &amp; lentils",100/'Food Data'!$N$144,0)</f>
        <v>0</v>
      </c>
      <c r="EO72" s="24" t="n">
        <f aca="false">IF('Food Data'!$AK$145="Beans &amp; lentils",100/'Food Data'!$N$145,0)</f>
        <v>0</v>
      </c>
      <c r="EP72" s="24" t="n">
        <f aca="false">IF('Food Data'!$AK$146="Beans &amp; lentils",100/'Food Data'!$N$146,0)</f>
        <v>0</v>
      </c>
      <c r="EQ72" s="24" t="n">
        <f aca="false">IF('Food Data'!$AK$147="Beans &amp; lentils",100/'Food Data'!$N$147,0)</f>
        <v>0</v>
      </c>
      <c r="ER72" s="24" t="n">
        <f aca="false">IF('Food Data'!$AK$148="Beans &amp; lentils",100/'Food Data'!$N$148,0)</f>
        <v>0</v>
      </c>
      <c r="ES72" s="24" t="n">
        <f aca="false">IF('Food Data'!$AK$149="Beans &amp; lentils",100/'Food Data'!$N$149,0)</f>
        <v>0</v>
      </c>
      <c r="ET72" s="24" t="n">
        <f aca="false">IF('Food Data'!$AK$150="Beans &amp; lentils",100/'Food Data'!$N$150,0)</f>
        <v>0</v>
      </c>
      <c r="EU72" s="24" t="n">
        <f aca="false">IF('Food Data'!$AK$151="Beans &amp; lentils",100/'Food Data'!$N$151,0)</f>
        <v>0</v>
      </c>
    </row>
    <row r="73" customFormat="false" ht="15" hidden="false" customHeight="false" outlineLevel="0" collapsed="false">
      <c r="A73" s="4" t="s">
        <v>1012</v>
      </c>
      <c r="B73" s="75" t="s">
        <v>1010</v>
      </c>
      <c r="C73" s="76" t="n">
        <f aca="false">Planner!$C$53</f>
        <v>3</v>
      </c>
      <c r="D73" s="77" t="n">
        <v>0</v>
      </c>
      <c r="E73" s="75" t="str">
        <f aca="false">IF(D73&lt;=C73+0.000001*MAX(1,ABS(C73)),IF(ABS(D73-C73)&lt;=0.000001*MAX(1,ABS(C73)),"tight","ok"),"VIOLATED")</f>
        <v>ok</v>
      </c>
      <c r="F73" s="24" t="n">
        <f aca="false">IF('Food Data'!$AK$6="Cheese",100/'Food Data'!$N$6,0)</f>
        <v>0</v>
      </c>
      <c r="G73" s="24" t="n">
        <f aca="false">IF('Food Data'!$AK$7="Cheese",100/'Food Data'!$N$7,0)</f>
        <v>0</v>
      </c>
      <c r="H73" s="24" t="n">
        <f aca="false">IF('Food Data'!$AK$8="Cheese",100/'Food Data'!$N$8,0)</f>
        <v>0</v>
      </c>
      <c r="I73" s="24" t="n">
        <f aca="false">IF('Food Data'!$AK$9="Cheese",100/'Food Data'!$N$9,0)</f>
        <v>0</v>
      </c>
      <c r="J73" s="24" t="n">
        <f aca="false">IF('Food Data'!$AK$10="Cheese",100/'Food Data'!$N$10,0)</f>
        <v>0</v>
      </c>
      <c r="K73" s="24" t="n">
        <f aca="false">IF('Food Data'!$AK$11="Cheese",100/'Food Data'!$N$11,0)</f>
        <v>0</v>
      </c>
      <c r="L73" s="24" t="n">
        <f aca="false">IF('Food Data'!$AK$12="Cheese",100/'Food Data'!$N$12,0)</f>
        <v>0</v>
      </c>
      <c r="M73" s="24" t="n">
        <f aca="false">IF('Food Data'!$AK$13="Cheese",100/'Food Data'!$N$13,0)</f>
        <v>0</v>
      </c>
      <c r="N73" s="24" t="n">
        <f aca="false">IF('Food Data'!$AK$14="Cheese",100/'Food Data'!$N$14,0)</f>
        <v>0</v>
      </c>
      <c r="O73" s="24" t="n">
        <f aca="false">IF('Food Data'!$AK$15="Cheese",100/'Food Data'!$N$15,0)</f>
        <v>0</v>
      </c>
      <c r="P73" s="24" t="n">
        <f aca="false">IF('Food Data'!$AK$16="Cheese",100/'Food Data'!$N$16,0)</f>
        <v>0</v>
      </c>
      <c r="Q73" s="24" t="n">
        <f aca="false">IF('Food Data'!$AK$17="Cheese",100/'Food Data'!$N$17,0)</f>
        <v>0</v>
      </c>
      <c r="R73" s="24" t="n">
        <f aca="false">IF('Food Data'!$AK$18="Cheese",100/'Food Data'!$N$18,0)</f>
        <v>0</v>
      </c>
      <c r="S73" s="24" t="n">
        <f aca="false">IF('Food Data'!$AK$19="Cheese",100/'Food Data'!$N$19,0)</f>
        <v>0</v>
      </c>
      <c r="T73" s="24" t="n">
        <f aca="false">IF('Food Data'!$AK$20="Cheese",100/'Food Data'!$N$20,0)</f>
        <v>0</v>
      </c>
      <c r="U73" s="24" t="n">
        <f aca="false">IF('Food Data'!$AK$21="Cheese",100/'Food Data'!$N$21,0)</f>
        <v>0</v>
      </c>
      <c r="V73" s="24" t="n">
        <f aca="false">IF('Food Data'!$AK$22="Cheese",100/'Food Data'!$N$22,0)</f>
        <v>0</v>
      </c>
      <c r="W73" s="24" t="n">
        <f aca="false">IF('Food Data'!$AK$23="Cheese",100/'Food Data'!$N$23,0)</f>
        <v>0</v>
      </c>
      <c r="X73" s="24" t="n">
        <f aca="false">IF('Food Data'!$AK$24="Cheese",100/'Food Data'!$N$24,0)</f>
        <v>0</v>
      </c>
      <c r="Y73" s="24" t="n">
        <f aca="false">IF('Food Data'!$AK$25="Cheese",100/'Food Data'!$N$25,0)</f>
        <v>0</v>
      </c>
      <c r="Z73" s="24" t="n">
        <f aca="false">IF('Food Data'!$AK$26="Cheese",100/'Food Data'!$N$26,0)</f>
        <v>0</v>
      </c>
      <c r="AA73" s="24" t="n">
        <f aca="false">IF('Food Data'!$AK$27="Cheese",100/'Food Data'!$N$27,0)</f>
        <v>0</v>
      </c>
      <c r="AB73" s="24" t="n">
        <f aca="false">IF('Food Data'!$AK$28="Cheese",100/'Food Data'!$N$28,0)</f>
        <v>0</v>
      </c>
      <c r="AC73" s="24" t="n">
        <f aca="false">IF('Food Data'!$AK$29="Cheese",100/'Food Data'!$N$29,0)</f>
        <v>0</v>
      </c>
      <c r="AD73" s="24" t="n">
        <f aca="false">IF('Food Data'!$AK$30="Cheese",100/'Food Data'!$N$30,0)</f>
        <v>0</v>
      </c>
      <c r="AE73" s="24" t="n">
        <f aca="false">IF('Food Data'!$AK$31="Cheese",100/'Food Data'!$N$31,0)</f>
        <v>0</v>
      </c>
      <c r="AF73" s="24" t="n">
        <f aca="false">IF('Food Data'!$AK$32="Cheese",100/'Food Data'!$N$32,0)</f>
        <v>0</v>
      </c>
      <c r="AG73" s="24" t="n">
        <f aca="false">IF('Food Data'!$AK$33="Cheese",100/'Food Data'!$N$33,0)</f>
        <v>0</v>
      </c>
      <c r="AH73" s="24" t="n">
        <f aca="false">IF('Food Data'!$AK$34="Cheese",100/'Food Data'!$N$34,0)</f>
        <v>0</v>
      </c>
      <c r="AI73" s="24" t="n">
        <f aca="false">IF('Food Data'!$AK$35="Cheese",100/'Food Data'!$N$35,0)</f>
        <v>0</v>
      </c>
      <c r="AJ73" s="24" t="n">
        <f aca="false">IF('Food Data'!$AK$36="Cheese",100/'Food Data'!$N$36,0)</f>
        <v>0</v>
      </c>
      <c r="AK73" s="24" t="n">
        <f aca="false">IF('Food Data'!$AK$37="Cheese",100/'Food Data'!$N$37,0)</f>
        <v>0</v>
      </c>
      <c r="AL73" s="24" t="n">
        <f aca="false">IF('Food Data'!$AK$38="Cheese",100/'Food Data'!$N$38,0)</f>
        <v>0</v>
      </c>
      <c r="AM73" s="24" t="n">
        <f aca="false">IF('Food Data'!$AK$39="Cheese",100/'Food Data'!$N$39,0)</f>
        <v>0</v>
      </c>
      <c r="AN73" s="24" t="n">
        <f aca="false">IF('Food Data'!$AK$40="Cheese",100/'Food Data'!$N$40,0)</f>
        <v>0</v>
      </c>
      <c r="AO73" s="24" t="n">
        <f aca="false">IF('Food Data'!$AK$41="Cheese",100/'Food Data'!$N$41,0)</f>
        <v>0</v>
      </c>
      <c r="AP73" s="24" t="n">
        <f aca="false">IF('Food Data'!$AK$42="Cheese",100/'Food Data'!$N$42,0)</f>
        <v>0</v>
      </c>
      <c r="AQ73" s="24" t="n">
        <f aca="false">IF('Food Data'!$AK$43="Cheese",100/'Food Data'!$N$43,0)</f>
        <v>0</v>
      </c>
      <c r="AR73" s="24" t="n">
        <f aca="false">IF('Food Data'!$AK$44="Cheese",100/'Food Data'!$N$44,0)</f>
        <v>0</v>
      </c>
      <c r="AS73" s="24" t="n">
        <f aca="false">IF('Food Data'!$AK$45="Cheese",100/'Food Data'!$N$45,0)</f>
        <v>0</v>
      </c>
      <c r="AT73" s="24" t="n">
        <f aca="false">IF('Food Data'!$AK$46="Cheese",100/'Food Data'!$N$46,0)</f>
        <v>5.26315789473684</v>
      </c>
      <c r="AU73" s="24" t="n">
        <f aca="false">IF('Food Data'!$AK$47="Cheese",100/'Food Data'!$N$47,0)</f>
        <v>3.57142857142857</v>
      </c>
      <c r="AV73" s="24" t="n">
        <f aca="false">IF('Food Data'!$AK$48="Cheese",100/'Food Data'!$N$48,0)</f>
        <v>0.884955752212389</v>
      </c>
      <c r="AW73" s="24" t="n">
        <f aca="false">IF('Food Data'!$AK$49="Cheese",100/'Food Data'!$N$49,0)</f>
        <v>3.57142857142857</v>
      </c>
      <c r="AX73" s="24" t="n">
        <f aca="false">IF('Food Data'!$AK$50="Cheese",100/'Food Data'!$N$50,0)</f>
        <v>0</v>
      </c>
      <c r="AY73" s="24" t="n">
        <f aca="false">IF('Food Data'!$AK$51="Cheese",100/'Food Data'!$N$51,0)</f>
        <v>0</v>
      </c>
      <c r="AZ73" s="24" t="n">
        <f aca="false">IF('Food Data'!$AK$52="Cheese",100/'Food Data'!$N$52,0)</f>
        <v>0</v>
      </c>
      <c r="BA73" s="24" t="n">
        <f aca="false">IF('Food Data'!$AK$53="Cheese",100/'Food Data'!$N$53,0)</f>
        <v>0</v>
      </c>
      <c r="BB73" s="24" t="n">
        <f aca="false">IF('Food Data'!$AK$54="Cheese",100/'Food Data'!$N$54,0)</f>
        <v>0</v>
      </c>
      <c r="BC73" s="24" t="n">
        <f aca="false">IF('Food Data'!$AK$55="Cheese",100/'Food Data'!$N$55,0)</f>
        <v>0</v>
      </c>
      <c r="BD73" s="24" t="n">
        <f aca="false">IF('Food Data'!$AK$56="Cheese",100/'Food Data'!$N$56,0)</f>
        <v>0</v>
      </c>
      <c r="BE73" s="24" t="n">
        <f aca="false">IF('Food Data'!$AK$57="Cheese",100/'Food Data'!$N$57,0)</f>
        <v>0</v>
      </c>
      <c r="BF73" s="24" t="n">
        <f aca="false">IF('Food Data'!$AK$58="Cheese",100/'Food Data'!$N$58,0)</f>
        <v>0</v>
      </c>
      <c r="BG73" s="24" t="n">
        <f aca="false">IF('Food Data'!$AK$59="Cheese",100/'Food Data'!$N$59,0)</f>
        <v>0</v>
      </c>
      <c r="BH73" s="24" t="n">
        <f aca="false">IF('Food Data'!$AK$60="Cheese",100/'Food Data'!$N$60,0)</f>
        <v>0</v>
      </c>
      <c r="BI73" s="24" t="n">
        <f aca="false">IF('Food Data'!$AK$61="Cheese",100/'Food Data'!$N$61,0)</f>
        <v>0</v>
      </c>
      <c r="BJ73" s="24" t="n">
        <f aca="false">IF('Food Data'!$AK$62="Cheese",100/'Food Data'!$N$62,0)</f>
        <v>0</v>
      </c>
      <c r="BK73" s="24" t="n">
        <f aca="false">IF('Food Data'!$AK$63="Cheese",100/'Food Data'!$N$63,0)</f>
        <v>0</v>
      </c>
      <c r="BL73" s="24" t="n">
        <f aca="false">IF('Food Data'!$AK$64="Cheese",100/'Food Data'!$N$64,0)</f>
        <v>0</v>
      </c>
      <c r="BM73" s="24" t="n">
        <f aca="false">IF('Food Data'!$AK$65="Cheese",100/'Food Data'!$N$65,0)</f>
        <v>0</v>
      </c>
      <c r="BN73" s="24" t="n">
        <f aca="false">IF('Food Data'!$AK$66="Cheese",100/'Food Data'!$N$66,0)</f>
        <v>0</v>
      </c>
      <c r="BO73" s="24" t="n">
        <f aca="false">IF('Food Data'!$AK$67="Cheese",100/'Food Data'!$N$67,0)</f>
        <v>0</v>
      </c>
      <c r="BP73" s="24" t="n">
        <f aca="false">IF('Food Data'!$AK$68="Cheese",100/'Food Data'!$N$68,0)</f>
        <v>0</v>
      </c>
      <c r="BQ73" s="24" t="n">
        <f aca="false">IF('Food Data'!$AK$69="Cheese",100/'Food Data'!$N$69,0)</f>
        <v>0</v>
      </c>
      <c r="BR73" s="24" t="n">
        <f aca="false">IF('Food Data'!$AK$70="Cheese",100/'Food Data'!$N$70,0)</f>
        <v>0</v>
      </c>
      <c r="BS73" s="24" t="n">
        <f aca="false">IF('Food Data'!$AK$71="Cheese",100/'Food Data'!$N$71,0)</f>
        <v>0</v>
      </c>
      <c r="BT73" s="24" t="n">
        <f aca="false">IF('Food Data'!$AK$72="Cheese",100/'Food Data'!$N$72,0)</f>
        <v>0</v>
      </c>
      <c r="BU73" s="24" t="n">
        <f aca="false">IF('Food Data'!$AK$73="Cheese",100/'Food Data'!$N$73,0)</f>
        <v>0</v>
      </c>
      <c r="BV73" s="24" t="n">
        <f aca="false">IF('Food Data'!$AK$74="Cheese",100/'Food Data'!$N$74,0)</f>
        <v>0</v>
      </c>
      <c r="BW73" s="24" t="n">
        <f aca="false">IF('Food Data'!$AK$75="Cheese",100/'Food Data'!$N$75,0)</f>
        <v>0</v>
      </c>
      <c r="BX73" s="24" t="n">
        <f aca="false">IF('Food Data'!$AK$76="Cheese",100/'Food Data'!$N$76,0)</f>
        <v>0</v>
      </c>
      <c r="BY73" s="24" t="n">
        <f aca="false">IF('Food Data'!$AK$77="Cheese",100/'Food Data'!$N$77,0)</f>
        <v>0</v>
      </c>
      <c r="BZ73" s="24" t="n">
        <f aca="false">IF('Food Data'!$AK$78="Cheese",100/'Food Data'!$N$78,0)</f>
        <v>0</v>
      </c>
      <c r="CA73" s="24" t="n">
        <f aca="false">IF('Food Data'!$AK$79="Cheese",100/'Food Data'!$N$79,0)</f>
        <v>0</v>
      </c>
      <c r="CB73" s="24" t="n">
        <f aca="false">IF('Food Data'!$AK$80="Cheese",100/'Food Data'!$N$80,0)</f>
        <v>0</v>
      </c>
      <c r="CC73" s="24" t="n">
        <f aca="false">IF('Food Data'!$AK$81="Cheese",100/'Food Data'!$N$81,0)</f>
        <v>0</v>
      </c>
      <c r="CD73" s="24" t="n">
        <f aca="false">IF('Food Data'!$AK$82="Cheese",100/'Food Data'!$N$82,0)</f>
        <v>0</v>
      </c>
      <c r="CE73" s="24" t="n">
        <f aca="false">IF('Food Data'!$AK$83="Cheese",100/'Food Data'!$N$83,0)</f>
        <v>0</v>
      </c>
      <c r="CF73" s="24" t="n">
        <f aca="false">IF('Food Data'!$AK$84="Cheese",100/'Food Data'!$N$84,0)</f>
        <v>0</v>
      </c>
      <c r="CG73" s="24" t="n">
        <f aca="false">IF('Food Data'!$AK$85="Cheese",100/'Food Data'!$N$85,0)</f>
        <v>0</v>
      </c>
      <c r="CH73" s="24" t="n">
        <f aca="false">IF('Food Data'!$AK$86="Cheese",100/'Food Data'!$N$86,0)</f>
        <v>0</v>
      </c>
      <c r="CI73" s="24" t="n">
        <f aca="false">IF('Food Data'!$AK$87="Cheese",100/'Food Data'!$N$87,0)</f>
        <v>0</v>
      </c>
      <c r="CJ73" s="24" t="n">
        <f aca="false">IF('Food Data'!$AK$88="Cheese",100/'Food Data'!$N$88,0)</f>
        <v>0</v>
      </c>
      <c r="CK73" s="24" t="n">
        <f aca="false">IF('Food Data'!$AK$89="Cheese",100/'Food Data'!$N$89,0)</f>
        <v>0</v>
      </c>
      <c r="CL73" s="24" t="n">
        <f aca="false">IF('Food Data'!$AK$90="Cheese",100/'Food Data'!$N$90,0)</f>
        <v>0</v>
      </c>
      <c r="CM73" s="24" t="n">
        <f aca="false">IF('Food Data'!$AK$91="Cheese",100/'Food Data'!$N$91,0)</f>
        <v>0</v>
      </c>
      <c r="CN73" s="24" t="n">
        <f aca="false">IF('Food Data'!$AK$92="Cheese",100/'Food Data'!$N$92,0)</f>
        <v>0</v>
      </c>
      <c r="CO73" s="24" t="n">
        <f aca="false">IF('Food Data'!$AK$93="Cheese",100/'Food Data'!$N$93,0)</f>
        <v>0</v>
      </c>
      <c r="CP73" s="24" t="n">
        <f aca="false">IF('Food Data'!$AK$94="Cheese",100/'Food Data'!$N$94,0)</f>
        <v>0</v>
      </c>
      <c r="CQ73" s="24" t="n">
        <f aca="false">IF('Food Data'!$AK$95="Cheese",100/'Food Data'!$N$95,0)</f>
        <v>0</v>
      </c>
      <c r="CR73" s="24" t="n">
        <f aca="false">IF('Food Data'!$AK$96="Cheese",100/'Food Data'!$N$96,0)</f>
        <v>0</v>
      </c>
      <c r="CS73" s="24" t="n">
        <f aca="false">IF('Food Data'!$AK$97="Cheese",100/'Food Data'!$N$97,0)</f>
        <v>0</v>
      </c>
      <c r="CT73" s="24" t="n">
        <f aca="false">IF('Food Data'!$AK$98="Cheese",100/'Food Data'!$N$98,0)</f>
        <v>0</v>
      </c>
      <c r="CU73" s="24" t="n">
        <f aca="false">IF('Food Data'!$AK$99="Cheese",100/'Food Data'!$N$99,0)</f>
        <v>0</v>
      </c>
      <c r="CV73" s="24" t="n">
        <f aca="false">IF('Food Data'!$AK$100="Cheese",100/'Food Data'!$N$100,0)</f>
        <v>0</v>
      </c>
      <c r="CW73" s="24" t="n">
        <f aca="false">IF('Food Data'!$AK$101="Cheese",100/'Food Data'!$N$101,0)</f>
        <v>0</v>
      </c>
      <c r="CX73" s="24" t="n">
        <f aca="false">IF('Food Data'!$AK$102="Cheese",100/'Food Data'!$N$102,0)</f>
        <v>0</v>
      </c>
      <c r="CY73" s="24" t="n">
        <f aca="false">IF('Food Data'!$AK$103="Cheese",100/'Food Data'!$N$103,0)</f>
        <v>0</v>
      </c>
      <c r="CZ73" s="24" t="n">
        <f aca="false">IF('Food Data'!$AK$104="Cheese",100/'Food Data'!$N$104,0)</f>
        <v>0</v>
      </c>
      <c r="DA73" s="24" t="n">
        <f aca="false">IF('Food Data'!$AK$105="Cheese",100/'Food Data'!$N$105,0)</f>
        <v>0</v>
      </c>
      <c r="DB73" s="24" t="n">
        <f aca="false">IF('Food Data'!$AK$106="Cheese",100/'Food Data'!$N$106,0)</f>
        <v>0</v>
      </c>
      <c r="DC73" s="24" t="n">
        <f aca="false">IF('Food Data'!$AK$107="Cheese",100/'Food Data'!$N$107,0)</f>
        <v>0</v>
      </c>
      <c r="DD73" s="24" t="n">
        <f aca="false">IF('Food Data'!$AK$108="Cheese",100/'Food Data'!$N$108,0)</f>
        <v>0</v>
      </c>
      <c r="DE73" s="24" t="n">
        <f aca="false">IF('Food Data'!$AK$109="Cheese",100/'Food Data'!$N$109,0)</f>
        <v>0</v>
      </c>
      <c r="DF73" s="24" t="n">
        <f aca="false">IF('Food Data'!$AK$110="Cheese",100/'Food Data'!$N$110,0)</f>
        <v>0</v>
      </c>
      <c r="DG73" s="24" t="n">
        <f aca="false">IF('Food Data'!$AK$111="Cheese",100/'Food Data'!$N$111,0)</f>
        <v>0</v>
      </c>
      <c r="DH73" s="24" t="n">
        <f aca="false">IF('Food Data'!$AK$112="Cheese",100/'Food Data'!$N$112,0)</f>
        <v>0</v>
      </c>
      <c r="DI73" s="24" t="n">
        <f aca="false">IF('Food Data'!$AK$113="Cheese",100/'Food Data'!$N$113,0)</f>
        <v>0</v>
      </c>
      <c r="DJ73" s="24" t="n">
        <f aca="false">IF('Food Data'!$AK$114="Cheese",100/'Food Data'!$N$114,0)</f>
        <v>0</v>
      </c>
      <c r="DK73" s="24" t="n">
        <f aca="false">IF('Food Data'!$AK$115="Cheese",100/'Food Data'!$N$115,0)</f>
        <v>0</v>
      </c>
      <c r="DL73" s="24" t="n">
        <f aca="false">IF('Food Data'!$AK$116="Cheese",100/'Food Data'!$N$116,0)</f>
        <v>0</v>
      </c>
      <c r="DM73" s="24" t="n">
        <f aca="false">IF('Food Data'!$AK$117="Cheese",100/'Food Data'!$N$117,0)</f>
        <v>0</v>
      </c>
      <c r="DN73" s="24" t="n">
        <f aca="false">IF('Food Data'!$AK$118="Cheese",100/'Food Data'!$N$118,0)</f>
        <v>0</v>
      </c>
      <c r="DO73" s="24" t="n">
        <f aca="false">IF('Food Data'!$AK$119="Cheese",100/'Food Data'!$N$119,0)</f>
        <v>0</v>
      </c>
      <c r="DP73" s="24" t="n">
        <f aca="false">IF('Food Data'!$AK$120="Cheese",100/'Food Data'!$N$120,0)</f>
        <v>0</v>
      </c>
      <c r="DQ73" s="24" t="n">
        <f aca="false">IF('Food Data'!$AK$121="Cheese",100/'Food Data'!$N$121,0)</f>
        <v>0</v>
      </c>
      <c r="DR73" s="24" t="n">
        <f aca="false">IF('Food Data'!$AK$122="Cheese",100/'Food Data'!$N$122,0)</f>
        <v>0</v>
      </c>
      <c r="DS73" s="24" t="n">
        <f aca="false">IF('Food Data'!$AK$123="Cheese",100/'Food Data'!$N$123,0)</f>
        <v>0</v>
      </c>
      <c r="DT73" s="24" t="n">
        <f aca="false">IF('Food Data'!$AK$124="Cheese",100/'Food Data'!$N$124,0)</f>
        <v>0</v>
      </c>
      <c r="DU73" s="24" t="n">
        <f aca="false">IF('Food Data'!$AK$125="Cheese",100/'Food Data'!$N$125,0)</f>
        <v>0</v>
      </c>
      <c r="DV73" s="24" t="n">
        <f aca="false">IF('Food Data'!$AK$126="Cheese",100/'Food Data'!$N$126,0)</f>
        <v>0</v>
      </c>
      <c r="DW73" s="24" t="n">
        <f aca="false">IF('Food Data'!$AK$127="Cheese",100/'Food Data'!$N$127,0)</f>
        <v>0</v>
      </c>
      <c r="DX73" s="24" t="n">
        <f aca="false">IF('Food Data'!$AK$128="Cheese",100/'Food Data'!$N$128,0)</f>
        <v>0</v>
      </c>
      <c r="DY73" s="24" t="n">
        <f aca="false">IF('Food Data'!$AK$129="Cheese",100/'Food Data'!$N$129,0)</f>
        <v>0</v>
      </c>
      <c r="DZ73" s="24" t="n">
        <f aca="false">IF('Food Data'!$AK$130="Cheese",100/'Food Data'!$N$130,0)</f>
        <v>0</v>
      </c>
      <c r="EA73" s="24" t="n">
        <f aca="false">IF('Food Data'!$AK$131="Cheese",100/'Food Data'!$N$131,0)</f>
        <v>0</v>
      </c>
      <c r="EB73" s="24" t="n">
        <f aca="false">IF('Food Data'!$AK$132="Cheese",100/'Food Data'!$N$132,0)</f>
        <v>0</v>
      </c>
      <c r="EC73" s="24" t="n">
        <f aca="false">IF('Food Data'!$AK$133="Cheese",100/'Food Data'!$N$133,0)</f>
        <v>0</v>
      </c>
      <c r="ED73" s="24" t="n">
        <f aca="false">IF('Food Data'!$AK$134="Cheese",100/'Food Data'!$N$134,0)</f>
        <v>0</v>
      </c>
      <c r="EE73" s="24" t="n">
        <f aca="false">IF('Food Data'!$AK$135="Cheese",100/'Food Data'!$N$135,0)</f>
        <v>0</v>
      </c>
      <c r="EF73" s="24" t="n">
        <f aca="false">IF('Food Data'!$AK$136="Cheese",100/'Food Data'!$N$136,0)</f>
        <v>0</v>
      </c>
      <c r="EG73" s="24" t="n">
        <f aca="false">IF('Food Data'!$AK$137="Cheese",100/'Food Data'!$N$137,0)</f>
        <v>0</v>
      </c>
      <c r="EH73" s="24" t="n">
        <f aca="false">IF('Food Data'!$AK$138="Cheese",100/'Food Data'!$N$138,0)</f>
        <v>0</v>
      </c>
      <c r="EI73" s="24" t="n">
        <f aca="false">IF('Food Data'!$AK$139="Cheese",100/'Food Data'!$N$139,0)</f>
        <v>0</v>
      </c>
      <c r="EJ73" s="24" t="n">
        <f aca="false">IF('Food Data'!$AK$140="Cheese",100/'Food Data'!$N$140,0)</f>
        <v>0</v>
      </c>
      <c r="EK73" s="24" t="n">
        <f aca="false">IF('Food Data'!$AK$141="Cheese",100/'Food Data'!$N$141,0)</f>
        <v>0</v>
      </c>
      <c r="EL73" s="24" t="n">
        <f aca="false">IF('Food Data'!$AK$142="Cheese",100/'Food Data'!$N$142,0)</f>
        <v>0</v>
      </c>
      <c r="EM73" s="24" t="n">
        <f aca="false">IF('Food Data'!$AK$143="Cheese",100/'Food Data'!$N$143,0)</f>
        <v>0</v>
      </c>
      <c r="EN73" s="24" t="n">
        <f aca="false">IF('Food Data'!$AK$144="Cheese",100/'Food Data'!$N$144,0)</f>
        <v>0</v>
      </c>
      <c r="EO73" s="24" t="n">
        <f aca="false">IF('Food Data'!$AK$145="Cheese",100/'Food Data'!$N$145,0)</f>
        <v>0</v>
      </c>
      <c r="EP73" s="24" t="n">
        <f aca="false">IF('Food Data'!$AK$146="Cheese",100/'Food Data'!$N$146,0)</f>
        <v>0</v>
      </c>
      <c r="EQ73" s="24" t="n">
        <f aca="false">IF('Food Data'!$AK$147="Cheese",100/'Food Data'!$N$147,0)</f>
        <v>0</v>
      </c>
      <c r="ER73" s="24" t="n">
        <f aca="false">IF('Food Data'!$AK$148="Cheese",100/'Food Data'!$N$148,0)</f>
        <v>0</v>
      </c>
      <c r="ES73" s="24" t="n">
        <f aca="false">IF('Food Data'!$AK$149="Cheese",100/'Food Data'!$N$149,0)</f>
        <v>0</v>
      </c>
      <c r="ET73" s="24" t="n">
        <f aca="false">IF('Food Data'!$AK$150="Cheese",100/'Food Data'!$N$150,0)</f>
        <v>0</v>
      </c>
      <c r="EU73" s="24" t="n">
        <f aca="false">IF('Food Data'!$AK$151="Cheese",100/'Food Data'!$N$151,0)</f>
        <v>0</v>
      </c>
    </row>
    <row r="74" customFormat="false" ht="15" hidden="false" customHeight="false" outlineLevel="0" collapsed="false">
      <c r="A74" s="4" t="s">
        <v>1013</v>
      </c>
      <c r="B74" s="75" t="s">
        <v>1010</v>
      </c>
      <c r="C74" s="76" t="n">
        <f aca="false">Planner!$C$54</f>
        <v>9</v>
      </c>
      <c r="D74" s="77" t="n">
        <v>7.54954358012967</v>
      </c>
      <c r="E74" s="75" t="str">
        <f aca="false">IF(D74&lt;=C74+0.000001*MAX(1,ABS(C74)),IF(ABS(D74-C74)&lt;=0.000001*MAX(1,ABS(C74)),"tight","ok"),"VIOLATED")</f>
        <v>ok</v>
      </c>
      <c r="F74" s="24" t="n">
        <f aca="false">IF('Food Data'!$AK$6="Grains &amp; bread",100/'Food Data'!$N$6,0)</f>
        <v>0</v>
      </c>
      <c r="G74" s="24" t="n">
        <f aca="false">IF('Food Data'!$AK$7="Grains &amp; bread",100/'Food Data'!$N$7,0)</f>
        <v>0</v>
      </c>
      <c r="H74" s="24" t="n">
        <f aca="false">IF('Food Data'!$AK$8="Grains &amp; bread",100/'Food Data'!$N$8,0)</f>
        <v>0</v>
      </c>
      <c r="I74" s="24" t="n">
        <f aca="false">IF('Food Data'!$AK$9="Grains &amp; bread",100/'Food Data'!$N$9,0)</f>
        <v>0</v>
      </c>
      <c r="J74" s="24" t="n">
        <f aca="false">IF('Food Data'!$AK$10="Grains &amp; bread",100/'Food Data'!$N$10,0)</f>
        <v>0</v>
      </c>
      <c r="K74" s="24" t="n">
        <f aca="false">IF('Food Data'!$AK$11="Grains &amp; bread",100/'Food Data'!$N$11,0)</f>
        <v>0</v>
      </c>
      <c r="L74" s="24" t="n">
        <f aca="false">IF('Food Data'!$AK$12="Grains &amp; bread",100/'Food Data'!$N$12,0)</f>
        <v>0</v>
      </c>
      <c r="M74" s="24" t="n">
        <f aca="false">IF('Food Data'!$AK$13="Grains &amp; bread",100/'Food Data'!$N$13,0)</f>
        <v>0</v>
      </c>
      <c r="N74" s="24" t="n">
        <f aca="false">IF('Food Data'!$AK$14="Grains &amp; bread",100/'Food Data'!$N$14,0)</f>
        <v>0</v>
      </c>
      <c r="O74" s="24" t="n">
        <f aca="false">IF('Food Data'!$AK$15="Grains &amp; bread",100/'Food Data'!$N$15,0)</f>
        <v>0</v>
      </c>
      <c r="P74" s="24" t="n">
        <f aca="false">IF('Food Data'!$AK$16="Grains &amp; bread",100/'Food Data'!$N$16,0)</f>
        <v>0</v>
      </c>
      <c r="Q74" s="24" t="n">
        <f aca="false">IF('Food Data'!$AK$17="Grains &amp; bread",100/'Food Data'!$N$17,0)</f>
        <v>0</v>
      </c>
      <c r="R74" s="24" t="n">
        <f aca="false">IF('Food Data'!$AK$18="Grains &amp; bread",100/'Food Data'!$N$18,0)</f>
        <v>0</v>
      </c>
      <c r="S74" s="24" t="n">
        <f aca="false">IF('Food Data'!$AK$19="Grains &amp; bread",100/'Food Data'!$N$19,0)</f>
        <v>0</v>
      </c>
      <c r="T74" s="24" t="n">
        <f aca="false">IF('Food Data'!$AK$20="Grains &amp; bread",100/'Food Data'!$N$20,0)</f>
        <v>0</v>
      </c>
      <c r="U74" s="24" t="n">
        <f aca="false">IF('Food Data'!$AK$21="Grains &amp; bread",100/'Food Data'!$N$21,0)</f>
        <v>0</v>
      </c>
      <c r="V74" s="24" t="n">
        <f aca="false">IF('Food Data'!$AK$22="Grains &amp; bread",100/'Food Data'!$N$22,0)</f>
        <v>0</v>
      </c>
      <c r="W74" s="24" t="n">
        <f aca="false">IF('Food Data'!$AK$23="Grains &amp; bread",100/'Food Data'!$N$23,0)</f>
        <v>0</v>
      </c>
      <c r="X74" s="24" t="n">
        <f aca="false">IF('Food Data'!$AK$24="Grains &amp; bread",100/'Food Data'!$N$24,0)</f>
        <v>0</v>
      </c>
      <c r="Y74" s="24" t="n">
        <f aca="false">IF('Food Data'!$AK$25="Grains &amp; bread",100/'Food Data'!$N$25,0)</f>
        <v>0</v>
      </c>
      <c r="Z74" s="24" t="n">
        <f aca="false">IF('Food Data'!$AK$26="Grains &amp; bread",100/'Food Data'!$N$26,0)</f>
        <v>0</v>
      </c>
      <c r="AA74" s="24" t="n">
        <f aca="false">IF('Food Data'!$AK$27="Grains &amp; bread",100/'Food Data'!$N$27,0)</f>
        <v>0</v>
      </c>
      <c r="AB74" s="24" t="n">
        <f aca="false">IF('Food Data'!$AK$28="Grains &amp; bread",100/'Food Data'!$N$28,0)</f>
        <v>0</v>
      </c>
      <c r="AC74" s="24" t="n">
        <f aca="false">IF('Food Data'!$AK$29="Grains &amp; bread",100/'Food Data'!$N$29,0)</f>
        <v>0</v>
      </c>
      <c r="AD74" s="24" t="n">
        <f aca="false">IF('Food Data'!$AK$30="Grains &amp; bread",100/'Food Data'!$N$30,0)</f>
        <v>0</v>
      </c>
      <c r="AE74" s="24" t="n">
        <f aca="false">IF('Food Data'!$AK$31="Grains &amp; bread",100/'Food Data'!$N$31,0)</f>
        <v>0</v>
      </c>
      <c r="AF74" s="24" t="n">
        <f aca="false">IF('Food Data'!$AK$32="Grains &amp; bread",100/'Food Data'!$N$32,0)</f>
        <v>0</v>
      </c>
      <c r="AG74" s="24" t="n">
        <f aca="false">IF('Food Data'!$AK$33="Grains &amp; bread",100/'Food Data'!$N$33,0)</f>
        <v>0</v>
      </c>
      <c r="AH74" s="24" t="n">
        <f aca="false">IF('Food Data'!$AK$34="Grains &amp; bread",100/'Food Data'!$N$34,0)</f>
        <v>0</v>
      </c>
      <c r="AI74" s="24" t="n">
        <f aca="false">IF('Food Data'!$AK$35="Grains &amp; bread",100/'Food Data'!$N$35,0)</f>
        <v>0</v>
      </c>
      <c r="AJ74" s="24" t="n">
        <f aca="false">IF('Food Data'!$AK$36="Grains &amp; bread",100/'Food Data'!$N$36,0)</f>
        <v>0</v>
      </c>
      <c r="AK74" s="24" t="n">
        <f aca="false">IF('Food Data'!$AK$37="Grains &amp; bread",100/'Food Data'!$N$37,0)</f>
        <v>0</v>
      </c>
      <c r="AL74" s="24" t="n">
        <f aca="false">IF('Food Data'!$AK$38="Grains &amp; bread",100/'Food Data'!$N$38,0)</f>
        <v>0</v>
      </c>
      <c r="AM74" s="24" t="n">
        <f aca="false">IF('Food Data'!$AK$39="Grains &amp; bread",100/'Food Data'!$N$39,0)</f>
        <v>0</v>
      </c>
      <c r="AN74" s="24" t="n">
        <f aca="false">IF('Food Data'!$AK$40="Grains &amp; bread",100/'Food Data'!$N$40,0)</f>
        <v>0</v>
      </c>
      <c r="AO74" s="24" t="n">
        <f aca="false">IF('Food Data'!$AK$41="Grains &amp; bread",100/'Food Data'!$N$41,0)</f>
        <v>0</v>
      </c>
      <c r="AP74" s="24" t="n">
        <f aca="false">IF('Food Data'!$AK$42="Grains &amp; bread",100/'Food Data'!$N$42,0)</f>
        <v>0</v>
      </c>
      <c r="AQ74" s="24" t="n">
        <f aca="false">IF('Food Data'!$AK$43="Grains &amp; bread",100/'Food Data'!$N$43,0)</f>
        <v>0</v>
      </c>
      <c r="AR74" s="24" t="n">
        <f aca="false">IF('Food Data'!$AK$44="Grains &amp; bread",100/'Food Data'!$N$44,0)</f>
        <v>0</v>
      </c>
      <c r="AS74" s="24" t="n">
        <f aca="false">IF('Food Data'!$AK$45="Grains &amp; bread",100/'Food Data'!$N$45,0)</f>
        <v>0</v>
      </c>
      <c r="AT74" s="24" t="n">
        <f aca="false">IF('Food Data'!$AK$46="Grains &amp; bread",100/'Food Data'!$N$46,0)</f>
        <v>0</v>
      </c>
      <c r="AU74" s="24" t="n">
        <f aca="false">IF('Food Data'!$AK$47="Grains &amp; bread",100/'Food Data'!$N$47,0)</f>
        <v>0</v>
      </c>
      <c r="AV74" s="24" t="n">
        <f aca="false">IF('Food Data'!$AK$48="Grains &amp; bread",100/'Food Data'!$N$48,0)</f>
        <v>0</v>
      </c>
      <c r="AW74" s="24" t="n">
        <f aca="false">IF('Food Data'!$AK$49="Grains &amp; bread",100/'Food Data'!$N$49,0)</f>
        <v>0</v>
      </c>
      <c r="AX74" s="24" t="n">
        <f aca="false">IF('Food Data'!$AK$50="Grains &amp; bread",100/'Food Data'!$N$50,0)</f>
        <v>1.06382978723404</v>
      </c>
      <c r="AY74" s="24" t="n">
        <f aca="false">IF('Food Data'!$AK$51="Grains &amp; bread",100/'Food Data'!$N$51,0)</f>
        <v>2.17391304347826</v>
      </c>
      <c r="AZ74" s="24" t="n">
        <f aca="false">IF('Food Data'!$AK$52="Grains &amp; bread",100/'Food Data'!$N$52,0)</f>
        <v>3.57142857142857</v>
      </c>
      <c r="BA74" s="24" t="n">
        <f aca="false">IF('Food Data'!$AK$53="Grains &amp; bread",100/'Food Data'!$N$53,0)</f>
        <v>3.84615384615385</v>
      </c>
      <c r="BB74" s="24" t="n">
        <f aca="false">IF('Food Data'!$AK$54="Grains &amp; bread",100/'Food Data'!$N$54,0)</f>
        <v>2.22222222222222</v>
      </c>
      <c r="BC74" s="24" t="n">
        <f aca="false">IF('Food Data'!$AK$55="Grains &amp; bread",100/'Food Data'!$N$55,0)</f>
        <v>2.32558139534884</v>
      </c>
      <c r="BD74" s="24" t="n">
        <f aca="false">IF('Food Data'!$AK$56="Grains &amp; bread",100/'Food Data'!$N$56,0)</f>
        <v>2.5</v>
      </c>
      <c r="BE74" s="24" t="n">
        <f aca="false">IF('Food Data'!$AK$57="Grains &amp; bread",100/'Food Data'!$N$57,0)</f>
        <v>1.75438596491228</v>
      </c>
      <c r="BF74" s="24" t="n">
        <f aca="false">IF('Food Data'!$AK$58="Grains &amp; bread",100/'Food Data'!$N$58,0)</f>
        <v>3.57142857142857</v>
      </c>
      <c r="BG74" s="24" t="n">
        <f aca="false">IF('Food Data'!$AK$59="Grains &amp; bread",100/'Food Data'!$N$59,0)</f>
        <v>2.17391304347826</v>
      </c>
      <c r="BH74" s="24" t="n">
        <f aca="false">IF('Food Data'!$AK$60="Grains &amp; bread",100/'Food Data'!$N$60,0)</f>
        <v>3.125</v>
      </c>
      <c r="BI74" s="24" t="n">
        <f aca="false">IF('Food Data'!$AK$61="Grains &amp; bread",100/'Food Data'!$N$61,0)</f>
        <v>1.75438596491228</v>
      </c>
      <c r="BJ74" s="24" t="n">
        <f aca="false">IF('Food Data'!$AK$62="Grains &amp; bread",100/'Food Data'!$N$62,0)</f>
        <v>0</v>
      </c>
      <c r="BK74" s="24" t="n">
        <f aca="false">IF('Food Data'!$AK$63="Grains &amp; bread",100/'Food Data'!$N$63,0)</f>
        <v>0</v>
      </c>
      <c r="BL74" s="24" t="n">
        <f aca="false">IF('Food Data'!$AK$64="Grains &amp; bread",100/'Food Data'!$N$64,0)</f>
        <v>0</v>
      </c>
      <c r="BM74" s="24" t="n">
        <f aca="false">IF('Food Data'!$AK$65="Grains &amp; bread",100/'Food Data'!$N$65,0)</f>
        <v>0</v>
      </c>
      <c r="BN74" s="24" t="n">
        <f aca="false">IF('Food Data'!$AK$66="Grains &amp; bread",100/'Food Data'!$N$66,0)</f>
        <v>0</v>
      </c>
      <c r="BO74" s="24" t="n">
        <f aca="false">IF('Food Data'!$AK$67="Grains &amp; bread",100/'Food Data'!$N$67,0)</f>
        <v>0</v>
      </c>
      <c r="BP74" s="24" t="n">
        <f aca="false">IF('Food Data'!$AK$68="Grains &amp; bread",100/'Food Data'!$N$68,0)</f>
        <v>0</v>
      </c>
      <c r="BQ74" s="24" t="n">
        <f aca="false">IF('Food Data'!$AK$69="Grains &amp; bread",100/'Food Data'!$N$69,0)</f>
        <v>0</v>
      </c>
      <c r="BR74" s="24" t="n">
        <f aca="false">IF('Food Data'!$AK$70="Grains &amp; bread",100/'Food Data'!$N$70,0)</f>
        <v>0</v>
      </c>
      <c r="BS74" s="24" t="n">
        <f aca="false">IF('Food Data'!$AK$71="Grains &amp; bread",100/'Food Data'!$N$71,0)</f>
        <v>0</v>
      </c>
      <c r="BT74" s="24" t="n">
        <f aca="false">IF('Food Data'!$AK$72="Grains &amp; bread",100/'Food Data'!$N$72,0)</f>
        <v>0</v>
      </c>
      <c r="BU74" s="24" t="n">
        <f aca="false">IF('Food Data'!$AK$73="Grains &amp; bread",100/'Food Data'!$N$73,0)</f>
        <v>0</v>
      </c>
      <c r="BV74" s="24" t="n">
        <f aca="false">IF('Food Data'!$AK$74="Grains &amp; bread",100/'Food Data'!$N$74,0)</f>
        <v>0</v>
      </c>
      <c r="BW74" s="24" t="n">
        <f aca="false">IF('Food Data'!$AK$75="Grains &amp; bread",100/'Food Data'!$N$75,0)</f>
        <v>0</v>
      </c>
      <c r="BX74" s="24" t="n">
        <f aca="false">IF('Food Data'!$AK$76="Grains &amp; bread",100/'Food Data'!$N$76,0)</f>
        <v>0</v>
      </c>
      <c r="BY74" s="24" t="n">
        <f aca="false">IF('Food Data'!$AK$77="Grains &amp; bread",100/'Food Data'!$N$77,0)</f>
        <v>0</v>
      </c>
      <c r="BZ74" s="24" t="n">
        <f aca="false">IF('Food Data'!$AK$78="Grains &amp; bread",100/'Food Data'!$N$78,0)</f>
        <v>0</v>
      </c>
      <c r="CA74" s="24" t="n">
        <f aca="false">IF('Food Data'!$AK$79="Grains &amp; bread",100/'Food Data'!$N$79,0)</f>
        <v>0</v>
      </c>
      <c r="CB74" s="24" t="n">
        <f aca="false">IF('Food Data'!$AK$80="Grains &amp; bread",100/'Food Data'!$N$80,0)</f>
        <v>0</v>
      </c>
      <c r="CC74" s="24" t="n">
        <f aca="false">IF('Food Data'!$AK$81="Grains &amp; bread",100/'Food Data'!$N$81,0)</f>
        <v>0</v>
      </c>
      <c r="CD74" s="24" t="n">
        <f aca="false">IF('Food Data'!$AK$82="Grains &amp; bread",100/'Food Data'!$N$82,0)</f>
        <v>0</v>
      </c>
      <c r="CE74" s="24" t="n">
        <f aca="false">IF('Food Data'!$AK$83="Grains &amp; bread",100/'Food Data'!$N$83,0)</f>
        <v>0</v>
      </c>
      <c r="CF74" s="24" t="n">
        <f aca="false">IF('Food Data'!$AK$84="Grains &amp; bread",100/'Food Data'!$N$84,0)</f>
        <v>0</v>
      </c>
      <c r="CG74" s="24" t="n">
        <f aca="false">IF('Food Data'!$AK$85="Grains &amp; bread",100/'Food Data'!$N$85,0)</f>
        <v>0</v>
      </c>
      <c r="CH74" s="24" t="n">
        <f aca="false">IF('Food Data'!$AK$86="Grains &amp; bread",100/'Food Data'!$N$86,0)</f>
        <v>0</v>
      </c>
      <c r="CI74" s="24" t="n">
        <f aca="false">IF('Food Data'!$AK$87="Grains &amp; bread",100/'Food Data'!$N$87,0)</f>
        <v>0</v>
      </c>
      <c r="CJ74" s="24" t="n">
        <f aca="false">IF('Food Data'!$AK$88="Grains &amp; bread",100/'Food Data'!$N$88,0)</f>
        <v>0</v>
      </c>
      <c r="CK74" s="24" t="n">
        <f aca="false">IF('Food Data'!$AK$89="Grains &amp; bread",100/'Food Data'!$N$89,0)</f>
        <v>0</v>
      </c>
      <c r="CL74" s="24" t="n">
        <f aca="false">IF('Food Data'!$AK$90="Grains &amp; bread",100/'Food Data'!$N$90,0)</f>
        <v>0</v>
      </c>
      <c r="CM74" s="24" t="n">
        <f aca="false">IF('Food Data'!$AK$91="Grains &amp; bread",100/'Food Data'!$N$91,0)</f>
        <v>0</v>
      </c>
      <c r="CN74" s="24" t="n">
        <f aca="false">IF('Food Data'!$AK$92="Grains &amp; bread",100/'Food Data'!$N$92,0)</f>
        <v>0</v>
      </c>
      <c r="CO74" s="24" t="n">
        <f aca="false">IF('Food Data'!$AK$93="Grains &amp; bread",100/'Food Data'!$N$93,0)</f>
        <v>0</v>
      </c>
      <c r="CP74" s="24" t="n">
        <f aca="false">IF('Food Data'!$AK$94="Grains &amp; bread",100/'Food Data'!$N$94,0)</f>
        <v>0</v>
      </c>
      <c r="CQ74" s="24" t="n">
        <f aca="false">IF('Food Data'!$AK$95="Grains &amp; bread",100/'Food Data'!$N$95,0)</f>
        <v>0</v>
      </c>
      <c r="CR74" s="24" t="n">
        <f aca="false">IF('Food Data'!$AK$96="Grains &amp; bread",100/'Food Data'!$N$96,0)</f>
        <v>0</v>
      </c>
      <c r="CS74" s="24" t="n">
        <f aca="false">IF('Food Data'!$AK$97="Grains &amp; bread",100/'Food Data'!$N$97,0)</f>
        <v>0</v>
      </c>
      <c r="CT74" s="24" t="n">
        <f aca="false">IF('Food Data'!$AK$98="Grains &amp; bread",100/'Food Data'!$N$98,0)</f>
        <v>0</v>
      </c>
      <c r="CU74" s="24" t="n">
        <f aca="false">IF('Food Data'!$AK$99="Grains &amp; bread",100/'Food Data'!$N$99,0)</f>
        <v>0</v>
      </c>
      <c r="CV74" s="24" t="n">
        <f aca="false">IF('Food Data'!$AK$100="Grains &amp; bread",100/'Food Data'!$N$100,0)</f>
        <v>0</v>
      </c>
      <c r="CW74" s="24" t="n">
        <f aca="false">IF('Food Data'!$AK$101="Grains &amp; bread",100/'Food Data'!$N$101,0)</f>
        <v>0</v>
      </c>
      <c r="CX74" s="24" t="n">
        <f aca="false">IF('Food Data'!$AK$102="Grains &amp; bread",100/'Food Data'!$N$102,0)</f>
        <v>0</v>
      </c>
      <c r="CY74" s="24" t="n">
        <f aca="false">IF('Food Data'!$AK$103="Grains &amp; bread",100/'Food Data'!$N$103,0)</f>
        <v>0</v>
      </c>
      <c r="CZ74" s="24" t="n">
        <f aca="false">IF('Food Data'!$AK$104="Grains &amp; bread",100/'Food Data'!$N$104,0)</f>
        <v>0</v>
      </c>
      <c r="DA74" s="24" t="n">
        <f aca="false">IF('Food Data'!$AK$105="Grains &amp; bread",100/'Food Data'!$N$105,0)</f>
        <v>0</v>
      </c>
      <c r="DB74" s="24" t="n">
        <f aca="false">IF('Food Data'!$AK$106="Grains &amp; bread",100/'Food Data'!$N$106,0)</f>
        <v>0</v>
      </c>
      <c r="DC74" s="24" t="n">
        <f aca="false">IF('Food Data'!$AK$107="Grains &amp; bread",100/'Food Data'!$N$107,0)</f>
        <v>0</v>
      </c>
      <c r="DD74" s="24" t="n">
        <f aca="false">IF('Food Data'!$AK$108="Grains &amp; bread",100/'Food Data'!$N$108,0)</f>
        <v>0</v>
      </c>
      <c r="DE74" s="24" t="n">
        <f aca="false">IF('Food Data'!$AK$109="Grains &amp; bread",100/'Food Data'!$N$109,0)</f>
        <v>0</v>
      </c>
      <c r="DF74" s="24" t="n">
        <f aca="false">IF('Food Data'!$AK$110="Grains &amp; bread",100/'Food Data'!$N$110,0)</f>
        <v>0</v>
      </c>
      <c r="DG74" s="24" t="n">
        <f aca="false">IF('Food Data'!$AK$111="Grains &amp; bread",100/'Food Data'!$N$111,0)</f>
        <v>0</v>
      </c>
      <c r="DH74" s="24" t="n">
        <f aca="false">IF('Food Data'!$AK$112="Grains &amp; bread",100/'Food Data'!$N$112,0)</f>
        <v>0</v>
      </c>
      <c r="DI74" s="24" t="n">
        <f aca="false">IF('Food Data'!$AK$113="Grains &amp; bread",100/'Food Data'!$N$113,0)</f>
        <v>0</v>
      </c>
      <c r="DJ74" s="24" t="n">
        <f aca="false">IF('Food Data'!$AK$114="Grains &amp; bread",100/'Food Data'!$N$114,0)</f>
        <v>0</v>
      </c>
      <c r="DK74" s="24" t="n">
        <f aca="false">IF('Food Data'!$AK$115="Grains &amp; bread",100/'Food Data'!$N$115,0)</f>
        <v>0</v>
      </c>
      <c r="DL74" s="24" t="n">
        <f aca="false">IF('Food Data'!$AK$116="Grains &amp; bread",100/'Food Data'!$N$116,0)</f>
        <v>0</v>
      </c>
      <c r="DM74" s="24" t="n">
        <f aca="false">IF('Food Data'!$AK$117="Grains &amp; bread",100/'Food Data'!$N$117,0)</f>
        <v>0</v>
      </c>
      <c r="DN74" s="24" t="n">
        <f aca="false">IF('Food Data'!$AK$118="Grains &amp; bread",100/'Food Data'!$N$118,0)</f>
        <v>0</v>
      </c>
      <c r="DO74" s="24" t="n">
        <f aca="false">IF('Food Data'!$AK$119="Grains &amp; bread",100/'Food Data'!$N$119,0)</f>
        <v>0</v>
      </c>
      <c r="DP74" s="24" t="n">
        <f aca="false">IF('Food Data'!$AK$120="Grains &amp; bread",100/'Food Data'!$N$120,0)</f>
        <v>0</v>
      </c>
      <c r="DQ74" s="24" t="n">
        <f aca="false">IF('Food Data'!$AK$121="Grains &amp; bread",100/'Food Data'!$N$121,0)</f>
        <v>0</v>
      </c>
      <c r="DR74" s="24" t="n">
        <f aca="false">IF('Food Data'!$AK$122="Grains &amp; bread",100/'Food Data'!$N$122,0)</f>
        <v>0</v>
      </c>
      <c r="DS74" s="24" t="n">
        <f aca="false">IF('Food Data'!$AK$123="Grains &amp; bread",100/'Food Data'!$N$123,0)</f>
        <v>0</v>
      </c>
      <c r="DT74" s="24" t="n">
        <f aca="false">IF('Food Data'!$AK$124="Grains &amp; bread",100/'Food Data'!$N$124,0)</f>
        <v>0</v>
      </c>
      <c r="DU74" s="24" t="n">
        <f aca="false">IF('Food Data'!$AK$125="Grains &amp; bread",100/'Food Data'!$N$125,0)</f>
        <v>0</v>
      </c>
      <c r="DV74" s="24" t="n">
        <f aca="false">IF('Food Data'!$AK$126="Grains &amp; bread",100/'Food Data'!$N$126,0)</f>
        <v>0</v>
      </c>
      <c r="DW74" s="24" t="n">
        <f aca="false">IF('Food Data'!$AK$127="Grains &amp; bread",100/'Food Data'!$N$127,0)</f>
        <v>0</v>
      </c>
      <c r="DX74" s="24" t="n">
        <f aca="false">IF('Food Data'!$AK$128="Grains &amp; bread",100/'Food Data'!$N$128,0)</f>
        <v>0</v>
      </c>
      <c r="DY74" s="24" t="n">
        <f aca="false">IF('Food Data'!$AK$129="Grains &amp; bread",100/'Food Data'!$N$129,0)</f>
        <v>0</v>
      </c>
      <c r="DZ74" s="24" t="n">
        <f aca="false">IF('Food Data'!$AK$130="Grains &amp; bread",100/'Food Data'!$N$130,0)</f>
        <v>0</v>
      </c>
      <c r="EA74" s="24" t="n">
        <f aca="false">IF('Food Data'!$AK$131="Grains &amp; bread",100/'Food Data'!$N$131,0)</f>
        <v>0</v>
      </c>
      <c r="EB74" s="24" t="n">
        <f aca="false">IF('Food Data'!$AK$132="Grains &amp; bread",100/'Food Data'!$N$132,0)</f>
        <v>0</v>
      </c>
      <c r="EC74" s="24" t="n">
        <f aca="false">IF('Food Data'!$AK$133="Grains &amp; bread",100/'Food Data'!$N$133,0)</f>
        <v>0</v>
      </c>
      <c r="ED74" s="24" t="n">
        <f aca="false">IF('Food Data'!$AK$134="Grains &amp; bread",100/'Food Data'!$N$134,0)</f>
        <v>0</v>
      </c>
      <c r="EE74" s="24" t="n">
        <f aca="false">IF('Food Data'!$AK$135="Grains &amp; bread",100/'Food Data'!$N$135,0)</f>
        <v>0</v>
      </c>
      <c r="EF74" s="24" t="n">
        <f aca="false">IF('Food Data'!$AK$136="Grains &amp; bread",100/'Food Data'!$N$136,0)</f>
        <v>0</v>
      </c>
      <c r="EG74" s="24" t="n">
        <f aca="false">IF('Food Data'!$AK$137="Grains &amp; bread",100/'Food Data'!$N$137,0)</f>
        <v>0</v>
      </c>
      <c r="EH74" s="24" t="n">
        <f aca="false">IF('Food Data'!$AK$138="Grains &amp; bread",100/'Food Data'!$N$138,0)</f>
        <v>0</v>
      </c>
      <c r="EI74" s="24" t="n">
        <f aca="false">IF('Food Data'!$AK$139="Grains &amp; bread",100/'Food Data'!$N$139,0)</f>
        <v>0</v>
      </c>
      <c r="EJ74" s="24" t="n">
        <f aca="false">IF('Food Data'!$AK$140="Grains &amp; bread",100/'Food Data'!$N$140,0)</f>
        <v>0</v>
      </c>
      <c r="EK74" s="24" t="n">
        <f aca="false">IF('Food Data'!$AK$141="Grains &amp; bread",100/'Food Data'!$N$141,0)</f>
        <v>0</v>
      </c>
      <c r="EL74" s="24" t="n">
        <f aca="false">IF('Food Data'!$AK$142="Grains &amp; bread",100/'Food Data'!$N$142,0)</f>
        <v>0</v>
      </c>
      <c r="EM74" s="24" t="n">
        <f aca="false">IF('Food Data'!$AK$143="Grains &amp; bread",100/'Food Data'!$N$143,0)</f>
        <v>0</v>
      </c>
      <c r="EN74" s="24" t="n">
        <f aca="false">IF('Food Data'!$AK$144="Grains &amp; bread",100/'Food Data'!$N$144,0)</f>
        <v>0</v>
      </c>
      <c r="EO74" s="24" t="n">
        <f aca="false">IF('Food Data'!$AK$145="Grains &amp; bread",100/'Food Data'!$N$145,0)</f>
        <v>0</v>
      </c>
      <c r="EP74" s="24" t="n">
        <f aca="false">IF('Food Data'!$AK$146="Grains &amp; bread",100/'Food Data'!$N$146,0)</f>
        <v>0</v>
      </c>
      <c r="EQ74" s="24" t="n">
        <f aca="false">IF('Food Data'!$AK$147="Grains &amp; bread",100/'Food Data'!$N$147,0)</f>
        <v>0</v>
      </c>
      <c r="ER74" s="24" t="n">
        <f aca="false">IF('Food Data'!$AK$148="Grains &amp; bread",100/'Food Data'!$N$148,0)</f>
        <v>0</v>
      </c>
      <c r="ES74" s="24" t="n">
        <f aca="false">IF('Food Data'!$AK$149="Grains &amp; bread",100/'Food Data'!$N$149,0)</f>
        <v>0</v>
      </c>
      <c r="ET74" s="24" t="n">
        <f aca="false">IF('Food Data'!$AK$150="Grains &amp; bread",100/'Food Data'!$N$150,0)</f>
        <v>0</v>
      </c>
      <c r="EU74" s="24" t="n">
        <f aca="false">IF('Food Data'!$AK$151="Grains &amp; bread",100/'Food Data'!$N$151,0)</f>
        <v>0</v>
      </c>
    </row>
    <row r="75" customFormat="false" ht="15" hidden="false" customHeight="false" outlineLevel="0" collapsed="false">
      <c r="A75" s="4" t="s">
        <v>1014</v>
      </c>
      <c r="B75" s="75" t="s">
        <v>1010</v>
      </c>
      <c r="C75" s="76" t="n">
        <f aca="false">Planner!$C$55</f>
        <v>4</v>
      </c>
      <c r="D75" s="77" t="n">
        <v>0</v>
      </c>
      <c r="E75" s="75" t="str">
        <f aca="false">IF(D75&lt;=C75+0.000001*MAX(1,ABS(C75)),IF(ABS(D75-C75)&lt;=0.000001*MAX(1,ABS(C75)),"tight","ok"),"VIOLATED")</f>
        <v>ok</v>
      </c>
      <c r="F75" s="24" t="n">
        <f aca="false">IF('Food Data'!$AK$6="Oils &amp; butter",100/'Food Data'!$N$6,0)</f>
        <v>0</v>
      </c>
      <c r="G75" s="24" t="n">
        <f aca="false">IF('Food Data'!$AK$7="Oils &amp; butter",100/'Food Data'!$N$7,0)</f>
        <v>0</v>
      </c>
      <c r="H75" s="24" t="n">
        <f aca="false">IF('Food Data'!$AK$8="Oils &amp; butter",100/'Food Data'!$N$8,0)</f>
        <v>0</v>
      </c>
      <c r="I75" s="24" t="n">
        <f aca="false">IF('Food Data'!$AK$9="Oils &amp; butter",100/'Food Data'!$N$9,0)</f>
        <v>0</v>
      </c>
      <c r="J75" s="24" t="n">
        <f aca="false">IF('Food Data'!$AK$10="Oils &amp; butter",100/'Food Data'!$N$10,0)</f>
        <v>0</v>
      </c>
      <c r="K75" s="24" t="n">
        <f aca="false">IF('Food Data'!$AK$11="Oils &amp; butter",100/'Food Data'!$N$11,0)</f>
        <v>0</v>
      </c>
      <c r="L75" s="24" t="n">
        <f aca="false">IF('Food Data'!$AK$12="Oils &amp; butter",100/'Food Data'!$N$12,0)</f>
        <v>0</v>
      </c>
      <c r="M75" s="24" t="n">
        <f aca="false">IF('Food Data'!$AK$13="Oils &amp; butter",100/'Food Data'!$N$13,0)</f>
        <v>0</v>
      </c>
      <c r="N75" s="24" t="n">
        <f aca="false">IF('Food Data'!$AK$14="Oils &amp; butter",100/'Food Data'!$N$14,0)</f>
        <v>0</v>
      </c>
      <c r="O75" s="24" t="n">
        <f aca="false">IF('Food Data'!$AK$15="Oils &amp; butter",100/'Food Data'!$N$15,0)</f>
        <v>0</v>
      </c>
      <c r="P75" s="24" t="n">
        <f aca="false">IF('Food Data'!$AK$16="Oils &amp; butter",100/'Food Data'!$N$16,0)</f>
        <v>0</v>
      </c>
      <c r="Q75" s="24" t="n">
        <f aca="false">IF('Food Data'!$AK$17="Oils &amp; butter",100/'Food Data'!$N$17,0)</f>
        <v>0</v>
      </c>
      <c r="R75" s="24" t="n">
        <f aca="false">IF('Food Data'!$AK$18="Oils &amp; butter",100/'Food Data'!$N$18,0)</f>
        <v>0</v>
      </c>
      <c r="S75" s="24" t="n">
        <f aca="false">IF('Food Data'!$AK$19="Oils &amp; butter",100/'Food Data'!$N$19,0)</f>
        <v>0</v>
      </c>
      <c r="T75" s="24" t="n">
        <f aca="false">IF('Food Data'!$AK$20="Oils &amp; butter",100/'Food Data'!$N$20,0)</f>
        <v>0</v>
      </c>
      <c r="U75" s="24" t="n">
        <f aca="false">IF('Food Data'!$AK$21="Oils &amp; butter",100/'Food Data'!$N$21,0)</f>
        <v>0</v>
      </c>
      <c r="V75" s="24" t="n">
        <f aca="false">IF('Food Data'!$AK$22="Oils &amp; butter",100/'Food Data'!$N$22,0)</f>
        <v>0</v>
      </c>
      <c r="W75" s="24" t="n">
        <f aca="false">IF('Food Data'!$AK$23="Oils &amp; butter",100/'Food Data'!$N$23,0)</f>
        <v>0</v>
      </c>
      <c r="X75" s="24" t="n">
        <f aca="false">IF('Food Data'!$AK$24="Oils &amp; butter",100/'Food Data'!$N$24,0)</f>
        <v>0</v>
      </c>
      <c r="Y75" s="24" t="n">
        <f aca="false">IF('Food Data'!$AK$25="Oils &amp; butter",100/'Food Data'!$N$25,0)</f>
        <v>0</v>
      </c>
      <c r="Z75" s="24" t="n">
        <f aca="false">IF('Food Data'!$AK$26="Oils &amp; butter",100/'Food Data'!$N$26,0)</f>
        <v>0</v>
      </c>
      <c r="AA75" s="24" t="n">
        <f aca="false">IF('Food Data'!$AK$27="Oils &amp; butter",100/'Food Data'!$N$27,0)</f>
        <v>0</v>
      </c>
      <c r="AB75" s="24" t="n">
        <f aca="false">IF('Food Data'!$AK$28="Oils &amp; butter",100/'Food Data'!$N$28,0)</f>
        <v>0</v>
      </c>
      <c r="AC75" s="24" t="n">
        <f aca="false">IF('Food Data'!$AK$29="Oils &amp; butter",100/'Food Data'!$N$29,0)</f>
        <v>0</v>
      </c>
      <c r="AD75" s="24" t="n">
        <f aca="false">IF('Food Data'!$AK$30="Oils &amp; butter",100/'Food Data'!$N$30,0)</f>
        <v>0</v>
      </c>
      <c r="AE75" s="24" t="n">
        <f aca="false">IF('Food Data'!$AK$31="Oils &amp; butter",100/'Food Data'!$N$31,0)</f>
        <v>0</v>
      </c>
      <c r="AF75" s="24" t="n">
        <f aca="false">IF('Food Data'!$AK$32="Oils &amp; butter",100/'Food Data'!$N$32,0)</f>
        <v>0</v>
      </c>
      <c r="AG75" s="24" t="n">
        <f aca="false">IF('Food Data'!$AK$33="Oils &amp; butter",100/'Food Data'!$N$33,0)</f>
        <v>0</v>
      </c>
      <c r="AH75" s="24" t="n">
        <f aca="false">IF('Food Data'!$AK$34="Oils &amp; butter",100/'Food Data'!$N$34,0)</f>
        <v>0</v>
      </c>
      <c r="AI75" s="24" t="n">
        <f aca="false">IF('Food Data'!$AK$35="Oils &amp; butter",100/'Food Data'!$N$35,0)</f>
        <v>0</v>
      </c>
      <c r="AJ75" s="24" t="n">
        <f aca="false">IF('Food Data'!$AK$36="Oils &amp; butter",100/'Food Data'!$N$36,0)</f>
        <v>0</v>
      </c>
      <c r="AK75" s="24" t="n">
        <f aca="false">IF('Food Data'!$AK$37="Oils &amp; butter",100/'Food Data'!$N$37,0)</f>
        <v>0</v>
      </c>
      <c r="AL75" s="24" t="n">
        <f aca="false">IF('Food Data'!$AK$38="Oils &amp; butter",100/'Food Data'!$N$38,0)</f>
        <v>0</v>
      </c>
      <c r="AM75" s="24" t="n">
        <f aca="false">IF('Food Data'!$AK$39="Oils &amp; butter",100/'Food Data'!$N$39,0)</f>
        <v>0</v>
      </c>
      <c r="AN75" s="24" t="n">
        <f aca="false">IF('Food Data'!$AK$40="Oils &amp; butter",100/'Food Data'!$N$40,0)</f>
        <v>0</v>
      </c>
      <c r="AO75" s="24" t="n">
        <f aca="false">IF('Food Data'!$AK$41="Oils &amp; butter",100/'Food Data'!$N$41,0)</f>
        <v>0</v>
      </c>
      <c r="AP75" s="24" t="n">
        <f aca="false">IF('Food Data'!$AK$42="Oils &amp; butter",100/'Food Data'!$N$42,0)</f>
        <v>0</v>
      </c>
      <c r="AQ75" s="24" t="n">
        <f aca="false">IF('Food Data'!$AK$43="Oils &amp; butter",100/'Food Data'!$N$43,0)</f>
        <v>0</v>
      </c>
      <c r="AR75" s="24" t="n">
        <f aca="false">IF('Food Data'!$AK$44="Oils &amp; butter",100/'Food Data'!$N$44,0)</f>
        <v>0</v>
      </c>
      <c r="AS75" s="24" t="n">
        <f aca="false">IF('Food Data'!$AK$45="Oils &amp; butter",100/'Food Data'!$N$45,0)</f>
        <v>0</v>
      </c>
      <c r="AT75" s="24" t="n">
        <f aca="false">IF('Food Data'!$AK$46="Oils &amp; butter",100/'Food Data'!$N$46,0)</f>
        <v>0</v>
      </c>
      <c r="AU75" s="24" t="n">
        <f aca="false">IF('Food Data'!$AK$47="Oils &amp; butter",100/'Food Data'!$N$47,0)</f>
        <v>0</v>
      </c>
      <c r="AV75" s="24" t="n">
        <f aca="false">IF('Food Data'!$AK$48="Oils &amp; butter",100/'Food Data'!$N$48,0)</f>
        <v>0</v>
      </c>
      <c r="AW75" s="24" t="n">
        <f aca="false">IF('Food Data'!$AK$49="Oils &amp; butter",100/'Food Data'!$N$49,0)</f>
        <v>0</v>
      </c>
      <c r="AX75" s="24" t="n">
        <f aca="false">IF('Food Data'!$AK$50="Oils &amp; butter",100/'Food Data'!$N$50,0)</f>
        <v>0</v>
      </c>
      <c r="AY75" s="24" t="n">
        <f aca="false">IF('Food Data'!$AK$51="Oils &amp; butter",100/'Food Data'!$N$51,0)</f>
        <v>0</v>
      </c>
      <c r="AZ75" s="24" t="n">
        <f aca="false">IF('Food Data'!$AK$52="Oils &amp; butter",100/'Food Data'!$N$52,0)</f>
        <v>0</v>
      </c>
      <c r="BA75" s="24" t="n">
        <f aca="false">IF('Food Data'!$AK$53="Oils &amp; butter",100/'Food Data'!$N$53,0)</f>
        <v>0</v>
      </c>
      <c r="BB75" s="24" t="n">
        <f aca="false">IF('Food Data'!$AK$54="Oils &amp; butter",100/'Food Data'!$N$54,0)</f>
        <v>0</v>
      </c>
      <c r="BC75" s="24" t="n">
        <f aca="false">IF('Food Data'!$AK$55="Oils &amp; butter",100/'Food Data'!$N$55,0)</f>
        <v>0</v>
      </c>
      <c r="BD75" s="24" t="n">
        <f aca="false">IF('Food Data'!$AK$56="Oils &amp; butter",100/'Food Data'!$N$56,0)</f>
        <v>0</v>
      </c>
      <c r="BE75" s="24" t="n">
        <f aca="false">IF('Food Data'!$AK$57="Oils &amp; butter",100/'Food Data'!$N$57,0)</f>
        <v>0</v>
      </c>
      <c r="BF75" s="24" t="n">
        <f aca="false">IF('Food Data'!$AK$58="Oils &amp; butter",100/'Food Data'!$N$58,0)</f>
        <v>0</v>
      </c>
      <c r="BG75" s="24" t="n">
        <f aca="false">IF('Food Data'!$AK$59="Oils &amp; butter",100/'Food Data'!$N$59,0)</f>
        <v>0</v>
      </c>
      <c r="BH75" s="24" t="n">
        <f aca="false">IF('Food Data'!$AK$60="Oils &amp; butter",100/'Food Data'!$N$60,0)</f>
        <v>0</v>
      </c>
      <c r="BI75" s="24" t="n">
        <f aca="false">IF('Food Data'!$AK$61="Oils &amp; butter",100/'Food Data'!$N$61,0)</f>
        <v>0</v>
      </c>
      <c r="BJ75" s="24" t="n">
        <f aca="false">IF('Food Data'!$AK$62="Oils &amp; butter",100/'Food Data'!$N$62,0)</f>
        <v>0</v>
      </c>
      <c r="BK75" s="24" t="n">
        <f aca="false">IF('Food Data'!$AK$63="Oils &amp; butter",100/'Food Data'!$N$63,0)</f>
        <v>0</v>
      </c>
      <c r="BL75" s="24" t="n">
        <f aca="false">IF('Food Data'!$AK$64="Oils &amp; butter",100/'Food Data'!$N$64,0)</f>
        <v>0</v>
      </c>
      <c r="BM75" s="24" t="n">
        <f aca="false">IF('Food Data'!$AK$65="Oils &amp; butter",100/'Food Data'!$N$65,0)</f>
        <v>0</v>
      </c>
      <c r="BN75" s="24" t="n">
        <f aca="false">IF('Food Data'!$AK$66="Oils &amp; butter",100/'Food Data'!$N$66,0)</f>
        <v>0</v>
      </c>
      <c r="BO75" s="24" t="n">
        <f aca="false">IF('Food Data'!$AK$67="Oils &amp; butter",100/'Food Data'!$N$67,0)</f>
        <v>0</v>
      </c>
      <c r="BP75" s="24" t="n">
        <f aca="false">IF('Food Data'!$AK$68="Oils &amp; butter",100/'Food Data'!$N$68,0)</f>
        <v>0</v>
      </c>
      <c r="BQ75" s="24" t="n">
        <f aca="false">IF('Food Data'!$AK$69="Oils &amp; butter",100/'Food Data'!$N$69,0)</f>
        <v>0</v>
      </c>
      <c r="BR75" s="24" t="n">
        <f aca="false">IF('Food Data'!$AK$70="Oils &amp; butter",100/'Food Data'!$N$70,0)</f>
        <v>0</v>
      </c>
      <c r="BS75" s="24" t="n">
        <f aca="false">IF('Food Data'!$AK$71="Oils &amp; butter",100/'Food Data'!$N$71,0)</f>
        <v>0</v>
      </c>
      <c r="BT75" s="24" t="n">
        <f aca="false">IF('Food Data'!$AK$72="Oils &amp; butter",100/'Food Data'!$N$72,0)</f>
        <v>0</v>
      </c>
      <c r="BU75" s="24" t="n">
        <f aca="false">IF('Food Data'!$AK$73="Oils &amp; butter",100/'Food Data'!$N$73,0)</f>
        <v>0</v>
      </c>
      <c r="BV75" s="24" t="n">
        <f aca="false">IF('Food Data'!$AK$74="Oils &amp; butter",100/'Food Data'!$N$74,0)</f>
        <v>0</v>
      </c>
      <c r="BW75" s="24" t="n">
        <f aca="false">IF('Food Data'!$AK$75="Oils &amp; butter",100/'Food Data'!$N$75,0)</f>
        <v>0</v>
      </c>
      <c r="BX75" s="24" t="n">
        <f aca="false">IF('Food Data'!$AK$76="Oils &amp; butter",100/'Food Data'!$N$76,0)</f>
        <v>0</v>
      </c>
      <c r="BY75" s="24" t="n">
        <f aca="false">IF('Food Data'!$AK$77="Oils &amp; butter",100/'Food Data'!$N$77,0)</f>
        <v>0</v>
      </c>
      <c r="BZ75" s="24" t="n">
        <f aca="false">IF('Food Data'!$AK$78="Oils &amp; butter",100/'Food Data'!$N$78,0)</f>
        <v>0</v>
      </c>
      <c r="CA75" s="24" t="n">
        <f aca="false">IF('Food Data'!$AK$79="Oils &amp; butter",100/'Food Data'!$N$79,0)</f>
        <v>0</v>
      </c>
      <c r="CB75" s="24" t="n">
        <f aca="false">IF('Food Data'!$AK$80="Oils &amp; butter",100/'Food Data'!$N$80,0)</f>
        <v>0</v>
      </c>
      <c r="CC75" s="24" t="n">
        <f aca="false">IF('Food Data'!$AK$81="Oils &amp; butter",100/'Food Data'!$N$81,0)</f>
        <v>0</v>
      </c>
      <c r="CD75" s="24" t="n">
        <f aca="false">IF('Food Data'!$AK$82="Oils &amp; butter",100/'Food Data'!$N$82,0)</f>
        <v>0</v>
      </c>
      <c r="CE75" s="24" t="n">
        <f aca="false">IF('Food Data'!$AK$83="Oils &amp; butter",100/'Food Data'!$N$83,0)</f>
        <v>0</v>
      </c>
      <c r="CF75" s="24" t="n">
        <f aca="false">IF('Food Data'!$AK$84="Oils &amp; butter",100/'Food Data'!$N$84,0)</f>
        <v>0</v>
      </c>
      <c r="CG75" s="24" t="n">
        <f aca="false">IF('Food Data'!$AK$85="Oils &amp; butter",100/'Food Data'!$N$85,0)</f>
        <v>0</v>
      </c>
      <c r="CH75" s="24" t="n">
        <f aca="false">IF('Food Data'!$AK$86="Oils &amp; butter",100/'Food Data'!$N$86,0)</f>
        <v>0</v>
      </c>
      <c r="CI75" s="24" t="n">
        <f aca="false">IF('Food Data'!$AK$87="Oils &amp; butter",100/'Food Data'!$N$87,0)</f>
        <v>0</v>
      </c>
      <c r="CJ75" s="24" t="n">
        <f aca="false">IF('Food Data'!$AK$88="Oils &amp; butter",100/'Food Data'!$N$88,0)</f>
        <v>0</v>
      </c>
      <c r="CK75" s="24" t="n">
        <f aca="false">IF('Food Data'!$AK$89="Oils &amp; butter",100/'Food Data'!$N$89,0)</f>
        <v>0</v>
      </c>
      <c r="CL75" s="24" t="n">
        <f aca="false">IF('Food Data'!$AK$90="Oils &amp; butter",100/'Food Data'!$N$90,0)</f>
        <v>0</v>
      </c>
      <c r="CM75" s="24" t="n">
        <f aca="false">IF('Food Data'!$AK$91="Oils &amp; butter",100/'Food Data'!$N$91,0)</f>
        <v>0</v>
      </c>
      <c r="CN75" s="24" t="n">
        <f aca="false">IF('Food Data'!$AK$92="Oils &amp; butter",100/'Food Data'!$N$92,0)</f>
        <v>0</v>
      </c>
      <c r="CO75" s="24" t="n">
        <f aca="false">IF('Food Data'!$AK$93="Oils &amp; butter",100/'Food Data'!$N$93,0)</f>
        <v>0</v>
      </c>
      <c r="CP75" s="24" t="n">
        <f aca="false">IF('Food Data'!$AK$94="Oils &amp; butter",100/'Food Data'!$N$94,0)</f>
        <v>0</v>
      </c>
      <c r="CQ75" s="24" t="n">
        <f aca="false">IF('Food Data'!$AK$95="Oils &amp; butter",100/'Food Data'!$N$95,0)</f>
        <v>0</v>
      </c>
      <c r="CR75" s="24" t="n">
        <f aca="false">IF('Food Data'!$AK$96="Oils &amp; butter",100/'Food Data'!$N$96,0)</f>
        <v>0</v>
      </c>
      <c r="CS75" s="24" t="n">
        <f aca="false">IF('Food Data'!$AK$97="Oils &amp; butter",100/'Food Data'!$N$97,0)</f>
        <v>0</v>
      </c>
      <c r="CT75" s="24" t="n">
        <f aca="false">IF('Food Data'!$AK$98="Oils &amp; butter",100/'Food Data'!$N$98,0)</f>
        <v>0</v>
      </c>
      <c r="CU75" s="24" t="n">
        <f aca="false">IF('Food Data'!$AK$99="Oils &amp; butter",100/'Food Data'!$N$99,0)</f>
        <v>0</v>
      </c>
      <c r="CV75" s="24" t="n">
        <f aca="false">IF('Food Data'!$AK$100="Oils &amp; butter",100/'Food Data'!$N$100,0)</f>
        <v>0</v>
      </c>
      <c r="CW75" s="24" t="n">
        <f aca="false">IF('Food Data'!$AK$101="Oils &amp; butter",100/'Food Data'!$N$101,0)</f>
        <v>0</v>
      </c>
      <c r="CX75" s="24" t="n">
        <f aca="false">IF('Food Data'!$AK$102="Oils &amp; butter",100/'Food Data'!$N$102,0)</f>
        <v>0</v>
      </c>
      <c r="CY75" s="24" t="n">
        <f aca="false">IF('Food Data'!$AK$103="Oils &amp; butter",100/'Food Data'!$N$103,0)</f>
        <v>0</v>
      </c>
      <c r="CZ75" s="24" t="n">
        <f aca="false">IF('Food Data'!$AK$104="Oils &amp; butter",100/'Food Data'!$N$104,0)</f>
        <v>0</v>
      </c>
      <c r="DA75" s="24" t="n">
        <f aca="false">IF('Food Data'!$AK$105="Oils &amp; butter",100/'Food Data'!$N$105,0)</f>
        <v>0</v>
      </c>
      <c r="DB75" s="24" t="n">
        <f aca="false">IF('Food Data'!$AK$106="Oils &amp; butter",100/'Food Data'!$N$106,0)</f>
        <v>0</v>
      </c>
      <c r="DC75" s="24" t="n">
        <f aca="false">IF('Food Data'!$AK$107="Oils &amp; butter",100/'Food Data'!$N$107,0)</f>
        <v>0</v>
      </c>
      <c r="DD75" s="24" t="n">
        <f aca="false">IF('Food Data'!$AK$108="Oils &amp; butter",100/'Food Data'!$N$108,0)</f>
        <v>0</v>
      </c>
      <c r="DE75" s="24" t="n">
        <f aca="false">IF('Food Data'!$AK$109="Oils &amp; butter",100/'Food Data'!$N$109,0)</f>
        <v>0</v>
      </c>
      <c r="DF75" s="24" t="n">
        <f aca="false">IF('Food Data'!$AK$110="Oils &amp; butter",100/'Food Data'!$N$110,0)</f>
        <v>0</v>
      </c>
      <c r="DG75" s="24" t="n">
        <f aca="false">IF('Food Data'!$AK$111="Oils &amp; butter",100/'Food Data'!$N$111,0)</f>
        <v>0</v>
      </c>
      <c r="DH75" s="24" t="n">
        <f aca="false">IF('Food Data'!$AK$112="Oils &amp; butter",100/'Food Data'!$N$112,0)</f>
        <v>0</v>
      </c>
      <c r="DI75" s="24" t="n">
        <f aca="false">IF('Food Data'!$AK$113="Oils &amp; butter",100/'Food Data'!$N$113,0)</f>
        <v>0</v>
      </c>
      <c r="DJ75" s="24" t="n">
        <f aca="false">IF('Food Data'!$AK$114="Oils &amp; butter",100/'Food Data'!$N$114,0)</f>
        <v>0</v>
      </c>
      <c r="DK75" s="24" t="n">
        <f aca="false">IF('Food Data'!$AK$115="Oils &amp; butter",100/'Food Data'!$N$115,0)</f>
        <v>0</v>
      </c>
      <c r="DL75" s="24" t="n">
        <f aca="false">IF('Food Data'!$AK$116="Oils &amp; butter",100/'Food Data'!$N$116,0)</f>
        <v>0</v>
      </c>
      <c r="DM75" s="24" t="n">
        <f aca="false">IF('Food Data'!$AK$117="Oils &amp; butter",100/'Food Data'!$N$117,0)</f>
        <v>0</v>
      </c>
      <c r="DN75" s="24" t="n">
        <f aca="false">IF('Food Data'!$AK$118="Oils &amp; butter",100/'Food Data'!$N$118,0)</f>
        <v>0</v>
      </c>
      <c r="DO75" s="24" t="n">
        <f aca="false">IF('Food Data'!$AK$119="Oils &amp; butter",100/'Food Data'!$N$119,0)</f>
        <v>0</v>
      </c>
      <c r="DP75" s="24" t="n">
        <f aca="false">IF('Food Data'!$AK$120="Oils &amp; butter",100/'Food Data'!$N$120,0)</f>
        <v>0</v>
      </c>
      <c r="DQ75" s="24" t="n">
        <f aca="false">IF('Food Data'!$AK$121="Oils &amp; butter",100/'Food Data'!$N$121,0)</f>
        <v>0</v>
      </c>
      <c r="DR75" s="24" t="n">
        <f aca="false">IF('Food Data'!$AK$122="Oils &amp; butter",100/'Food Data'!$N$122,0)</f>
        <v>0</v>
      </c>
      <c r="DS75" s="24" t="n">
        <f aca="false">IF('Food Data'!$AK$123="Oils &amp; butter",100/'Food Data'!$N$123,0)</f>
        <v>0</v>
      </c>
      <c r="DT75" s="24" t="n">
        <f aca="false">IF('Food Data'!$AK$124="Oils &amp; butter",100/'Food Data'!$N$124,0)</f>
        <v>0</v>
      </c>
      <c r="DU75" s="24" t="n">
        <f aca="false">IF('Food Data'!$AK$125="Oils &amp; butter",100/'Food Data'!$N$125,0)</f>
        <v>0</v>
      </c>
      <c r="DV75" s="24" t="n">
        <f aca="false">IF('Food Data'!$AK$126="Oils &amp; butter",100/'Food Data'!$N$126,0)</f>
        <v>0</v>
      </c>
      <c r="DW75" s="24" t="n">
        <f aca="false">IF('Food Data'!$AK$127="Oils &amp; butter",100/'Food Data'!$N$127,0)</f>
        <v>0</v>
      </c>
      <c r="DX75" s="24" t="n">
        <f aca="false">IF('Food Data'!$AK$128="Oils &amp; butter",100/'Food Data'!$N$128,0)</f>
        <v>0</v>
      </c>
      <c r="DY75" s="24" t="n">
        <f aca="false">IF('Food Data'!$AK$129="Oils &amp; butter",100/'Food Data'!$N$129,0)</f>
        <v>0</v>
      </c>
      <c r="DZ75" s="24" t="n">
        <f aca="false">IF('Food Data'!$AK$130="Oils &amp; butter",100/'Food Data'!$N$130,0)</f>
        <v>0</v>
      </c>
      <c r="EA75" s="24" t="n">
        <f aca="false">IF('Food Data'!$AK$131="Oils &amp; butter",100/'Food Data'!$N$131,0)</f>
        <v>0</v>
      </c>
      <c r="EB75" s="24" t="n">
        <f aca="false">IF('Food Data'!$AK$132="Oils &amp; butter",100/'Food Data'!$N$132,0)</f>
        <v>0</v>
      </c>
      <c r="EC75" s="24" t="n">
        <f aca="false">IF('Food Data'!$AK$133="Oils &amp; butter",100/'Food Data'!$N$133,0)</f>
        <v>0</v>
      </c>
      <c r="ED75" s="24" t="n">
        <f aca="false">IF('Food Data'!$AK$134="Oils &amp; butter",100/'Food Data'!$N$134,0)</f>
        <v>0</v>
      </c>
      <c r="EE75" s="24" t="n">
        <f aca="false">IF('Food Data'!$AK$135="Oils &amp; butter",100/'Food Data'!$N$135,0)</f>
        <v>0</v>
      </c>
      <c r="EF75" s="24" t="n">
        <f aca="false">IF('Food Data'!$AK$136="Oils &amp; butter",100/'Food Data'!$N$136,0)</f>
        <v>0</v>
      </c>
      <c r="EG75" s="24" t="n">
        <f aca="false">IF('Food Data'!$AK$137="Oils &amp; butter",100/'Food Data'!$N$137,0)</f>
        <v>0</v>
      </c>
      <c r="EH75" s="24" t="n">
        <f aca="false">IF('Food Data'!$AK$138="Oils &amp; butter",100/'Food Data'!$N$138,0)</f>
        <v>0</v>
      </c>
      <c r="EI75" s="24" t="n">
        <f aca="false">IF('Food Data'!$AK$139="Oils &amp; butter",100/'Food Data'!$N$139,0)</f>
        <v>0</v>
      </c>
      <c r="EJ75" s="24" t="n">
        <f aca="false">IF('Food Data'!$AK$140="Oils &amp; butter",100/'Food Data'!$N$140,0)</f>
        <v>0</v>
      </c>
      <c r="EK75" s="24" t="n">
        <f aca="false">IF('Food Data'!$AK$141="Oils &amp; butter",100/'Food Data'!$N$141,0)</f>
        <v>0</v>
      </c>
      <c r="EL75" s="24" t="n">
        <f aca="false">IF('Food Data'!$AK$142="Oils &amp; butter",100/'Food Data'!$N$142,0)</f>
        <v>0</v>
      </c>
      <c r="EM75" s="24" t="n">
        <f aca="false">IF('Food Data'!$AK$143="Oils &amp; butter",100/'Food Data'!$N$143,0)</f>
        <v>7.04225352112676</v>
      </c>
      <c r="EN75" s="24" t="n">
        <f aca="false">IF('Food Data'!$AK$144="Oils &amp; butter",100/'Food Data'!$N$144,0)</f>
        <v>7.14285714285714</v>
      </c>
      <c r="EO75" s="24" t="n">
        <f aca="false">IF('Food Data'!$AK$145="Oils &amp; butter",100/'Food Data'!$N$145,0)</f>
        <v>7.40740740740741</v>
      </c>
      <c r="EP75" s="24" t="n">
        <f aca="false">IF('Food Data'!$AK$146="Oils &amp; butter",100/'Food Data'!$N$146,0)</f>
        <v>0</v>
      </c>
      <c r="EQ75" s="24" t="n">
        <f aca="false">IF('Food Data'!$AK$147="Oils &amp; butter",100/'Food Data'!$N$147,0)</f>
        <v>0</v>
      </c>
      <c r="ER75" s="24" t="n">
        <f aca="false">IF('Food Data'!$AK$148="Oils &amp; butter",100/'Food Data'!$N$148,0)</f>
        <v>0</v>
      </c>
      <c r="ES75" s="24" t="n">
        <f aca="false">IF('Food Data'!$AK$149="Oils &amp; butter",100/'Food Data'!$N$149,0)</f>
        <v>0</v>
      </c>
      <c r="ET75" s="24" t="n">
        <f aca="false">IF('Food Data'!$AK$150="Oils &amp; butter",100/'Food Data'!$N$150,0)</f>
        <v>0</v>
      </c>
      <c r="EU75" s="24" t="n">
        <f aca="false">IF('Food Data'!$AK$151="Oils &amp; butter",100/'Food Data'!$N$151,0)</f>
        <v>0</v>
      </c>
    </row>
    <row r="76" customFormat="false" ht="15" hidden="false" customHeight="false" outlineLevel="0" collapsed="false">
      <c r="A76" s="4" t="s">
        <v>1015</v>
      </c>
      <c r="B76" s="75" t="s">
        <v>1010</v>
      </c>
      <c r="C76" s="76" t="n">
        <f aca="false">Planner!$C$56</f>
        <v>2</v>
      </c>
      <c r="D76" s="77" t="n">
        <v>0</v>
      </c>
      <c r="E76" s="75" t="str">
        <f aca="false">IF(D76&lt;=C76+0.000001*MAX(1,ABS(C76)),IF(ABS(D76-C76)&lt;=0.000001*MAX(1,ABS(C76)),"tight","ok"),"VIOLATED")</f>
        <v>ok</v>
      </c>
      <c r="F76" s="24" t="n">
        <f aca="false">IF('Food Data'!$AK$6="Snacks &amp; sweets",100/'Food Data'!$N$6,0)</f>
        <v>0</v>
      </c>
      <c r="G76" s="24" t="n">
        <f aca="false">IF('Food Data'!$AK$7="Snacks &amp; sweets",100/'Food Data'!$N$7,0)</f>
        <v>0</v>
      </c>
      <c r="H76" s="24" t="n">
        <f aca="false">IF('Food Data'!$AK$8="Snacks &amp; sweets",100/'Food Data'!$N$8,0)</f>
        <v>0</v>
      </c>
      <c r="I76" s="24" t="n">
        <f aca="false">IF('Food Data'!$AK$9="Snacks &amp; sweets",100/'Food Data'!$N$9,0)</f>
        <v>0</v>
      </c>
      <c r="J76" s="24" t="n">
        <f aca="false">IF('Food Data'!$AK$10="Snacks &amp; sweets",100/'Food Data'!$N$10,0)</f>
        <v>0</v>
      </c>
      <c r="K76" s="24" t="n">
        <f aca="false">IF('Food Data'!$AK$11="Snacks &amp; sweets",100/'Food Data'!$N$11,0)</f>
        <v>0</v>
      </c>
      <c r="L76" s="24" t="n">
        <f aca="false">IF('Food Data'!$AK$12="Snacks &amp; sweets",100/'Food Data'!$N$12,0)</f>
        <v>0</v>
      </c>
      <c r="M76" s="24" t="n">
        <f aca="false">IF('Food Data'!$AK$13="Snacks &amp; sweets",100/'Food Data'!$N$13,0)</f>
        <v>0</v>
      </c>
      <c r="N76" s="24" t="n">
        <f aca="false">IF('Food Data'!$AK$14="Snacks &amp; sweets",100/'Food Data'!$N$14,0)</f>
        <v>0</v>
      </c>
      <c r="O76" s="24" t="n">
        <f aca="false">IF('Food Data'!$AK$15="Snacks &amp; sweets",100/'Food Data'!$N$15,0)</f>
        <v>0</v>
      </c>
      <c r="P76" s="24" t="n">
        <f aca="false">IF('Food Data'!$AK$16="Snacks &amp; sweets",100/'Food Data'!$N$16,0)</f>
        <v>0</v>
      </c>
      <c r="Q76" s="24" t="n">
        <f aca="false">IF('Food Data'!$AK$17="Snacks &amp; sweets",100/'Food Data'!$N$17,0)</f>
        <v>0</v>
      </c>
      <c r="R76" s="24" t="n">
        <f aca="false">IF('Food Data'!$AK$18="Snacks &amp; sweets",100/'Food Data'!$N$18,0)</f>
        <v>0</v>
      </c>
      <c r="S76" s="24" t="n">
        <f aca="false">IF('Food Data'!$AK$19="Snacks &amp; sweets",100/'Food Data'!$N$19,0)</f>
        <v>0</v>
      </c>
      <c r="T76" s="24" t="n">
        <f aca="false">IF('Food Data'!$AK$20="Snacks &amp; sweets",100/'Food Data'!$N$20,0)</f>
        <v>0</v>
      </c>
      <c r="U76" s="24" t="n">
        <f aca="false">IF('Food Data'!$AK$21="Snacks &amp; sweets",100/'Food Data'!$N$21,0)</f>
        <v>0</v>
      </c>
      <c r="V76" s="24" t="n">
        <f aca="false">IF('Food Data'!$AK$22="Snacks &amp; sweets",100/'Food Data'!$N$22,0)</f>
        <v>0</v>
      </c>
      <c r="W76" s="24" t="n">
        <f aca="false">IF('Food Data'!$AK$23="Snacks &amp; sweets",100/'Food Data'!$N$23,0)</f>
        <v>0</v>
      </c>
      <c r="X76" s="24" t="n">
        <f aca="false">IF('Food Data'!$AK$24="Snacks &amp; sweets",100/'Food Data'!$N$24,0)</f>
        <v>0</v>
      </c>
      <c r="Y76" s="24" t="n">
        <f aca="false">IF('Food Data'!$AK$25="Snacks &amp; sweets",100/'Food Data'!$N$25,0)</f>
        <v>0</v>
      </c>
      <c r="Z76" s="24" t="n">
        <f aca="false">IF('Food Data'!$AK$26="Snacks &amp; sweets",100/'Food Data'!$N$26,0)</f>
        <v>0</v>
      </c>
      <c r="AA76" s="24" t="n">
        <f aca="false">IF('Food Data'!$AK$27="Snacks &amp; sweets",100/'Food Data'!$N$27,0)</f>
        <v>0</v>
      </c>
      <c r="AB76" s="24" t="n">
        <f aca="false">IF('Food Data'!$AK$28="Snacks &amp; sweets",100/'Food Data'!$N$28,0)</f>
        <v>0</v>
      </c>
      <c r="AC76" s="24" t="n">
        <f aca="false">IF('Food Data'!$AK$29="Snacks &amp; sweets",100/'Food Data'!$N$29,0)</f>
        <v>0</v>
      </c>
      <c r="AD76" s="24" t="n">
        <f aca="false">IF('Food Data'!$AK$30="Snacks &amp; sweets",100/'Food Data'!$N$30,0)</f>
        <v>0</v>
      </c>
      <c r="AE76" s="24" t="n">
        <f aca="false">IF('Food Data'!$AK$31="Snacks &amp; sweets",100/'Food Data'!$N$31,0)</f>
        <v>0</v>
      </c>
      <c r="AF76" s="24" t="n">
        <f aca="false">IF('Food Data'!$AK$32="Snacks &amp; sweets",100/'Food Data'!$N$32,0)</f>
        <v>0</v>
      </c>
      <c r="AG76" s="24" t="n">
        <f aca="false">IF('Food Data'!$AK$33="Snacks &amp; sweets",100/'Food Data'!$N$33,0)</f>
        <v>0</v>
      </c>
      <c r="AH76" s="24" t="n">
        <f aca="false">IF('Food Data'!$AK$34="Snacks &amp; sweets",100/'Food Data'!$N$34,0)</f>
        <v>0</v>
      </c>
      <c r="AI76" s="24" t="n">
        <f aca="false">IF('Food Data'!$AK$35="Snacks &amp; sweets",100/'Food Data'!$N$35,0)</f>
        <v>0</v>
      </c>
      <c r="AJ76" s="24" t="n">
        <f aca="false">IF('Food Data'!$AK$36="Snacks &amp; sweets",100/'Food Data'!$N$36,0)</f>
        <v>0</v>
      </c>
      <c r="AK76" s="24" t="n">
        <f aca="false">IF('Food Data'!$AK$37="Snacks &amp; sweets",100/'Food Data'!$N$37,0)</f>
        <v>0</v>
      </c>
      <c r="AL76" s="24" t="n">
        <f aca="false">IF('Food Data'!$AK$38="Snacks &amp; sweets",100/'Food Data'!$N$38,0)</f>
        <v>0</v>
      </c>
      <c r="AM76" s="24" t="n">
        <f aca="false">IF('Food Data'!$AK$39="Snacks &amp; sweets",100/'Food Data'!$N$39,0)</f>
        <v>0</v>
      </c>
      <c r="AN76" s="24" t="n">
        <f aca="false">IF('Food Data'!$AK$40="Snacks &amp; sweets",100/'Food Data'!$N$40,0)</f>
        <v>0</v>
      </c>
      <c r="AO76" s="24" t="n">
        <f aca="false">IF('Food Data'!$AK$41="Snacks &amp; sweets",100/'Food Data'!$N$41,0)</f>
        <v>0</v>
      </c>
      <c r="AP76" s="24" t="n">
        <f aca="false">IF('Food Data'!$AK$42="Snacks &amp; sweets",100/'Food Data'!$N$42,0)</f>
        <v>0</v>
      </c>
      <c r="AQ76" s="24" t="n">
        <f aca="false">IF('Food Data'!$AK$43="Snacks &amp; sweets",100/'Food Data'!$N$43,0)</f>
        <v>0</v>
      </c>
      <c r="AR76" s="24" t="n">
        <f aca="false">IF('Food Data'!$AK$44="Snacks &amp; sweets",100/'Food Data'!$N$44,0)</f>
        <v>0</v>
      </c>
      <c r="AS76" s="24" t="n">
        <f aca="false">IF('Food Data'!$AK$45="Snacks &amp; sweets",100/'Food Data'!$N$45,0)</f>
        <v>0</v>
      </c>
      <c r="AT76" s="24" t="n">
        <f aca="false">IF('Food Data'!$AK$46="Snacks &amp; sweets",100/'Food Data'!$N$46,0)</f>
        <v>0</v>
      </c>
      <c r="AU76" s="24" t="n">
        <f aca="false">IF('Food Data'!$AK$47="Snacks &amp; sweets",100/'Food Data'!$N$47,0)</f>
        <v>0</v>
      </c>
      <c r="AV76" s="24" t="n">
        <f aca="false">IF('Food Data'!$AK$48="Snacks &amp; sweets",100/'Food Data'!$N$48,0)</f>
        <v>0</v>
      </c>
      <c r="AW76" s="24" t="n">
        <f aca="false">IF('Food Data'!$AK$49="Snacks &amp; sweets",100/'Food Data'!$N$49,0)</f>
        <v>0</v>
      </c>
      <c r="AX76" s="24" t="n">
        <f aca="false">IF('Food Data'!$AK$50="Snacks &amp; sweets",100/'Food Data'!$N$50,0)</f>
        <v>0</v>
      </c>
      <c r="AY76" s="24" t="n">
        <f aca="false">IF('Food Data'!$AK$51="Snacks &amp; sweets",100/'Food Data'!$N$51,0)</f>
        <v>0</v>
      </c>
      <c r="AZ76" s="24" t="n">
        <f aca="false">IF('Food Data'!$AK$52="Snacks &amp; sweets",100/'Food Data'!$N$52,0)</f>
        <v>0</v>
      </c>
      <c r="BA76" s="24" t="n">
        <f aca="false">IF('Food Data'!$AK$53="Snacks &amp; sweets",100/'Food Data'!$N$53,0)</f>
        <v>0</v>
      </c>
      <c r="BB76" s="24" t="n">
        <f aca="false">IF('Food Data'!$AK$54="Snacks &amp; sweets",100/'Food Data'!$N$54,0)</f>
        <v>0</v>
      </c>
      <c r="BC76" s="24" t="n">
        <f aca="false">IF('Food Data'!$AK$55="Snacks &amp; sweets",100/'Food Data'!$N$55,0)</f>
        <v>0</v>
      </c>
      <c r="BD76" s="24" t="n">
        <f aca="false">IF('Food Data'!$AK$56="Snacks &amp; sweets",100/'Food Data'!$N$56,0)</f>
        <v>0</v>
      </c>
      <c r="BE76" s="24" t="n">
        <f aca="false">IF('Food Data'!$AK$57="Snacks &amp; sweets",100/'Food Data'!$N$57,0)</f>
        <v>0</v>
      </c>
      <c r="BF76" s="24" t="n">
        <f aca="false">IF('Food Data'!$AK$58="Snacks &amp; sweets",100/'Food Data'!$N$58,0)</f>
        <v>0</v>
      </c>
      <c r="BG76" s="24" t="n">
        <f aca="false">IF('Food Data'!$AK$59="Snacks &amp; sweets",100/'Food Data'!$N$59,0)</f>
        <v>0</v>
      </c>
      <c r="BH76" s="24" t="n">
        <f aca="false">IF('Food Data'!$AK$60="Snacks &amp; sweets",100/'Food Data'!$N$60,0)</f>
        <v>0</v>
      </c>
      <c r="BI76" s="24" t="n">
        <f aca="false">IF('Food Data'!$AK$61="Snacks &amp; sweets",100/'Food Data'!$N$61,0)</f>
        <v>0</v>
      </c>
      <c r="BJ76" s="24" t="n">
        <f aca="false">IF('Food Data'!$AK$62="Snacks &amp; sweets",100/'Food Data'!$N$62,0)</f>
        <v>0</v>
      </c>
      <c r="BK76" s="24" t="n">
        <f aca="false">IF('Food Data'!$AK$63="Snacks &amp; sweets",100/'Food Data'!$N$63,0)</f>
        <v>0</v>
      </c>
      <c r="BL76" s="24" t="n">
        <f aca="false">IF('Food Data'!$AK$64="Snacks &amp; sweets",100/'Food Data'!$N$64,0)</f>
        <v>0</v>
      </c>
      <c r="BM76" s="24" t="n">
        <f aca="false">IF('Food Data'!$AK$65="Snacks &amp; sweets",100/'Food Data'!$N$65,0)</f>
        <v>0</v>
      </c>
      <c r="BN76" s="24" t="n">
        <f aca="false">IF('Food Data'!$AK$66="Snacks &amp; sweets",100/'Food Data'!$N$66,0)</f>
        <v>0</v>
      </c>
      <c r="BO76" s="24" t="n">
        <f aca="false">IF('Food Data'!$AK$67="Snacks &amp; sweets",100/'Food Data'!$N$67,0)</f>
        <v>0</v>
      </c>
      <c r="BP76" s="24" t="n">
        <f aca="false">IF('Food Data'!$AK$68="Snacks &amp; sweets",100/'Food Data'!$N$68,0)</f>
        <v>0</v>
      </c>
      <c r="BQ76" s="24" t="n">
        <f aca="false">IF('Food Data'!$AK$69="Snacks &amp; sweets",100/'Food Data'!$N$69,0)</f>
        <v>0</v>
      </c>
      <c r="BR76" s="24" t="n">
        <f aca="false">IF('Food Data'!$AK$70="Snacks &amp; sweets",100/'Food Data'!$N$70,0)</f>
        <v>0</v>
      </c>
      <c r="BS76" s="24" t="n">
        <f aca="false">IF('Food Data'!$AK$71="Snacks &amp; sweets",100/'Food Data'!$N$71,0)</f>
        <v>0</v>
      </c>
      <c r="BT76" s="24" t="n">
        <f aca="false">IF('Food Data'!$AK$72="Snacks &amp; sweets",100/'Food Data'!$N$72,0)</f>
        <v>0</v>
      </c>
      <c r="BU76" s="24" t="n">
        <f aca="false">IF('Food Data'!$AK$73="Snacks &amp; sweets",100/'Food Data'!$N$73,0)</f>
        <v>0</v>
      </c>
      <c r="BV76" s="24" t="n">
        <f aca="false">IF('Food Data'!$AK$74="Snacks &amp; sweets",100/'Food Data'!$N$74,0)</f>
        <v>0</v>
      </c>
      <c r="BW76" s="24" t="n">
        <f aca="false">IF('Food Data'!$AK$75="Snacks &amp; sweets",100/'Food Data'!$N$75,0)</f>
        <v>0</v>
      </c>
      <c r="BX76" s="24" t="n">
        <f aca="false">IF('Food Data'!$AK$76="Snacks &amp; sweets",100/'Food Data'!$N$76,0)</f>
        <v>0</v>
      </c>
      <c r="BY76" s="24" t="n">
        <f aca="false">IF('Food Data'!$AK$77="Snacks &amp; sweets",100/'Food Data'!$N$77,0)</f>
        <v>0</v>
      </c>
      <c r="BZ76" s="24" t="n">
        <f aca="false">IF('Food Data'!$AK$78="Snacks &amp; sweets",100/'Food Data'!$N$78,0)</f>
        <v>0</v>
      </c>
      <c r="CA76" s="24" t="n">
        <f aca="false">IF('Food Data'!$AK$79="Snacks &amp; sweets",100/'Food Data'!$N$79,0)</f>
        <v>0</v>
      </c>
      <c r="CB76" s="24" t="n">
        <f aca="false">IF('Food Data'!$AK$80="Snacks &amp; sweets",100/'Food Data'!$N$80,0)</f>
        <v>0</v>
      </c>
      <c r="CC76" s="24" t="n">
        <f aca="false">IF('Food Data'!$AK$81="Snacks &amp; sweets",100/'Food Data'!$N$81,0)</f>
        <v>0</v>
      </c>
      <c r="CD76" s="24" t="n">
        <f aca="false">IF('Food Data'!$AK$82="Snacks &amp; sweets",100/'Food Data'!$N$82,0)</f>
        <v>0</v>
      </c>
      <c r="CE76" s="24" t="n">
        <f aca="false">IF('Food Data'!$AK$83="Snacks &amp; sweets",100/'Food Data'!$N$83,0)</f>
        <v>0</v>
      </c>
      <c r="CF76" s="24" t="n">
        <f aca="false">IF('Food Data'!$AK$84="Snacks &amp; sweets",100/'Food Data'!$N$84,0)</f>
        <v>0</v>
      </c>
      <c r="CG76" s="24" t="n">
        <f aca="false">IF('Food Data'!$AK$85="Snacks &amp; sweets",100/'Food Data'!$N$85,0)</f>
        <v>0</v>
      </c>
      <c r="CH76" s="24" t="n">
        <f aca="false">IF('Food Data'!$AK$86="Snacks &amp; sweets",100/'Food Data'!$N$86,0)</f>
        <v>0</v>
      </c>
      <c r="CI76" s="24" t="n">
        <f aca="false">IF('Food Data'!$AK$87="Snacks &amp; sweets",100/'Food Data'!$N$87,0)</f>
        <v>0</v>
      </c>
      <c r="CJ76" s="24" t="n">
        <f aca="false">IF('Food Data'!$AK$88="Snacks &amp; sweets",100/'Food Data'!$N$88,0)</f>
        <v>0</v>
      </c>
      <c r="CK76" s="24" t="n">
        <f aca="false">IF('Food Data'!$AK$89="Snacks &amp; sweets",100/'Food Data'!$N$89,0)</f>
        <v>0</v>
      </c>
      <c r="CL76" s="24" t="n">
        <f aca="false">IF('Food Data'!$AK$90="Snacks &amp; sweets",100/'Food Data'!$N$90,0)</f>
        <v>0</v>
      </c>
      <c r="CM76" s="24" t="n">
        <f aca="false">IF('Food Data'!$AK$91="Snacks &amp; sweets",100/'Food Data'!$N$91,0)</f>
        <v>0</v>
      </c>
      <c r="CN76" s="24" t="n">
        <f aca="false">IF('Food Data'!$AK$92="Snacks &amp; sweets",100/'Food Data'!$N$92,0)</f>
        <v>0</v>
      </c>
      <c r="CO76" s="24" t="n">
        <f aca="false">IF('Food Data'!$AK$93="Snacks &amp; sweets",100/'Food Data'!$N$93,0)</f>
        <v>0</v>
      </c>
      <c r="CP76" s="24" t="n">
        <f aca="false">IF('Food Data'!$AK$94="Snacks &amp; sweets",100/'Food Data'!$N$94,0)</f>
        <v>0</v>
      </c>
      <c r="CQ76" s="24" t="n">
        <f aca="false">IF('Food Data'!$AK$95="Snacks &amp; sweets",100/'Food Data'!$N$95,0)</f>
        <v>0</v>
      </c>
      <c r="CR76" s="24" t="n">
        <f aca="false">IF('Food Data'!$AK$96="Snacks &amp; sweets",100/'Food Data'!$N$96,0)</f>
        <v>0</v>
      </c>
      <c r="CS76" s="24" t="n">
        <f aca="false">IF('Food Data'!$AK$97="Snacks &amp; sweets",100/'Food Data'!$N$97,0)</f>
        <v>0</v>
      </c>
      <c r="CT76" s="24" t="n">
        <f aca="false">IF('Food Data'!$AK$98="Snacks &amp; sweets",100/'Food Data'!$N$98,0)</f>
        <v>0</v>
      </c>
      <c r="CU76" s="24" t="n">
        <f aca="false">IF('Food Data'!$AK$99="Snacks &amp; sweets",100/'Food Data'!$N$99,0)</f>
        <v>0</v>
      </c>
      <c r="CV76" s="24" t="n">
        <f aca="false">IF('Food Data'!$AK$100="Snacks &amp; sweets",100/'Food Data'!$N$100,0)</f>
        <v>0</v>
      </c>
      <c r="CW76" s="24" t="n">
        <f aca="false">IF('Food Data'!$AK$101="Snacks &amp; sweets",100/'Food Data'!$N$101,0)</f>
        <v>0</v>
      </c>
      <c r="CX76" s="24" t="n">
        <f aca="false">IF('Food Data'!$AK$102="Snacks &amp; sweets",100/'Food Data'!$N$102,0)</f>
        <v>0</v>
      </c>
      <c r="CY76" s="24" t="n">
        <f aca="false">IF('Food Data'!$AK$103="Snacks &amp; sweets",100/'Food Data'!$N$103,0)</f>
        <v>0</v>
      </c>
      <c r="CZ76" s="24" t="n">
        <f aca="false">IF('Food Data'!$AK$104="Snacks &amp; sweets",100/'Food Data'!$N$104,0)</f>
        <v>0</v>
      </c>
      <c r="DA76" s="24" t="n">
        <f aca="false">IF('Food Data'!$AK$105="Snacks &amp; sweets",100/'Food Data'!$N$105,0)</f>
        <v>0</v>
      </c>
      <c r="DB76" s="24" t="n">
        <f aca="false">IF('Food Data'!$AK$106="Snacks &amp; sweets",100/'Food Data'!$N$106,0)</f>
        <v>0</v>
      </c>
      <c r="DC76" s="24" t="n">
        <f aca="false">IF('Food Data'!$AK$107="Snacks &amp; sweets",100/'Food Data'!$N$107,0)</f>
        <v>0</v>
      </c>
      <c r="DD76" s="24" t="n">
        <f aca="false">IF('Food Data'!$AK$108="Snacks &amp; sweets",100/'Food Data'!$N$108,0)</f>
        <v>0</v>
      </c>
      <c r="DE76" s="24" t="n">
        <f aca="false">IF('Food Data'!$AK$109="Snacks &amp; sweets",100/'Food Data'!$N$109,0)</f>
        <v>0</v>
      </c>
      <c r="DF76" s="24" t="n">
        <f aca="false">IF('Food Data'!$AK$110="Snacks &amp; sweets",100/'Food Data'!$N$110,0)</f>
        <v>0</v>
      </c>
      <c r="DG76" s="24" t="n">
        <f aca="false">IF('Food Data'!$AK$111="Snacks &amp; sweets",100/'Food Data'!$N$111,0)</f>
        <v>0</v>
      </c>
      <c r="DH76" s="24" t="n">
        <f aca="false">IF('Food Data'!$AK$112="Snacks &amp; sweets",100/'Food Data'!$N$112,0)</f>
        <v>0</v>
      </c>
      <c r="DI76" s="24" t="n">
        <f aca="false">IF('Food Data'!$AK$113="Snacks &amp; sweets",100/'Food Data'!$N$113,0)</f>
        <v>0</v>
      </c>
      <c r="DJ76" s="24" t="n">
        <f aca="false">IF('Food Data'!$AK$114="Snacks &amp; sweets",100/'Food Data'!$N$114,0)</f>
        <v>0</v>
      </c>
      <c r="DK76" s="24" t="n">
        <f aca="false">IF('Food Data'!$AK$115="Snacks &amp; sweets",100/'Food Data'!$N$115,0)</f>
        <v>0</v>
      </c>
      <c r="DL76" s="24" t="n">
        <f aca="false">IF('Food Data'!$AK$116="Snacks &amp; sweets",100/'Food Data'!$N$116,0)</f>
        <v>0</v>
      </c>
      <c r="DM76" s="24" t="n">
        <f aca="false">IF('Food Data'!$AK$117="Snacks &amp; sweets",100/'Food Data'!$N$117,0)</f>
        <v>0</v>
      </c>
      <c r="DN76" s="24" t="n">
        <f aca="false">IF('Food Data'!$AK$118="Snacks &amp; sweets",100/'Food Data'!$N$118,0)</f>
        <v>0</v>
      </c>
      <c r="DO76" s="24" t="n">
        <f aca="false">IF('Food Data'!$AK$119="Snacks &amp; sweets",100/'Food Data'!$N$119,0)</f>
        <v>0</v>
      </c>
      <c r="DP76" s="24" t="n">
        <f aca="false">IF('Food Data'!$AK$120="Snacks &amp; sweets",100/'Food Data'!$N$120,0)</f>
        <v>0</v>
      </c>
      <c r="DQ76" s="24" t="n">
        <f aca="false">IF('Food Data'!$AK$121="Snacks &amp; sweets",100/'Food Data'!$N$121,0)</f>
        <v>0</v>
      </c>
      <c r="DR76" s="24" t="n">
        <f aca="false">IF('Food Data'!$AK$122="Snacks &amp; sweets",100/'Food Data'!$N$122,0)</f>
        <v>0</v>
      </c>
      <c r="DS76" s="24" t="n">
        <f aca="false">IF('Food Data'!$AK$123="Snacks &amp; sweets",100/'Food Data'!$N$123,0)</f>
        <v>0</v>
      </c>
      <c r="DT76" s="24" t="n">
        <f aca="false">IF('Food Data'!$AK$124="Snacks &amp; sweets",100/'Food Data'!$N$124,0)</f>
        <v>0</v>
      </c>
      <c r="DU76" s="24" t="n">
        <f aca="false">IF('Food Data'!$AK$125="Snacks &amp; sweets",100/'Food Data'!$N$125,0)</f>
        <v>0</v>
      </c>
      <c r="DV76" s="24" t="n">
        <f aca="false">IF('Food Data'!$AK$126="Snacks &amp; sweets",100/'Food Data'!$N$126,0)</f>
        <v>0</v>
      </c>
      <c r="DW76" s="24" t="n">
        <f aca="false">IF('Food Data'!$AK$127="Snacks &amp; sweets",100/'Food Data'!$N$127,0)</f>
        <v>0</v>
      </c>
      <c r="DX76" s="24" t="n">
        <f aca="false">IF('Food Data'!$AK$128="Snacks &amp; sweets",100/'Food Data'!$N$128,0)</f>
        <v>0</v>
      </c>
      <c r="DY76" s="24" t="n">
        <f aca="false">IF('Food Data'!$AK$129="Snacks &amp; sweets",100/'Food Data'!$N$129,0)</f>
        <v>0</v>
      </c>
      <c r="DZ76" s="24" t="n">
        <f aca="false">IF('Food Data'!$AK$130="Snacks &amp; sweets",100/'Food Data'!$N$130,0)</f>
        <v>0</v>
      </c>
      <c r="EA76" s="24" t="n">
        <f aca="false">IF('Food Data'!$AK$131="Snacks &amp; sweets",100/'Food Data'!$N$131,0)</f>
        <v>0</v>
      </c>
      <c r="EB76" s="24" t="n">
        <f aca="false">IF('Food Data'!$AK$132="Snacks &amp; sweets",100/'Food Data'!$N$132,0)</f>
        <v>0</v>
      </c>
      <c r="EC76" s="24" t="n">
        <f aca="false">IF('Food Data'!$AK$133="Snacks &amp; sweets",100/'Food Data'!$N$133,0)</f>
        <v>0</v>
      </c>
      <c r="ED76" s="24" t="n">
        <f aca="false">IF('Food Data'!$AK$134="Snacks &amp; sweets",100/'Food Data'!$N$134,0)</f>
        <v>0</v>
      </c>
      <c r="EE76" s="24" t="n">
        <f aca="false">IF('Food Data'!$AK$135="Snacks &amp; sweets",100/'Food Data'!$N$135,0)</f>
        <v>0</v>
      </c>
      <c r="EF76" s="24" t="n">
        <f aca="false">IF('Food Data'!$AK$136="Snacks &amp; sweets",100/'Food Data'!$N$136,0)</f>
        <v>0</v>
      </c>
      <c r="EG76" s="24" t="n">
        <f aca="false">IF('Food Data'!$AK$137="Snacks &amp; sweets",100/'Food Data'!$N$137,0)</f>
        <v>0</v>
      </c>
      <c r="EH76" s="24" t="n">
        <f aca="false">IF('Food Data'!$AK$138="Snacks &amp; sweets",100/'Food Data'!$N$138,0)</f>
        <v>0</v>
      </c>
      <c r="EI76" s="24" t="n">
        <f aca="false">IF('Food Data'!$AK$139="Snacks &amp; sweets",100/'Food Data'!$N$139,0)</f>
        <v>0</v>
      </c>
      <c r="EJ76" s="24" t="n">
        <f aca="false">IF('Food Data'!$AK$140="Snacks &amp; sweets",100/'Food Data'!$N$140,0)</f>
        <v>0</v>
      </c>
      <c r="EK76" s="24" t="n">
        <f aca="false">IF('Food Data'!$AK$141="Snacks &amp; sweets",100/'Food Data'!$N$141,0)</f>
        <v>0</v>
      </c>
      <c r="EL76" s="24" t="n">
        <f aca="false">IF('Food Data'!$AK$142="Snacks &amp; sweets",100/'Food Data'!$N$142,0)</f>
        <v>0</v>
      </c>
      <c r="EM76" s="24" t="n">
        <f aca="false">IF('Food Data'!$AK$143="Snacks &amp; sweets",100/'Food Data'!$N$143,0)</f>
        <v>0</v>
      </c>
      <c r="EN76" s="24" t="n">
        <f aca="false">IF('Food Data'!$AK$144="Snacks &amp; sweets",100/'Food Data'!$N$144,0)</f>
        <v>0</v>
      </c>
      <c r="EO76" s="24" t="n">
        <f aca="false">IF('Food Data'!$AK$145="Snacks &amp; sweets",100/'Food Data'!$N$145,0)</f>
        <v>0</v>
      </c>
      <c r="EP76" s="24" t="n">
        <f aca="false">IF('Food Data'!$AK$146="Snacks &amp; sweets",100/'Food Data'!$N$146,0)</f>
        <v>0</v>
      </c>
      <c r="EQ76" s="24" t="n">
        <f aca="false">IF('Food Data'!$AK$147="Snacks &amp; sweets",100/'Food Data'!$N$147,0)</f>
        <v>0</v>
      </c>
      <c r="ER76" s="24" t="n">
        <f aca="false">IF('Food Data'!$AK$148="Snacks &amp; sweets",100/'Food Data'!$N$148,0)</f>
        <v>3.84615384615385</v>
      </c>
      <c r="ES76" s="24" t="n">
        <f aca="false">IF('Food Data'!$AK$149="Snacks &amp; sweets",100/'Food Data'!$N$149,0)</f>
        <v>4.16666666666667</v>
      </c>
      <c r="ET76" s="24" t="n">
        <f aca="false">IF('Food Data'!$AK$150="Snacks &amp; sweets",100/'Food Data'!$N$150,0)</f>
        <v>3.57142857142857</v>
      </c>
      <c r="EU76" s="24" t="n">
        <f aca="false">IF('Food Data'!$AK$151="Snacks &amp; sweets",100/'Food Data'!$N$151,0)</f>
        <v>1.51515151515152</v>
      </c>
    </row>
    <row r="77" customFormat="false" ht="15" hidden="false" customHeight="false" outlineLevel="0" collapsed="false">
      <c r="A77" s="4" t="s">
        <v>1016</v>
      </c>
      <c r="B77" s="75" t="s">
        <v>1017</v>
      </c>
      <c r="C77" s="78" t="n">
        <v>0</v>
      </c>
      <c r="D77" s="77" t="n">
        <v>-39.199999997333</v>
      </c>
      <c r="E77" s="75" t="str">
        <f aca="false">IF(D77&lt;=C77+0.000001*MAX(1,ABS(C77)),IF(ABS(D77-C77)&lt;=0.000001*MAX(1,ABS(C77)),"tight","ok"),"VIOLATED")</f>
        <v>ok</v>
      </c>
      <c r="F77" s="24" t="n">
        <f aca="false">F$21*(1-Planner!$C$43)</f>
        <v>14.625</v>
      </c>
      <c r="G77" s="24" t="n">
        <f aca="false">G$21*(0-Planner!$C$43)</f>
        <v>-6.328</v>
      </c>
      <c r="H77" s="24" t="n">
        <f aca="false">H$21*(0-Planner!$C$43)</f>
        <v>-6.881</v>
      </c>
      <c r="I77" s="24" t="n">
        <f aca="false">I$21*(0-Planner!$C$43)</f>
        <v>-5.7155</v>
      </c>
      <c r="J77" s="24" t="n">
        <f aca="false">J$21*(0-Planner!$C$43)</f>
        <v>-6.5555</v>
      </c>
      <c r="K77" s="24" t="n">
        <f aca="false">K$21*(0-Planner!$C$43)</f>
        <v>-6.51</v>
      </c>
      <c r="L77" s="24" t="n">
        <f aca="false">L$21*(0-Planner!$C$43)</f>
        <v>-4.417</v>
      </c>
      <c r="M77" s="24" t="n">
        <f aca="false">M$21*(0-Planner!$C$43)</f>
        <v>-7.6125</v>
      </c>
      <c r="N77" s="24" t="n">
        <f aca="false">N$21*(0-Planner!$C$43)</f>
        <v>-6.0095</v>
      </c>
      <c r="O77" s="24" t="n">
        <f aca="false">O$21*(0-Planner!$C$43)</f>
        <v>-7.2975</v>
      </c>
      <c r="P77" s="24" t="n">
        <f aca="false">P$21*(0-Planner!$C$43)</f>
        <v>-5.81</v>
      </c>
      <c r="Q77" s="24" t="n">
        <f aca="false">Q$21*(0-Planner!$C$43)</f>
        <v>-7.399</v>
      </c>
      <c r="R77" s="24" t="n">
        <f aca="false">R$21*(0-Planner!$C$43)</f>
        <v>-7.679</v>
      </c>
      <c r="S77" s="24" t="n">
        <f aca="false">S$21*(0-Planner!$C$43)</f>
        <v>-6.972</v>
      </c>
      <c r="T77" s="24" t="n">
        <f aca="false">T$21*(0-Planner!$C$43)</f>
        <v>-6.804</v>
      </c>
      <c r="U77" s="24" t="n">
        <f aca="false">U$21*(0-Planner!$C$43)</f>
        <v>-7.147</v>
      </c>
      <c r="V77" s="24" t="n">
        <f aca="false">V$21*(0-Planner!$C$43)</f>
        <v>-4.7635</v>
      </c>
      <c r="W77" s="24" t="n">
        <f aca="false">W$21*(0-Planner!$C$43)</f>
        <v>-7.028</v>
      </c>
      <c r="X77" s="24" t="n">
        <f aca="false">X$21*(0-Planner!$C$43)</f>
        <v>-4.396</v>
      </c>
      <c r="Y77" s="24" t="n">
        <f aca="false">Y$21*(0-Planner!$C$43)</f>
        <v>-2.1105</v>
      </c>
      <c r="Z77" s="24" t="n">
        <f aca="false">Z$21*(0-Planner!$C$43)</f>
        <v>-7.56</v>
      </c>
      <c r="AA77" s="24" t="n">
        <f aca="false">AA$21*(0-Planner!$C$43)</f>
        <v>-1.659</v>
      </c>
      <c r="AB77" s="24" t="n">
        <f aca="false">AB$21*(0-Planner!$C$43)</f>
        <v>-8.232</v>
      </c>
      <c r="AC77" s="24" t="n">
        <f aca="false">AC$21*(0-Planner!$C$43)</f>
        <v>-1.722</v>
      </c>
      <c r="AD77" s="24" t="n">
        <f aca="false">AD$21*(0-Planner!$C$43)</f>
        <v>-2.5795</v>
      </c>
      <c r="AE77" s="24" t="n">
        <f aca="false">AE$21*(0-Planner!$C$43)</f>
        <v>-7.651</v>
      </c>
      <c r="AF77" s="24" t="n">
        <f aca="false">AF$21*(0-Planner!$C$43)</f>
        <v>-1.827</v>
      </c>
      <c r="AG77" s="24" t="n">
        <f aca="false">AG$21*(0-Planner!$C$43)</f>
        <v>-8.253</v>
      </c>
      <c r="AH77" s="24" t="n">
        <f aca="false">AH$21*(0-Planner!$C$43)</f>
        <v>-8.6205</v>
      </c>
      <c r="AI77" s="24" t="n">
        <f aca="false">AI$21*(0-Planner!$C$43)</f>
        <v>-7.511</v>
      </c>
      <c r="AJ77" s="24" t="n">
        <f aca="false">AJ$21*(0-Planner!$C$43)</f>
        <v>-2.6355</v>
      </c>
      <c r="AK77" s="24" t="n">
        <f aca="false">AK$21*(0-Planner!$C$43)</f>
        <v>-7.8155</v>
      </c>
      <c r="AL77" s="24" t="n">
        <f aca="false">AL$21*(0-Planner!$C$43)</f>
        <v>-7.7735</v>
      </c>
      <c r="AM77" s="24" t="n">
        <f aca="false">AM$21*(0-Planner!$C$43)</f>
        <v>-1.61</v>
      </c>
      <c r="AN77" s="24" t="n">
        <f aca="false">AN$21*(0-Planner!$C$43)</f>
        <v>-7.497</v>
      </c>
      <c r="AO77" s="24" t="n">
        <f aca="false">AO$21*(0-Planner!$C$43)</f>
        <v>-3.535</v>
      </c>
      <c r="AP77" s="24" t="n">
        <f aca="false">AP$21*(0-Planner!$C$43)</f>
        <v>-1.155</v>
      </c>
      <c r="AQ77" s="24" t="n">
        <f aca="false">AQ$21*(0-Planner!$C$43)</f>
        <v>-3.5665</v>
      </c>
      <c r="AR77" s="24" t="n">
        <f aca="false">AR$21*(0-Planner!$C$43)</f>
        <v>-0.91</v>
      </c>
      <c r="AS77" s="24" t="n">
        <f aca="false">AS$21*(0-Planner!$C$43)</f>
        <v>-1.1025</v>
      </c>
      <c r="AT77" s="24" t="n">
        <f aca="false">AT$21*(0-Planner!$C$43)</f>
        <v>-6.3455</v>
      </c>
      <c r="AU77" s="24" t="n">
        <f aca="false">AU$21*(0-Planner!$C$43)</f>
        <v>-8.0045</v>
      </c>
      <c r="AV77" s="24" t="n">
        <f aca="false">AV$21*(0-Planner!$C$43)</f>
        <v>-3.6575</v>
      </c>
      <c r="AW77" s="24" t="n">
        <f aca="false">AW$21*(0-Planner!$C$43)</f>
        <v>-8.3125</v>
      </c>
      <c r="AX77" s="24" t="n">
        <f aca="false">AX$21*(0-Planner!$C$43)</f>
        <v>-3.696</v>
      </c>
      <c r="AY77" s="24" t="n">
        <f aca="false">AY$21*(0-Planner!$C$43)</f>
        <v>-2.639</v>
      </c>
      <c r="AZ77" s="24" t="n">
        <f aca="false">AZ$21*(0-Planner!$C$43)</f>
        <v>-4.2315</v>
      </c>
      <c r="BA77" s="24" t="n">
        <f aca="false">BA$21*(0-Planner!$C$43)</f>
        <v>-1.995</v>
      </c>
      <c r="BB77" s="24" t="n">
        <f aca="false">BB$21*(0-Planner!$C$43)</f>
        <v>-2.8035</v>
      </c>
      <c r="BC77" s="24" t="n">
        <f aca="false">BC$21*(0-Planner!$C$43)</f>
        <v>-4.942</v>
      </c>
      <c r="BD77" s="24" t="n">
        <f aca="false">BD$21*(0-Planner!$C$43)</f>
        <v>-4.6025</v>
      </c>
      <c r="BE77" s="24" t="n">
        <f aca="false">BE$21*(0-Planner!$C$43)</f>
        <v>-4.564</v>
      </c>
      <c r="BF77" s="24" t="n">
        <f aca="false">BF$21*(0-Planner!$C$43)</f>
        <v>-3.0975</v>
      </c>
      <c r="BG77" s="24" t="n">
        <f aca="false">BG$21*(0-Planner!$C$43)</f>
        <v>-2.4955</v>
      </c>
      <c r="BH77" s="24" t="n">
        <f aca="false">BH$21*(0-Planner!$C$43)</f>
        <v>-4.3575</v>
      </c>
      <c r="BI77" s="24" t="n">
        <f aca="false">BI$21*(0-Planner!$C$43)</f>
        <v>-4.8545</v>
      </c>
      <c r="BJ77" s="24" t="n">
        <f aca="false">BJ$21*(0-Planner!$C$43)</f>
        <v>-2.6565</v>
      </c>
      <c r="BK77" s="24" t="n">
        <f aca="false">BK$21*(0-Planner!$C$43)</f>
        <v>-0.6825</v>
      </c>
      <c r="BL77" s="24" t="n">
        <f aca="false">BL$21*(0-Planner!$C$43)</f>
        <v>-1.057</v>
      </c>
      <c r="BM77" s="24" t="n">
        <f aca="false">BM$21*(0-Planner!$C$43)</f>
        <v>-0.784</v>
      </c>
      <c r="BN77" s="24" t="n">
        <f aca="false">BN$21*(0-Planner!$C$43)</f>
        <v>-1.0535</v>
      </c>
      <c r="BO77" s="24" t="n">
        <f aca="false">BO$21*(0-Planner!$C$43)</f>
        <v>-1.827</v>
      </c>
      <c r="BP77" s="24" t="n">
        <f aca="false">BP$21*(0-Planner!$C$43)</f>
        <v>-0.7175</v>
      </c>
      <c r="BQ77" s="24" t="n">
        <f aca="false">BQ$21*(0-Planner!$C$43)</f>
        <v>-0.5495</v>
      </c>
      <c r="BR77" s="24" t="n">
        <f aca="false">BR$21*(0-Planner!$C$43)</f>
        <v>-0.091</v>
      </c>
      <c r="BS77" s="24" t="n">
        <f aca="false">BS$21*(0-Planner!$C$43)</f>
        <v>-0.0595</v>
      </c>
      <c r="BT77" s="24" t="n">
        <f aca="false">BT$21*(0-Planner!$C$43)</f>
        <v>-0.3815</v>
      </c>
      <c r="BU77" s="24" t="n">
        <f aca="false">BU$21*(0-Planner!$C$43)</f>
        <v>-0.4865</v>
      </c>
      <c r="BV77" s="24" t="n">
        <f aca="false">BV$21*(0-Planner!$C$43)</f>
        <v>-0.147</v>
      </c>
      <c r="BW77" s="24" t="n">
        <f aca="false">BW$21*(0-Planner!$C$43)</f>
        <v>-0.294</v>
      </c>
      <c r="BX77" s="24" t="n">
        <f aca="false">BX$21*(0-Planner!$C$43)</f>
        <v>-0.371</v>
      </c>
      <c r="BY77" s="24" t="n">
        <f aca="false">BY$21*(0-Planner!$C$43)</f>
        <v>-0.2975</v>
      </c>
      <c r="BZ77" s="24" t="n">
        <f aca="false">BZ$21*(0-Planner!$C$43)</f>
        <v>-0.8575</v>
      </c>
      <c r="CA77" s="24" t="n">
        <f aca="false">CA$21*(0-Planner!$C$43)</f>
        <v>-1.1865</v>
      </c>
      <c r="CB77" s="24" t="n">
        <f aca="false">CB$21*(0-Planner!$C$43)</f>
        <v>-0.0595</v>
      </c>
      <c r="CC77" s="24" t="n">
        <f aca="false">CC$21*(0-Planner!$C$43)</f>
        <v>-0.161</v>
      </c>
      <c r="CD77" s="24" t="n">
        <f aca="false">CD$21*(0-Planner!$C$43)</f>
        <v>-0.2205</v>
      </c>
      <c r="CE77" s="24" t="n">
        <f aca="false">CE$21*(0-Planner!$C$43)</f>
        <v>-0.252</v>
      </c>
      <c r="CF77" s="24" t="n">
        <f aca="false">CF$21*(0-Planner!$C$43)</f>
        <v>-0.189</v>
      </c>
      <c r="CG77" s="24" t="n">
        <f aca="false">CG$21*(0-Planner!$C$43)</f>
        <v>-0.399</v>
      </c>
      <c r="CH77" s="24" t="n">
        <f aca="false">CH$21*(0-Planner!$C$43)</f>
        <v>-0.287</v>
      </c>
      <c r="CI77" s="24" t="n">
        <f aca="false">CI$21*(0-Planner!$C$43)</f>
        <v>-0.371</v>
      </c>
      <c r="CJ77" s="24" t="n">
        <f aca="false">CJ$21*(0-Planner!$C$43)</f>
        <v>-0.238</v>
      </c>
      <c r="CK77" s="24" t="n">
        <f aca="false">CK$21*(0-Planner!$C$43)</f>
        <v>-0.3185</v>
      </c>
      <c r="CL77" s="24" t="n">
        <f aca="false">CL$21*(0-Planner!$C$43)</f>
        <v>-0.1645</v>
      </c>
      <c r="CM77" s="24" t="n">
        <f aca="false">CM$21*(0-Planner!$C$43)</f>
        <v>-0.3185</v>
      </c>
      <c r="CN77" s="24" t="n">
        <f aca="false">CN$21*(0-Planner!$C$43)</f>
        <v>-0.2205</v>
      </c>
      <c r="CO77" s="24" t="n">
        <f aca="false">CO$21*(0-Planner!$C$43)</f>
        <v>-0.126</v>
      </c>
      <c r="CP77" s="24" t="n">
        <f aca="false">CP$21*(0-Planner!$C$43)</f>
        <v>-0.119</v>
      </c>
      <c r="CQ77" s="24" t="n">
        <f aca="false">CQ$21*(0-Planner!$C$43)</f>
        <v>-0.189</v>
      </c>
      <c r="CR77" s="24" t="n">
        <f aca="false">CR$21*(0-Planner!$C$43)</f>
        <v>-0.147</v>
      </c>
      <c r="CS77" s="24" t="n">
        <f aca="false">CS$21*(0-Planner!$C$43)</f>
        <v>-0.245</v>
      </c>
      <c r="CT77" s="24" t="n">
        <f aca="false">CT$21*(0-Planner!$C$43)</f>
        <v>-0.763</v>
      </c>
      <c r="CU77" s="24" t="n">
        <f aca="false">CU$21*(0-Planner!$C$43)</f>
        <v>-1.0745</v>
      </c>
      <c r="CV77" s="24" t="n">
        <f aca="false">CV$21*(0-Planner!$C$43)</f>
        <v>-0.42</v>
      </c>
      <c r="CW77" s="24" t="n">
        <f aca="false">CW$21*(0-Planner!$C$43)</f>
        <v>-0.2345</v>
      </c>
      <c r="CX77" s="24" t="n">
        <f aca="false">CX$21*(0-Planner!$C$43)</f>
        <v>-0.1505</v>
      </c>
      <c r="CY77" s="24" t="n">
        <f aca="false">CY$21*(0-Planner!$C$43)</f>
        <v>-0.2135</v>
      </c>
      <c r="CZ77" s="24" t="n">
        <f aca="false">CZ$21*(0-Planner!$C$43)</f>
        <v>-0.28</v>
      </c>
      <c r="DA77" s="24" t="n">
        <f aca="false">DA$21*(0-Planner!$C$43)</f>
        <v>-0.77</v>
      </c>
      <c r="DB77" s="24" t="n">
        <f aca="false">DB$21*(0-Planner!$C$43)</f>
        <v>-0.224</v>
      </c>
      <c r="DC77" s="24" t="n">
        <f aca="false">DC$21*(0-Planner!$C$43)</f>
        <v>-0.2555</v>
      </c>
      <c r="DD77" s="24" t="n">
        <f aca="false">DD$21*(0-Planner!$C$43)</f>
        <v>-1.071</v>
      </c>
      <c r="DE77" s="24" t="n">
        <f aca="false">DE$21*(0-Planner!$C$43)</f>
        <v>-1.323</v>
      </c>
      <c r="DF77" s="24" t="n">
        <f aca="false">DF$21*(0-Planner!$C$43)</f>
        <v>-0.35</v>
      </c>
      <c r="DG77" s="24" t="n">
        <f aca="false">DG$21*(0-Planner!$C$43)</f>
        <v>-0.448</v>
      </c>
      <c r="DH77" s="24" t="n">
        <f aca="false">DH$21*(0-Planner!$C$43)</f>
        <v>-0.5005</v>
      </c>
      <c r="DI77" s="24" t="n">
        <f aca="false">DI$21*(0-Planner!$C$43)</f>
        <v>-0.3255</v>
      </c>
      <c r="DJ77" s="24" t="n">
        <f aca="false">DJ$21*(0-Planner!$C$43)</f>
        <v>-0.203</v>
      </c>
      <c r="DK77" s="24" t="n">
        <f aca="false">DK$21*(0-Planner!$C$43)</f>
        <v>-0.273</v>
      </c>
      <c r="DL77" s="24" t="n">
        <f aca="false">DL$21*(0-Planner!$C$43)</f>
        <v>-0.7035</v>
      </c>
      <c r="DM77" s="24" t="n">
        <f aca="false">DM$21*(0-Planner!$C$43)</f>
        <v>-0.2415</v>
      </c>
      <c r="DN77" s="24" t="n">
        <f aca="false">DN$21*(0-Planner!$C$43)</f>
        <v>-1.057</v>
      </c>
      <c r="DO77" s="24" t="n">
        <f aca="false">DO$21*(0-Planner!$C$43)</f>
        <v>-0.9415</v>
      </c>
      <c r="DP77" s="24" t="n">
        <f aca="false">DP$21*(0-Planner!$C$43)</f>
        <v>-0.2275</v>
      </c>
      <c r="DQ77" s="24" t="n">
        <f aca="false">DQ$21*(0-Planner!$C$43)</f>
        <v>-0.252</v>
      </c>
      <c r="DR77" s="24" t="n">
        <f aca="false">DR$21*(0-Planner!$C$43)</f>
        <v>-0.6265</v>
      </c>
      <c r="DS77" s="24" t="n">
        <f aca="false">DS$21*(0-Planner!$C$43)</f>
        <v>-0.301</v>
      </c>
      <c r="DT77" s="24" t="n">
        <f aca="false">DT$21*(0-Planner!$C$43)</f>
        <v>-0.315</v>
      </c>
      <c r="DU77" s="24" t="n">
        <f aca="false">DU$21*(0-Planner!$C$43)</f>
        <v>-0.931</v>
      </c>
      <c r="DV77" s="24" t="n">
        <f aca="false">DV$21*(0-Planner!$C$43)</f>
        <v>-1.1655</v>
      </c>
      <c r="DW77" s="24" t="n">
        <f aca="false">DW$21*(0-Planner!$C$43)</f>
        <v>-1.0815</v>
      </c>
      <c r="DX77" s="24" t="n">
        <f aca="false">DX$21*(0-Planner!$C$43)</f>
        <v>-0.8715</v>
      </c>
      <c r="DY77" s="24" t="n">
        <f aca="false">DY$21*(0-Planner!$C$43)</f>
        <v>-0.5915</v>
      </c>
      <c r="DZ77" s="24" t="n">
        <f aca="false">DZ$21*(0-Planner!$C$43)</f>
        <v>-0.385</v>
      </c>
      <c r="EA77" s="24" t="n">
        <f aca="false">EA$21*(0-Planner!$C$43)</f>
        <v>-0.385</v>
      </c>
      <c r="EB77" s="24" t="n">
        <f aca="false">EB$21*(0-Planner!$C$43)</f>
        <v>-0.238</v>
      </c>
      <c r="EC77" s="24" t="n">
        <f aca="false">EC$21*(0-Planner!$C$43)</f>
        <v>-0.3465</v>
      </c>
      <c r="ED77" s="24" t="n">
        <f aca="false">ED$21*(0-Planner!$C$43)</f>
        <v>-0.4305</v>
      </c>
      <c r="EE77" s="24" t="n">
        <f aca="false">EE$21*(0-Planner!$C$43)</f>
        <v>-0.3185</v>
      </c>
      <c r="EF77" s="24" t="n">
        <f aca="false">EF$21*(0-Planner!$C$43)</f>
        <v>-0.7385</v>
      </c>
      <c r="EG77" s="24" t="n">
        <f aca="false">EG$21*(0-Planner!$C$43)</f>
        <v>-1.001</v>
      </c>
      <c r="EH77" s="24" t="n">
        <f aca="false">EH$21*(0-Planner!$C$43)</f>
        <v>-1.2705</v>
      </c>
      <c r="EI77" s="24" t="n">
        <f aca="false">EI$21*(0-Planner!$C$43)</f>
        <v>-0.2765</v>
      </c>
      <c r="EJ77" s="24" t="n">
        <f aca="false">EJ$21*(0-Planner!$C$43)</f>
        <v>-0.308</v>
      </c>
      <c r="EK77" s="24" t="n">
        <f aca="false">EK$21*(0-Planner!$C$43)</f>
        <v>-0.8645</v>
      </c>
      <c r="EL77" s="24" t="n">
        <f aca="false">EL$21*(0-Planner!$C$43)</f>
        <v>-0.4235</v>
      </c>
      <c r="EM77" s="24" t="n">
        <f aca="false">EM$21*(0-Planner!$C$43)</f>
        <v>-0.2975</v>
      </c>
      <c r="EN77" s="24" t="n">
        <f aca="false">EN$21*(0-Planner!$C$43)</f>
        <v>-0</v>
      </c>
      <c r="EO77" s="24" t="n">
        <f aca="false">EO$21*(0-Planner!$C$43)</f>
        <v>-0</v>
      </c>
      <c r="EP77" s="24" t="n">
        <f aca="false">EP$21*(0-Planner!$C$43)</f>
        <v>-7.4025</v>
      </c>
      <c r="EQ77" s="24" t="n">
        <f aca="false">EQ$21*(0-Planner!$C$43)</f>
        <v>-0.686</v>
      </c>
      <c r="ER77" s="24" t="n">
        <f aca="false">ER$21*(0-Planner!$C$43)</f>
        <v>-1.785</v>
      </c>
      <c r="ES77" s="24" t="n">
        <f aca="false">ES$21*(0-Planner!$C$43)</f>
        <v>-1.9775</v>
      </c>
      <c r="ET77" s="24" t="n">
        <f aca="false">ET$21*(0-Planner!$C$43)</f>
        <v>-2.2365</v>
      </c>
      <c r="EU77" s="24" t="n">
        <f aca="false">EU$21*(0-Planner!$C$43)</f>
        <v>-1.225</v>
      </c>
    </row>
    <row r="78" customFormat="false" ht="15" hidden="false" customHeight="false" outlineLevel="0" collapsed="false">
      <c r="A78" s="4" t="s">
        <v>1018</v>
      </c>
      <c r="B78" s="75" t="s">
        <v>1017</v>
      </c>
      <c r="C78" s="78" t="n">
        <v>0</v>
      </c>
      <c r="D78" s="77" t="n">
        <v>-38.998212516373</v>
      </c>
      <c r="E78" s="75" t="str">
        <f aca="false">IF(D78&lt;=C78+0.000001*MAX(1,ABS(C78)),IF(ABS(D78-C78)&lt;=0.000001*MAX(1,ABS(C78)),"tight","ok"),"VIOLATED")</f>
        <v>ok</v>
      </c>
      <c r="F78" s="24" t="n">
        <f aca="false">F$21*(0-Planner!$C$43)</f>
        <v>-7.875</v>
      </c>
      <c r="G78" s="24" t="n">
        <f aca="false">G$21*(1-Planner!$C$43)</f>
        <v>11.752</v>
      </c>
      <c r="H78" s="24" t="n">
        <f aca="false">H$21*(0-Planner!$C$43)</f>
        <v>-6.881</v>
      </c>
      <c r="I78" s="24" t="n">
        <f aca="false">I$21*(0-Planner!$C$43)</f>
        <v>-5.7155</v>
      </c>
      <c r="J78" s="24" t="n">
        <f aca="false">J$21*(0-Planner!$C$43)</f>
        <v>-6.5555</v>
      </c>
      <c r="K78" s="24" t="n">
        <f aca="false">K$21*(0-Planner!$C$43)</f>
        <v>-6.51</v>
      </c>
      <c r="L78" s="24" t="n">
        <f aca="false">L$21*(0-Planner!$C$43)</f>
        <v>-4.417</v>
      </c>
      <c r="M78" s="24" t="n">
        <f aca="false">M$21*(0-Planner!$C$43)</f>
        <v>-7.6125</v>
      </c>
      <c r="N78" s="24" t="n">
        <f aca="false">N$21*(0-Planner!$C$43)</f>
        <v>-6.0095</v>
      </c>
      <c r="O78" s="24" t="n">
        <f aca="false">O$21*(0-Planner!$C$43)</f>
        <v>-7.2975</v>
      </c>
      <c r="P78" s="24" t="n">
        <f aca="false">P$21*(0-Planner!$C$43)</f>
        <v>-5.81</v>
      </c>
      <c r="Q78" s="24" t="n">
        <f aca="false">Q$21*(0-Planner!$C$43)</f>
        <v>-7.399</v>
      </c>
      <c r="R78" s="24" t="n">
        <f aca="false">R$21*(0-Planner!$C$43)</f>
        <v>-7.679</v>
      </c>
      <c r="S78" s="24" t="n">
        <f aca="false">S$21*(0-Planner!$C$43)</f>
        <v>-6.972</v>
      </c>
      <c r="T78" s="24" t="n">
        <f aca="false">T$21*(0-Planner!$C$43)</f>
        <v>-6.804</v>
      </c>
      <c r="U78" s="24" t="n">
        <f aca="false">U$21*(0-Planner!$C$43)</f>
        <v>-7.147</v>
      </c>
      <c r="V78" s="24" t="n">
        <f aca="false">V$21*(0-Planner!$C$43)</f>
        <v>-4.7635</v>
      </c>
      <c r="W78" s="24" t="n">
        <f aca="false">W$21*(0-Planner!$C$43)</f>
        <v>-7.028</v>
      </c>
      <c r="X78" s="24" t="n">
        <f aca="false">X$21*(0-Planner!$C$43)</f>
        <v>-4.396</v>
      </c>
      <c r="Y78" s="24" t="n">
        <f aca="false">Y$21*(0-Planner!$C$43)</f>
        <v>-2.1105</v>
      </c>
      <c r="Z78" s="24" t="n">
        <f aca="false">Z$21*(0-Planner!$C$43)</f>
        <v>-7.56</v>
      </c>
      <c r="AA78" s="24" t="n">
        <f aca="false">AA$21*(0-Planner!$C$43)</f>
        <v>-1.659</v>
      </c>
      <c r="AB78" s="24" t="n">
        <f aca="false">AB$21*(0-Planner!$C$43)</f>
        <v>-8.232</v>
      </c>
      <c r="AC78" s="24" t="n">
        <f aca="false">AC$21*(0-Planner!$C$43)</f>
        <v>-1.722</v>
      </c>
      <c r="AD78" s="24" t="n">
        <f aca="false">AD$21*(0-Planner!$C$43)</f>
        <v>-2.5795</v>
      </c>
      <c r="AE78" s="24" t="n">
        <f aca="false">AE$21*(0-Planner!$C$43)</f>
        <v>-7.651</v>
      </c>
      <c r="AF78" s="24" t="n">
        <f aca="false">AF$21*(0-Planner!$C$43)</f>
        <v>-1.827</v>
      </c>
      <c r="AG78" s="24" t="n">
        <f aca="false">AG$21*(0-Planner!$C$43)</f>
        <v>-8.253</v>
      </c>
      <c r="AH78" s="24" t="n">
        <f aca="false">AH$21*(0-Planner!$C$43)</f>
        <v>-8.6205</v>
      </c>
      <c r="AI78" s="24" t="n">
        <f aca="false">AI$21*(0-Planner!$C$43)</f>
        <v>-7.511</v>
      </c>
      <c r="AJ78" s="24" t="n">
        <f aca="false">AJ$21*(0-Planner!$C$43)</f>
        <v>-2.6355</v>
      </c>
      <c r="AK78" s="24" t="n">
        <f aca="false">AK$21*(0-Planner!$C$43)</f>
        <v>-7.8155</v>
      </c>
      <c r="AL78" s="24" t="n">
        <f aca="false">AL$21*(0-Planner!$C$43)</f>
        <v>-7.7735</v>
      </c>
      <c r="AM78" s="24" t="n">
        <f aca="false">AM$21*(0-Planner!$C$43)</f>
        <v>-1.61</v>
      </c>
      <c r="AN78" s="24" t="n">
        <f aca="false">AN$21*(0-Planner!$C$43)</f>
        <v>-7.497</v>
      </c>
      <c r="AO78" s="24" t="n">
        <f aca="false">AO$21*(0-Planner!$C$43)</f>
        <v>-3.535</v>
      </c>
      <c r="AP78" s="24" t="n">
        <f aca="false">AP$21*(0-Planner!$C$43)</f>
        <v>-1.155</v>
      </c>
      <c r="AQ78" s="24" t="n">
        <f aca="false">AQ$21*(0-Planner!$C$43)</f>
        <v>-3.5665</v>
      </c>
      <c r="AR78" s="24" t="n">
        <f aca="false">AR$21*(0-Planner!$C$43)</f>
        <v>-0.91</v>
      </c>
      <c r="AS78" s="24" t="n">
        <f aca="false">AS$21*(0-Planner!$C$43)</f>
        <v>-1.1025</v>
      </c>
      <c r="AT78" s="24" t="n">
        <f aca="false">AT$21*(0-Planner!$C$43)</f>
        <v>-6.3455</v>
      </c>
      <c r="AU78" s="24" t="n">
        <f aca="false">AU$21*(0-Planner!$C$43)</f>
        <v>-8.0045</v>
      </c>
      <c r="AV78" s="24" t="n">
        <f aca="false">AV$21*(0-Planner!$C$43)</f>
        <v>-3.6575</v>
      </c>
      <c r="AW78" s="24" t="n">
        <f aca="false">AW$21*(0-Planner!$C$43)</f>
        <v>-8.3125</v>
      </c>
      <c r="AX78" s="24" t="n">
        <f aca="false">AX$21*(0-Planner!$C$43)</f>
        <v>-3.696</v>
      </c>
      <c r="AY78" s="24" t="n">
        <f aca="false">AY$21*(0-Planner!$C$43)</f>
        <v>-2.639</v>
      </c>
      <c r="AZ78" s="24" t="n">
        <f aca="false">AZ$21*(0-Planner!$C$43)</f>
        <v>-4.2315</v>
      </c>
      <c r="BA78" s="24" t="n">
        <f aca="false">BA$21*(0-Planner!$C$43)</f>
        <v>-1.995</v>
      </c>
      <c r="BB78" s="24" t="n">
        <f aca="false">BB$21*(0-Planner!$C$43)</f>
        <v>-2.8035</v>
      </c>
      <c r="BC78" s="24" t="n">
        <f aca="false">BC$21*(0-Planner!$C$43)</f>
        <v>-4.942</v>
      </c>
      <c r="BD78" s="24" t="n">
        <f aca="false">BD$21*(0-Planner!$C$43)</f>
        <v>-4.6025</v>
      </c>
      <c r="BE78" s="24" t="n">
        <f aca="false">BE$21*(0-Planner!$C$43)</f>
        <v>-4.564</v>
      </c>
      <c r="BF78" s="24" t="n">
        <f aca="false">BF$21*(0-Planner!$C$43)</f>
        <v>-3.0975</v>
      </c>
      <c r="BG78" s="24" t="n">
        <f aca="false">BG$21*(0-Planner!$C$43)</f>
        <v>-2.4955</v>
      </c>
      <c r="BH78" s="24" t="n">
        <f aca="false">BH$21*(0-Planner!$C$43)</f>
        <v>-4.3575</v>
      </c>
      <c r="BI78" s="24" t="n">
        <f aca="false">BI$21*(0-Planner!$C$43)</f>
        <v>-4.8545</v>
      </c>
      <c r="BJ78" s="24" t="n">
        <f aca="false">BJ$21*(0-Planner!$C$43)</f>
        <v>-2.6565</v>
      </c>
      <c r="BK78" s="24" t="n">
        <f aca="false">BK$21*(0-Planner!$C$43)</f>
        <v>-0.6825</v>
      </c>
      <c r="BL78" s="24" t="n">
        <f aca="false">BL$21*(0-Planner!$C$43)</f>
        <v>-1.057</v>
      </c>
      <c r="BM78" s="24" t="n">
        <f aca="false">BM$21*(0-Planner!$C$43)</f>
        <v>-0.784</v>
      </c>
      <c r="BN78" s="24" t="n">
        <f aca="false">BN$21*(0-Planner!$C$43)</f>
        <v>-1.0535</v>
      </c>
      <c r="BO78" s="24" t="n">
        <f aca="false">BO$21*(0-Planner!$C$43)</f>
        <v>-1.827</v>
      </c>
      <c r="BP78" s="24" t="n">
        <f aca="false">BP$21*(0-Planner!$C$43)</f>
        <v>-0.7175</v>
      </c>
      <c r="BQ78" s="24" t="n">
        <f aca="false">BQ$21*(0-Planner!$C$43)</f>
        <v>-0.5495</v>
      </c>
      <c r="BR78" s="24" t="n">
        <f aca="false">BR$21*(0-Planner!$C$43)</f>
        <v>-0.091</v>
      </c>
      <c r="BS78" s="24" t="n">
        <f aca="false">BS$21*(0-Planner!$C$43)</f>
        <v>-0.0595</v>
      </c>
      <c r="BT78" s="24" t="n">
        <f aca="false">BT$21*(0-Planner!$C$43)</f>
        <v>-0.3815</v>
      </c>
      <c r="BU78" s="24" t="n">
        <f aca="false">BU$21*(0-Planner!$C$43)</f>
        <v>-0.4865</v>
      </c>
      <c r="BV78" s="24" t="n">
        <f aca="false">BV$21*(0-Planner!$C$43)</f>
        <v>-0.147</v>
      </c>
      <c r="BW78" s="24" t="n">
        <f aca="false">BW$21*(0-Planner!$C$43)</f>
        <v>-0.294</v>
      </c>
      <c r="BX78" s="24" t="n">
        <f aca="false">BX$21*(0-Planner!$C$43)</f>
        <v>-0.371</v>
      </c>
      <c r="BY78" s="24" t="n">
        <f aca="false">BY$21*(0-Planner!$C$43)</f>
        <v>-0.2975</v>
      </c>
      <c r="BZ78" s="24" t="n">
        <f aca="false">BZ$21*(0-Planner!$C$43)</f>
        <v>-0.8575</v>
      </c>
      <c r="CA78" s="24" t="n">
        <f aca="false">CA$21*(0-Planner!$C$43)</f>
        <v>-1.1865</v>
      </c>
      <c r="CB78" s="24" t="n">
        <f aca="false">CB$21*(0-Planner!$C$43)</f>
        <v>-0.0595</v>
      </c>
      <c r="CC78" s="24" t="n">
        <f aca="false">CC$21*(0-Planner!$C$43)</f>
        <v>-0.161</v>
      </c>
      <c r="CD78" s="24" t="n">
        <f aca="false">CD$21*(0-Planner!$C$43)</f>
        <v>-0.2205</v>
      </c>
      <c r="CE78" s="24" t="n">
        <f aca="false">CE$21*(0-Planner!$C$43)</f>
        <v>-0.252</v>
      </c>
      <c r="CF78" s="24" t="n">
        <f aca="false">CF$21*(0-Planner!$C$43)</f>
        <v>-0.189</v>
      </c>
      <c r="CG78" s="24" t="n">
        <f aca="false">CG$21*(0-Planner!$C$43)</f>
        <v>-0.399</v>
      </c>
      <c r="CH78" s="24" t="n">
        <f aca="false">CH$21*(0-Planner!$C$43)</f>
        <v>-0.287</v>
      </c>
      <c r="CI78" s="24" t="n">
        <f aca="false">CI$21*(0-Planner!$C$43)</f>
        <v>-0.371</v>
      </c>
      <c r="CJ78" s="24" t="n">
        <f aca="false">CJ$21*(0-Planner!$C$43)</f>
        <v>-0.238</v>
      </c>
      <c r="CK78" s="24" t="n">
        <f aca="false">CK$21*(0-Planner!$C$43)</f>
        <v>-0.3185</v>
      </c>
      <c r="CL78" s="24" t="n">
        <f aca="false">CL$21*(0-Planner!$C$43)</f>
        <v>-0.1645</v>
      </c>
      <c r="CM78" s="24" t="n">
        <f aca="false">CM$21*(0-Planner!$C$43)</f>
        <v>-0.3185</v>
      </c>
      <c r="CN78" s="24" t="n">
        <f aca="false">CN$21*(0-Planner!$C$43)</f>
        <v>-0.2205</v>
      </c>
      <c r="CO78" s="24" t="n">
        <f aca="false">CO$21*(0-Planner!$C$43)</f>
        <v>-0.126</v>
      </c>
      <c r="CP78" s="24" t="n">
        <f aca="false">CP$21*(0-Planner!$C$43)</f>
        <v>-0.119</v>
      </c>
      <c r="CQ78" s="24" t="n">
        <f aca="false">CQ$21*(0-Planner!$C$43)</f>
        <v>-0.189</v>
      </c>
      <c r="CR78" s="24" t="n">
        <f aca="false">CR$21*(0-Planner!$C$43)</f>
        <v>-0.147</v>
      </c>
      <c r="CS78" s="24" t="n">
        <f aca="false">CS$21*(0-Planner!$C$43)</f>
        <v>-0.245</v>
      </c>
      <c r="CT78" s="24" t="n">
        <f aca="false">CT$21*(0-Planner!$C$43)</f>
        <v>-0.763</v>
      </c>
      <c r="CU78" s="24" t="n">
        <f aca="false">CU$21*(0-Planner!$C$43)</f>
        <v>-1.0745</v>
      </c>
      <c r="CV78" s="24" t="n">
        <f aca="false">CV$21*(0-Planner!$C$43)</f>
        <v>-0.42</v>
      </c>
      <c r="CW78" s="24" t="n">
        <f aca="false">CW$21*(0-Planner!$C$43)</f>
        <v>-0.2345</v>
      </c>
      <c r="CX78" s="24" t="n">
        <f aca="false">CX$21*(0-Planner!$C$43)</f>
        <v>-0.1505</v>
      </c>
      <c r="CY78" s="24" t="n">
        <f aca="false">CY$21*(0-Planner!$C$43)</f>
        <v>-0.2135</v>
      </c>
      <c r="CZ78" s="24" t="n">
        <f aca="false">CZ$21*(0-Planner!$C$43)</f>
        <v>-0.28</v>
      </c>
      <c r="DA78" s="24" t="n">
        <f aca="false">DA$21*(0-Planner!$C$43)</f>
        <v>-0.77</v>
      </c>
      <c r="DB78" s="24" t="n">
        <f aca="false">DB$21*(0-Planner!$C$43)</f>
        <v>-0.224</v>
      </c>
      <c r="DC78" s="24" t="n">
        <f aca="false">DC$21*(0-Planner!$C$43)</f>
        <v>-0.2555</v>
      </c>
      <c r="DD78" s="24" t="n">
        <f aca="false">DD$21*(0-Planner!$C$43)</f>
        <v>-1.071</v>
      </c>
      <c r="DE78" s="24" t="n">
        <f aca="false">DE$21*(0-Planner!$C$43)</f>
        <v>-1.323</v>
      </c>
      <c r="DF78" s="24" t="n">
        <f aca="false">DF$21*(0-Planner!$C$43)</f>
        <v>-0.35</v>
      </c>
      <c r="DG78" s="24" t="n">
        <f aca="false">DG$21*(0-Planner!$C$43)</f>
        <v>-0.448</v>
      </c>
      <c r="DH78" s="24" t="n">
        <f aca="false">DH$21*(0-Planner!$C$43)</f>
        <v>-0.5005</v>
      </c>
      <c r="DI78" s="24" t="n">
        <f aca="false">DI$21*(0-Planner!$C$43)</f>
        <v>-0.3255</v>
      </c>
      <c r="DJ78" s="24" t="n">
        <f aca="false">DJ$21*(0-Planner!$C$43)</f>
        <v>-0.203</v>
      </c>
      <c r="DK78" s="24" t="n">
        <f aca="false">DK$21*(0-Planner!$C$43)</f>
        <v>-0.273</v>
      </c>
      <c r="DL78" s="24" t="n">
        <f aca="false">DL$21*(0-Planner!$C$43)</f>
        <v>-0.7035</v>
      </c>
      <c r="DM78" s="24" t="n">
        <f aca="false">DM$21*(0-Planner!$C$43)</f>
        <v>-0.2415</v>
      </c>
      <c r="DN78" s="24" t="n">
        <f aca="false">DN$21*(0-Planner!$C$43)</f>
        <v>-1.057</v>
      </c>
      <c r="DO78" s="24" t="n">
        <f aca="false">DO$21*(0-Planner!$C$43)</f>
        <v>-0.9415</v>
      </c>
      <c r="DP78" s="24" t="n">
        <f aca="false">DP$21*(0-Planner!$C$43)</f>
        <v>-0.2275</v>
      </c>
      <c r="DQ78" s="24" t="n">
        <f aca="false">DQ$21*(0-Planner!$C$43)</f>
        <v>-0.252</v>
      </c>
      <c r="DR78" s="24" t="n">
        <f aca="false">DR$21*(0-Planner!$C$43)</f>
        <v>-0.6265</v>
      </c>
      <c r="DS78" s="24" t="n">
        <f aca="false">DS$21*(0-Planner!$C$43)</f>
        <v>-0.301</v>
      </c>
      <c r="DT78" s="24" t="n">
        <f aca="false">DT$21*(0-Planner!$C$43)</f>
        <v>-0.315</v>
      </c>
      <c r="DU78" s="24" t="n">
        <f aca="false">DU$21*(0-Planner!$C$43)</f>
        <v>-0.931</v>
      </c>
      <c r="DV78" s="24" t="n">
        <f aca="false">DV$21*(0-Planner!$C$43)</f>
        <v>-1.1655</v>
      </c>
      <c r="DW78" s="24" t="n">
        <f aca="false">DW$21*(0-Planner!$C$43)</f>
        <v>-1.0815</v>
      </c>
      <c r="DX78" s="24" t="n">
        <f aca="false">DX$21*(0-Planner!$C$43)</f>
        <v>-0.8715</v>
      </c>
      <c r="DY78" s="24" t="n">
        <f aca="false">DY$21*(0-Planner!$C$43)</f>
        <v>-0.5915</v>
      </c>
      <c r="DZ78" s="24" t="n">
        <f aca="false">DZ$21*(0-Planner!$C$43)</f>
        <v>-0.385</v>
      </c>
      <c r="EA78" s="24" t="n">
        <f aca="false">EA$21*(0-Planner!$C$43)</f>
        <v>-0.385</v>
      </c>
      <c r="EB78" s="24" t="n">
        <f aca="false">EB$21*(0-Planner!$C$43)</f>
        <v>-0.238</v>
      </c>
      <c r="EC78" s="24" t="n">
        <f aca="false">EC$21*(0-Planner!$C$43)</f>
        <v>-0.3465</v>
      </c>
      <c r="ED78" s="24" t="n">
        <f aca="false">ED$21*(0-Planner!$C$43)</f>
        <v>-0.4305</v>
      </c>
      <c r="EE78" s="24" t="n">
        <f aca="false">EE$21*(0-Planner!$C$43)</f>
        <v>-0.3185</v>
      </c>
      <c r="EF78" s="24" t="n">
        <f aca="false">EF$21*(0-Planner!$C$43)</f>
        <v>-0.7385</v>
      </c>
      <c r="EG78" s="24" t="n">
        <f aca="false">EG$21*(0-Planner!$C$43)</f>
        <v>-1.001</v>
      </c>
      <c r="EH78" s="24" t="n">
        <f aca="false">EH$21*(0-Planner!$C$43)</f>
        <v>-1.2705</v>
      </c>
      <c r="EI78" s="24" t="n">
        <f aca="false">EI$21*(0-Planner!$C$43)</f>
        <v>-0.2765</v>
      </c>
      <c r="EJ78" s="24" t="n">
        <f aca="false">EJ$21*(0-Planner!$C$43)</f>
        <v>-0.308</v>
      </c>
      <c r="EK78" s="24" t="n">
        <f aca="false">EK$21*(0-Planner!$C$43)</f>
        <v>-0.8645</v>
      </c>
      <c r="EL78" s="24" t="n">
        <f aca="false">EL$21*(0-Planner!$C$43)</f>
        <v>-0.4235</v>
      </c>
      <c r="EM78" s="24" t="n">
        <f aca="false">EM$21*(0-Planner!$C$43)</f>
        <v>-0.2975</v>
      </c>
      <c r="EN78" s="24" t="n">
        <f aca="false">EN$21*(0-Planner!$C$43)</f>
        <v>-0</v>
      </c>
      <c r="EO78" s="24" t="n">
        <f aca="false">EO$21*(0-Planner!$C$43)</f>
        <v>-0</v>
      </c>
      <c r="EP78" s="24" t="n">
        <f aca="false">EP$21*(0-Planner!$C$43)</f>
        <v>-7.4025</v>
      </c>
      <c r="EQ78" s="24" t="n">
        <f aca="false">EQ$21*(0-Planner!$C$43)</f>
        <v>-0.686</v>
      </c>
      <c r="ER78" s="24" t="n">
        <f aca="false">ER$21*(0-Planner!$C$43)</f>
        <v>-1.785</v>
      </c>
      <c r="ES78" s="24" t="n">
        <f aca="false">ES$21*(0-Planner!$C$43)</f>
        <v>-1.9775</v>
      </c>
      <c r="ET78" s="24" t="n">
        <f aca="false">ET$21*(0-Planner!$C$43)</f>
        <v>-2.2365</v>
      </c>
      <c r="EU78" s="24" t="n">
        <f aca="false">EU$21*(0-Planner!$C$43)</f>
        <v>-1.225</v>
      </c>
    </row>
    <row r="79" customFormat="false" ht="15" hidden="false" customHeight="false" outlineLevel="0" collapsed="false">
      <c r="A79" s="4" t="s">
        <v>1019</v>
      </c>
      <c r="B79" s="75" t="s">
        <v>1017</v>
      </c>
      <c r="C79" s="78" t="n">
        <v>0</v>
      </c>
      <c r="D79" s="77" t="n">
        <v>-39.199999997333</v>
      </c>
      <c r="E79" s="75" t="str">
        <f aca="false">IF(D79&lt;=C79+0.000001*MAX(1,ABS(C79)),IF(ABS(D79-C79)&lt;=0.000001*MAX(1,ABS(C79)),"tight","ok"),"VIOLATED")</f>
        <v>ok</v>
      </c>
      <c r="F79" s="24" t="n">
        <f aca="false">F$21*(0-Planner!$C$43)</f>
        <v>-7.875</v>
      </c>
      <c r="G79" s="24" t="n">
        <f aca="false">G$21*(0-Planner!$C$43)</f>
        <v>-6.328</v>
      </c>
      <c r="H79" s="24" t="n">
        <f aca="false">H$21*(1-Planner!$C$43)</f>
        <v>12.779</v>
      </c>
      <c r="I79" s="24" t="n">
        <f aca="false">I$21*(0-Planner!$C$43)</f>
        <v>-5.7155</v>
      </c>
      <c r="J79" s="24" t="n">
        <f aca="false">J$21*(0-Planner!$C$43)</f>
        <v>-6.5555</v>
      </c>
      <c r="K79" s="24" t="n">
        <f aca="false">K$21*(0-Planner!$C$43)</f>
        <v>-6.51</v>
      </c>
      <c r="L79" s="24" t="n">
        <f aca="false">L$21*(0-Planner!$C$43)</f>
        <v>-4.417</v>
      </c>
      <c r="M79" s="24" t="n">
        <f aca="false">M$21*(0-Planner!$C$43)</f>
        <v>-7.6125</v>
      </c>
      <c r="N79" s="24" t="n">
        <f aca="false">N$21*(0-Planner!$C$43)</f>
        <v>-6.0095</v>
      </c>
      <c r="O79" s="24" t="n">
        <f aca="false">O$21*(0-Planner!$C$43)</f>
        <v>-7.2975</v>
      </c>
      <c r="P79" s="24" t="n">
        <f aca="false">P$21*(0-Planner!$C$43)</f>
        <v>-5.81</v>
      </c>
      <c r="Q79" s="24" t="n">
        <f aca="false">Q$21*(0-Planner!$C$43)</f>
        <v>-7.399</v>
      </c>
      <c r="R79" s="24" t="n">
        <f aca="false">R$21*(0-Planner!$C$43)</f>
        <v>-7.679</v>
      </c>
      <c r="S79" s="24" t="n">
        <f aca="false">S$21*(0-Planner!$C$43)</f>
        <v>-6.972</v>
      </c>
      <c r="T79" s="24" t="n">
        <f aca="false">T$21*(0-Planner!$C$43)</f>
        <v>-6.804</v>
      </c>
      <c r="U79" s="24" t="n">
        <f aca="false">U$21*(0-Planner!$C$43)</f>
        <v>-7.147</v>
      </c>
      <c r="V79" s="24" t="n">
        <f aca="false">V$21*(0-Planner!$C$43)</f>
        <v>-4.7635</v>
      </c>
      <c r="W79" s="24" t="n">
        <f aca="false">W$21*(0-Planner!$C$43)</f>
        <v>-7.028</v>
      </c>
      <c r="X79" s="24" t="n">
        <f aca="false">X$21*(0-Planner!$C$43)</f>
        <v>-4.396</v>
      </c>
      <c r="Y79" s="24" t="n">
        <f aca="false">Y$21*(0-Planner!$C$43)</f>
        <v>-2.1105</v>
      </c>
      <c r="Z79" s="24" t="n">
        <f aca="false">Z$21*(0-Planner!$C$43)</f>
        <v>-7.56</v>
      </c>
      <c r="AA79" s="24" t="n">
        <f aca="false">AA$21*(0-Planner!$C$43)</f>
        <v>-1.659</v>
      </c>
      <c r="AB79" s="24" t="n">
        <f aca="false">AB$21*(0-Planner!$C$43)</f>
        <v>-8.232</v>
      </c>
      <c r="AC79" s="24" t="n">
        <f aca="false">AC$21*(0-Planner!$C$43)</f>
        <v>-1.722</v>
      </c>
      <c r="AD79" s="24" t="n">
        <f aca="false">AD$21*(0-Planner!$C$43)</f>
        <v>-2.5795</v>
      </c>
      <c r="AE79" s="24" t="n">
        <f aca="false">AE$21*(0-Planner!$C$43)</f>
        <v>-7.651</v>
      </c>
      <c r="AF79" s="24" t="n">
        <f aca="false">AF$21*(0-Planner!$C$43)</f>
        <v>-1.827</v>
      </c>
      <c r="AG79" s="24" t="n">
        <f aca="false">AG$21*(0-Planner!$C$43)</f>
        <v>-8.253</v>
      </c>
      <c r="AH79" s="24" t="n">
        <f aca="false">AH$21*(0-Planner!$C$43)</f>
        <v>-8.6205</v>
      </c>
      <c r="AI79" s="24" t="n">
        <f aca="false">AI$21*(0-Planner!$C$43)</f>
        <v>-7.511</v>
      </c>
      <c r="AJ79" s="24" t="n">
        <f aca="false">AJ$21*(0-Planner!$C$43)</f>
        <v>-2.6355</v>
      </c>
      <c r="AK79" s="24" t="n">
        <f aca="false">AK$21*(0-Planner!$C$43)</f>
        <v>-7.8155</v>
      </c>
      <c r="AL79" s="24" t="n">
        <f aca="false">AL$21*(0-Planner!$C$43)</f>
        <v>-7.7735</v>
      </c>
      <c r="AM79" s="24" t="n">
        <f aca="false">AM$21*(0-Planner!$C$43)</f>
        <v>-1.61</v>
      </c>
      <c r="AN79" s="24" t="n">
        <f aca="false">AN$21*(0-Planner!$C$43)</f>
        <v>-7.497</v>
      </c>
      <c r="AO79" s="24" t="n">
        <f aca="false">AO$21*(0-Planner!$C$43)</f>
        <v>-3.535</v>
      </c>
      <c r="AP79" s="24" t="n">
        <f aca="false">AP$21*(0-Planner!$C$43)</f>
        <v>-1.155</v>
      </c>
      <c r="AQ79" s="24" t="n">
        <f aca="false">AQ$21*(0-Planner!$C$43)</f>
        <v>-3.5665</v>
      </c>
      <c r="AR79" s="24" t="n">
        <f aca="false">AR$21*(0-Planner!$C$43)</f>
        <v>-0.91</v>
      </c>
      <c r="AS79" s="24" t="n">
        <f aca="false">AS$21*(0-Planner!$C$43)</f>
        <v>-1.1025</v>
      </c>
      <c r="AT79" s="24" t="n">
        <f aca="false">AT$21*(0-Planner!$C$43)</f>
        <v>-6.3455</v>
      </c>
      <c r="AU79" s="24" t="n">
        <f aca="false">AU$21*(0-Planner!$C$43)</f>
        <v>-8.0045</v>
      </c>
      <c r="AV79" s="24" t="n">
        <f aca="false">AV$21*(0-Planner!$C$43)</f>
        <v>-3.6575</v>
      </c>
      <c r="AW79" s="24" t="n">
        <f aca="false">AW$21*(0-Planner!$C$43)</f>
        <v>-8.3125</v>
      </c>
      <c r="AX79" s="24" t="n">
        <f aca="false">AX$21*(0-Planner!$C$43)</f>
        <v>-3.696</v>
      </c>
      <c r="AY79" s="24" t="n">
        <f aca="false">AY$21*(0-Planner!$C$43)</f>
        <v>-2.639</v>
      </c>
      <c r="AZ79" s="24" t="n">
        <f aca="false">AZ$21*(0-Planner!$C$43)</f>
        <v>-4.2315</v>
      </c>
      <c r="BA79" s="24" t="n">
        <f aca="false">BA$21*(0-Planner!$C$43)</f>
        <v>-1.995</v>
      </c>
      <c r="BB79" s="24" t="n">
        <f aca="false">BB$21*(0-Planner!$C$43)</f>
        <v>-2.8035</v>
      </c>
      <c r="BC79" s="24" t="n">
        <f aca="false">BC$21*(0-Planner!$C$43)</f>
        <v>-4.942</v>
      </c>
      <c r="BD79" s="24" t="n">
        <f aca="false">BD$21*(0-Planner!$C$43)</f>
        <v>-4.6025</v>
      </c>
      <c r="BE79" s="24" t="n">
        <f aca="false">BE$21*(0-Planner!$C$43)</f>
        <v>-4.564</v>
      </c>
      <c r="BF79" s="24" t="n">
        <f aca="false">BF$21*(0-Planner!$C$43)</f>
        <v>-3.0975</v>
      </c>
      <c r="BG79" s="24" t="n">
        <f aca="false">BG$21*(0-Planner!$C$43)</f>
        <v>-2.4955</v>
      </c>
      <c r="BH79" s="24" t="n">
        <f aca="false">BH$21*(0-Planner!$C$43)</f>
        <v>-4.3575</v>
      </c>
      <c r="BI79" s="24" t="n">
        <f aca="false">BI$21*(0-Planner!$C$43)</f>
        <v>-4.8545</v>
      </c>
      <c r="BJ79" s="24" t="n">
        <f aca="false">BJ$21*(0-Planner!$C$43)</f>
        <v>-2.6565</v>
      </c>
      <c r="BK79" s="24" t="n">
        <f aca="false">BK$21*(0-Planner!$C$43)</f>
        <v>-0.6825</v>
      </c>
      <c r="BL79" s="24" t="n">
        <f aca="false">BL$21*(0-Planner!$C$43)</f>
        <v>-1.057</v>
      </c>
      <c r="BM79" s="24" t="n">
        <f aca="false">BM$21*(0-Planner!$C$43)</f>
        <v>-0.784</v>
      </c>
      <c r="BN79" s="24" t="n">
        <f aca="false">BN$21*(0-Planner!$C$43)</f>
        <v>-1.0535</v>
      </c>
      <c r="BO79" s="24" t="n">
        <f aca="false">BO$21*(0-Planner!$C$43)</f>
        <v>-1.827</v>
      </c>
      <c r="BP79" s="24" t="n">
        <f aca="false">BP$21*(0-Planner!$C$43)</f>
        <v>-0.7175</v>
      </c>
      <c r="BQ79" s="24" t="n">
        <f aca="false">BQ$21*(0-Planner!$C$43)</f>
        <v>-0.5495</v>
      </c>
      <c r="BR79" s="24" t="n">
        <f aca="false">BR$21*(0-Planner!$C$43)</f>
        <v>-0.091</v>
      </c>
      <c r="BS79" s="24" t="n">
        <f aca="false">BS$21*(0-Planner!$C$43)</f>
        <v>-0.0595</v>
      </c>
      <c r="BT79" s="24" t="n">
        <f aca="false">BT$21*(0-Planner!$C$43)</f>
        <v>-0.3815</v>
      </c>
      <c r="BU79" s="24" t="n">
        <f aca="false">BU$21*(0-Planner!$C$43)</f>
        <v>-0.4865</v>
      </c>
      <c r="BV79" s="24" t="n">
        <f aca="false">BV$21*(0-Planner!$C$43)</f>
        <v>-0.147</v>
      </c>
      <c r="BW79" s="24" t="n">
        <f aca="false">BW$21*(0-Planner!$C$43)</f>
        <v>-0.294</v>
      </c>
      <c r="BX79" s="24" t="n">
        <f aca="false">BX$21*(0-Planner!$C$43)</f>
        <v>-0.371</v>
      </c>
      <c r="BY79" s="24" t="n">
        <f aca="false">BY$21*(0-Planner!$C$43)</f>
        <v>-0.2975</v>
      </c>
      <c r="BZ79" s="24" t="n">
        <f aca="false">BZ$21*(0-Planner!$C$43)</f>
        <v>-0.8575</v>
      </c>
      <c r="CA79" s="24" t="n">
        <f aca="false">CA$21*(0-Planner!$C$43)</f>
        <v>-1.1865</v>
      </c>
      <c r="CB79" s="24" t="n">
        <f aca="false">CB$21*(0-Planner!$C$43)</f>
        <v>-0.0595</v>
      </c>
      <c r="CC79" s="24" t="n">
        <f aca="false">CC$21*(0-Planner!$C$43)</f>
        <v>-0.161</v>
      </c>
      <c r="CD79" s="24" t="n">
        <f aca="false">CD$21*(0-Planner!$C$43)</f>
        <v>-0.2205</v>
      </c>
      <c r="CE79" s="24" t="n">
        <f aca="false">CE$21*(0-Planner!$C$43)</f>
        <v>-0.252</v>
      </c>
      <c r="CF79" s="24" t="n">
        <f aca="false">CF$21*(0-Planner!$C$43)</f>
        <v>-0.189</v>
      </c>
      <c r="CG79" s="24" t="n">
        <f aca="false">CG$21*(0-Planner!$C$43)</f>
        <v>-0.399</v>
      </c>
      <c r="CH79" s="24" t="n">
        <f aca="false">CH$21*(0-Planner!$C$43)</f>
        <v>-0.287</v>
      </c>
      <c r="CI79" s="24" t="n">
        <f aca="false">CI$21*(0-Planner!$C$43)</f>
        <v>-0.371</v>
      </c>
      <c r="CJ79" s="24" t="n">
        <f aca="false">CJ$21*(0-Planner!$C$43)</f>
        <v>-0.238</v>
      </c>
      <c r="CK79" s="24" t="n">
        <f aca="false">CK$21*(0-Planner!$C$43)</f>
        <v>-0.3185</v>
      </c>
      <c r="CL79" s="24" t="n">
        <f aca="false">CL$21*(0-Planner!$C$43)</f>
        <v>-0.1645</v>
      </c>
      <c r="CM79" s="24" t="n">
        <f aca="false">CM$21*(0-Planner!$C$43)</f>
        <v>-0.3185</v>
      </c>
      <c r="CN79" s="24" t="n">
        <f aca="false">CN$21*(0-Planner!$C$43)</f>
        <v>-0.2205</v>
      </c>
      <c r="CO79" s="24" t="n">
        <f aca="false">CO$21*(0-Planner!$C$43)</f>
        <v>-0.126</v>
      </c>
      <c r="CP79" s="24" t="n">
        <f aca="false">CP$21*(0-Planner!$C$43)</f>
        <v>-0.119</v>
      </c>
      <c r="CQ79" s="24" t="n">
        <f aca="false">CQ$21*(0-Planner!$C$43)</f>
        <v>-0.189</v>
      </c>
      <c r="CR79" s="24" t="n">
        <f aca="false">CR$21*(0-Planner!$C$43)</f>
        <v>-0.147</v>
      </c>
      <c r="CS79" s="24" t="n">
        <f aca="false">CS$21*(0-Planner!$C$43)</f>
        <v>-0.245</v>
      </c>
      <c r="CT79" s="24" t="n">
        <f aca="false">CT$21*(0-Planner!$C$43)</f>
        <v>-0.763</v>
      </c>
      <c r="CU79" s="24" t="n">
        <f aca="false">CU$21*(0-Planner!$C$43)</f>
        <v>-1.0745</v>
      </c>
      <c r="CV79" s="24" t="n">
        <f aca="false">CV$21*(0-Planner!$C$43)</f>
        <v>-0.42</v>
      </c>
      <c r="CW79" s="24" t="n">
        <f aca="false">CW$21*(0-Planner!$C$43)</f>
        <v>-0.2345</v>
      </c>
      <c r="CX79" s="24" t="n">
        <f aca="false">CX$21*(0-Planner!$C$43)</f>
        <v>-0.1505</v>
      </c>
      <c r="CY79" s="24" t="n">
        <f aca="false">CY$21*(0-Planner!$C$43)</f>
        <v>-0.2135</v>
      </c>
      <c r="CZ79" s="24" t="n">
        <f aca="false">CZ$21*(0-Planner!$C$43)</f>
        <v>-0.28</v>
      </c>
      <c r="DA79" s="24" t="n">
        <f aca="false">DA$21*(0-Planner!$C$43)</f>
        <v>-0.77</v>
      </c>
      <c r="DB79" s="24" t="n">
        <f aca="false">DB$21*(0-Planner!$C$43)</f>
        <v>-0.224</v>
      </c>
      <c r="DC79" s="24" t="n">
        <f aca="false">DC$21*(0-Planner!$C$43)</f>
        <v>-0.2555</v>
      </c>
      <c r="DD79" s="24" t="n">
        <f aca="false">DD$21*(0-Planner!$C$43)</f>
        <v>-1.071</v>
      </c>
      <c r="DE79" s="24" t="n">
        <f aca="false">DE$21*(0-Planner!$C$43)</f>
        <v>-1.323</v>
      </c>
      <c r="DF79" s="24" t="n">
        <f aca="false">DF$21*(0-Planner!$C$43)</f>
        <v>-0.35</v>
      </c>
      <c r="DG79" s="24" t="n">
        <f aca="false">DG$21*(0-Planner!$C$43)</f>
        <v>-0.448</v>
      </c>
      <c r="DH79" s="24" t="n">
        <f aca="false">DH$21*(0-Planner!$C$43)</f>
        <v>-0.5005</v>
      </c>
      <c r="DI79" s="24" t="n">
        <f aca="false">DI$21*(0-Planner!$C$43)</f>
        <v>-0.3255</v>
      </c>
      <c r="DJ79" s="24" t="n">
        <f aca="false">DJ$21*(0-Planner!$C$43)</f>
        <v>-0.203</v>
      </c>
      <c r="DK79" s="24" t="n">
        <f aca="false">DK$21*(0-Planner!$C$43)</f>
        <v>-0.273</v>
      </c>
      <c r="DL79" s="24" t="n">
        <f aca="false">DL$21*(0-Planner!$C$43)</f>
        <v>-0.7035</v>
      </c>
      <c r="DM79" s="24" t="n">
        <f aca="false">DM$21*(0-Planner!$C$43)</f>
        <v>-0.2415</v>
      </c>
      <c r="DN79" s="24" t="n">
        <f aca="false">DN$21*(0-Planner!$C$43)</f>
        <v>-1.057</v>
      </c>
      <c r="DO79" s="24" t="n">
        <f aca="false">DO$21*(0-Planner!$C$43)</f>
        <v>-0.9415</v>
      </c>
      <c r="DP79" s="24" t="n">
        <f aca="false">DP$21*(0-Planner!$C$43)</f>
        <v>-0.2275</v>
      </c>
      <c r="DQ79" s="24" t="n">
        <f aca="false">DQ$21*(0-Planner!$C$43)</f>
        <v>-0.252</v>
      </c>
      <c r="DR79" s="24" t="n">
        <f aca="false">DR$21*(0-Planner!$C$43)</f>
        <v>-0.6265</v>
      </c>
      <c r="DS79" s="24" t="n">
        <f aca="false">DS$21*(0-Planner!$C$43)</f>
        <v>-0.301</v>
      </c>
      <c r="DT79" s="24" t="n">
        <f aca="false">DT$21*(0-Planner!$C$43)</f>
        <v>-0.315</v>
      </c>
      <c r="DU79" s="24" t="n">
        <f aca="false">DU$21*(0-Planner!$C$43)</f>
        <v>-0.931</v>
      </c>
      <c r="DV79" s="24" t="n">
        <f aca="false">DV$21*(0-Planner!$C$43)</f>
        <v>-1.1655</v>
      </c>
      <c r="DW79" s="24" t="n">
        <f aca="false">DW$21*(0-Planner!$C$43)</f>
        <v>-1.0815</v>
      </c>
      <c r="DX79" s="24" t="n">
        <f aca="false">DX$21*(0-Planner!$C$43)</f>
        <v>-0.8715</v>
      </c>
      <c r="DY79" s="24" t="n">
        <f aca="false">DY$21*(0-Planner!$C$43)</f>
        <v>-0.5915</v>
      </c>
      <c r="DZ79" s="24" t="n">
        <f aca="false">DZ$21*(0-Planner!$C$43)</f>
        <v>-0.385</v>
      </c>
      <c r="EA79" s="24" t="n">
        <f aca="false">EA$21*(0-Planner!$C$43)</f>
        <v>-0.385</v>
      </c>
      <c r="EB79" s="24" t="n">
        <f aca="false">EB$21*(0-Planner!$C$43)</f>
        <v>-0.238</v>
      </c>
      <c r="EC79" s="24" t="n">
        <f aca="false">EC$21*(0-Planner!$C$43)</f>
        <v>-0.3465</v>
      </c>
      <c r="ED79" s="24" t="n">
        <f aca="false">ED$21*(0-Planner!$C$43)</f>
        <v>-0.4305</v>
      </c>
      <c r="EE79" s="24" t="n">
        <f aca="false">EE$21*(0-Planner!$C$43)</f>
        <v>-0.3185</v>
      </c>
      <c r="EF79" s="24" t="n">
        <f aca="false">EF$21*(0-Planner!$C$43)</f>
        <v>-0.7385</v>
      </c>
      <c r="EG79" s="24" t="n">
        <f aca="false">EG$21*(0-Planner!$C$43)</f>
        <v>-1.001</v>
      </c>
      <c r="EH79" s="24" t="n">
        <f aca="false">EH$21*(0-Planner!$C$43)</f>
        <v>-1.2705</v>
      </c>
      <c r="EI79" s="24" t="n">
        <f aca="false">EI$21*(0-Planner!$C$43)</f>
        <v>-0.2765</v>
      </c>
      <c r="EJ79" s="24" t="n">
        <f aca="false">EJ$21*(0-Planner!$C$43)</f>
        <v>-0.308</v>
      </c>
      <c r="EK79" s="24" t="n">
        <f aca="false">EK$21*(0-Planner!$C$43)</f>
        <v>-0.8645</v>
      </c>
      <c r="EL79" s="24" t="n">
        <f aca="false">EL$21*(0-Planner!$C$43)</f>
        <v>-0.4235</v>
      </c>
      <c r="EM79" s="24" t="n">
        <f aca="false">EM$21*(0-Planner!$C$43)</f>
        <v>-0.2975</v>
      </c>
      <c r="EN79" s="24" t="n">
        <f aca="false">EN$21*(0-Planner!$C$43)</f>
        <v>-0</v>
      </c>
      <c r="EO79" s="24" t="n">
        <f aca="false">EO$21*(0-Planner!$C$43)</f>
        <v>-0</v>
      </c>
      <c r="EP79" s="24" t="n">
        <f aca="false">EP$21*(0-Planner!$C$43)</f>
        <v>-7.4025</v>
      </c>
      <c r="EQ79" s="24" t="n">
        <f aca="false">EQ$21*(0-Planner!$C$43)</f>
        <v>-0.686</v>
      </c>
      <c r="ER79" s="24" t="n">
        <f aca="false">ER$21*(0-Planner!$C$43)</f>
        <v>-1.785</v>
      </c>
      <c r="ES79" s="24" t="n">
        <f aca="false">ES$21*(0-Planner!$C$43)</f>
        <v>-1.9775</v>
      </c>
      <c r="ET79" s="24" t="n">
        <f aca="false">ET$21*(0-Planner!$C$43)</f>
        <v>-2.2365</v>
      </c>
      <c r="EU79" s="24" t="n">
        <f aca="false">EU$21*(0-Planner!$C$43)</f>
        <v>-1.225</v>
      </c>
    </row>
    <row r="80" customFormat="false" ht="15" hidden="false" customHeight="false" outlineLevel="0" collapsed="false">
      <c r="A80" s="4" t="s">
        <v>1020</v>
      </c>
      <c r="B80" s="75" t="s">
        <v>1017</v>
      </c>
      <c r="C80" s="78" t="n">
        <v>0</v>
      </c>
      <c r="D80" s="77" t="n">
        <v>-39.199999997333</v>
      </c>
      <c r="E80" s="75" t="str">
        <f aca="false">IF(D80&lt;=C80+0.000001*MAX(1,ABS(C80)),IF(ABS(D80-C80)&lt;=0.000001*MAX(1,ABS(C80)),"tight","ok"),"VIOLATED")</f>
        <v>ok</v>
      </c>
      <c r="F80" s="24" t="n">
        <f aca="false">F$21*(0-Planner!$C$43)</f>
        <v>-7.875</v>
      </c>
      <c r="G80" s="24" t="n">
        <f aca="false">G$21*(0-Planner!$C$43)</f>
        <v>-6.328</v>
      </c>
      <c r="H80" s="24" t="n">
        <f aca="false">H$21*(0-Planner!$C$43)</f>
        <v>-6.881</v>
      </c>
      <c r="I80" s="24" t="n">
        <f aca="false">I$21*(1-Planner!$C$43)</f>
        <v>10.6145</v>
      </c>
      <c r="J80" s="24" t="n">
        <f aca="false">J$21*(0-Planner!$C$43)</f>
        <v>-6.5555</v>
      </c>
      <c r="K80" s="24" t="n">
        <f aca="false">K$21*(0-Planner!$C$43)</f>
        <v>-6.51</v>
      </c>
      <c r="L80" s="24" t="n">
        <f aca="false">L$21*(0-Planner!$C$43)</f>
        <v>-4.417</v>
      </c>
      <c r="M80" s="24" t="n">
        <f aca="false">M$21*(0-Planner!$C$43)</f>
        <v>-7.6125</v>
      </c>
      <c r="N80" s="24" t="n">
        <f aca="false">N$21*(0-Planner!$C$43)</f>
        <v>-6.0095</v>
      </c>
      <c r="O80" s="24" t="n">
        <f aca="false">O$21*(0-Planner!$C$43)</f>
        <v>-7.2975</v>
      </c>
      <c r="P80" s="24" t="n">
        <f aca="false">P$21*(0-Planner!$C$43)</f>
        <v>-5.81</v>
      </c>
      <c r="Q80" s="24" t="n">
        <f aca="false">Q$21*(0-Planner!$C$43)</f>
        <v>-7.399</v>
      </c>
      <c r="R80" s="24" t="n">
        <f aca="false">R$21*(0-Planner!$C$43)</f>
        <v>-7.679</v>
      </c>
      <c r="S80" s="24" t="n">
        <f aca="false">S$21*(0-Planner!$C$43)</f>
        <v>-6.972</v>
      </c>
      <c r="T80" s="24" t="n">
        <f aca="false">T$21*(0-Planner!$C$43)</f>
        <v>-6.804</v>
      </c>
      <c r="U80" s="24" t="n">
        <f aca="false">U$21*(0-Planner!$C$43)</f>
        <v>-7.147</v>
      </c>
      <c r="V80" s="24" t="n">
        <f aca="false">V$21*(0-Planner!$C$43)</f>
        <v>-4.7635</v>
      </c>
      <c r="W80" s="24" t="n">
        <f aca="false">W$21*(0-Planner!$C$43)</f>
        <v>-7.028</v>
      </c>
      <c r="X80" s="24" t="n">
        <f aca="false">X$21*(0-Planner!$C$43)</f>
        <v>-4.396</v>
      </c>
      <c r="Y80" s="24" t="n">
        <f aca="false">Y$21*(0-Planner!$C$43)</f>
        <v>-2.1105</v>
      </c>
      <c r="Z80" s="24" t="n">
        <f aca="false">Z$21*(0-Planner!$C$43)</f>
        <v>-7.56</v>
      </c>
      <c r="AA80" s="24" t="n">
        <f aca="false">AA$21*(0-Planner!$C$43)</f>
        <v>-1.659</v>
      </c>
      <c r="AB80" s="24" t="n">
        <f aca="false">AB$21*(0-Planner!$C$43)</f>
        <v>-8.232</v>
      </c>
      <c r="AC80" s="24" t="n">
        <f aca="false">AC$21*(0-Planner!$C$43)</f>
        <v>-1.722</v>
      </c>
      <c r="AD80" s="24" t="n">
        <f aca="false">AD$21*(0-Planner!$C$43)</f>
        <v>-2.5795</v>
      </c>
      <c r="AE80" s="24" t="n">
        <f aca="false">AE$21*(0-Planner!$C$43)</f>
        <v>-7.651</v>
      </c>
      <c r="AF80" s="24" t="n">
        <f aca="false">AF$21*(0-Planner!$C$43)</f>
        <v>-1.827</v>
      </c>
      <c r="AG80" s="24" t="n">
        <f aca="false">AG$21*(0-Planner!$C$43)</f>
        <v>-8.253</v>
      </c>
      <c r="AH80" s="24" t="n">
        <f aca="false">AH$21*(0-Planner!$C$43)</f>
        <v>-8.6205</v>
      </c>
      <c r="AI80" s="24" t="n">
        <f aca="false">AI$21*(0-Planner!$C$43)</f>
        <v>-7.511</v>
      </c>
      <c r="AJ80" s="24" t="n">
        <f aca="false">AJ$21*(0-Planner!$C$43)</f>
        <v>-2.6355</v>
      </c>
      <c r="AK80" s="24" t="n">
        <f aca="false">AK$21*(0-Planner!$C$43)</f>
        <v>-7.8155</v>
      </c>
      <c r="AL80" s="24" t="n">
        <f aca="false">AL$21*(0-Planner!$C$43)</f>
        <v>-7.7735</v>
      </c>
      <c r="AM80" s="24" t="n">
        <f aca="false">AM$21*(0-Planner!$C$43)</f>
        <v>-1.61</v>
      </c>
      <c r="AN80" s="24" t="n">
        <f aca="false">AN$21*(0-Planner!$C$43)</f>
        <v>-7.497</v>
      </c>
      <c r="AO80" s="24" t="n">
        <f aca="false">AO$21*(0-Planner!$C$43)</f>
        <v>-3.535</v>
      </c>
      <c r="AP80" s="24" t="n">
        <f aca="false">AP$21*(0-Planner!$C$43)</f>
        <v>-1.155</v>
      </c>
      <c r="AQ80" s="24" t="n">
        <f aca="false">AQ$21*(0-Planner!$C$43)</f>
        <v>-3.5665</v>
      </c>
      <c r="AR80" s="24" t="n">
        <f aca="false">AR$21*(0-Planner!$C$43)</f>
        <v>-0.91</v>
      </c>
      <c r="AS80" s="24" t="n">
        <f aca="false">AS$21*(0-Planner!$C$43)</f>
        <v>-1.1025</v>
      </c>
      <c r="AT80" s="24" t="n">
        <f aca="false">AT$21*(0-Planner!$C$43)</f>
        <v>-6.3455</v>
      </c>
      <c r="AU80" s="24" t="n">
        <f aca="false">AU$21*(0-Planner!$C$43)</f>
        <v>-8.0045</v>
      </c>
      <c r="AV80" s="24" t="n">
        <f aca="false">AV$21*(0-Planner!$C$43)</f>
        <v>-3.6575</v>
      </c>
      <c r="AW80" s="24" t="n">
        <f aca="false">AW$21*(0-Planner!$C$43)</f>
        <v>-8.3125</v>
      </c>
      <c r="AX80" s="24" t="n">
        <f aca="false">AX$21*(0-Planner!$C$43)</f>
        <v>-3.696</v>
      </c>
      <c r="AY80" s="24" t="n">
        <f aca="false">AY$21*(0-Planner!$C$43)</f>
        <v>-2.639</v>
      </c>
      <c r="AZ80" s="24" t="n">
        <f aca="false">AZ$21*(0-Planner!$C$43)</f>
        <v>-4.2315</v>
      </c>
      <c r="BA80" s="24" t="n">
        <f aca="false">BA$21*(0-Planner!$C$43)</f>
        <v>-1.995</v>
      </c>
      <c r="BB80" s="24" t="n">
        <f aca="false">BB$21*(0-Planner!$C$43)</f>
        <v>-2.8035</v>
      </c>
      <c r="BC80" s="24" t="n">
        <f aca="false">BC$21*(0-Planner!$C$43)</f>
        <v>-4.942</v>
      </c>
      <c r="BD80" s="24" t="n">
        <f aca="false">BD$21*(0-Planner!$C$43)</f>
        <v>-4.6025</v>
      </c>
      <c r="BE80" s="24" t="n">
        <f aca="false">BE$21*(0-Planner!$C$43)</f>
        <v>-4.564</v>
      </c>
      <c r="BF80" s="24" t="n">
        <f aca="false">BF$21*(0-Planner!$C$43)</f>
        <v>-3.0975</v>
      </c>
      <c r="BG80" s="24" t="n">
        <f aca="false">BG$21*(0-Planner!$C$43)</f>
        <v>-2.4955</v>
      </c>
      <c r="BH80" s="24" t="n">
        <f aca="false">BH$21*(0-Planner!$C$43)</f>
        <v>-4.3575</v>
      </c>
      <c r="BI80" s="24" t="n">
        <f aca="false">BI$21*(0-Planner!$C$43)</f>
        <v>-4.8545</v>
      </c>
      <c r="BJ80" s="24" t="n">
        <f aca="false">BJ$21*(0-Planner!$C$43)</f>
        <v>-2.6565</v>
      </c>
      <c r="BK80" s="24" t="n">
        <f aca="false">BK$21*(0-Planner!$C$43)</f>
        <v>-0.6825</v>
      </c>
      <c r="BL80" s="24" t="n">
        <f aca="false">BL$21*(0-Planner!$C$43)</f>
        <v>-1.057</v>
      </c>
      <c r="BM80" s="24" t="n">
        <f aca="false">BM$21*(0-Planner!$C$43)</f>
        <v>-0.784</v>
      </c>
      <c r="BN80" s="24" t="n">
        <f aca="false">BN$21*(0-Planner!$C$43)</f>
        <v>-1.0535</v>
      </c>
      <c r="BO80" s="24" t="n">
        <f aca="false">BO$21*(0-Planner!$C$43)</f>
        <v>-1.827</v>
      </c>
      <c r="BP80" s="24" t="n">
        <f aca="false">BP$21*(0-Planner!$C$43)</f>
        <v>-0.7175</v>
      </c>
      <c r="BQ80" s="24" t="n">
        <f aca="false">BQ$21*(0-Planner!$C$43)</f>
        <v>-0.5495</v>
      </c>
      <c r="BR80" s="24" t="n">
        <f aca="false">BR$21*(0-Planner!$C$43)</f>
        <v>-0.091</v>
      </c>
      <c r="BS80" s="24" t="n">
        <f aca="false">BS$21*(0-Planner!$C$43)</f>
        <v>-0.0595</v>
      </c>
      <c r="BT80" s="24" t="n">
        <f aca="false">BT$21*(0-Planner!$C$43)</f>
        <v>-0.3815</v>
      </c>
      <c r="BU80" s="24" t="n">
        <f aca="false">BU$21*(0-Planner!$C$43)</f>
        <v>-0.4865</v>
      </c>
      <c r="BV80" s="24" t="n">
        <f aca="false">BV$21*(0-Planner!$C$43)</f>
        <v>-0.147</v>
      </c>
      <c r="BW80" s="24" t="n">
        <f aca="false">BW$21*(0-Planner!$C$43)</f>
        <v>-0.294</v>
      </c>
      <c r="BX80" s="24" t="n">
        <f aca="false">BX$21*(0-Planner!$C$43)</f>
        <v>-0.371</v>
      </c>
      <c r="BY80" s="24" t="n">
        <f aca="false">BY$21*(0-Planner!$C$43)</f>
        <v>-0.2975</v>
      </c>
      <c r="BZ80" s="24" t="n">
        <f aca="false">BZ$21*(0-Planner!$C$43)</f>
        <v>-0.8575</v>
      </c>
      <c r="CA80" s="24" t="n">
        <f aca="false">CA$21*(0-Planner!$C$43)</f>
        <v>-1.1865</v>
      </c>
      <c r="CB80" s="24" t="n">
        <f aca="false">CB$21*(0-Planner!$C$43)</f>
        <v>-0.0595</v>
      </c>
      <c r="CC80" s="24" t="n">
        <f aca="false">CC$21*(0-Planner!$C$43)</f>
        <v>-0.161</v>
      </c>
      <c r="CD80" s="24" t="n">
        <f aca="false">CD$21*(0-Planner!$C$43)</f>
        <v>-0.2205</v>
      </c>
      <c r="CE80" s="24" t="n">
        <f aca="false">CE$21*(0-Planner!$C$43)</f>
        <v>-0.252</v>
      </c>
      <c r="CF80" s="24" t="n">
        <f aca="false">CF$21*(0-Planner!$C$43)</f>
        <v>-0.189</v>
      </c>
      <c r="CG80" s="24" t="n">
        <f aca="false">CG$21*(0-Planner!$C$43)</f>
        <v>-0.399</v>
      </c>
      <c r="CH80" s="24" t="n">
        <f aca="false">CH$21*(0-Planner!$C$43)</f>
        <v>-0.287</v>
      </c>
      <c r="CI80" s="24" t="n">
        <f aca="false">CI$21*(0-Planner!$C$43)</f>
        <v>-0.371</v>
      </c>
      <c r="CJ80" s="24" t="n">
        <f aca="false">CJ$21*(0-Planner!$C$43)</f>
        <v>-0.238</v>
      </c>
      <c r="CK80" s="24" t="n">
        <f aca="false">CK$21*(0-Planner!$C$43)</f>
        <v>-0.3185</v>
      </c>
      <c r="CL80" s="24" t="n">
        <f aca="false">CL$21*(0-Planner!$C$43)</f>
        <v>-0.1645</v>
      </c>
      <c r="CM80" s="24" t="n">
        <f aca="false">CM$21*(0-Planner!$C$43)</f>
        <v>-0.3185</v>
      </c>
      <c r="CN80" s="24" t="n">
        <f aca="false">CN$21*(0-Planner!$C$43)</f>
        <v>-0.2205</v>
      </c>
      <c r="CO80" s="24" t="n">
        <f aca="false">CO$21*(0-Planner!$C$43)</f>
        <v>-0.126</v>
      </c>
      <c r="CP80" s="24" t="n">
        <f aca="false">CP$21*(0-Planner!$C$43)</f>
        <v>-0.119</v>
      </c>
      <c r="CQ80" s="24" t="n">
        <f aca="false">CQ$21*(0-Planner!$C$43)</f>
        <v>-0.189</v>
      </c>
      <c r="CR80" s="24" t="n">
        <f aca="false">CR$21*(0-Planner!$C$43)</f>
        <v>-0.147</v>
      </c>
      <c r="CS80" s="24" t="n">
        <f aca="false">CS$21*(0-Planner!$C$43)</f>
        <v>-0.245</v>
      </c>
      <c r="CT80" s="24" t="n">
        <f aca="false">CT$21*(0-Planner!$C$43)</f>
        <v>-0.763</v>
      </c>
      <c r="CU80" s="24" t="n">
        <f aca="false">CU$21*(0-Planner!$C$43)</f>
        <v>-1.0745</v>
      </c>
      <c r="CV80" s="24" t="n">
        <f aca="false">CV$21*(0-Planner!$C$43)</f>
        <v>-0.42</v>
      </c>
      <c r="CW80" s="24" t="n">
        <f aca="false">CW$21*(0-Planner!$C$43)</f>
        <v>-0.2345</v>
      </c>
      <c r="CX80" s="24" t="n">
        <f aca="false">CX$21*(0-Planner!$C$43)</f>
        <v>-0.1505</v>
      </c>
      <c r="CY80" s="24" t="n">
        <f aca="false">CY$21*(0-Planner!$C$43)</f>
        <v>-0.2135</v>
      </c>
      <c r="CZ80" s="24" t="n">
        <f aca="false">CZ$21*(0-Planner!$C$43)</f>
        <v>-0.28</v>
      </c>
      <c r="DA80" s="24" t="n">
        <f aca="false">DA$21*(0-Planner!$C$43)</f>
        <v>-0.77</v>
      </c>
      <c r="DB80" s="24" t="n">
        <f aca="false">DB$21*(0-Planner!$C$43)</f>
        <v>-0.224</v>
      </c>
      <c r="DC80" s="24" t="n">
        <f aca="false">DC$21*(0-Planner!$C$43)</f>
        <v>-0.2555</v>
      </c>
      <c r="DD80" s="24" t="n">
        <f aca="false">DD$21*(0-Planner!$C$43)</f>
        <v>-1.071</v>
      </c>
      <c r="DE80" s="24" t="n">
        <f aca="false">DE$21*(0-Planner!$C$43)</f>
        <v>-1.323</v>
      </c>
      <c r="DF80" s="24" t="n">
        <f aca="false">DF$21*(0-Planner!$C$43)</f>
        <v>-0.35</v>
      </c>
      <c r="DG80" s="24" t="n">
        <f aca="false">DG$21*(0-Planner!$C$43)</f>
        <v>-0.448</v>
      </c>
      <c r="DH80" s="24" t="n">
        <f aca="false">DH$21*(0-Planner!$C$43)</f>
        <v>-0.5005</v>
      </c>
      <c r="DI80" s="24" t="n">
        <f aca="false">DI$21*(0-Planner!$C$43)</f>
        <v>-0.3255</v>
      </c>
      <c r="DJ80" s="24" t="n">
        <f aca="false">DJ$21*(0-Planner!$C$43)</f>
        <v>-0.203</v>
      </c>
      <c r="DK80" s="24" t="n">
        <f aca="false">DK$21*(0-Planner!$C$43)</f>
        <v>-0.273</v>
      </c>
      <c r="DL80" s="24" t="n">
        <f aca="false">DL$21*(0-Planner!$C$43)</f>
        <v>-0.7035</v>
      </c>
      <c r="DM80" s="24" t="n">
        <f aca="false">DM$21*(0-Planner!$C$43)</f>
        <v>-0.2415</v>
      </c>
      <c r="DN80" s="24" t="n">
        <f aca="false">DN$21*(0-Planner!$C$43)</f>
        <v>-1.057</v>
      </c>
      <c r="DO80" s="24" t="n">
        <f aca="false">DO$21*(0-Planner!$C$43)</f>
        <v>-0.9415</v>
      </c>
      <c r="DP80" s="24" t="n">
        <f aca="false">DP$21*(0-Planner!$C$43)</f>
        <v>-0.2275</v>
      </c>
      <c r="DQ80" s="24" t="n">
        <f aca="false">DQ$21*(0-Planner!$C$43)</f>
        <v>-0.252</v>
      </c>
      <c r="DR80" s="24" t="n">
        <f aca="false">DR$21*(0-Planner!$C$43)</f>
        <v>-0.6265</v>
      </c>
      <c r="DS80" s="24" t="n">
        <f aca="false">DS$21*(0-Planner!$C$43)</f>
        <v>-0.301</v>
      </c>
      <c r="DT80" s="24" t="n">
        <f aca="false">DT$21*(0-Planner!$C$43)</f>
        <v>-0.315</v>
      </c>
      <c r="DU80" s="24" t="n">
        <f aca="false">DU$21*(0-Planner!$C$43)</f>
        <v>-0.931</v>
      </c>
      <c r="DV80" s="24" t="n">
        <f aca="false">DV$21*(0-Planner!$C$43)</f>
        <v>-1.1655</v>
      </c>
      <c r="DW80" s="24" t="n">
        <f aca="false">DW$21*(0-Planner!$C$43)</f>
        <v>-1.0815</v>
      </c>
      <c r="DX80" s="24" t="n">
        <f aca="false">DX$21*(0-Planner!$C$43)</f>
        <v>-0.8715</v>
      </c>
      <c r="DY80" s="24" t="n">
        <f aca="false">DY$21*(0-Planner!$C$43)</f>
        <v>-0.5915</v>
      </c>
      <c r="DZ80" s="24" t="n">
        <f aca="false">DZ$21*(0-Planner!$C$43)</f>
        <v>-0.385</v>
      </c>
      <c r="EA80" s="24" t="n">
        <f aca="false">EA$21*(0-Planner!$C$43)</f>
        <v>-0.385</v>
      </c>
      <c r="EB80" s="24" t="n">
        <f aca="false">EB$21*(0-Planner!$C$43)</f>
        <v>-0.238</v>
      </c>
      <c r="EC80" s="24" t="n">
        <f aca="false">EC$21*(0-Planner!$C$43)</f>
        <v>-0.3465</v>
      </c>
      <c r="ED80" s="24" t="n">
        <f aca="false">ED$21*(0-Planner!$C$43)</f>
        <v>-0.4305</v>
      </c>
      <c r="EE80" s="24" t="n">
        <f aca="false">EE$21*(0-Planner!$C$43)</f>
        <v>-0.3185</v>
      </c>
      <c r="EF80" s="24" t="n">
        <f aca="false">EF$21*(0-Planner!$C$43)</f>
        <v>-0.7385</v>
      </c>
      <c r="EG80" s="24" t="n">
        <f aca="false">EG$21*(0-Planner!$C$43)</f>
        <v>-1.001</v>
      </c>
      <c r="EH80" s="24" t="n">
        <f aca="false">EH$21*(0-Planner!$C$43)</f>
        <v>-1.2705</v>
      </c>
      <c r="EI80" s="24" t="n">
        <f aca="false">EI$21*(0-Planner!$C$43)</f>
        <v>-0.2765</v>
      </c>
      <c r="EJ80" s="24" t="n">
        <f aca="false">EJ$21*(0-Planner!$C$43)</f>
        <v>-0.308</v>
      </c>
      <c r="EK80" s="24" t="n">
        <f aca="false">EK$21*(0-Planner!$C$43)</f>
        <v>-0.8645</v>
      </c>
      <c r="EL80" s="24" t="n">
        <f aca="false">EL$21*(0-Planner!$C$43)</f>
        <v>-0.4235</v>
      </c>
      <c r="EM80" s="24" t="n">
        <f aca="false">EM$21*(0-Planner!$C$43)</f>
        <v>-0.2975</v>
      </c>
      <c r="EN80" s="24" t="n">
        <f aca="false">EN$21*(0-Planner!$C$43)</f>
        <v>-0</v>
      </c>
      <c r="EO80" s="24" t="n">
        <f aca="false">EO$21*(0-Planner!$C$43)</f>
        <v>-0</v>
      </c>
      <c r="EP80" s="24" t="n">
        <f aca="false">EP$21*(0-Planner!$C$43)</f>
        <v>-7.4025</v>
      </c>
      <c r="EQ80" s="24" t="n">
        <f aca="false">EQ$21*(0-Planner!$C$43)</f>
        <v>-0.686</v>
      </c>
      <c r="ER80" s="24" t="n">
        <f aca="false">ER$21*(0-Planner!$C$43)</f>
        <v>-1.785</v>
      </c>
      <c r="ES80" s="24" t="n">
        <f aca="false">ES$21*(0-Planner!$C$43)</f>
        <v>-1.9775</v>
      </c>
      <c r="ET80" s="24" t="n">
        <f aca="false">ET$21*(0-Planner!$C$43)</f>
        <v>-2.2365</v>
      </c>
      <c r="EU80" s="24" t="n">
        <f aca="false">EU$21*(0-Planner!$C$43)</f>
        <v>-1.225</v>
      </c>
    </row>
    <row r="81" customFormat="false" ht="15" hidden="false" customHeight="false" outlineLevel="0" collapsed="false">
      <c r="A81" s="4" t="s">
        <v>1021</v>
      </c>
      <c r="B81" s="75" t="s">
        <v>1017</v>
      </c>
      <c r="C81" s="78" t="n">
        <v>0</v>
      </c>
      <c r="D81" s="77" t="n">
        <v>-39.199999997333</v>
      </c>
      <c r="E81" s="75" t="str">
        <f aca="false">IF(D81&lt;=C81+0.000001*MAX(1,ABS(C81)),IF(ABS(D81-C81)&lt;=0.000001*MAX(1,ABS(C81)),"tight","ok"),"VIOLATED")</f>
        <v>ok</v>
      </c>
      <c r="F81" s="24" t="n">
        <f aca="false">F$21*(0-Planner!$C$43)</f>
        <v>-7.875</v>
      </c>
      <c r="G81" s="24" t="n">
        <f aca="false">G$21*(0-Planner!$C$43)</f>
        <v>-6.328</v>
      </c>
      <c r="H81" s="24" t="n">
        <f aca="false">H$21*(0-Planner!$C$43)</f>
        <v>-6.881</v>
      </c>
      <c r="I81" s="24" t="n">
        <f aca="false">I$21*(0-Planner!$C$43)</f>
        <v>-5.7155</v>
      </c>
      <c r="J81" s="24" t="n">
        <f aca="false">J$21*(1-Planner!$C$43)</f>
        <v>12.1745</v>
      </c>
      <c r="K81" s="24" t="n">
        <f aca="false">K$21*(0-Planner!$C$43)</f>
        <v>-6.51</v>
      </c>
      <c r="L81" s="24" t="n">
        <f aca="false">L$21*(0-Planner!$C$43)</f>
        <v>-4.417</v>
      </c>
      <c r="M81" s="24" t="n">
        <f aca="false">M$21*(0-Planner!$C$43)</f>
        <v>-7.6125</v>
      </c>
      <c r="N81" s="24" t="n">
        <f aca="false">N$21*(0-Planner!$C$43)</f>
        <v>-6.0095</v>
      </c>
      <c r="O81" s="24" t="n">
        <f aca="false">O$21*(0-Planner!$C$43)</f>
        <v>-7.2975</v>
      </c>
      <c r="P81" s="24" t="n">
        <f aca="false">P$21*(0-Planner!$C$43)</f>
        <v>-5.81</v>
      </c>
      <c r="Q81" s="24" t="n">
        <f aca="false">Q$21*(0-Planner!$C$43)</f>
        <v>-7.399</v>
      </c>
      <c r="R81" s="24" t="n">
        <f aca="false">R$21*(0-Planner!$C$43)</f>
        <v>-7.679</v>
      </c>
      <c r="S81" s="24" t="n">
        <f aca="false">S$21*(0-Planner!$C$43)</f>
        <v>-6.972</v>
      </c>
      <c r="T81" s="24" t="n">
        <f aca="false">T$21*(0-Planner!$C$43)</f>
        <v>-6.804</v>
      </c>
      <c r="U81" s="24" t="n">
        <f aca="false">U$21*(0-Planner!$C$43)</f>
        <v>-7.147</v>
      </c>
      <c r="V81" s="24" t="n">
        <f aca="false">V$21*(0-Planner!$C$43)</f>
        <v>-4.7635</v>
      </c>
      <c r="W81" s="24" t="n">
        <f aca="false">W$21*(0-Planner!$C$43)</f>
        <v>-7.028</v>
      </c>
      <c r="X81" s="24" t="n">
        <f aca="false">X$21*(0-Planner!$C$43)</f>
        <v>-4.396</v>
      </c>
      <c r="Y81" s="24" t="n">
        <f aca="false">Y$21*(0-Planner!$C$43)</f>
        <v>-2.1105</v>
      </c>
      <c r="Z81" s="24" t="n">
        <f aca="false">Z$21*(0-Planner!$C$43)</f>
        <v>-7.56</v>
      </c>
      <c r="AA81" s="24" t="n">
        <f aca="false">AA$21*(0-Planner!$C$43)</f>
        <v>-1.659</v>
      </c>
      <c r="AB81" s="24" t="n">
        <f aca="false">AB$21*(0-Planner!$C$43)</f>
        <v>-8.232</v>
      </c>
      <c r="AC81" s="24" t="n">
        <f aca="false">AC$21*(0-Planner!$C$43)</f>
        <v>-1.722</v>
      </c>
      <c r="AD81" s="24" t="n">
        <f aca="false">AD$21*(0-Planner!$C$43)</f>
        <v>-2.5795</v>
      </c>
      <c r="AE81" s="24" t="n">
        <f aca="false">AE$21*(0-Planner!$C$43)</f>
        <v>-7.651</v>
      </c>
      <c r="AF81" s="24" t="n">
        <f aca="false">AF$21*(0-Planner!$C$43)</f>
        <v>-1.827</v>
      </c>
      <c r="AG81" s="24" t="n">
        <f aca="false">AG$21*(0-Planner!$C$43)</f>
        <v>-8.253</v>
      </c>
      <c r="AH81" s="24" t="n">
        <f aca="false">AH$21*(0-Planner!$C$43)</f>
        <v>-8.6205</v>
      </c>
      <c r="AI81" s="24" t="n">
        <f aca="false">AI$21*(0-Planner!$C$43)</f>
        <v>-7.511</v>
      </c>
      <c r="AJ81" s="24" t="n">
        <f aca="false">AJ$21*(0-Planner!$C$43)</f>
        <v>-2.6355</v>
      </c>
      <c r="AK81" s="24" t="n">
        <f aca="false">AK$21*(0-Planner!$C$43)</f>
        <v>-7.8155</v>
      </c>
      <c r="AL81" s="24" t="n">
        <f aca="false">AL$21*(0-Planner!$C$43)</f>
        <v>-7.7735</v>
      </c>
      <c r="AM81" s="24" t="n">
        <f aca="false">AM$21*(0-Planner!$C$43)</f>
        <v>-1.61</v>
      </c>
      <c r="AN81" s="24" t="n">
        <f aca="false">AN$21*(0-Planner!$C$43)</f>
        <v>-7.497</v>
      </c>
      <c r="AO81" s="24" t="n">
        <f aca="false">AO$21*(0-Planner!$C$43)</f>
        <v>-3.535</v>
      </c>
      <c r="AP81" s="24" t="n">
        <f aca="false">AP$21*(0-Planner!$C$43)</f>
        <v>-1.155</v>
      </c>
      <c r="AQ81" s="24" t="n">
        <f aca="false">AQ$21*(0-Planner!$C$43)</f>
        <v>-3.5665</v>
      </c>
      <c r="AR81" s="24" t="n">
        <f aca="false">AR$21*(0-Planner!$C$43)</f>
        <v>-0.91</v>
      </c>
      <c r="AS81" s="24" t="n">
        <f aca="false">AS$21*(0-Planner!$C$43)</f>
        <v>-1.1025</v>
      </c>
      <c r="AT81" s="24" t="n">
        <f aca="false">AT$21*(0-Planner!$C$43)</f>
        <v>-6.3455</v>
      </c>
      <c r="AU81" s="24" t="n">
        <f aca="false">AU$21*(0-Planner!$C$43)</f>
        <v>-8.0045</v>
      </c>
      <c r="AV81" s="24" t="n">
        <f aca="false">AV$21*(0-Planner!$C$43)</f>
        <v>-3.6575</v>
      </c>
      <c r="AW81" s="24" t="n">
        <f aca="false">AW$21*(0-Planner!$C$43)</f>
        <v>-8.3125</v>
      </c>
      <c r="AX81" s="24" t="n">
        <f aca="false">AX$21*(0-Planner!$C$43)</f>
        <v>-3.696</v>
      </c>
      <c r="AY81" s="24" t="n">
        <f aca="false">AY$21*(0-Planner!$C$43)</f>
        <v>-2.639</v>
      </c>
      <c r="AZ81" s="24" t="n">
        <f aca="false">AZ$21*(0-Planner!$C$43)</f>
        <v>-4.2315</v>
      </c>
      <c r="BA81" s="24" t="n">
        <f aca="false">BA$21*(0-Planner!$C$43)</f>
        <v>-1.995</v>
      </c>
      <c r="BB81" s="24" t="n">
        <f aca="false">BB$21*(0-Planner!$C$43)</f>
        <v>-2.8035</v>
      </c>
      <c r="BC81" s="24" t="n">
        <f aca="false">BC$21*(0-Planner!$C$43)</f>
        <v>-4.942</v>
      </c>
      <c r="BD81" s="24" t="n">
        <f aca="false">BD$21*(0-Planner!$C$43)</f>
        <v>-4.6025</v>
      </c>
      <c r="BE81" s="24" t="n">
        <f aca="false">BE$21*(0-Planner!$C$43)</f>
        <v>-4.564</v>
      </c>
      <c r="BF81" s="24" t="n">
        <f aca="false">BF$21*(0-Planner!$C$43)</f>
        <v>-3.0975</v>
      </c>
      <c r="BG81" s="24" t="n">
        <f aca="false">BG$21*(0-Planner!$C$43)</f>
        <v>-2.4955</v>
      </c>
      <c r="BH81" s="24" t="n">
        <f aca="false">BH$21*(0-Planner!$C$43)</f>
        <v>-4.3575</v>
      </c>
      <c r="BI81" s="24" t="n">
        <f aca="false">BI$21*(0-Planner!$C$43)</f>
        <v>-4.8545</v>
      </c>
      <c r="BJ81" s="24" t="n">
        <f aca="false">BJ$21*(0-Planner!$C$43)</f>
        <v>-2.6565</v>
      </c>
      <c r="BK81" s="24" t="n">
        <f aca="false">BK$21*(0-Planner!$C$43)</f>
        <v>-0.6825</v>
      </c>
      <c r="BL81" s="24" t="n">
        <f aca="false">BL$21*(0-Planner!$C$43)</f>
        <v>-1.057</v>
      </c>
      <c r="BM81" s="24" t="n">
        <f aca="false">BM$21*(0-Planner!$C$43)</f>
        <v>-0.784</v>
      </c>
      <c r="BN81" s="24" t="n">
        <f aca="false">BN$21*(0-Planner!$C$43)</f>
        <v>-1.0535</v>
      </c>
      <c r="BO81" s="24" t="n">
        <f aca="false">BO$21*(0-Planner!$C$43)</f>
        <v>-1.827</v>
      </c>
      <c r="BP81" s="24" t="n">
        <f aca="false">BP$21*(0-Planner!$C$43)</f>
        <v>-0.7175</v>
      </c>
      <c r="BQ81" s="24" t="n">
        <f aca="false">BQ$21*(0-Planner!$C$43)</f>
        <v>-0.5495</v>
      </c>
      <c r="BR81" s="24" t="n">
        <f aca="false">BR$21*(0-Planner!$C$43)</f>
        <v>-0.091</v>
      </c>
      <c r="BS81" s="24" t="n">
        <f aca="false">BS$21*(0-Planner!$C$43)</f>
        <v>-0.0595</v>
      </c>
      <c r="BT81" s="24" t="n">
        <f aca="false">BT$21*(0-Planner!$C$43)</f>
        <v>-0.3815</v>
      </c>
      <c r="BU81" s="24" t="n">
        <f aca="false">BU$21*(0-Planner!$C$43)</f>
        <v>-0.4865</v>
      </c>
      <c r="BV81" s="24" t="n">
        <f aca="false">BV$21*(0-Planner!$C$43)</f>
        <v>-0.147</v>
      </c>
      <c r="BW81" s="24" t="n">
        <f aca="false">BW$21*(0-Planner!$C$43)</f>
        <v>-0.294</v>
      </c>
      <c r="BX81" s="24" t="n">
        <f aca="false">BX$21*(0-Planner!$C$43)</f>
        <v>-0.371</v>
      </c>
      <c r="BY81" s="24" t="n">
        <f aca="false">BY$21*(0-Planner!$C$43)</f>
        <v>-0.2975</v>
      </c>
      <c r="BZ81" s="24" t="n">
        <f aca="false">BZ$21*(0-Planner!$C$43)</f>
        <v>-0.8575</v>
      </c>
      <c r="CA81" s="24" t="n">
        <f aca="false">CA$21*(0-Planner!$C$43)</f>
        <v>-1.1865</v>
      </c>
      <c r="CB81" s="24" t="n">
        <f aca="false">CB$21*(0-Planner!$C$43)</f>
        <v>-0.0595</v>
      </c>
      <c r="CC81" s="24" t="n">
        <f aca="false">CC$21*(0-Planner!$C$43)</f>
        <v>-0.161</v>
      </c>
      <c r="CD81" s="24" t="n">
        <f aca="false">CD$21*(0-Planner!$C$43)</f>
        <v>-0.2205</v>
      </c>
      <c r="CE81" s="24" t="n">
        <f aca="false">CE$21*(0-Planner!$C$43)</f>
        <v>-0.252</v>
      </c>
      <c r="CF81" s="24" t="n">
        <f aca="false">CF$21*(0-Planner!$C$43)</f>
        <v>-0.189</v>
      </c>
      <c r="CG81" s="24" t="n">
        <f aca="false">CG$21*(0-Planner!$C$43)</f>
        <v>-0.399</v>
      </c>
      <c r="CH81" s="24" t="n">
        <f aca="false">CH$21*(0-Planner!$C$43)</f>
        <v>-0.287</v>
      </c>
      <c r="CI81" s="24" t="n">
        <f aca="false">CI$21*(0-Planner!$C$43)</f>
        <v>-0.371</v>
      </c>
      <c r="CJ81" s="24" t="n">
        <f aca="false">CJ$21*(0-Planner!$C$43)</f>
        <v>-0.238</v>
      </c>
      <c r="CK81" s="24" t="n">
        <f aca="false">CK$21*(0-Planner!$C$43)</f>
        <v>-0.3185</v>
      </c>
      <c r="CL81" s="24" t="n">
        <f aca="false">CL$21*(0-Planner!$C$43)</f>
        <v>-0.1645</v>
      </c>
      <c r="CM81" s="24" t="n">
        <f aca="false">CM$21*(0-Planner!$C$43)</f>
        <v>-0.3185</v>
      </c>
      <c r="CN81" s="24" t="n">
        <f aca="false">CN$21*(0-Planner!$C$43)</f>
        <v>-0.2205</v>
      </c>
      <c r="CO81" s="24" t="n">
        <f aca="false">CO$21*(0-Planner!$C$43)</f>
        <v>-0.126</v>
      </c>
      <c r="CP81" s="24" t="n">
        <f aca="false">CP$21*(0-Planner!$C$43)</f>
        <v>-0.119</v>
      </c>
      <c r="CQ81" s="24" t="n">
        <f aca="false">CQ$21*(0-Planner!$C$43)</f>
        <v>-0.189</v>
      </c>
      <c r="CR81" s="24" t="n">
        <f aca="false">CR$21*(0-Planner!$C$43)</f>
        <v>-0.147</v>
      </c>
      <c r="CS81" s="24" t="n">
        <f aca="false">CS$21*(0-Planner!$C$43)</f>
        <v>-0.245</v>
      </c>
      <c r="CT81" s="24" t="n">
        <f aca="false">CT$21*(0-Planner!$C$43)</f>
        <v>-0.763</v>
      </c>
      <c r="CU81" s="24" t="n">
        <f aca="false">CU$21*(0-Planner!$C$43)</f>
        <v>-1.0745</v>
      </c>
      <c r="CV81" s="24" t="n">
        <f aca="false">CV$21*(0-Planner!$C$43)</f>
        <v>-0.42</v>
      </c>
      <c r="CW81" s="24" t="n">
        <f aca="false">CW$21*(0-Planner!$C$43)</f>
        <v>-0.2345</v>
      </c>
      <c r="CX81" s="24" t="n">
        <f aca="false">CX$21*(0-Planner!$C$43)</f>
        <v>-0.1505</v>
      </c>
      <c r="CY81" s="24" t="n">
        <f aca="false">CY$21*(0-Planner!$C$43)</f>
        <v>-0.2135</v>
      </c>
      <c r="CZ81" s="24" t="n">
        <f aca="false">CZ$21*(0-Planner!$C$43)</f>
        <v>-0.28</v>
      </c>
      <c r="DA81" s="24" t="n">
        <f aca="false">DA$21*(0-Planner!$C$43)</f>
        <v>-0.77</v>
      </c>
      <c r="DB81" s="24" t="n">
        <f aca="false">DB$21*(0-Planner!$C$43)</f>
        <v>-0.224</v>
      </c>
      <c r="DC81" s="24" t="n">
        <f aca="false">DC$21*(0-Planner!$C$43)</f>
        <v>-0.2555</v>
      </c>
      <c r="DD81" s="24" t="n">
        <f aca="false">DD$21*(0-Planner!$C$43)</f>
        <v>-1.071</v>
      </c>
      <c r="DE81" s="24" t="n">
        <f aca="false">DE$21*(0-Planner!$C$43)</f>
        <v>-1.323</v>
      </c>
      <c r="DF81" s="24" t="n">
        <f aca="false">DF$21*(0-Planner!$C$43)</f>
        <v>-0.35</v>
      </c>
      <c r="DG81" s="24" t="n">
        <f aca="false">DG$21*(0-Planner!$C$43)</f>
        <v>-0.448</v>
      </c>
      <c r="DH81" s="24" t="n">
        <f aca="false">DH$21*(0-Planner!$C$43)</f>
        <v>-0.5005</v>
      </c>
      <c r="DI81" s="24" t="n">
        <f aca="false">DI$21*(0-Planner!$C$43)</f>
        <v>-0.3255</v>
      </c>
      <c r="DJ81" s="24" t="n">
        <f aca="false">DJ$21*(0-Planner!$C$43)</f>
        <v>-0.203</v>
      </c>
      <c r="DK81" s="24" t="n">
        <f aca="false">DK$21*(0-Planner!$C$43)</f>
        <v>-0.273</v>
      </c>
      <c r="DL81" s="24" t="n">
        <f aca="false">DL$21*(0-Planner!$C$43)</f>
        <v>-0.7035</v>
      </c>
      <c r="DM81" s="24" t="n">
        <f aca="false">DM$21*(0-Planner!$C$43)</f>
        <v>-0.2415</v>
      </c>
      <c r="DN81" s="24" t="n">
        <f aca="false">DN$21*(0-Planner!$C$43)</f>
        <v>-1.057</v>
      </c>
      <c r="DO81" s="24" t="n">
        <f aca="false">DO$21*(0-Planner!$C$43)</f>
        <v>-0.9415</v>
      </c>
      <c r="DP81" s="24" t="n">
        <f aca="false">DP$21*(0-Planner!$C$43)</f>
        <v>-0.2275</v>
      </c>
      <c r="DQ81" s="24" t="n">
        <f aca="false">DQ$21*(0-Planner!$C$43)</f>
        <v>-0.252</v>
      </c>
      <c r="DR81" s="24" t="n">
        <f aca="false">DR$21*(0-Planner!$C$43)</f>
        <v>-0.6265</v>
      </c>
      <c r="DS81" s="24" t="n">
        <f aca="false">DS$21*(0-Planner!$C$43)</f>
        <v>-0.301</v>
      </c>
      <c r="DT81" s="24" t="n">
        <f aca="false">DT$21*(0-Planner!$C$43)</f>
        <v>-0.315</v>
      </c>
      <c r="DU81" s="24" t="n">
        <f aca="false">DU$21*(0-Planner!$C$43)</f>
        <v>-0.931</v>
      </c>
      <c r="DV81" s="24" t="n">
        <f aca="false">DV$21*(0-Planner!$C$43)</f>
        <v>-1.1655</v>
      </c>
      <c r="DW81" s="24" t="n">
        <f aca="false">DW$21*(0-Planner!$C$43)</f>
        <v>-1.0815</v>
      </c>
      <c r="DX81" s="24" t="n">
        <f aca="false">DX$21*(0-Planner!$C$43)</f>
        <v>-0.8715</v>
      </c>
      <c r="DY81" s="24" t="n">
        <f aca="false">DY$21*(0-Planner!$C$43)</f>
        <v>-0.5915</v>
      </c>
      <c r="DZ81" s="24" t="n">
        <f aca="false">DZ$21*(0-Planner!$C$43)</f>
        <v>-0.385</v>
      </c>
      <c r="EA81" s="24" t="n">
        <f aca="false">EA$21*(0-Planner!$C$43)</f>
        <v>-0.385</v>
      </c>
      <c r="EB81" s="24" t="n">
        <f aca="false">EB$21*(0-Planner!$C$43)</f>
        <v>-0.238</v>
      </c>
      <c r="EC81" s="24" t="n">
        <f aca="false">EC$21*(0-Planner!$C$43)</f>
        <v>-0.3465</v>
      </c>
      <c r="ED81" s="24" t="n">
        <f aca="false">ED$21*(0-Planner!$C$43)</f>
        <v>-0.4305</v>
      </c>
      <c r="EE81" s="24" t="n">
        <f aca="false">EE$21*(0-Planner!$C$43)</f>
        <v>-0.3185</v>
      </c>
      <c r="EF81" s="24" t="n">
        <f aca="false">EF$21*(0-Planner!$C$43)</f>
        <v>-0.7385</v>
      </c>
      <c r="EG81" s="24" t="n">
        <f aca="false">EG$21*(0-Planner!$C$43)</f>
        <v>-1.001</v>
      </c>
      <c r="EH81" s="24" t="n">
        <f aca="false">EH$21*(0-Planner!$C$43)</f>
        <v>-1.2705</v>
      </c>
      <c r="EI81" s="24" t="n">
        <f aca="false">EI$21*(0-Planner!$C$43)</f>
        <v>-0.2765</v>
      </c>
      <c r="EJ81" s="24" t="n">
        <f aca="false">EJ$21*(0-Planner!$C$43)</f>
        <v>-0.308</v>
      </c>
      <c r="EK81" s="24" t="n">
        <f aca="false">EK$21*(0-Planner!$C$43)</f>
        <v>-0.8645</v>
      </c>
      <c r="EL81" s="24" t="n">
        <f aca="false">EL$21*(0-Planner!$C$43)</f>
        <v>-0.4235</v>
      </c>
      <c r="EM81" s="24" t="n">
        <f aca="false">EM$21*(0-Planner!$C$43)</f>
        <v>-0.2975</v>
      </c>
      <c r="EN81" s="24" t="n">
        <f aca="false">EN$21*(0-Planner!$C$43)</f>
        <v>-0</v>
      </c>
      <c r="EO81" s="24" t="n">
        <f aca="false">EO$21*(0-Planner!$C$43)</f>
        <v>-0</v>
      </c>
      <c r="EP81" s="24" t="n">
        <f aca="false">EP$21*(0-Planner!$C$43)</f>
        <v>-7.4025</v>
      </c>
      <c r="EQ81" s="24" t="n">
        <f aca="false">EQ$21*(0-Planner!$C$43)</f>
        <v>-0.686</v>
      </c>
      <c r="ER81" s="24" t="n">
        <f aca="false">ER$21*(0-Planner!$C$43)</f>
        <v>-1.785</v>
      </c>
      <c r="ES81" s="24" t="n">
        <f aca="false">ES$21*(0-Planner!$C$43)</f>
        <v>-1.9775</v>
      </c>
      <c r="ET81" s="24" t="n">
        <f aca="false">ET$21*(0-Planner!$C$43)</f>
        <v>-2.2365</v>
      </c>
      <c r="EU81" s="24" t="n">
        <f aca="false">EU$21*(0-Planner!$C$43)</f>
        <v>-1.225</v>
      </c>
    </row>
    <row r="82" customFormat="false" ht="15" hidden="false" customHeight="false" outlineLevel="0" collapsed="false">
      <c r="A82" s="4" t="s">
        <v>1022</v>
      </c>
      <c r="B82" s="75" t="s">
        <v>1017</v>
      </c>
      <c r="C82" s="78" t="n">
        <v>0</v>
      </c>
      <c r="D82" s="77" t="n">
        <v>-39.199999997333</v>
      </c>
      <c r="E82" s="75" t="str">
        <f aca="false">IF(D82&lt;=C82+0.000001*MAX(1,ABS(C82)),IF(ABS(D82-C82)&lt;=0.000001*MAX(1,ABS(C82)),"tight","ok"),"VIOLATED")</f>
        <v>ok</v>
      </c>
      <c r="F82" s="24" t="n">
        <f aca="false">F$21*(0-Planner!$C$43)</f>
        <v>-7.875</v>
      </c>
      <c r="G82" s="24" t="n">
        <f aca="false">G$21*(0-Planner!$C$43)</f>
        <v>-6.328</v>
      </c>
      <c r="H82" s="24" t="n">
        <f aca="false">H$21*(0-Planner!$C$43)</f>
        <v>-6.881</v>
      </c>
      <c r="I82" s="24" t="n">
        <f aca="false">I$21*(0-Planner!$C$43)</f>
        <v>-5.7155</v>
      </c>
      <c r="J82" s="24" t="n">
        <f aca="false">J$21*(0-Planner!$C$43)</f>
        <v>-6.5555</v>
      </c>
      <c r="K82" s="24" t="n">
        <f aca="false">K$21*(1-Planner!$C$43)</f>
        <v>12.09</v>
      </c>
      <c r="L82" s="24" t="n">
        <f aca="false">L$21*(0-Planner!$C$43)</f>
        <v>-4.417</v>
      </c>
      <c r="M82" s="24" t="n">
        <f aca="false">M$21*(0-Planner!$C$43)</f>
        <v>-7.6125</v>
      </c>
      <c r="N82" s="24" t="n">
        <f aca="false">N$21*(0-Planner!$C$43)</f>
        <v>-6.0095</v>
      </c>
      <c r="O82" s="24" t="n">
        <f aca="false">O$21*(0-Planner!$C$43)</f>
        <v>-7.2975</v>
      </c>
      <c r="P82" s="24" t="n">
        <f aca="false">P$21*(0-Planner!$C$43)</f>
        <v>-5.81</v>
      </c>
      <c r="Q82" s="24" t="n">
        <f aca="false">Q$21*(0-Planner!$C$43)</f>
        <v>-7.399</v>
      </c>
      <c r="R82" s="24" t="n">
        <f aca="false">R$21*(0-Planner!$C$43)</f>
        <v>-7.679</v>
      </c>
      <c r="S82" s="24" t="n">
        <f aca="false">S$21*(0-Planner!$C$43)</f>
        <v>-6.972</v>
      </c>
      <c r="T82" s="24" t="n">
        <f aca="false">T$21*(0-Planner!$C$43)</f>
        <v>-6.804</v>
      </c>
      <c r="U82" s="24" t="n">
        <f aca="false">U$21*(0-Planner!$C$43)</f>
        <v>-7.147</v>
      </c>
      <c r="V82" s="24" t="n">
        <f aca="false">V$21*(0-Planner!$C$43)</f>
        <v>-4.7635</v>
      </c>
      <c r="W82" s="24" t="n">
        <f aca="false">W$21*(0-Planner!$C$43)</f>
        <v>-7.028</v>
      </c>
      <c r="X82" s="24" t="n">
        <f aca="false">X$21*(0-Planner!$C$43)</f>
        <v>-4.396</v>
      </c>
      <c r="Y82" s="24" t="n">
        <f aca="false">Y$21*(0-Planner!$C$43)</f>
        <v>-2.1105</v>
      </c>
      <c r="Z82" s="24" t="n">
        <f aca="false">Z$21*(0-Planner!$C$43)</f>
        <v>-7.56</v>
      </c>
      <c r="AA82" s="24" t="n">
        <f aca="false">AA$21*(0-Planner!$C$43)</f>
        <v>-1.659</v>
      </c>
      <c r="AB82" s="24" t="n">
        <f aca="false">AB$21*(0-Planner!$C$43)</f>
        <v>-8.232</v>
      </c>
      <c r="AC82" s="24" t="n">
        <f aca="false">AC$21*(0-Planner!$C$43)</f>
        <v>-1.722</v>
      </c>
      <c r="AD82" s="24" t="n">
        <f aca="false">AD$21*(0-Planner!$C$43)</f>
        <v>-2.5795</v>
      </c>
      <c r="AE82" s="24" t="n">
        <f aca="false">AE$21*(0-Planner!$C$43)</f>
        <v>-7.651</v>
      </c>
      <c r="AF82" s="24" t="n">
        <f aca="false">AF$21*(0-Planner!$C$43)</f>
        <v>-1.827</v>
      </c>
      <c r="AG82" s="24" t="n">
        <f aca="false">AG$21*(0-Planner!$C$43)</f>
        <v>-8.253</v>
      </c>
      <c r="AH82" s="24" t="n">
        <f aca="false">AH$21*(0-Planner!$C$43)</f>
        <v>-8.6205</v>
      </c>
      <c r="AI82" s="24" t="n">
        <f aca="false">AI$21*(0-Planner!$C$43)</f>
        <v>-7.511</v>
      </c>
      <c r="AJ82" s="24" t="n">
        <f aca="false">AJ$21*(0-Planner!$C$43)</f>
        <v>-2.6355</v>
      </c>
      <c r="AK82" s="24" t="n">
        <f aca="false">AK$21*(0-Planner!$C$43)</f>
        <v>-7.8155</v>
      </c>
      <c r="AL82" s="24" t="n">
        <f aca="false">AL$21*(0-Planner!$C$43)</f>
        <v>-7.7735</v>
      </c>
      <c r="AM82" s="24" t="n">
        <f aca="false">AM$21*(0-Planner!$C$43)</f>
        <v>-1.61</v>
      </c>
      <c r="AN82" s="24" t="n">
        <f aca="false">AN$21*(0-Planner!$C$43)</f>
        <v>-7.497</v>
      </c>
      <c r="AO82" s="24" t="n">
        <f aca="false">AO$21*(0-Planner!$C$43)</f>
        <v>-3.535</v>
      </c>
      <c r="AP82" s="24" t="n">
        <f aca="false">AP$21*(0-Planner!$C$43)</f>
        <v>-1.155</v>
      </c>
      <c r="AQ82" s="24" t="n">
        <f aca="false">AQ$21*(0-Planner!$C$43)</f>
        <v>-3.5665</v>
      </c>
      <c r="AR82" s="24" t="n">
        <f aca="false">AR$21*(0-Planner!$C$43)</f>
        <v>-0.91</v>
      </c>
      <c r="AS82" s="24" t="n">
        <f aca="false">AS$21*(0-Planner!$C$43)</f>
        <v>-1.1025</v>
      </c>
      <c r="AT82" s="24" t="n">
        <f aca="false">AT$21*(0-Planner!$C$43)</f>
        <v>-6.3455</v>
      </c>
      <c r="AU82" s="24" t="n">
        <f aca="false">AU$21*(0-Planner!$C$43)</f>
        <v>-8.0045</v>
      </c>
      <c r="AV82" s="24" t="n">
        <f aca="false">AV$21*(0-Planner!$C$43)</f>
        <v>-3.6575</v>
      </c>
      <c r="AW82" s="24" t="n">
        <f aca="false">AW$21*(0-Planner!$C$43)</f>
        <v>-8.3125</v>
      </c>
      <c r="AX82" s="24" t="n">
        <f aca="false">AX$21*(0-Planner!$C$43)</f>
        <v>-3.696</v>
      </c>
      <c r="AY82" s="24" t="n">
        <f aca="false">AY$21*(0-Planner!$C$43)</f>
        <v>-2.639</v>
      </c>
      <c r="AZ82" s="24" t="n">
        <f aca="false">AZ$21*(0-Planner!$C$43)</f>
        <v>-4.2315</v>
      </c>
      <c r="BA82" s="24" t="n">
        <f aca="false">BA$21*(0-Planner!$C$43)</f>
        <v>-1.995</v>
      </c>
      <c r="BB82" s="24" t="n">
        <f aca="false">BB$21*(0-Planner!$C$43)</f>
        <v>-2.8035</v>
      </c>
      <c r="BC82" s="24" t="n">
        <f aca="false">BC$21*(0-Planner!$C$43)</f>
        <v>-4.942</v>
      </c>
      <c r="BD82" s="24" t="n">
        <f aca="false">BD$21*(0-Planner!$C$43)</f>
        <v>-4.6025</v>
      </c>
      <c r="BE82" s="24" t="n">
        <f aca="false">BE$21*(0-Planner!$C$43)</f>
        <v>-4.564</v>
      </c>
      <c r="BF82" s="24" t="n">
        <f aca="false">BF$21*(0-Planner!$C$43)</f>
        <v>-3.0975</v>
      </c>
      <c r="BG82" s="24" t="n">
        <f aca="false">BG$21*(0-Planner!$C$43)</f>
        <v>-2.4955</v>
      </c>
      <c r="BH82" s="24" t="n">
        <f aca="false">BH$21*(0-Planner!$C$43)</f>
        <v>-4.3575</v>
      </c>
      <c r="BI82" s="24" t="n">
        <f aca="false">BI$21*(0-Planner!$C$43)</f>
        <v>-4.8545</v>
      </c>
      <c r="BJ82" s="24" t="n">
        <f aca="false">BJ$21*(0-Planner!$C$43)</f>
        <v>-2.6565</v>
      </c>
      <c r="BK82" s="24" t="n">
        <f aca="false">BK$21*(0-Planner!$C$43)</f>
        <v>-0.6825</v>
      </c>
      <c r="BL82" s="24" t="n">
        <f aca="false">BL$21*(0-Planner!$C$43)</f>
        <v>-1.057</v>
      </c>
      <c r="BM82" s="24" t="n">
        <f aca="false">BM$21*(0-Planner!$C$43)</f>
        <v>-0.784</v>
      </c>
      <c r="BN82" s="24" t="n">
        <f aca="false">BN$21*(0-Planner!$C$43)</f>
        <v>-1.0535</v>
      </c>
      <c r="BO82" s="24" t="n">
        <f aca="false">BO$21*(0-Planner!$C$43)</f>
        <v>-1.827</v>
      </c>
      <c r="BP82" s="24" t="n">
        <f aca="false">BP$21*(0-Planner!$C$43)</f>
        <v>-0.7175</v>
      </c>
      <c r="BQ82" s="24" t="n">
        <f aca="false">BQ$21*(0-Planner!$C$43)</f>
        <v>-0.5495</v>
      </c>
      <c r="BR82" s="24" t="n">
        <f aca="false">BR$21*(0-Planner!$C$43)</f>
        <v>-0.091</v>
      </c>
      <c r="BS82" s="24" t="n">
        <f aca="false">BS$21*(0-Planner!$C$43)</f>
        <v>-0.0595</v>
      </c>
      <c r="BT82" s="24" t="n">
        <f aca="false">BT$21*(0-Planner!$C$43)</f>
        <v>-0.3815</v>
      </c>
      <c r="BU82" s="24" t="n">
        <f aca="false">BU$21*(0-Planner!$C$43)</f>
        <v>-0.4865</v>
      </c>
      <c r="BV82" s="24" t="n">
        <f aca="false">BV$21*(0-Planner!$C$43)</f>
        <v>-0.147</v>
      </c>
      <c r="BW82" s="24" t="n">
        <f aca="false">BW$21*(0-Planner!$C$43)</f>
        <v>-0.294</v>
      </c>
      <c r="BX82" s="24" t="n">
        <f aca="false">BX$21*(0-Planner!$C$43)</f>
        <v>-0.371</v>
      </c>
      <c r="BY82" s="24" t="n">
        <f aca="false">BY$21*(0-Planner!$C$43)</f>
        <v>-0.2975</v>
      </c>
      <c r="BZ82" s="24" t="n">
        <f aca="false">BZ$21*(0-Planner!$C$43)</f>
        <v>-0.8575</v>
      </c>
      <c r="CA82" s="24" t="n">
        <f aca="false">CA$21*(0-Planner!$C$43)</f>
        <v>-1.1865</v>
      </c>
      <c r="CB82" s="24" t="n">
        <f aca="false">CB$21*(0-Planner!$C$43)</f>
        <v>-0.0595</v>
      </c>
      <c r="CC82" s="24" t="n">
        <f aca="false">CC$21*(0-Planner!$C$43)</f>
        <v>-0.161</v>
      </c>
      <c r="CD82" s="24" t="n">
        <f aca="false">CD$21*(0-Planner!$C$43)</f>
        <v>-0.2205</v>
      </c>
      <c r="CE82" s="24" t="n">
        <f aca="false">CE$21*(0-Planner!$C$43)</f>
        <v>-0.252</v>
      </c>
      <c r="CF82" s="24" t="n">
        <f aca="false">CF$21*(0-Planner!$C$43)</f>
        <v>-0.189</v>
      </c>
      <c r="CG82" s="24" t="n">
        <f aca="false">CG$21*(0-Planner!$C$43)</f>
        <v>-0.399</v>
      </c>
      <c r="CH82" s="24" t="n">
        <f aca="false">CH$21*(0-Planner!$C$43)</f>
        <v>-0.287</v>
      </c>
      <c r="CI82" s="24" t="n">
        <f aca="false">CI$21*(0-Planner!$C$43)</f>
        <v>-0.371</v>
      </c>
      <c r="CJ82" s="24" t="n">
        <f aca="false">CJ$21*(0-Planner!$C$43)</f>
        <v>-0.238</v>
      </c>
      <c r="CK82" s="24" t="n">
        <f aca="false">CK$21*(0-Planner!$C$43)</f>
        <v>-0.3185</v>
      </c>
      <c r="CL82" s="24" t="n">
        <f aca="false">CL$21*(0-Planner!$C$43)</f>
        <v>-0.1645</v>
      </c>
      <c r="CM82" s="24" t="n">
        <f aca="false">CM$21*(0-Planner!$C$43)</f>
        <v>-0.3185</v>
      </c>
      <c r="CN82" s="24" t="n">
        <f aca="false">CN$21*(0-Planner!$C$43)</f>
        <v>-0.2205</v>
      </c>
      <c r="CO82" s="24" t="n">
        <f aca="false">CO$21*(0-Planner!$C$43)</f>
        <v>-0.126</v>
      </c>
      <c r="CP82" s="24" t="n">
        <f aca="false">CP$21*(0-Planner!$C$43)</f>
        <v>-0.119</v>
      </c>
      <c r="CQ82" s="24" t="n">
        <f aca="false">CQ$21*(0-Planner!$C$43)</f>
        <v>-0.189</v>
      </c>
      <c r="CR82" s="24" t="n">
        <f aca="false">CR$21*(0-Planner!$C$43)</f>
        <v>-0.147</v>
      </c>
      <c r="CS82" s="24" t="n">
        <f aca="false">CS$21*(0-Planner!$C$43)</f>
        <v>-0.245</v>
      </c>
      <c r="CT82" s="24" t="n">
        <f aca="false">CT$21*(0-Planner!$C$43)</f>
        <v>-0.763</v>
      </c>
      <c r="CU82" s="24" t="n">
        <f aca="false">CU$21*(0-Planner!$C$43)</f>
        <v>-1.0745</v>
      </c>
      <c r="CV82" s="24" t="n">
        <f aca="false">CV$21*(0-Planner!$C$43)</f>
        <v>-0.42</v>
      </c>
      <c r="CW82" s="24" t="n">
        <f aca="false">CW$21*(0-Planner!$C$43)</f>
        <v>-0.2345</v>
      </c>
      <c r="CX82" s="24" t="n">
        <f aca="false">CX$21*(0-Planner!$C$43)</f>
        <v>-0.1505</v>
      </c>
      <c r="CY82" s="24" t="n">
        <f aca="false">CY$21*(0-Planner!$C$43)</f>
        <v>-0.2135</v>
      </c>
      <c r="CZ82" s="24" t="n">
        <f aca="false">CZ$21*(0-Planner!$C$43)</f>
        <v>-0.28</v>
      </c>
      <c r="DA82" s="24" t="n">
        <f aca="false">DA$21*(0-Planner!$C$43)</f>
        <v>-0.77</v>
      </c>
      <c r="DB82" s="24" t="n">
        <f aca="false">DB$21*(0-Planner!$C$43)</f>
        <v>-0.224</v>
      </c>
      <c r="DC82" s="24" t="n">
        <f aca="false">DC$21*(0-Planner!$C$43)</f>
        <v>-0.2555</v>
      </c>
      <c r="DD82" s="24" t="n">
        <f aca="false">DD$21*(0-Planner!$C$43)</f>
        <v>-1.071</v>
      </c>
      <c r="DE82" s="24" t="n">
        <f aca="false">DE$21*(0-Planner!$C$43)</f>
        <v>-1.323</v>
      </c>
      <c r="DF82" s="24" t="n">
        <f aca="false">DF$21*(0-Planner!$C$43)</f>
        <v>-0.35</v>
      </c>
      <c r="DG82" s="24" t="n">
        <f aca="false">DG$21*(0-Planner!$C$43)</f>
        <v>-0.448</v>
      </c>
      <c r="DH82" s="24" t="n">
        <f aca="false">DH$21*(0-Planner!$C$43)</f>
        <v>-0.5005</v>
      </c>
      <c r="DI82" s="24" t="n">
        <f aca="false">DI$21*(0-Planner!$C$43)</f>
        <v>-0.3255</v>
      </c>
      <c r="DJ82" s="24" t="n">
        <f aca="false">DJ$21*(0-Planner!$C$43)</f>
        <v>-0.203</v>
      </c>
      <c r="DK82" s="24" t="n">
        <f aca="false">DK$21*(0-Planner!$C$43)</f>
        <v>-0.273</v>
      </c>
      <c r="DL82" s="24" t="n">
        <f aca="false">DL$21*(0-Planner!$C$43)</f>
        <v>-0.7035</v>
      </c>
      <c r="DM82" s="24" t="n">
        <f aca="false">DM$21*(0-Planner!$C$43)</f>
        <v>-0.2415</v>
      </c>
      <c r="DN82" s="24" t="n">
        <f aca="false">DN$21*(0-Planner!$C$43)</f>
        <v>-1.057</v>
      </c>
      <c r="DO82" s="24" t="n">
        <f aca="false">DO$21*(0-Planner!$C$43)</f>
        <v>-0.9415</v>
      </c>
      <c r="DP82" s="24" t="n">
        <f aca="false">DP$21*(0-Planner!$C$43)</f>
        <v>-0.2275</v>
      </c>
      <c r="DQ82" s="24" t="n">
        <f aca="false">DQ$21*(0-Planner!$C$43)</f>
        <v>-0.252</v>
      </c>
      <c r="DR82" s="24" t="n">
        <f aca="false">DR$21*(0-Planner!$C$43)</f>
        <v>-0.6265</v>
      </c>
      <c r="DS82" s="24" t="n">
        <f aca="false">DS$21*(0-Planner!$C$43)</f>
        <v>-0.301</v>
      </c>
      <c r="DT82" s="24" t="n">
        <f aca="false">DT$21*(0-Planner!$C$43)</f>
        <v>-0.315</v>
      </c>
      <c r="DU82" s="24" t="n">
        <f aca="false">DU$21*(0-Planner!$C$43)</f>
        <v>-0.931</v>
      </c>
      <c r="DV82" s="24" t="n">
        <f aca="false">DV$21*(0-Planner!$C$43)</f>
        <v>-1.1655</v>
      </c>
      <c r="DW82" s="24" t="n">
        <f aca="false">DW$21*(0-Planner!$C$43)</f>
        <v>-1.0815</v>
      </c>
      <c r="DX82" s="24" t="n">
        <f aca="false">DX$21*(0-Planner!$C$43)</f>
        <v>-0.8715</v>
      </c>
      <c r="DY82" s="24" t="n">
        <f aca="false">DY$21*(0-Planner!$C$43)</f>
        <v>-0.5915</v>
      </c>
      <c r="DZ82" s="24" t="n">
        <f aca="false">DZ$21*(0-Planner!$C$43)</f>
        <v>-0.385</v>
      </c>
      <c r="EA82" s="24" t="n">
        <f aca="false">EA$21*(0-Planner!$C$43)</f>
        <v>-0.385</v>
      </c>
      <c r="EB82" s="24" t="n">
        <f aca="false">EB$21*(0-Planner!$C$43)</f>
        <v>-0.238</v>
      </c>
      <c r="EC82" s="24" t="n">
        <f aca="false">EC$21*(0-Planner!$C$43)</f>
        <v>-0.3465</v>
      </c>
      <c r="ED82" s="24" t="n">
        <f aca="false">ED$21*(0-Planner!$C$43)</f>
        <v>-0.4305</v>
      </c>
      <c r="EE82" s="24" t="n">
        <f aca="false">EE$21*(0-Planner!$C$43)</f>
        <v>-0.3185</v>
      </c>
      <c r="EF82" s="24" t="n">
        <f aca="false">EF$21*(0-Planner!$C$43)</f>
        <v>-0.7385</v>
      </c>
      <c r="EG82" s="24" t="n">
        <f aca="false">EG$21*(0-Planner!$C$43)</f>
        <v>-1.001</v>
      </c>
      <c r="EH82" s="24" t="n">
        <f aca="false">EH$21*(0-Planner!$C$43)</f>
        <v>-1.2705</v>
      </c>
      <c r="EI82" s="24" t="n">
        <f aca="false">EI$21*(0-Planner!$C$43)</f>
        <v>-0.2765</v>
      </c>
      <c r="EJ82" s="24" t="n">
        <f aca="false">EJ$21*(0-Planner!$C$43)</f>
        <v>-0.308</v>
      </c>
      <c r="EK82" s="24" t="n">
        <f aca="false">EK$21*(0-Planner!$C$43)</f>
        <v>-0.8645</v>
      </c>
      <c r="EL82" s="24" t="n">
        <f aca="false">EL$21*(0-Planner!$C$43)</f>
        <v>-0.4235</v>
      </c>
      <c r="EM82" s="24" t="n">
        <f aca="false">EM$21*(0-Planner!$C$43)</f>
        <v>-0.2975</v>
      </c>
      <c r="EN82" s="24" t="n">
        <f aca="false">EN$21*(0-Planner!$C$43)</f>
        <v>-0</v>
      </c>
      <c r="EO82" s="24" t="n">
        <f aca="false">EO$21*(0-Planner!$C$43)</f>
        <v>-0</v>
      </c>
      <c r="EP82" s="24" t="n">
        <f aca="false">EP$21*(0-Planner!$C$43)</f>
        <v>-7.4025</v>
      </c>
      <c r="EQ82" s="24" t="n">
        <f aca="false">EQ$21*(0-Planner!$C$43)</f>
        <v>-0.686</v>
      </c>
      <c r="ER82" s="24" t="n">
        <f aca="false">ER$21*(0-Planner!$C$43)</f>
        <v>-1.785</v>
      </c>
      <c r="ES82" s="24" t="n">
        <f aca="false">ES$21*(0-Planner!$C$43)</f>
        <v>-1.9775</v>
      </c>
      <c r="ET82" s="24" t="n">
        <f aca="false">ET$21*(0-Planner!$C$43)</f>
        <v>-2.2365</v>
      </c>
      <c r="EU82" s="24" t="n">
        <f aca="false">EU$21*(0-Planner!$C$43)</f>
        <v>-1.225</v>
      </c>
    </row>
    <row r="83" customFormat="false" ht="15" hidden="false" customHeight="false" outlineLevel="0" collapsed="false">
      <c r="A83" s="4" t="s">
        <v>1023</v>
      </c>
      <c r="B83" s="75" t="s">
        <v>1017</v>
      </c>
      <c r="C83" s="78" t="n">
        <v>0</v>
      </c>
      <c r="D83" s="77" t="n">
        <v>-39.199999997333</v>
      </c>
      <c r="E83" s="75" t="str">
        <f aca="false">IF(D83&lt;=C83+0.000001*MAX(1,ABS(C83)),IF(ABS(D83-C83)&lt;=0.000001*MAX(1,ABS(C83)),"tight","ok"),"VIOLATED")</f>
        <v>ok</v>
      </c>
      <c r="F83" s="24" t="n">
        <f aca="false">F$21*(0-Planner!$C$43)</f>
        <v>-7.875</v>
      </c>
      <c r="G83" s="24" t="n">
        <f aca="false">G$21*(0-Planner!$C$43)</f>
        <v>-6.328</v>
      </c>
      <c r="H83" s="24" t="n">
        <f aca="false">H$21*(0-Planner!$C$43)</f>
        <v>-6.881</v>
      </c>
      <c r="I83" s="24" t="n">
        <f aca="false">I$21*(0-Planner!$C$43)</f>
        <v>-5.7155</v>
      </c>
      <c r="J83" s="24" t="n">
        <f aca="false">J$21*(0-Planner!$C$43)</f>
        <v>-6.5555</v>
      </c>
      <c r="K83" s="24" t="n">
        <f aca="false">K$21*(0-Planner!$C$43)</f>
        <v>-6.51</v>
      </c>
      <c r="L83" s="24" t="n">
        <f aca="false">L$21*(1-Planner!$C$43)</f>
        <v>8.203</v>
      </c>
      <c r="M83" s="24" t="n">
        <f aca="false">M$21*(0-Planner!$C$43)</f>
        <v>-7.6125</v>
      </c>
      <c r="N83" s="24" t="n">
        <f aca="false">N$21*(0-Planner!$C$43)</f>
        <v>-6.0095</v>
      </c>
      <c r="O83" s="24" t="n">
        <f aca="false">O$21*(0-Planner!$C$43)</f>
        <v>-7.2975</v>
      </c>
      <c r="P83" s="24" t="n">
        <f aca="false">P$21*(0-Planner!$C$43)</f>
        <v>-5.81</v>
      </c>
      <c r="Q83" s="24" t="n">
        <f aca="false">Q$21*(0-Planner!$C$43)</f>
        <v>-7.399</v>
      </c>
      <c r="R83" s="24" t="n">
        <f aca="false">R$21*(0-Planner!$C$43)</f>
        <v>-7.679</v>
      </c>
      <c r="S83" s="24" t="n">
        <f aca="false">S$21*(0-Planner!$C$43)</f>
        <v>-6.972</v>
      </c>
      <c r="T83" s="24" t="n">
        <f aca="false">T$21*(0-Planner!$C$43)</f>
        <v>-6.804</v>
      </c>
      <c r="U83" s="24" t="n">
        <f aca="false">U$21*(0-Planner!$C$43)</f>
        <v>-7.147</v>
      </c>
      <c r="V83" s="24" t="n">
        <f aca="false">V$21*(0-Planner!$C$43)</f>
        <v>-4.7635</v>
      </c>
      <c r="W83" s="24" t="n">
        <f aca="false">W$21*(0-Planner!$C$43)</f>
        <v>-7.028</v>
      </c>
      <c r="X83" s="24" t="n">
        <f aca="false">X$21*(0-Planner!$C$43)</f>
        <v>-4.396</v>
      </c>
      <c r="Y83" s="24" t="n">
        <f aca="false">Y$21*(0-Planner!$C$43)</f>
        <v>-2.1105</v>
      </c>
      <c r="Z83" s="24" t="n">
        <f aca="false">Z$21*(0-Planner!$C$43)</f>
        <v>-7.56</v>
      </c>
      <c r="AA83" s="24" t="n">
        <f aca="false">AA$21*(0-Planner!$C$43)</f>
        <v>-1.659</v>
      </c>
      <c r="AB83" s="24" t="n">
        <f aca="false">AB$21*(0-Planner!$C$43)</f>
        <v>-8.232</v>
      </c>
      <c r="AC83" s="24" t="n">
        <f aca="false">AC$21*(0-Planner!$C$43)</f>
        <v>-1.722</v>
      </c>
      <c r="AD83" s="24" t="n">
        <f aca="false">AD$21*(0-Planner!$C$43)</f>
        <v>-2.5795</v>
      </c>
      <c r="AE83" s="24" t="n">
        <f aca="false">AE$21*(0-Planner!$C$43)</f>
        <v>-7.651</v>
      </c>
      <c r="AF83" s="24" t="n">
        <f aca="false">AF$21*(0-Planner!$C$43)</f>
        <v>-1.827</v>
      </c>
      <c r="AG83" s="24" t="n">
        <f aca="false">AG$21*(0-Planner!$C$43)</f>
        <v>-8.253</v>
      </c>
      <c r="AH83" s="24" t="n">
        <f aca="false">AH$21*(0-Planner!$C$43)</f>
        <v>-8.6205</v>
      </c>
      <c r="AI83" s="24" t="n">
        <f aca="false">AI$21*(0-Planner!$C$43)</f>
        <v>-7.511</v>
      </c>
      <c r="AJ83" s="24" t="n">
        <f aca="false">AJ$21*(0-Planner!$C$43)</f>
        <v>-2.6355</v>
      </c>
      <c r="AK83" s="24" t="n">
        <f aca="false">AK$21*(0-Planner!$C$43)</f>
        <v>-7.8155</v>
      </c>
      <c r="AL83" s="24" t="n">
        <f aca="false">AL$21*(0-Planner!$C$43)</f>
        <v>-7.7735</v>
      </c>
      <c r="AM83" s="24" t="n">
        <f aca="false">AM$21*(0-Planner!$C$43)</f>
        <v>-1.61</v>
      </c>
      <c r="AN83" s="24" t="n">
        <f aca="false">AN$21*(0-Planner!$C$43)</f>
        <v>-7.497</v>
      </c>
      <c r="AO83" s="24" t="n">
        <f aca="false">AO$21*(0-Planner!$C$43)</f>
        <v>-3.535</v>
      </c>
      <c r="AP83" s="24" t="n">
        <f aca="false">AP$21*(0-Planner!$C$43)</f>
        <v>-1.155</v>
      </c>
      <c r="AQ83" s="24" t="n">
        <f aca="false">AQ$21*(0-Planner!$C$43)</f>
        <v>-3.5665</v>
      </c>
      <c r="AR83" s="24" t="n">
        <f aca="false">AR$21*(0-Planner!$C$43)</f>
        <v>-0.91</v>
      </c>
      <c r="AS83" s="24" t="n">
        <f aca="false">AS$21*(0-Planner!$C$43)</f>
        <v>-1.1025</v>
      </c>
      <c r="AT83" s="24" t="n">
        <f aca="false">AT$21*(0-Planner!$C$43)</f>
        <v>-6.3455</v>
      </c>
      <c r="AU83" s="24" t="n">
        <f aca="false">AU$21*(0-Planner!$C$43)</f>
        <v>-8.0045</v>
      </c>
      <c r="AV83" s="24" t="n">
        <f aca="false">AV$21*(0-Planner!$C$43)</f>
        <v>-3.6575</v>
      </c>
      <c r="AW83" s="24" t="n">
        <f aca="false">AW$21*(0-Planner!$C$43)</f>
        <v>-8.3125</v>
      </c>
      <c r="AX83" s="24" t="n">
        <f aca="false">AX$21*(0-Planner!$C$43)</f>
        <v>-3.696</v>
      </c>
      <c r="AY83" s="24" t="n">
        <f aca="false">AY$21*(0-Planner!$C$43)</f>
        <v>-2.639</v>
      </c>
      <c r="AZ83" s="24" t="n">
        <f aca="false">AZ$21*(0-Planner!$C$43)</f>
        <v>-4.2315</v>
      </c>
      <c r="BA83" s="24" t="n">
        <f aca="false">BA$21*(0-Planner!$C$43)</f>
        <v>-1.995</v>
      </c>
      <c r="BB83" s="24" t="n">
        <f aca="false">BB$21*(0-Planner!$C$43)</f>
        <v>-2.8035</v>
      </c>
      <c r="BC83" s="24" t="n">
        <f aca="false">BC$21*(0-Planner!$C$43)</f>
        <v>-4.942</v>
      </c>
      <c r="BD83" s="24" t="n">
        <f aca="false">BD$21*(0-Planner!$C$43)</f>
        <v>-4.6025</v>
      </c>
      <c r="BE83" s="24" t="n">
        <f aca="false">BE$21*(0-Planner!$C$43)</f>
        <v>-4.564</v>
      </c>
      <c r="BF83" s="24" t="n">
        <f aca="false">BF$21*(0-Planner!$C$43)</f>
        <v>-3.0975</v>
      </c>
      <c r="BG83" s="24" t="n">
        <f aca="false">BG$21*(0-Planner!$C$43)</f>
        <v>-2.4955</v>
      </c>
      <c r="BH83" s="24" t="n">
        <f aca="false">BH$21*(0-Planner!$C$43)</f>
        <v>-4.3575</v>
      </c>
      <c r="BI83" s="24" t="n">
        <f aca="false">BI$21*(0-Planner!$C$43)</f>
        <v>-4.8545</v>
      </c>
      <c r="BJ83" s="24" t="n">
        <f aca="false">BJ$21*(0-Planner!$C$43)</f>
        <v>-2.6565</v>
      </c>
      <c r="BK83" s="24" t="n">
        <f aca="false">BK$21*(0-Planner!$C$43)</f>
        <v>-0.6825</v>
      </c>
      <c r="BL83" s="24" t="n">
        <f aca="false">BL$21*(0-Planner!$C$43)</f>
        <v>-1.057</v>
      </c>
      <c r="BM83" s="24" t="n">
        <f aca="false">BM$21*(0-Planner!$C$43)</f>
        <v>-0.784</v>
      </c>
      <c r="BN83" s="24" t="n">
        <f aca="false">BN$21*(0-Planner!$C$43)</f>
        <v>-1.0535</v>
      </c>
      <c r="BO83" s="24" t="n">
        <f aca="false">BO$21*(0-Planner!$C$43)</f>
        <v>-1.827</v>
      </c>
      <c r="BP83" s="24" t="n">
        <f aca="false">BP$21*(0-Planner!$C$43)</f>
        <v>-0.7175</v>
      </c>
      <c r="BQ83" s="24" t="n">
        <f aca="false">BQ$21*(0-Planner!$C$43)</f>
        <v>-0.5495</v>
      </c>
      <c r="BR83" s="24" t="n">
        <f aca="false">BR$21*(0-Planner!$C$43)</f>
        <v>-0.091</v>
      </c>
      <c r="BS83" s="24" t="n">
        <f aca="false">BS$21*(0-Planner!$C$43)</f>
        <v>-0.0595</v>
      </c>
      <c r="BT83" s="24" t="n">
        <f aca="false">BT$21*(0-Planner!$C$43)</f>
        <v>-0.3815</v>
      </c>
      <c r="BU83" s="24" t="n">
        <f aca="false">BU$21*(0-Planner!$C$43)</f>
        <v>-0.4865</v>
      </c>
      <c r="BV83" s="24" t="n">
        <f aca="false">BV$21*(0-Planner!$C$43)</f>
        <v>-0.147</v>
      </c>
      <c r="BW83" s="24" t="n">
        <f aca="false">BW$21*(0-Planner!$C$43)</f>
        <v>-0.294</v>
      </c>
      <c r="BX83" s="24" t="n">
        <f aca="false">BX$21*(0-Planner!$C$43)</f>
        <v>-0.371</v>
      </c>
      <c r="BY83" s="24" t="n">
        <f aca="false">BY$21*(0-Planner!$C$43)</f>
        <v>-0.2975</v>
      </c>
      <c r="BZ83" s="24" t="n">
        <f aca="false">BZ$21*(0-Planner!$C$43)</f>
        <v>-0.8575</v>
      </c>
      <c r="CA83" s="24" t="n">
        <f aca="false">CA$21*(0-Planner!$C$43)</f>
        <v>-1.1865</v>
      </c>
      <c r="CB83" s="24" t="n">
        <f aca="false">CB$21*(0-Planner!$C$43)</f>
        <v>-0.0595</v>
      </c>
      <c r="CC83" s="24" t="n">
        <f aca="false">CC$21*(0-Planner!$C$43)</f>
        <v>-0.161</v>
      </c>
      <c r="CD83" s="24" t="n">
        <f aca="false">CD$21*(0-Planner!$C$43)</f>
        <v>-0.2205</v>
      </c>
      <c r="CE83" s="24" t="n">
        <f aca="false">CE$21*(0-Planner!$C$43)</f>
        <v>-0.252</v>
      </c>
      <c r="CF83" s="24" t="n">
        <f aca="false">CF$21*(0-Planner!$C$43)</f>
        <v>-0.189</v>
      </c>
      <c r="CG83" s="24" t="n">
        <f aca="false">CG$21*(0-Planner!$C$43)</f>
        <v>-0.399</v>
      </c>
      <c r="CH83" s="24" t="n">
        <f aca="false">CH$21*(0-Planner!$C$43)</f>
        <v>-0.287</v>
      </c>
      <c r="CI83" s="24" t="n">
        <f aca="false">CI$21*(0-Planner!$C$43)</f>
        <v>-0.371</v>
      </c>
      <c r="CJ83" s="24" t="n">
        <f aca="false">CJ$21*(0-Planner!$C$43)</f>
        <v>-0.238</v>
      </c>
      <c r="CK83" s="24" t="n">
        <f aca="false">CK$21*(0-Planner!$C$43)</f>
        <v>-0.3185</v>
      </c>
      <c r="CL83" s="24" t="n">
        <f aca="false">CL$21*(0-Planner!$C$43)</f>
        <v>-0.1645</v>
      </c>
      <c r="CM83" s="24" t="n">
        <f aca="false">CM$21*(0-Planner!$C$43)</f>
        <v>-0.3185</v>
      </c>
      <c r="CN83" s="24" t="n">
        <f aca="false">CN$21*(0-Planner!$C$43)</f>
        <v>-0.2205</v>
      </c>
      <c r="CO83" s="24" t="n">
        <f aca="false">CO$21*(0-Planner!$C$43)</f>
        <v>-0.126</v>
      </c>
      <c r="CP83" s="24" t="n">
        <f aca="false">CP$21*(0-Planner!$C$43)</f>
        <v>-0.119</v>
      </c>
      <c r="CQ83" s="24" t="n">
        <f aca="false">CQ$21*(0-Planner!$C$43)</f>
        <v>-0.189</v>
      </c>
      <c r="CR83" s="24" t="n">
        <f aca="false">CR$21*(0-Planner!$C$43)</f>
        <v>-0.147</v>
      </c>
      <c r="CS83" s="24" t="n">
        <f aca="false">CS$21*(0-Planner!$C$43)</f>
        <v>-0.245</v>
      </c>
      <c r="CT83" s="24" t="n">
        <f aca="false">CT$21*(0-Planner!$C$43)</f>
        <v>-0.763</v>
      </c>
      <c r="CU83" s="24" t="n">
        <f aca="false">CU$21*(0-Planner!$C$43)</f>
        <v>-1.0745</v>
      </c>
      <c r="CV83" s="24" t="n">
        <f aca="false">CV$21*(0-Planner!$C$43)</f>
        <v>-0.42</v>
      </c>
      <c r="CW83" s="24" t="n">
        <f aca="false">CW$21*(0-Planner!$C$43)</f>
        <v>-0.2345</v>
      </c>
      <c r="CX83" s="24" t="n">
        <f aca="false">CX$21*(0-Planner!$C$43)</f>
        <v>-0.1505</v>
      </c>
      <c r="CY83" s="24" t="n">
        <f aca="false">CY$21*(0-Planner!$C$43)</f>
        <v>-0.2135</v>
      </c>
      <c r="CZ83" s="24" t="n">
        <f aca="false">CZ$21*(0-Planner!$C$43)</f>
        <v>-0.28</v>
      </c>
      <c r="DA83" s="24" t="n">
        <f aca="false">DA$21*(0-Planner!$C$43)</f>
        <v>-0.77</v>
      </c>
      <c r="DB83" s="24" t="n">
        <f aca="false">DB$21*(0-Planner!$C$43)</f>
        <v>-0.224</v>
      </c>
      <c r="DC83" s="24" t="n">
        <f aca="false">DC$21*(0-Planner!$C$43)</f>
        <v>-0.2555</v>
      </c>
      <c r="DD83" s="24" t="n">
        <f aca="false">DD$21*(0-Planner!$C$43)</f>
        <v>-1.071</v>
      </c>
      <c r="DE83" s="24" t="n">
        <f aca="false">DE$21*(0-Planner!$C$43)</f>
        <v>-1.323</v>
      </c>
      <c r="DF83" s="24" t="n">
        <f aca="false">DF$21*(0-Planner!$C$43)</f>
        <v>-0.35</v>
      </c>
      <c r="DG83" s="24" t="n">
        <f aca="false">DG$21*(0-Planner!$C$43)</f>
        <v>-0.448</v>
      </c>
      <c r="DH83" s="24" t="n">
        <f aca="false">DH$21*(0-Planner!$C$43)</f>
        <v>-0.5005</v>
      </c>
      <c r="DI83" s="24" t="n">
        <f aca="false">DI$21*(0-Planner!$C$43)</f>
        <v>-0.3255</v>
      </c>
      <c r="DJ83" s="24" t="n">
        <f aca="false">DJ$21*(0-Planner!$C$43)</f>
        <v>-0.203</v>
      </c>
      <c r="DK83" s="24" t="n">
        <f aca="false">DK$21*(0-Planner!$C$43)</f>
        <v>-0.273</v>
      </c>
      <c r="DL83" s="24" t="n">
        <f aca="false">DL$21*(0-Planner!$C$43)</f>
        <v>-0.7035</v>
      </c>
      <c r="DM83" s="24" t="n">
        <f aca="false">DM$21*(0-Planner!$C$43)</f>
        <v>-0.2415</v>
      </c>
      <c r="DN83" s="24" t="n">
        <f aca="false">DN$21*(0-Planner!$C$43)</f>
        <v>-1.057</v>
      </c>
      <c r="DO83" s="24" t="n">
        <f aca="false">DO$21*(0-Planner!$C$43)</f>
        <v>-0.9415</v>
      </c>
      <c r="DP83" s="24" t="n">
        <f aca="false">DP$21*(0-Planner!$C$43)</f>
        <v>-0.2275</v>
      </c>
      <c r="DQ83" s="24" t="n">
        <f aca="false">DQ$21*(0-Planner!$C$43)</f>
        <v>-0.252</v>
      </c>
      <c r="DR83" s="24" t="n">
        <f aca="false">DR$21*(0-Planner!$C$43)</f>
        <v>-0.6265</v>
      </c>
      <c r="DS83" s="24" t="n">
        <f aca="false">DS$21*(0-Planner!$C$43)</f>
        <v>-0.301</v>
      </c>
      <c r="DT83" s="24" t="n">
        <f aca="false">DT$21*(0-Planner!$C$43)</f>
        <v>-0.315</v>
      </c>
      <c r="DU83" s="24" t="n">
        <f aca="false">DU$21*(0-Planner!$C$43)</f>
        <v>-0.931</v>
      </c>
      <c r="DV83" s="24" t="n">
        <f aca="false">DV$21*(0-Planner!$C$43)</f>
        <v>-1.1655</v>
      </c>
      <c r="DW83" s="24" t="n">
        <f aca="false">DW$21*(0-Planner!$C$43)</f>
        <v>-1.0815</v>
      </c>
      <c r="DX83" s="24" t="n">
        <f aca="false">DX$21*(0-Planner!$C$43)</f>
        <v>-0.8715</v>
      </c>
      <c r="DY83" s="24" t="n">
        <f aca="false">DY$21*(0-Planner!$C$43)</f>
        <v>-0.5915</v>
      </c>
      <c r="DZ83" s="24" t="n">
        <f aca="false">DZ$21*(0-Planner!$C$43)</f>
        <v>-0.385</v>
      </c>
      <c r="EA83" s="24" t="n">
        <f aca="false">EA$21*(0-Planner!$C$43)</f>
        <v>-0.385</v>
      </c>
      <c r="EB83" s="24" t="n">
        <f aca="false">EB$21*(0-Planner!$C$43)</f>
        <v>-0.238</v>
      </c>
      <c r="EC83" s="24" t="n">
        <f aca="false">EC$21*(0-Planner!$C$43)</f>
        <v>-0.3465</v>
      </c>
      <c r="ED83" s="24" t="n">
        <f aca="false">ED$21*(0-Planner!$C$43)</f>
        <v>-0.4305</v>
      </c>
      <c r="EE83" s="24" t="n">
        <f aca="false">EE$21*(0-Planner!$C$43)</f>
        <v>-0.3185</v>
      </c>
      <c r="EF83" s="24" t="n">
        <f aca="false">EF$21*(0-Planner!$C$43)</f>
        <v>-0.7385</v>
      </c>
      <c r="EG83" s="24" t="n">
        <f aca="false">EG$21*(0-Planner!$C$43)</f>
        <v>-1.001</v>
      </c>
      <c r="EH83" s="24" t="n">
        <f aca="false">EH$21*(0-Planner!$C$43)</f>
        <v>-1.2705</v>
      </c>
      <c r="EI83" s="24" t="n">
        <f aca="false">EI$21*(0-Planner!$C$43)</f>
        <v>-0.2765</v>
      </c>
      <c r="EJ83" s="24" t="n">
        <f aca="false">EJ$21*(0-Planner!$C$43)</f>
        <v>-0.308</v>
      </c>
      <c r="EK83" s="24" t="n">
        <f aca="false">EK$21*(0-Planner!$C$43)</f>
        <v>-0.8645</v>
      </c>
      <c r="EL83" s="24" t="n">
        <f aca="false">EL$21*(0-Planner!$C$43)</f>
        <v>-0.4235</v>
      </c>
      <c r="EM83" s="24" t="n">
        <f aca="false">EM$21*(0-Planner!$C$43)</f>
        <v>-0.2975</v>
      </c>
      <c r="EN83" s="24" t="n">
        <f aca="false">EN$21*(0-Planner!$C$43)</f>
        <v>-0</v>
      </c>
      <c r="EO83" s="24" t="n">
        <f aca="false">EO$21*(0-Planner!$C$43)</f>
        <v>-0</v>
      </c>
      <c r="EP83" s="24" t="n">
        <f aca="false">EP$21*(0-Planner!$C$43)</f>
        <v>-7.4025</v>
      </c>
      <c r="EQ83" s="24" t="n">
        <f aca="false">EQ$21*(0-Planner!$C$43)</f>
        <v>-0.686</v>
      </c>
      <c r="ER83" s="24" t="n">
        <f aca="false">ER$21*(0-Planner!$C$43)</f>
        <v>-1.785</v>
      </c>
      <c r="ES83" s="24" t="n">
        <f aca="false">ES$21*(0-Planner!$C$43)</f>
        <v>-1.9775</v>
      </c>
      <c r="ET83" s="24" t="n">
        <f aca="false">ET$21*(0-Planner!$C$43)</f>
        <v>-2.2365</v>
      </c>
      <c r="EU83" s="24" t="n">
        <f aca="false">EU$21*(0-Planner!$C$43)</f>
        <v>-1.225</v>
      </c>
    </row>
    <row r="84" customFormat="false" ht="15" hidden="false" customHeight="false" outlineLevel="0" collapsed="false">
      <c r="A84" s="4" t="s">
        <v>1024</v>
      </c>
      <c r="B84" s="75" t="s">
        <v>1017</v>
      </c>
      <c r="C84" s="78" t="n">
        <v>0</v>
      </c>
      <c r="D84" s="77" t="n">
        <v>-39.199999997333</v>
      </c>
      <c r="E84" s="75" t="str">
        <f aca="false">IF(D84&lt;=C84+0.000001*MAX(1,ABS(C84)),IF(ABS(D84-C84)&lt;=0.000001*MAX(1,ABS(C84)),"tight","ok"),"VIOLATED")</f>
        <v>ok</v>
      </c>
      <c r="F84" s="24" t="n">
        <f aca="false">F$21*(0-Planner!$C$43)</f>
        <v>-7.875</v>
      </c>
      <c r="G84" s="24" t="n">
        <f aca="false">G$21*(0-Planner!$C$43)</f>
        <v>-6.328</v>
      </c>
      <c r="H84" s="24" t="n">
        <f aca="false">H$21*(0-Planner!$C$43)</f>
        <v>-6.881</v>
      </c>
      <c r="I84" s="24" t="n">
        <f aca="false">I$21*(0-Planner!$C$43)</f>
        <v>-5.7155</v>
      </c>
      <c r="J84" s="24" t="n">
        <f aca="false">J$21*(0-Planner!$C$43)</f>
        <v>-6.5555</v>
      </c>
      <c r="K84" s="24" t="n">
        <f aca="false">K$21*(0-Planner!$C$43)</f>
        <v>-6.51</v>
      </c>
      <c r="L84" s="24" t="n">
        <f aca="false">L$21*(0-Planner!$C$43)</f>
        <v>-4.417</v>
      </c>
      <c r="M84" s="24" t="n">
        <f aca="false">M$21*(1-Planner!$C$43)</f>
        <v>14.1375</v>
      </c>
      <c r="N84" s="24" t="n">
        <f aca="false">N$21*(0-Planner!$C$43)</f>
        <v>-6.0095</v>
      </c>
      <c r="O84" s="24" t="n">
        <f aca="false">O$21*(0-Planner!$C$43)</f>
        <v>-7.2975</v>
      </c>
      <c r="P84" s="24" t="n">
        <f aca="false">P$21*(0-Planner!$C$43)</f>
        <v>-5.81</v>
      </c>
      <c r="Q84" s="24" t="n">
        <f aca="false">Q$21*(0-Planner!$C$43)</f>
        <v>-7.399</v>
      </c>
      <c r="R84" s="24" t="n">
        <f aca="false">R$21*(0-Planner!$C$43)</f>
        <v>-7.679</v>
      </c>
      <c r="S84" s="24" t="n">
        <f aca="false">S$21*(0-Planner!$C$43)</f>
        <v>-6.972</v>
      </c>
      <c r="T84" s="24" t="n">
        <f aca="false">T$21*(0-Planner!$C$43)</f>
        <v>-6.804</v>
      </c>
      <c r="U84" s="24" t="n">
        <f aca="false">U$21*(0-Planner!$C$43)</f>
        <v>-7.147</v>
      </c>
      <c r="V84" s="24" t="n">
        <f aca="false">V$21*(0-Planner!$C$43)</f>
        <v>-4.7635</v>
      </c>
      <c r="W84" s="24" t="n">
        <f aca="false">W$21*(0-Planner!$C$43)</f>
        <v>-7.028</v>
      </c>
      <c r="X84" s="24" t="n">
        <f aca="false">X$21*(0-Planner!$C$43)</f>
        <v>-4.396</v>
      </c>
      <c r="Y84" s="24" t="n">
        <f aca="false">Y$21*(0-Planner!$C$43)</f>
        <v>-2.1105</v>
      </c>
      <c r="Z84" s="24" t="n">
        <f aca="false">Z$21*(0-Planner!$C$43)</f>
        <v>-7.56</v>
      </c>
      <c r="AA84" s="24" t="n">
        <f aca="false">AA$21*(0-Planner!$C$43)</f>
        <v>-1.659</v>
      </c>
      <c r="AB84" s="24" t="n">
        <f aca="false">AB$21*(0-Planner!$C$43)</f>
        <v>-8.232</v>
      </c>
      <c r="AC84" s="24" t="n">
        <f aca="false">AC$21*(0-Planner!$C$43)</f>
        <v>-1.722</v>
      </c>
      <c r="AD84" s="24" t="n">
        <f aca="false">AD$21*(0-Planner!$C$43)</f>
        <v>-2.5795</v>
      </c>
      <c r="AE84" s="24" t="n">
        <f aca="false">AE$21*(0-Planner!$C$43)</f>
        <v>-7.651</v>
      </c>
      <c r="AF84" s="24" t="n">
        <f aca="false">AF$21*(0-Planner!$C$43)</f>
        <v>-1.827</v>
      </c>
      <c r="AG84" s="24" t="n">
        <f aca="false">AG$21*(0-Planner!$C$43)</f>
        <v>-8.253</v>
      </c>
      <c r="AH84" s="24" t="n">
        <f aca="false">AH$21*(0-Planner!$C$43)</f>
        <v>-8.6205</v>
      </c>
      <c r="AI84" s="24" t="n">
        <f aca="false">AI$21*(0-Planner!$C$43)</f>
        <v>-7.511</v>
      </c>
      <c r="AJ84" s="24" t="n">
        <f aca="false">AJ$21*(0-Planner!$C$43)</f>
        <v>-2.6355</v>
      </c>
      <c r="AK84" s="24" t="n">
        <f aca="false">AK$21*(0-Planner!$C$43)</f>
        <v>-7.8155</v>
      </c>
      <c r="AL84" s="24" t="n">
        <f aca="false">AL$21*(0-Planner!$C$43)</f>
        <v>-7.7735</v>
      </c>
      <c r="AM84" s="24" t="n">
        <f aca="false">AM$21*(0-Planner!$C$43)</f>
        <v>-1.61</v>
      </c>
      <c r="AN84" s="24" t="n">
        <f aca="false">AN$21*(0-Planner!$C$43)</f>
        <v>-7.497</v>
      </c>
      <c r="AO84" s="24" t="n">
        <f aca="false">AO$21*(0-Planner!$C$43)</f>
        <v>-3.535</v>
      </c>
      <c r="AP84" s="24" t="n">
        <f aca="false">AP$21*(0-Planner!$C$43)</f>
        <v>-1.155</v>
      </c>
      <c r="AQ84" s="24" t="n">
        <f aca="false">AQ$21*(0-Planner!$C$43)</f>
        <v>-3.5665</v>
      </c>
      <c r="AR84" s="24" t="n">
        <f aca="false">AR$21*(0-Planner!$C$43)</f>
        <v>-0.91</v>
      </c>
      <c r="AS84" s="24" t="n">
        <f aca="false">AS$21*(0-Planner!$C$43)</f>
        <v>-1.1025</v>
      </c>
      <c r="AT84" s="24" t="n">
        <f aca="false">AT$21*(0-Planner!$C$43)</f>
        <v>-6.3455</v>
      </c>
      <c r="AU84" s="24" t="n">
        <f aca="false">AU$21*(0-Planner!$C$43)</f>
        <v>-8.0045</v>
      </c>
      <c r="AV84" s="24" t="n">
        <f aca="false">AV$21*(0-Planner!$C$43)</f>
        <v>-3.6575</v>
      </c>
      <c r="AW84" s="24" t="n">
        <f aca="false">AW$21*(0-Planner!$C$43)</f>
        <v>-8.3125</v>
      </c>
      <c r="AX84" s="24" t="n">
        <f aca="false">AX$21*(0-Planner!$C$43)</f>
        <v>-3.696</v>
      </c>
      <c r="AY84" s="24" t="n">
        <f aca="false">AY$21*(0-Planner!$C$43)</f>
        <v>-2.639</v>
      </c>
      <c r="AZ84" s="24" t="n">
        <f aca="false">AZ$21*(0-Planner!$C$43)</f>
        <v>-4.2315</v>
      </c>
      <c r="BA84" s="24" t="n">
        <f aca="false">BA$21*(0-Planner!$C$43)</f>
        <v>-1.995</v>
      </c>
      <c r="BB84" s="24" t="n">
        <f aca="false">BB$21*(0-Planner!$C$43)</f>
        <v>-2.8035</v>
      </c>
      <c r="BC84" s="24" t="n">
        <f aca="false">BC$21*(0-Planner!$C$43)</f>
        <v>-4.942</v>
      </c>
      <c r="BD84" s="24" t="n">
        <f aca="false">BD$21*(0-Planner!$C$43)</f>
        <v>-4.6025</v>
      </c>
      <c r="BE84" s="24" t="n">
        <f aca="false">BE$21*(0-Planner!$C$43)</f>
        <v>-4.564</v>
      </c>
      <c r="BF84" s="24" t="n">
        <f aca="false">BF$21*(0-Planner!$C$43)</f>
        <v>-3.0975</v>
      </c>
      <c r="BG84" s="24" t="n">
        <f aca="false">BG$21*(0-Planner!$C$43)</f>
        <v>-2.4955</v>
      </c>
      <c r="BH84" s="24" t="n">
        <f aca="false">BH$21*(0-Planner!$C$43)</f>
        <v>-4.3575</v>
      </c>
      <c r="BI84" s="24" t="n">
        <f aca="false">BI$21*(0-Planner!$C$43)</f>
        <v>-4.8545</v>
      </c>
      <c r="BJ84" s="24" t="n">
        <f aca="false">BJ$21*(0-Planner!$C$43)</f>
        <v>-2.6565</v>
      </c>
      <c r="BK84" s="24" t="n">
        <f aca="false">BK$21*(0-Planner!$C$43)</f>
        <v>-0.6825</v>
      </c>
      <c r="BL84" s="24" t="n">
        <f aca="false">BL$21*(0-Planner!$C$43)</f>
        <v>-1.057</v>
      </c>
      <c r="BM84" s="24" t="n">
        <f aca="false">BM$21*(0-Planner!$C$43)</f>
        <v>-0.784</v>
      </c>
      <c r="BN84" s="24" t="n">
        <f aca="false">BN$21*(0-Planner!$C$43)</f>
        <v>-1.0535</v>
      </c>
      <c r="BO84" s="24" t="n">
        <f aca="false">BO$21*(0-Planner!$C$43)</f>
        <v>-1.827</v>
      </c>
      <c r="BP84" s="24" t="n">
        <f aca="false">BP$21*(0-Planner!$C$43)</f>
        <v>-0.7175</v>
      </c>
      <c r="BQ84" s="24" t="n">
        <f aca="false">BQ$21*(0-Planner!$C$43)</f>
        <v>-0.5495</v>
      </c>
      <c r="BR84" s="24" t="n">
        <f aca="false">BR$21*(0-Planner!$C$43)</f>
        <v>-0.091</v>
      </c>
      <c r="BS84" s="24" t="n">
        <f aca="false">BS$21*(0-Planner!$C$43)</f>
        <v>-0.0595</v>
      </c>
      <c r="BT84" s="24" t="n">
        <f aca="false">BT$21*(0-Planner!$C$43)</f>
        <v>-0.3815</v>
      </c>
      <c r="BU84" s="24" t="n">
        <f aca="false">BU$21*(0-Planner!$C$43)</f>
        <v>-0.4865</v>
      </c>
      <c r="BV84" s="24" t="n">
        <f aca="false">BV$21*(0-Planner!$C$43)</f>
        <v>-0.147</v>
      </c>
      <c r="BW84" s="24" t="n">
        <f aca="false">BW$21*(0-Planner!$C$43)</f>
        <v>-0.294</v>
      </c>
      <c r="BX84" s="24" t="n">
        <f aca="false">BX$21*(0-Planner!$C$43)</f>
        <v>-0.371</v>
      </c>
      <c r="BY84" s="24" t="n">
        <f aca="false">BY$21*(0-Planner!$C$43)</f>
        <v>-0.2975</v>
      </c>
      <c r="BZ84" s="24" t="n">
        <f aca="false">BZ$21*(0-Planner!$C$43)</f>
        <v>-0.8575</v>
      </c>
      <c r="CA84" s="24" t="n">
        <f aca="false">CA$21*(0-Planner!$C$43)</f>
        <v>-1.1865</v>
      </c>
      <c r="CB84" s="24" t="n">
        <f aca="false">CB$21*(0-Planner!$C$43)</f>
        <v>-0.0595</v>
      </c>
      <c r="CC84" s="24" t="n">
        <f aca="false">CC$21*(0-Planner!$C$43)</f>
        <v>-0.161</v>
      </c>
      <c r="CD84" s="24" t="n">
        <f aca="false">CD$21*(0-Planner!$C$43)</f>
        <v>-0.2205</v>
      </c>
      <c r="CE84" s="24" t="n">
        <f aca="false">CE$21*(0-Planner!$C$43)</f>
        <v>-0.252</v>
      </c>
      <c r="CF84" s="24" t="n">
        <f aca="false">CF$21*(0-Planner!$C$43)</f>
        <v>-0.189</v>
      </c>
      <c r="CG84" s="24" t="n">
        <f aca="false">CG$21*(0-Planner!$C$43)</f>
        <v>-0.399</v>
      </c>
      <c r="CH84" s="24" t="n">
        <f aca="false">CH$21*(0-Planner!$C$43)</f>
        <v>-0.287</v>
      </c>
      <c r="CI84" s="24" t="n">
        <f aca="false">CI$21*(0-Planner!$C$43)</f>
        <v>-0.371</v>
      </c>
      <c r="CJ84" s="24" t="n">
        <f aca="false">CJ$21*(0-Planner!$C$43)</f>
        <v>-0.238</v>
      </c>
      <c r="CK84" s="24" t="n">
        <f aca="false">CK$21*(0-Planner!$C$43)</f>
        <v>-0.3185</v>
      </c>
      <c r="CL84" s="24" t="n">
        <f aca="false">CL$21*(0-Planner!$C$43)</f>
        <v>-0.1645</v>
      </c>
      <c r="CM84" s="24" t="n">
        <f aca="false">CM$21*(0-Planner!$C$43)</f>
        <v>-0.3185</v>
      </c>
      <c r="CN84" s="24" t="n">
        <f aca="false">CN$21*(0-Planner!$C$43)</f>
        <v>-0.2205</v>
      </c>
      <c r="CO84" s="24" t="n">
        <f aca="false">CO$21*(0-Planner!$C$43)</f>
        <v>-0.126</v>
      </c>
      <c r="CP84" s="24" t="n">
        <f aca="false">CP$21*(0-Planner!$C$43)</f>
        <v>-0.119</v>
      </c>
      <c r="CQ84" s="24" t="n">
        <f aca="false">CQ$21*(0-Planner!$C$43)</f>
        <v>-0.189</v>
      </c>
      <c r="CR84" s="24" t="n">
        <f aca="false">CR$21*(0-Planner!$C$43)</f>
        <v>-0.147</v>
      </c>
      <c r="CS84" s="24" t="n">
        <f aca="false">CS$21*(0-Planner!$C$43)</f>
        <v>-0.245</v>
      </c>
      <c r="CT84" s="24" t="n">
        <f aca="false">CT$21*(0-Planner!$C$43)</f>
        <v>-0.763</v>
      </c>
      <c r="CU84" s="24" t="n">
        <f aca="false">CU$21*(0-Planner!$C$43)</f>
        <v>-1.0745</v>
      </c>
      <c r="CV84" s="24" t="n">
        <f aca="false">CV$21*(0-Planner!$C$43)</f>
        <v>-0.42</v>
      </c>
      <c r="CW84" s="24" t="n">
        <f aca="false">CW$21*(0-Planner!$C$43)</f>
        <v>-0.2345</v>
      </c>
      <c r="CX84" s="24" t="n">
        <f aca="false">CX$21*(0-Planner!$C$43)</f>
        <v>-0.1505</v>
      </c>
      <c r="CY84" s="24" t="n">
        <f aca="false">CY$21*(0-Planner!$C$43)</f>
        <v>-0.2135</v>
      </c>
      <c r="CZ84" s="24" t="n">
        <f aca="false">CZ$21*(0-Planner!$C$43)</f>
        <v>-0.28</v>
      </c>
      <c r="DA84" s="24" t="n">
        <f aca="false">DA$21*(0-Planner!$C$43)</f>
        <v>-0.77</v>
      </c>
      <c r="DB84" s="24" t="n">
        <f aca="false">DB$21*(0-Planner!$C$43)</f>
        <v>-0.224</v>
      </c>
      <c r="DC84" s="24" t="n">
        <f aca="false">DC$21*(0-Planner!$C$43)</f>
        <v>-0.2555</v>
      </c>
      <c r="DD84" s="24" t="n">
        <f aca="false">DD$21*(0-Planner!$C$43)</f>
        <v>-1.071</v>
      </c>
      <c r="DE84" s="24" t="n">
        <f aca="false">DE$21*(0-Planner!$C$43)</f>
        <v>-1.323</v>
      </c>
      <c r="DF84" s="24" t="n">
        <f aca="false">DF$21*(0-Planner!$C$43)</f>
        <v>-0.35</v>
      </c>
      <c r="DG84" s="24" t="n">
        <f aca="false">DG$21*(0-Planner!$C$43)</f>
        <v>-0.448</v>
      </c>
      <c r="DH84" s="24" t="n">
        <f aca="false">DH$21*(0-Planner!$C$43)</f>
        <v>-0.5005</v>
      </c>
      <c r="DI84" s="24" t="n">
        <f aca="false">DI$21*(0-Planner!$C$43)</f>
        <v>-0.3255</v>
      </c>
      <c r="DJ84" s="24" t="n">
        <f aca="false">DJ$21*(0-Planner!$C$43)</f>
        <v>-0.203</v>
      </c>
      <c r="DK84" s="24" t="n">
        <f aca="false">DK$21*(0-Planner!$C$43)</f>
        <v>-0.273</v>
      </c>
      <c r="DL84" s="24" t="n">
        <f aca="false">DL$21*(0-Planner!$C$43)</f>
        <v>-0.7035</v>
      </c>
      <c r="DM84" s="24" t="n">
        <f aca="false">DM$21*(0-Planner!$C$43)</f>
        <v>-0.2415</v>
      </c>
      <c r="DN84" s="24" t="n">
        <f aca="false">DN$21*(0-Planner!$C$43)</f>
        <v>-1.057</v>
      </c>
      <c r="DO84" s="24" t="n">
        <f aca="false">DO$21*(0-Planner!$C$43)</f>
        <v>-0.9415</v>
      </c>
      <c r="DP84" s="24" t="n">
        <f aca="false">DP$21*(0-Planner!$C$43)</f>
        <v>-0.2275</v>
      </c>
      <c r="DQ84" s="24" t="n">
        <f aca="false">DQ$21*(0-Planner!$C$43)</f>
        <v>-0.252</v>
      </c>
      <c r="DR84" s="24" t="n">
        <f aca="false">DR$21*(0-Planner!$C$43)</f>
        <v>-0.6265</v>
      </c>
      <c r="DS84" s="24" t="n">
        <f aca="false">DS$21*(0-Planner!$C$43)</f>
        <v>-0.301</v>
      </c>
      <c r="DT84" s="24" t="n">
        <f aca="false">DT$21*(0-Planner!$C$43)</f>
        <v>-0.315</v>
      </c>
      <c r="DU84" s="24" t="n">
        <f aca="false">DU$21*(0-Planner!$C$43)</f>
        <v>-0.931</v>
      </c>
      <c r="DV84" s="24" t="n">
        <f aca="false">DV$21*(0-Planner!$C$43)</f>
        <v>-1.1655</v>
      </c>
      <c r="DW84" s="24" t="n">
        <f aca="false">DW$21*(0-Planner!$C$43)</f>
        <v>-1.0815</v>
      </c>
      <c r="DX84" s="24" t="n">
        <f aca="false">DX$21*(0-Planner!$C$43)</f>
        <v>-0.8715</v>
      </c>
      <c r="DY84" s="24" t="n">
        <f aca="false">DY$21*(0-Planner!$C$43)</f>
        <v>-0.5915</v>
      </c>
      <c r="DZ84" s="24" t="n">
        <f aca="false">DZ$21*(0-Planner!$C$43)</f>
        <v>-0.385</v>
      </c>
      <c r="EA84" s="24" t="n">
        <f aca="false">EA$21*(0-Planner!$C$43)</f>
        <v>-0.385</v>
      </c>
      <c r="EB84" s="24" t="n">
        <f aca="false">EB$21*(0-Planner!$C$43)</f>
        <v>-0.238</v>
      </c>
      <c r="EC84" s="24" t="n">
        <f aca="false">EC$21*(0-Planner!$C$43)</f>
        <v>-0.3465</v>
      </c>
      <c r="ED84" s="24" t="n">
        <f aca="false">ED$21*(0-Planner!$C$43)</f>
        <v>-0.4305</v>
      </c>
      <c r="EE84" s="24" t="n">
        <f aca="false">EE$21*(0-Planner!$C$43)</f>
        <v>-0.3185</v>
      </c>
      <c r="EF84" s="24" t="n">
        <f aca="false">EF$21*(0-Planner!$C$43)</f>
        <v>-0.7385</v>
      </c>
      <c r="EG84" s="24" t="n">
        <f aca="false">EG$21*(0-Planner!$C$43)</f>
        <v>-1.001</v>
      </c>
      <c r="EH84" s="24" t="n">
        <f aca="false">EH$21*(0-Planner!$C$43)</f>
        <v>-1.2705</v>
      </c>
      <c r="EI84" s="24" t="n">
        <f aca="false">EI$21*(0-Planner!$C$43)</f>
        <v>-0.2765</v>
      </c>
      <c r="EJ84" s="24" t="n">
        <f aca="false">EJ$21*(0-Planner!$C$43)</f>
        <v>-0.308</v>
      </c>
      <c r="EK84" s="24" t="n">
        <f aca="false">EK$21*(0-Planner!$C$43)</f>
        <v>-0.8645</v>
      </c>
      <c r="EL84" s="24" t="n">
        <f aca="false">EL$21*(0-Planner!$C$43)</f>
        <v>-0.4235</v>
      </c>
      <c r="EM84" s="24" t="n">
        <f aca="false">EM$21*(0-Planner!$C$43)</f>
        <v>-0.2975</v>
      </c>
      <c r="EN84" s="24" t="n">
        <f aca="false">EN$21*(0-Planner!$C$43)</f>
        <v>-0</v>
      </c>
      <c r="EO84" s="24" t="n">
        <f aca="false">EO$21*(0-Planner!$C$43)</f>
        <v>-0</v>
      </c>
      <c r="EP84" s="24" t="n">
        <f aca="false">EP$21*(0-Planner!$C$43)</f>
        <v>-7.4025</v>
      </c>
      <c r="EQ84" s="24" t="n">
        <f aca="false">EQ$21*(0-Planner!$C$43)</f>
        <v>-0.686</v>
      </c>
      <c r="ER84" s="24" t="n">
        <f aca="false">ER$21*(0-Planner!$C$43)</f>
        <v>-1.785</v>
      </c>
      <c r="ES84" s="24" t="n">
        <f aca="false">ES$21*(0-Planner!$C$43)</f>
        <v>-1.9775</v>
      </c>
      <c r="ET84" s="24" t="n">
        <f aca="false">ET$21*(0-Planner!$C$43)</f>
        <v>-2.2365</v>
      </c>
      <c r="EU84" s="24" t="n">
        <f aca="false">EU$21*(0-Planner!$C$43)</f>
        <v>-1.225</v>
      </c>
    </row>
    <row r="85" customFormat="false" ht="15" hidden="false" customHeight="false" outlineLevel="0" collapsed="false">
      <c r="A85" s="4" t="s">
        <v>1025</v>
      </c>
      <c r="B85" s="75" t="s">
        <v>1017</v>
      </c>
      <c r="C85" s="78" t="n">
        <v>0</v>
      </c>
      <c r="D85" s="77" t="n">
        <v>-39.199999997333</v>
      </c>
      <c r="E85" s="75" t="str">
        <f aca="false">IF(D85&lt;=C85+0.000001*MAX(1,ABS(C85)),IF(ABS(D85-C85)&lt;=0.000001*MAX(1,ABS(C85)),"tight","ok"),"VIOLATED")</f>
        <v>ok</v>
      </c>
      <c r="F85" s="24" t="n">
        <f aca="false">F$21*(0-Planner!$C$43)</f>
        <v>-7.875</v>
      </c>
      <c r="G85" s="24" t="n">
        <f aca="false">G$21*(0-Planner!$C$43)</f>
        <v>-6.328</v>
      </c>
      <c r="H85" s="24" t="n">
        <f aca="false">H$21*(0-Planner!$C$43)</f>
        <v>-6.881</v>
      </c>
      <c r="I85" s="24" t="n">
        <f aca="false">I$21*(0-Planner!$C$43)</f>
        <v>-5.7155</v>
      </c>
      <c r="J85" s="24" t="n">
        <f aca="false">J$21*(0-Planner!$C$43)</f>
        <v>-6.5555</v>
      </c>
      <c r="K85" s="24" t="n">
        <f aca="false">K$21*(0-Planner!$C$43)</f>
        <v>-6.51</v>
      </c>
      <c r="L85" s="24" t="n">
        <f aca="false">L$21*(0-Planner!$C$43)</f>
        <v>-4.417</v>
      </c>
      <c r="M85" s="24" t="n">
        <f aca="false">M$21*(0-Planner!$C$43)</f>
        <v>-7.6125</v>
      </c>
      <c r="N85" s="24" t="n">
        <f aca="false">N$21*(1-Planner!$C$43)</f>
        <v>11.1605</v>
      </c>
      <c r="O85" s="24" t="n">
        <f aca="false">O$21*(0-Planner!$C$43)</f>
        <v>-7.2975</v>
      </c>
      <c r="P85" s="24" t="n">
        <f aca="false">P$21*(0-Planner!$C$43)</f>
        <v>-5.81</v>
      </c>
      <c r="Q85" s="24" t="n">
        <f aca="false">Q$21*(0-Planner!$C$43)</f>
        <v>-7.399</v>
      </c>
      <c r="R85" s="24" t="n">
        <f aca="false">R$21*(0-Planner!$C$43)</f>
        <v>-7.679</v>
      </c>
      <c r="S85" s="24" t="n">
        <f aca="false">S$21*(0-Planner!$C$43)</f>
        <v>-6.972</v>
      </c>
      <c r="T85" s="24" t="n">
        <f aca="false">T$21*(0-Planner!$C$43)</f>
        <v>-6.804</v>
      </c>
      <c r="U85" s="24" t="n">
        <f aca="false">U$21*(0-Planner!$C$43)</f>
        <v>-7.147</v>
      </c>
      <c r="V85" s="24" t="n">
        <f aca="false">V$21*(0-Planner!$C$43)</f>
        <v>-4.7635</v>
      </c>
      <c r="W85" s="24" t="n">
        <f aca="false">W$21*(0-Planner!$C$43)</f>
        <v>-7.028</v>
      </c>
      <c r="X85" s="24" t="n">
        <f aca="false">X$21*(0-Planner!$C$43)</f>
        <v>-4.396</v>
      </c>
      <c r="Y85" s="24" t="n">
        <f aca="false">Y$21*(0-Planner!$C$43)</f>
        <v>-2.1105</v>
      </c>
      <c r="Z85" s="24" t="n">
        <f aca="false">Z$21*(0-Planner!$C$43)</f>
        <v>-7.56</v>
      </c>
      <c r="AA85" s="24" t="n">
        <f aca="false">AA$21*(0-Planner!$C$43)</f>
        <v>-1.659</v>
      </c>
      <c r="AB85" s="24" t="n">
        <f aca="false">AB$21*(0-Planner!$C$43)</f>
        <v>-8.232</v>
      </c>
      <c r="AC85" s="24" t="n">
        <f aca="false">AC$21*(0-Planner!$C$43)</f>
        <v>-1.722</v>
      </c>
      <c r="AD85" s="24" t="n">
        <f aca="false">AD$21*(0-Planner!$C$43)</f>
        <v>-2.5795</v>
      </c>
      <c r="AE85" s="24" t="n">
        <f aca="false">AE$21*(0-Planner!$C$43)</f>
        <v>-7.651</v>
      </c>
      <c r="AF85" s="24" t="n">
        <f aca="false">AF$21*(0-Planner!$C$43)</f>
        <v>-1.827</v>
      </c>
      <c r="AG85" s="24" t="n">
        <f aca="false">AG$21*(0-Planner!$C$43)</f>
        <v>-8.253</v>
      </c>
      <c r="AH85" s="24" t="n">
        <f aca="false">AH$21*(0-Planner!$C$43)</f>
        <v>-8.6205</v>
      </c>
      <c r="AI85" s="24" t="n">
        <f aca="false">AI$21*(0-Planner!$C$43)</f>
        <v>-7.511</v>
      </c>
      <c r="AJ85" s="24" t="n">
        <f aca="false">AJ$21*(0-Planner!$C$43)</f>
        <v>-2.6355</v>
      </c>
      <c r="AK85" s="24" t="n">
        <f aca="false">AK$21*(0-Planner!$C$43)</f>
        <v>-7.8155</v>
      </c>
      <c r="AL85" s="24" t="n">
        <f aca="false">AL$21*(0-Planner!$C$43)</f>
        <v>-7.7735</v>
      </c>
      <c r="AM85" s="24" t="n">
        <f aca="false">AM$21*(0-Planner!$C$43)</f>
        <v>-1.61</v>
      </c>
      <c r="AN85" s="24" t="n">
        <f aca="false">AN$21*(0-Planner!$C$43)</f>
        <v>-7.497</v>
      </c>
      <c r="AO85" s="24" t="n">
        <f aca="false">AO$21*(0-Planner!$C$43)</f>
        <v>-3.535</v>
      </c>
      <c r="AP85" s="24" t="n">
        <f aca="false">AP$21*(0-Planner!$C$43)</f>
        <v>-1.155</v>
      </c>
      <c r="AQ85" s="24" t="n">
        <f aca="false">AQ$21*(0-Planner!$C$43)</f>
        <v>-3.5665</v>
      </c>
      <c r="AR85" s="24" t="n">
        <f aca="false">AR$21*(0-Planner!$C$43)</f>
        <v>-0.91</v>
      </c>
      <c r="AS85" s="24" t="n">
        <f aca="false">AS$21*(0-Planner!$C$43)</f>
        <v>-1.1025</v>
      </c>
      <c r="AT85" s="24" t="n">
        <f aca="false">AT$21*(0-Planner!$C$43)</f>
        <v>-6.3455</v>
      </c>
      <c r="AU85" s="24" t="n">
        <f aca="false">AU$21*(0-Planner!$C$43)</f>
        <v>-8.0045</v>
      </c>
      <c r="AV85" s="24" t="n">
        <f aca="false">AV$21*(0-Planner!$C$43)</f>
        <v>-3.6575</v>
      </c>
      <c r="AW85" s="24" t="n">
        <f aca="false">AW$21*(0-Planner!$C$43)</f>
        <v>-8.3125</v>
      </c>
      <c r="AX85" s="24" t="n">
        <f aca="false">AX$21*(0-Planner!$C$43)</f>
        <v>-3.696</v>
      </c>
      <c r="AY85" s="24" t="n">
        <f aca="false">AY$21*(0-Planner!$C$43)</f>
        <v>-2.639</v>
      </c>
      <c r="AZ85" s="24" t="n">
        <f aca="false">AZ$21*(0-Planner!$C$43)</f>
        <v>-4.2315</v>
      </c>
      <c r="BA85" s="24" t="n">
        <f aca="false">BA$21*(0-Planner!$C$43)</f>
        <v>-1.995</v>
      </c>
      <c r="BB85" s="24" t="n">
        <f aca="false">BB$21*(0-Planner!$C$43)</f>
        <v>-2.8035</v>
      </c>
      <c r="BC85" s="24" t="n">
        <f aca="false">BC$21*(0-Planner!$C$43)</f>
        <v>-4.942</v>
      </c>
      <c r="BD85" s="24" t="n">
        <f aca="false">BD$21*(0-Planner!$C$43)</f>
        <v>-4.6025</v>
      </c>
      <c r="BE85" s="24" t="n">
        <f aca="false">BE$21*(0-Planner!$C$43)</f>
        <v>-4.564</v>
      </c>
      <c r="BF85" s="24" t="n">
        <f aca="false">BF$21*(0-Planner!$C$43)</f>
        <v>-3.0975</v>
      </c>
      <c r="BG85" s="24" t="n">
        <f aca="false">BG$21*(0-Planner!$C$43)</f>
        <v>-2.4955</v>
      </c>
      <c r="BH85" s="24" t="n">
        <f aca="false">BH$21*(0-Planner!$C$43)</f>
        <v>-4.3575</v>
      </c>
      <c r="BI85" s="24" t="n">
        <f aca="false">BI$21*(0-Planner!$C$43)</f>
        <v>-4.8545</v>
      </c>
      <c r="BJ85" s="24" t="n">
        <f aca="false">BJ$21*(0-Planner!$C$43)</f>
        <v>-2.6565</v>
      </c>
      <c r="BK85" s="24" t="n">
        <f aca="false">BK$21*(0-Planner!$C$43)</f>
        <v>-0.6825</v>
      </c>
      <c r="BL85" s="24" t="n">
        <f aca="false">BL$21*(0-Planner!$C$43)</f>
        <v>-1.057</v>
      </c>
      <c r="BM85" s="24" t="n">
        <f aca="false">BM$21*(0-Planner!$C$43)</f>
        <v>-0.784</v>
      </c>
      <c r="BN85" s="24" t="n">
        <f aca="false">BN$21*(0-Planner!$C$43)</f>
        <v>-1.0535</v>
      </c>
      <c r="BO85" s="24" t="n">
        <f aca="false">BO$21*(0-Planner!$C$43)</f>
        <v>-1.827</v>
      </c>
      <c r="BP85" s="24" t="n">
        <f aca="false">BP$21*(0-Planner!$C$43)</f>
        <v>-0.7175</v>
      </c>
      <c r="BQ85" s="24" t="n">
        <f aca="false">BQ$21*(0-Planner!$C$43)</f>
        <v>-0.5495</v>
      </c>
      <c r="BR85" s="24" t="n">
        <f aca="false">BR$21*(0-Planner!$C$43)</f>
        <v>-0.091</v>
      </c>
      <c r="BS85" s="24" t="n">
        <f aca="false">BS$21*(0-Planner!$C$43)</f>
        <v>-0.0595</v>
      </c>
      <c r="BT85" s="24" t="n">
        <f aca="false">BT$21*(0-Planner!$C$43)</f>
        <v>-0.3815</v>
      </c>
      <c r="BU85" s="24" t="n">
        <f aca="false">BU$21*(0-Planner!$C$43)</f>
        <v>-0.4865</v>
      </c>
      <c r="BV85" s="24" t="n">
        <f aca="false">BV$21*(0-Planner!$C$43)</f>
        <v>-0.147</v>
      </c>
      <c r="BW85" s="24" t="n">
        <f aca="false">BW$21*(0-Planner!$C$43)</f>
        <v>-0.294</v>
      </c>
      <c r="BX85" s="24" t="n">
        <f aca="false">BX$21*(0-Planner!$C$43)</f>
        <v>-0.371</v>
      </c>
      <c r="BY85" s="24" t="n">
        <f aca="false">BY$21*(0-Planner!$C$43)</f>
        <v>-0.2975</v>
      </c>
      <c r="BZ85" s="24" t="n">
        <f aca="false">BZ$21*(0-Planner!$C$43)</f>
        <v>-0.8575</v>
      </c>
      <c r="CA85" s="24" t="n">
        <f aca="false">CA$21*(0-Planner!$C$43)</f>
        <v>-1.1865</v>
      </c>
      <c r="CB85" s="24" t="n">
        <f aca="false">CB$21*(0-Planner!$C$43)</f>
        <v>-0.0595</v>
      </c>
      <c r="CC85" s="24" t="n">
        <f aca="false">CC$21*(0-Planner!$C$43)</f>
        <v>-0.161</v>
      </c>
      <c r="CD85" s="24" t="n">
        <f aca="false">CD$21*(0-Planner!$C$43)</f>
        <v>-0.2205</v>
      </c>
      <c r="CE85" s="24" t="n">
        <f aca="false">CE$21*(0-Planner!$C$43)</f>
        <v>-0.252</v>
      </c>
      <c r="CF85" s="24" t="n">
        <f aca="false">CF$21*(0-Planner!$C$43)</f>
        <v>-0.189</v>
      </c>
      <c r="CG85" s="24" t="n">
        <f aca="false">CG$21*(0-Planner!$C$43)</f>
        <v>-0.399</v>
      </c>
      <c r="CH85" s="24" t="n">
        <f aca="false">CH$21*(0-Planner!$C$43)</f>
        <v>-0.287</v>
      </c>
      <c r="CI85" s="24" t="n">
        <f aca="false">CI$21*(0-Planner!$C$43)</f>
        <v>-0.371</v>
      </c>
      <c r="CJ85" s="24" t="n">
        <f aca="false">CJ$21*(0-Planner!$C$43)</f>
        <v>-0.238</v>
      </c>
      <c r="CK85" s="24" t="n">
        <f aca="false">CK$21*(0-Planner!$C$43)</f>
        <v>-0.3185</v>
      </c>
      <c r="CL85" s="24" t="n">
        <f aca="false">CL$21*(0-Planner!$C$43)</f>
        <v>-0.1645</v>
      </c>
      <c r="CM85" s="24" t="n">
        <f aca="false">CM$21*(0-Planner!$C$43)</f>
        <v>-0.3185</v>
      </c>
      <c r="CN85" s="24" t="n">
        <f aca="false">CN$21*(0-Planner!$C$43)</f>
        <v>-0.2205</v>
      </c>
      <c r="CO85" s="24" t="n">
        <f aca="false">CO$21*(0-Planner!$C$43)</f>
        <v>-0.126</v>
      </c>
      <c r="CP85" s="24" t="n">
        <f aca="false">CP$21*(0-Planner!$C$43)</f>
        <v>-0.119</v>
      </c>
      <c r="CQ85" s="24" t="n">
        <f aca="false">CQ$21*(0-Planner!$C$43)</f>
        <v>-0.189</v>
      </c>
      <c r="CR85" s="24" t="n">
        <f aca="false">CR$21*(0-Planner!$C$43)</f>
        <v>-0.147</v>
      </c>
      <c r="CS85" s="24" t="n">
        <f aca="false">CS$21*(0-Planner!$C$43)</f>
        <v>-0.245</v>
      </c>
      <c r="CT85" s="24" t="n">
        <f aca="false">CT$21*(0-Planner!$C$43)</f>
        <v>-0.763</v>
      </c>
      <c r="CU85" s="24" t="n">
        <f aca="false">CU$21*(0-Planner!$C$43)</f>
        <v>-1.0745</v>
      </c>
      <c r="CV85" s="24" t="n">
        <f aca="false">CV$21*(0-Planner!$C$43)</f>
        <v>-0.42</v>
      </c>
      <c r="CW85" s="24" t="n">
        <f aca="false">CW$21*(0-Planner!$C$43)</f>
        <v>-0.2345</v>
      </c>
      <c r="CX85" s="24" t="n">
        <f aca="false">CX$21*(0-Planner!$C$43)</f>
        <v>-0.1505</v>
      </c>
      <c r="CY85" s="24" t="n">
        <f aca="false">CY$21*(0-Planner!$C$43)</f>
        <v>-0.2135</v>
      </c>
      <c r="CZ85" s="24" t="n">
        <f aca="false">CZ$21*(0-Planner!$C$43)</f>
        <v>-0.28</v>
      </c>
      <c r="DA85" s="24" t="n">
        <f aca="false">DA$21*(0-Planner!$C$43)</f>
        <v>-0.77</v>
      </c>
      <c r="DB85" s="24" t="n">
        <f aca="false">DB$21*(0-Planner!$C$43)</f>
        <v>-0.224</v>
      </c>
      <c r="DC85" s="24" t="n">
        <f aca="false">DC$21*(0-Planner!$C$43)</f>
        <v>-0.2555</v>
      </c>
      <c r="DD85" s="24" t="n">
        <f aca="false">DD$21*(0-Planner!$C$43)</f>
        <v>-1.071</v>
      </c>
      <c r="DE85" s="24" t="n">
        <f aca="false">DE$21*(0-Planner!$C$43)</f>
        <v>-1.323</v>
      </c>
      <c r="DF85" s="24" t="n">
        <f aca="false">DF$21*(0-Planner!$C$43)</f>
        <v>-0.35</v>
      </c>
      <c r="DG85" s="24" t="n">
        <f aca="false">DG$21*(0-Planner!$C$43)</f>
        <v>-0.448</v>
      </c>
      <c r="DH85" s="24" t="n">
        <f aca="false">DH$21*(0-Planner!$C$43)</f>
        <v>-0.5005</v>
      </c>
      <c r="DI85" s="24" t="n">
        <f aca="false">DI$21*(0-Planner!$C$43)</f>
        <v>-0.3255</v>
      </c>
      <c r="DJ85" s="24" t="n">
        <f aca="false">DJ$21*(0-Planner!$C$43)</f>
        <v>-0.203</v>
      </c>
      <c r="DK85" s="24" t="n">
        <f aca="false">DK$21*(0-Planner!$C$43)</f>
        <v>-0.273</v>
      </c>
      <c r="DL85" s="24" t="n">
        <f aca="false">DL$21*(0-Planner!$C$43)</f>
        <v>-0.7035</v>
      </c>
      <c r="DM85" s="24" t="n">
        <f aca="false">DM$21*(0-Planner!$C$43)</f>
        <v>-0.2415</v>
      </c>
      <c r="DN85" s="24" t="n">
        <f aca="false">DN$21*(0-Planner!$C$43)</f>
        <v>-1.057</v>
      </c>
      <c r="DO85" s="24" t="n">
        <f aca="false">DO$21*(0-Planner!$C$43)</f>
        <v>-0.9415</v>
      </c>
      <c r="DP85" s="24" t="n">
        <f aca="false">DP$21*(0-Planner!$C$43)</f>
        <v>-0.2275</v>
      </c>
      <c r="DQ85" s="24" t="n">
        <f aca="false">DQ$21*(0-Planner!$C$43)</f>
        <v>-0.252</v>
      </c>
      <c r="DR85" s="24" t="n">
        <f aca="false">DR$21*(0-Planner!$C$43)</f>
        <v>-0.6265</v>
      </c>
      <c r="DS85" s="24" t="n">
        <f aca="false">DS$21*(0-Planner!$C$43)</f>
        <v>-0.301</v>
      </c>
      <c r="DT85" s="24" t="n">
        <f aca="false">DT$21*(0-Planner!$C$43)</f>
        <v>-0.315</v>
      </c>
      <c r="DU85" s="24" t="n">
        <f aca="false">DU$21*(0-Planner!$C$43)</f>
        <v>-0.931</v>
      </c>
      <c r="DV85" s="24" t="n">
        <f aca="false">DV$21*(0-Planner!$C$43)</f>
        <v>-1.1655</v>
      </c>
      <c r="DW85" s="24" t="n">
        <f aca="false">DW$21*(0-Planner!$C$43)</f>
        <v>-1.0815</v>
      </c>
      <c r="DX85" s="24" t="n">
        <f aca="false">DX$21*(0-Planner!$C$43)</f>
        <v>-0.8715</v>
      </c>
      <c r="DY85" s="24" t="n">
        <f aca="false">DY$21*(0-Planner!$C$43)</f>
        <v>-0.5915</v>
      </c>
      <c r="DZ85" s="24" t="n">
        <f aca="false">DZ$21*(0-Planner!$C$43)</f>
        <v>-0.385</v>
      </c>
      <c r="EA85" s="24" t="n">
        <f aca="false">EA$21*(0-Planner!$C$43)</f>
        <v>-0.385</v>
      </c>
      <c r="EB85" s="24" t="n">
        <f aca="false">EB$21*(0-Planner!$C$43)</f>
        <v>-0.238</v>
      </c>
      <c r="EC85" s="24" t="n">
        <f aca="false">EC$21*(0-Planner!$C$43)</f>
        <v>-0.3465</v>
      </c>
      <c r="ED85" s="24" t="n">
        <f aca="false">ED$21*(0-Planner!$C$43)</f>
        <v>-0.4305</v>
      </c>
      <c r="EE85" s="24" t="n">
        <f aca="false">EE$21*(0-Planner!$C$43)</f>
        <v>-0.3185</v>
      </c>
      <c r="EF85" s="24" t="n">
        <f aca="false">EF$21*(0-Planner!$C$43)</f>
        <v>-0.7385</v>
      </c>
      <c r="EG85" s="24" t="n">
        <f aca="false">EG$21*(0-Planner!$C$43)</f>
        <v>-1.001</v>
      </c>
      <c r="EH85" s="24" t="n">
        <f aca="false">EH$21*(0-Planner!$C$43)</f>
        <v>-1.2705</v>
      </c>
      <c r="EI85" s="24" t="n">
        <f aca="false">EI$21*(0-Planner!$C$43)</f>
        <v>-0.2765</v>
      </c>
      <c r="EJ85" s="24" t="n">
        <f aca="false">EJ$21*(0-Planner!$C$43)</f>
        <v>-0.308</v>
      </c>
      <c r="EK85" s="24" t="n">
        <f aca="false">EK$21*(0-Planner!$C$43)</f>
        <v>-0.8645</v>
      </c>
      <c r="EL85" s="24" t="n">
        <f aca="false">EL$21*(0-Planner!$C$43)</f>
        <v>-0.4235</v>
      </c>
      <c r="EM85" s="24" t="n">
        <f aca="false">EM$21*(0-Planner!$C$43)</f>
        <v>-0.2975</v>
      </c>
      <c r="EN85" s="24" t="n">
        <f aca="false">EN$21*(0-Planner!$C$43)</f>
        <v>-0</v>
      </c>
      <c r="EO85" s="24" t="n">
        <f aca="false">EO$21*(0-Planner!$C$43)</f>
        <v>-0</v>
      </c>
      <c r="EP85" s="24" t="n">
        <f aca="false">EP$21*(0-Planner!$C$43)</f>
        <v>-7.4025</v>
      </c>
      <c r="EQ85" s="24" t="n">
        <f aca="false">EQ$21*(0-Planner!$C$43)</f>
        <v>-0.686</v>
      </c>
      <c r="ER85" s="24" t="n">
        <f aca="false">ER$21*(0-Planner!$C$43)</f>
        <v>-1.785</v>
      </c>
      <c r="ES85" s="24" t="n">
        <f aca="false">ES$21*(0-Planner!$C$43)</f>
        <v>-1.9775</v>
      </c>
      <c r="ET85" s="24" t="n">
        <f aca="false">ET$21*(0-Planner!$C$43)</f>
        <v>-2.2365</v>
      </c>
      <c r="EU85" s="24" t="n">
        <f aca="false">EU$21*(0-Planner!$C$43)</f>
        <v>-1.225</v>
      </c>
    </row>
    <row r="86" customFormat="false" ht="15" hidden="false" customHeight="false" outlineLevel="0" collapsed="false">
      <c r="A86" s="4" t="s">
        <v>1026</v>
      </c>
      <c r="B86" s="75" t="s">
        <v>1017</v>
      </c>
      <c r="C86" s="78" t="n">
        <v>0</v>
      </c>
      <c r="D86" s="77" t="n">
        <v>-39.199999997333</v>
      </c>
      <c r="E86" s="75" t="str">
        <f aca="false">IF(D86&lt;=C86+0.000001*MAX(1,ABS(C86)),IF(ABS(D86-C86)&lt;=0.000001*MAX(1,ABS(C86)),"tight","ok"),"VIOLATED")</f>
        <v>ok</v>
      </c>
      <c r="F86" s="24" t="n">
        <f aca="false">F$21*(0-Planner!$C$43)</f>
        <v>-7.875</v>
      </c>
      <c r="G86" s="24" t="n">
        <f aca="false">G$21*(0-Planner!$C$43)</f>
        <v>-6.328</v>
      </c>
      <c r="H86" s="24" t="n">
        <f aca="false">H$21*(0-Planner!$C$43)</f>
        <v>-6.881</v>
      </c>
      <c r="I86" s="24" t="n">
        <f aca="false">I$21*(0-Planner!$C$43)</f>
        <v>-5.7155</v>
      </c>
      <c r="J86" s="24" t="n">
        <f aca="false">J$21*(0-Planner!$C$43)</f>
        <v>-6.5555</v>
      </c>
      <c r="K86" s="24" t="n">
        <f aca="false">K$21*(0-Planner!$C$43)</f>
        <v>-6.51</v>
      </c>
      <c r="L86" s="24" t="n">
        <f aca="false">L$21*(0-Planner!$C$43)</f>
        <v>-4.417</v>
      </c>
      <c r="M86" s="24" t="n">
        <f aca="false">M$21*(0-Planner!$C$43)</f>
        <v>-7.6125</v>
      </c>
      <c r="N86" s="24" t="n">
        <f aca="false">N$21*(0-Planner!$C$43)</f>
        <v>-6.0095</v>
      </c>
      <c r="O86" s="24" t="n">
        <f aca="false">O$21*(1-Planner!$C$43)</f>
        <v>13.5525</v>
      </c>
      <c r="P86" s="24" t="n">
        <f aca="false">P$21*(0-Planner!$C$43)</f>
        <v>-5.81</v>
      </c>
      <c r="Q86" s="24" t="n">
        <f aca="false">Q$21*(0-Planner!$C$43)</f>
        <v>-7.399</v>
      </c>
      <c r="R86" s="24" t="n">
        <f aca="false">R$21*(0-Planner!$C$43)</f>
        <v>-7.679</v>
      </c>
      <c r="S86" s="24" t="n">
        <f aca="false">S$21*(0-Planner!$C$43)</f>
        <v>-6.972</v>
      </c>
      <c r="T86" s="24" t="n">
        <f aca="false">T$21*(0-Planner!$C$43)</f>
        <v>-6.804</v>
      </c>
      <c r="U86" s="24" t="n">
        <f aca="false">U$21*(0-Planner!$C$43)</f>
        <v>-7.147</v>
      </c>
      <c r="V86" s="24" t="n">
        <f aca="false">V$21*(0-Planner!$C$43)</f>
        <v>-4.7635</v>
      </c>
      <c r="W86" s="24" t="n">
        <f aca="false">W$21*(0-Planner!$C$43)</f>
        <v>-7.028</v>
      </c>
      <c r="X86" s="24" t="n">
        <f aca="false">X$21*(0-Planner!$C$43)</f>
        <v>-4.396</v>
      </c>
      <c r="Y86" s="24" t="n">
        <f aca="false">Y$21*(0-Planner!$C$43)</f>
        <v>-2.1105</v>
      </c>
      <c r="Z86" s="24" t="n">
        <f aca="false">Z$21*(0-Planner!$C$43)</f>
        <v>-7.56</v>
      </c>
      <c r="AA86" s="24" t="n">
        <f aca="false">AA$21*(0-Planner!$C$43)</f>
        <v>-1.659</v>
      </c>
      <c r="AB86" s="24" t="n">
        <f aca="false">AB$21*(0-Planner!$C$43)</f>
        <v>-8.232</v>
      </c>
      <c r="AC86" s="24" t="n">
        <f aca="false">AC$21*(0-Planner!$C$43)</f>
        <v>-1.722</v>
      </c>
      <c r="AD86" s="24" t="n">
        <f aca="false">AD$21*(0-Planner!$C$43)</f>
        <v>-2.5795</v>
      </c>
      <c r="AE86" s="24" t="n">
        <f aca="false">AE$21*(0-Planner!$C$43)</f>
        <v>-7.651</v>
      </c>
      <c r="AF86" s="24" t="n">
        <f aca="false">AF$21*(0-Planner!$C$43)</f>
        <v>-1.827</v>
      </c>
      <c r="AG86" s="24" t="n">
        <f aca="false">AG$21*(0-Planner!$C$43)</f>
        <v>-8.253</v>
      </c>
      <c r="AH86" s="24" t="n">
        <f aca="false">AH$21*(0-Planner!$C$43)</f>
        <v>-8.6205</v>
      </c>
      <c r="AI86" s="24" t="n">
        <f aca="false">AI$21*(0-Planner!$C$43)</f>
        <v>-7.511</v>
      </c>
      <c r="AJ86" s="24" t="n">
        <f aca="false">AJ$21*(0-Planner!$C$43)</f>
        <v>-2.6355</v>
      </c>
      <c r="AK86" s="24" t="n">
        <f aca="false">AK$21*(0-Planner!$C$43)</f>
        <v>-7.8155</v>
      </c>
      <c r="AL86" s="24" t="n">
        <f aca="false">AL$21*(0-Planner!$C$43)</f>
        <v>-7.7735</v>
      </c>
      <c r="AM86" s="24" t="n">
        <f aca="false">AM$21*(0-Planner!$C$43)</f>
        <v>-1.61</v>
      </c>
      <c r="AN86" s="24" t="n">
        <f aca="false">AN$21*(0-Planner!$C$43)</f>
        <v>-7.497</v>
      </c>
      <c r="AO86" s="24" t="n">
        <f aca="false">AO$21*(0-Planner!$C$43)</f>
        <v>-3.535</v>
      </c>
      <c r="AP86" s="24" t="n">
        <f aca="false">AP$21*(0-Planner!$C$43)</f>
        <v>-1.155</v>
      </c>
      <c r="AQ86" s="24" t="n">
        <f aca="false">AQ$21*(0-Planner!$C$43)</f>
        <v>-3.5665</v>
      </c>
      <c r="AR86" s="24" t="n">
        <f aca="false">AR$21*(0-Planner!$C$43)</f>
        <v>-0.91</v>
      </c>
      <c r="AS86" s="24" t="n">
        <f aca="false">AS$21*(0-Planner!$C$43)</f>
        <v>-1.1025</v>
      </c>
      <c r="AT86" s="24" t="n">
        <f aca="false">AT$21*(0-Planner!$C$43)</f>
        <v>-6.3455</v>
      </c>
      <c r="AU86" s="24" t="n">
        <f aca="false">AU$21*(0-Planner!$C$43)</f>
        <v>-8.0045</v>
      </c>
      <c r="AV86" s="24" t="n">
        <f aca="false">AV$21*(0-Planner!$C$43)</f>
        <v>-3.6575</v>
      </c>
      <c r="AW86" s="24" t="n">
        <f aca="false">AW$21*(0-Planner!$C$43)</f>
        <v>-8.3125</v>
      </c>
      <c r="AX86" s="24" t="n">
        <f aca="false">AX$21*(0-Planner!$C$43)</f>
        <v>-3.696</v>
      </c>
      <c r="AY86" s="24" t="n">
        <f aca="false">AY$21*(0-Planner!$C$43)</f>
        <v>-2.639</v>
      </c>
      <c r="AZ86" s="24" t="n">
        <f aca="false">AZ$21*(0-Planner!$C$43)</f>
        <v>-4.2315</v>
      </c>
      <c r="BA86" s="24" t="n">
        <f aca="false">BA$21*(0-Planner!$C$43)</f>
        <v>-1.995</v>
      </c>
      <c r="BB86" s="24" t="n">
        <f aca="false">BB$21*(0-Planner!$C$43)</f>
        <v>-2.8035</v>
      </c>
      <c r="BC86" s="24" t="n">
        <f aca="false">BC$21*(0-Planner!$C$43)</f>
        <v>-4.942</v>
      </c>
      <c r="BD86" s="24" t="n">
        <f aca="false">BD$21*(0-Planner!$C$43)</f>
        <v>-4.6025</v>
      </c>
      <c r="BE86" s="24" t="n">
        <f aca="false">BE$21*(0-Planner!$C$43)</f>
        <v>-4.564</v>
      </c>
      <c r="BF86" s="24" t="n">
        <f aca="false">BF$21*(0-Planner!$C$43)</f>
        <v>-3.0975</v>
      </c>
      <c r="BG86" s="24" t="n">
        <f aca="false">BG$21*(0-Planner!$C$43)</f>
        <v>-2.4955</v>
      </c>
      <c r="BH86" s="24" t="n">
        <f aca="false">BH$21*(0-Planner!$C$43)</f>
        <v>-4.3575</v>
      </c>
      <c r="BI86" s="24" t="n">
        <f aca="false">BI$21*(0-Planner!$C$43)</f>
        <v>-4.8545</v>
      </c>
      <c r="BJ86" s="24" t="n">
        <f aca="false">BJ$21*(0-Planner!$C$43)</f>
        <v>-2.6565</v>
      </c>
      <c r="BK86" s="24" t="n">
        <f aca="false">BK$21*(0-Planner!$C$43)</f>
        <v>-0.6825</v>
      </c>
      <c r="BL86" s="24" t="n">
        <f aca="false">BL$21*(0-Planner!$C$43)</f>
        <v>-1.057</v>
      </c>
      <c r="BM86" s="24" t="n">
        <f aca="false">BM$21*(0-Planner!$C$43)</f>
        <v>-0.784</v>
      </c>
      <c r="BN86" s="24" t="n">
        <f aca="false">BN$21*(0-Planner!$C$43)</f>
        <v>-1.0535</v>
      </c>
      <c r="BO86" s="24" t="n">
        <f aca="false">BO$21*(0-Planner!$C$43)</f>
        <v>-1.827</v>
      </c>
      <c r="BP86" s="24" t="n">
        <f aca="false">BP$21*(0-Planner!$C$43)</f>
        <v>-0.7175</v>
      </c>
      <c r="BQ86" s="24" t="n">
        <f aca="false">BQ$21*(0-Planner!$C$43)</f>
        <v>-0.5495</v>
      </c>
      <c r="BR86" s="24" t="n">
        <f aca="false">BR$21*(0-Planner!$C$43)</f>
        <v>-0.091</v>
      </c>
      <c r="BS86" s="24" t="n">
        <f aca="false">BS$21*(0-Planner!$C$43)</f>
        <v>-0.0595</v>
      </c>
      <c r="BT86" s="24" t="n">
        <f aca="false">BT$21*(0-Planner!$C$43)</f>
        <v>-0.3815</v>
      </c>
      <c r="BU86" s="24" t="n">
        <f aca="false">BU$21*(0-Planner!$C$43)</f>
        <v>-0.4865</v>
      </c>
      <c r="BV86" s="24" t="n">
        <f aca="false">BV$21*(0-Planner!$C$43)</f>
        <v>-0.147</v>
      </c>
      <c r="BW86" s="24" t="n">
        <f aca="false">BW$21*(0-Planner!$C$43)</f>
        <v>-0.294</v>
      </c>
      <c r="BX86" s="24" t="n">
        <f aca="false">BX$21*(0-Planner!$C$43)</f>
        <v>-0.371</v>
      </c>
      <c r="BY86" s="24" t="n">
        <f aca="false">BY$21*(0-Planner!$C$43)</f>
        <v>-0.2975</v>
      </c>
      <c r="BZ86" s="24" t="n">
        <f aca="false">BZ$21*(0-Planner!$C$43)</f>
        <v>-0.8575</v>
      </c>
      <c r="CA86" s="24" t="n">
        <f aca="false">CA$21*(0-Planner!$C$43)</f>
        <v>-1.1865</v>
      </c>
      <c r="CB86" s="24" t="n">
        <f aca="false">CB$21*(0-Planner!$C$43)</f>
        <v>-0.0595</v>
      </c>
      <c r="CC86" s="24" t="n">
        <f aca="false">CC$21*(0-Planner!$C$43)</f>
        <v>-0.161</v>
      </c>
      <c r="CD86" s="24" t="n">
        <f aca="false">CD$21*(0-Planner!$C$43)</f>
        <v>-0.2205</v>
      </c>
      <c r="CE86" s="24" t="n">
        <f aca="false">CE$21*(0-Planner!$C$43)</f>
        <v>-0.252</v>
      </c>
      <c r="CF86" s="24" t="n">
        <f aca="false">CF$21*(0-Planner!$C$43)</f>
        <v>-0.189</v>
      </c>
      <c r="CG86" s="24" t="n">
        <f aca="false">CG$21*(0-Planner!$C$43)</f>
        <v>-0.399</v>
      </c>
      <c r="CH86" s="24" t="n">
        <f aca="false">CH$21*(0-Planner!$C$43)</f>
        <v>-0.287</v>
      </c>
      <c r="CI86" s="24" t="n">
        <f aca="false">CI$21*(0-Planner!$C$43)</f>
        <v>-0.371</v>
      </c>
      <c r="CJ86" s="24" t="n">
        <f aca="false">CJ$21*(0-Planner!$C$43)</f>
        <v>-0.238</v>
      </c>
      <c r="CK86" s="24" t="n">
        <f aca="false">CK$21*(0-Planner!$C$43)</f>
        <v>-0.3185</v>
      </c>
      <c r="CL86" s="24" t="n">
        <f aca="false">CL$21*(0-Planner!$C$43)</f>
        <v>-0.1645</v>
      </c>
      <c r="CM86" s="24" t="n">
        <f aca="false">CM$21*(0-Planner!$C$43)</f>
        <v>-0.3185</v>
      </c>
      <c r="CN86" s="24" t="n">
        <f aca="false">CN$21*(0-Planner!$C$43)</f>
        <v>-0.2205</v>
      </c>
      <c r="CO86" s="24" t="n">
        <f aca="false">CO$21*(0-Planner!$C$43)</f>
        <v>-0.126</v>
      </c>
      <c r="CP86" s="24" t="n">
        <f aca="false">CP$21*(0-Planner!$C$43)</f>
        <v>-0.119</v>
      </c>
      <c r="CQ86" s="24" t="n">
        <f aca="false">CQ$21*(0-Planner!$C$43)</f>
        <v>-0.189</v>
      </c>
      <c r="CR86" s="24" t="n">
        <f aca="false">CR$21*(0-Planner!$C$43)</f>
        <v>-0.147</v>
      </c>
      <c r="CS86" s="24" t="n">
        <f aca="false">CS$21*(0-Planner!$C$43)</f>
        <v>-0.245</v>
      </c>
      <c r="CT86" s="24" t="n">
        <f aca="false">CT$21*(0-Planner!$C$43)</f>
        <v>-0.763</v>
      </c>
      <c r="CU86" s="24" t="n">
        <f aca="false">CU$21*(0-Planner!$C$43)</f>
        <v>-1.0745</v>
      </c>
      <c r="CV86" s="24" t="n">
        <f aca="false">CV$21*(0-Planner!$C$43)</f>
        <v>-0.42</v>
      </c>
      <c r="CW86" s="24" t="n">
        <f aca="false">CW$21*(0-Planner!$C$43)</f>
        <v>-0.2345</v>
      </c>
      <c r="CX86" s="24" t="n">
        <f aca="false">CX$21*(0-Planner!$C$43)</f>
        <v>-0.1505</v>
      </c>
      <c r="CY86" s="24" t="n">
        <f aca="false">CY$21*(0-Planner!$C$43)</f>
        <v>-0.2135</v>
      </c>
      <c r="CZ86" s="24" t="n">
        <f aca="false">CZ$21*(0-Planner!$C$43)</f>
        <v>-0.28</v>
      </c>
      <c r="DA86" s="24" t="n">
        <f aca="false">DA$21*(0-Planner!$C$43)</f>
        <v>-0.77</v>
      </c>
      <c r="DB86" s="24" t="n">
        <f aca="false">DB$21*(0-Planner!$C$43)</f>
        <v>-0.224</v>
      </c>
      <c r="DC86" s="24" t="n">
        <f aca="false">DC$21*(0-Planner!$C$43)</f>
        <v>-0.2555</v>
      </c>
      <c r="DD86" s="24" t="n">
        <f aca="false">DD$21*(0-Planner!$C$43)</f>
        <v>-1.071</v>
      </c>
      <c r="DE86" s="24" t="n">
        <f aca="false">DE$21*(0-Planner!$C$43)</f>
        <v>-1.323</v>
      </c>
      <c r="DF86" s="24" t="n">
        <f aca="false">DF$21*(0-Planner!$C$43)</f>
        <v>-0.35</v>
      </c>
      <c r="DG86" s="24" t="n">
        <f aca="false">DG$21*(0-Planner!$C$43)</f>
        <v>-0.448</v>
      </c>
      <c r="DH86" s="24" t="n">
        <f aca="false">DH$21*(0-Planner!$C$43)</f>
        <v>-0.5005</v>
      </c>
      <c r="DI86" s="24" t="n">
        <f aca="false">DI$21*(0-Planner!$C$43)</f>
        <v>-0.3255</v>
      </c>
      <c r="DJ86" s="24" t="n">
        <f aca="false">DJ$21*(0-Planner!$C$43)</f>
        <v>-0.203</v>
      </c>
      <c r="DK86" s="24" t="n">
        <f aca="false">DK$21*(0-Planner!$C$43)</f>
        <v>-0.273</v>
      </c>
      <c r="DL86" s="24" t="n">
        <f aca="false">DL$21*(0-Planner!$C$43)</f>
        <v>-0.7035</v>
      </c>
      <c r="DM86" s="24" t="n">
        <f aca="false">DM$21*(0-Planner!$C$43)</f>
        <v>-0.2415</v>
      </c>
      <c r="DN86" s="24" t="n">
        <f aca="false">DN$21*(0-Planner!$C$43)</f>
        <v>-1.057</v>
      </c>
      <c r="DO86" s="24" t="n">
        <f aca="false">DO$21*(0-Planner!$C$43)</f>
        <v>-0.9415</v>
      </c>
      <c r="DP86" s="24" t="n">
        <f aca="false">DP$21*(0-Planner!$C$43)</f>
        <v>-0.2275</v>
      </c>
      <c r="DQ86" s="24" t="n">
        <f aca="false">DQ$21*(0-Planner!$C$43)</f>
        <v>-0.252</v>
      </c>
      <c r="DR86" s="24" t="n">
        <f aca="false">DR$21*(0-Planner!$C$43)</f>
        <v>-0.6265</v>
      </c>
      <c r="DS86" s="24" t="n">
        <f aca="false">DS$21*(0-Planner!$C$43)</f>
        <v>-0.301</v>
      </c>
      <c r="DT86" s="24" t="n">
        <f aca="false">DT$21*(0-Planner!$C$43)</f>
        <v>-0.315</v>
      </c>
      <c r="DU86" s="24" t="n">
        <f aca="false">DU$21*(0-Planner!$C$43)</f>
        <v>-0.931</v>
      </c>
      <c r="DV86" s="24" t="n">
        <f aca="false">DV$21*(0-Planner!$C$43)</f>
        <v>-1.1655</v>
      </c>
      <c r="DW86" s="24" t="n">
        <f aca="false">DW$21*(0-Planner!$C$43)</f>
        <v>-1.0815</v>
      </c>
      <c r="DX86" s="24" t="n">
        <f aca="false">DX$21*(0-Planner!$C$43)</f>
        <v>-0.8715</v>
      </c>
      <c r="DY86" s="24" t="n">
        <f aca="false">DY$21*(0-Planner!$C$43)</f>
        <v>-0.5915</v>
      </c>
      <c r="DZ86" s="24" t="n">
        <f aca="false">DZ$21*(0-Planner!$C$43)</f>
        <v>-0.385</v>
      </c>
      <c r="EA86" s="24" t="n">
        <f aca="false">EA$21*(0-Planner!$C$43)</f>
        <v>-0.385</v>
      </c>
      <c r="EB86" s="24" t="n">
        <f aca="false">EB$21*(0-Planner!$C$43)</f>
        <v>-0.238</v>
      </c>
      <c r="EC86" s="24" t="n">
        <f aca="false">EC$21*(0-Planner!$C$43)</f>
        <v>-0.3465</v>
      </c>
      <c r="ED86" s="24" t="n">
        <f aca="false">ED$21*(0-Planner!$C$43)</f>
        <v>-0.4305</v>
      </c>
      <c r="EE86" s="24" t="n">
        <f aca="false">EE$21*(0-Planner!$C$43)</f>
        <v>-0.3185</v>
      </c>
      <c r="EF86" s="24" t="n">
        <f aca="false">EF$21*(0-Planner!$C$43)</f>
        <v>-0.7385</v>
      </c>
      <c r="EG86" s="24" t="n">
        <f aca="false">EG$21*(0-Planner!$C$43)</f>
        <v>-1.001</v>
      </c>
      <c r="EH86" s="24" t="n">
        <f aca="false">EH$21*(0-Planner!$C$43)</f>
        <v>-1.2705</v>
      </c>
      <c r="EI86" s="24" t="n">
        <f aca="false">EI$21*(0-Planner!$C$43)</f>
        <v>-0.2765</v>
      </c>
      <c r="EJ86" s="24" t="n">
        <f aca="false">EJ$21*(0-Planner!$C$43)</f>
        <v>-0.308</v>
      </c>
      <c r="EK86" s="24" t="n">
        <f aca="false">EK$21*(0-Planner!$C$43)</f>
        <v>-0.8645</v>
      </c>
      <c r="EL86" s="24" t="n">
        <f aca="false">EL$21*(0-Planner!$C$43)</f>
        <v>-0.4235</v>
      </c>
      <c r="EM86" s="24" t="n">
        <f aca="false">EM$21*(0-Planner!$C$43)</f>
        <v>-0.2975</v>
      </c>
      <c r="EN86" s="24" t="n">
        <f aca="false">EN$21*(0-Planner!$C$43)</f>
        <v>-0</v>
      </c>
      <c r="EO86" s="24" t="n">
        <f aca="false">EO$21*(0-Planner!$C$43)</f>
        <v>-0</v>
      </c>
      <c r="EP86" s="24" t="n">
        <f aca="false">EP$21*(0-Planner!$C$43)</f>
        <v>-7.4025</v>
      </c>
      <c r="EQ86" s="24" t="n">
        <f aca="false">EQ$21*(0-Planner!$C$43)</f>
        <v>-0.686</v>
      </c>
      <c r="ER86" s="24" t="n">
        <f aca="false">ER$21*(0-Planner!$C$43)</f>
        <v>-1.785</v>
      </c>
      <c r="ES86" s="24" t="n">
        <f aca="false">ES$21*(0-Planner!$C$43)</f>
        <v>-1.9775</v>
      </c>
      <c r="ET86" s="24" t="n">
        <f aca="false">ET$21*(0-Planner!$C$43)</f>
        <v>-2.2365</v>
      </c>
      <c r="EU86" s="24" t="n">
        <f aca="false">EU$21*(0-Planner!$C$43)</f>
        <v>-1.225</v>
      </c>
    </row>
    <row r="87" customFormat="false" ht="15" hidden="false" customHeight="false" outlineLevel="0" collapsed="false">
      <c r="A87" s="4" t="s">
        <v>1027</v>
      </c>
      <c r="B87" s="75" t="s">
        <v>1017</v>
      </c>
      <c r="C87" s="78" t="n">
        <v>0</v>
      </c>
      <c r="D87" s="77" t="n">
        <v>-39.199999997333</v>
      </c>
      <c r="E87" s="75" t="str">
        <f aca="false">IF(D87&lt;=C87+0.000001*MAX(1,ABS(C87)),IF(ABS(D87-C87)&lt;=0.000001*MAX(1,ABS(C87)),"tight","ok"),"VIOLATED")</f>
        <v>ok</v>
      </c>
      <c r="F87" s="24" t="n">
        <f aca="false">F$21*(0-Planner!$C$43)</f>
        <v>-7.875</v>
      </c>
      <c r="G87" s="24" t="n">
        <f aca="false">G$21*(0-Planner!$C$43)</f>
        <v>-6.328</v>
      </c>
      <c r="H87" s="24" t="n">
        <f aca="false">H$21*(0-Planner!$C$43)</f>
        <v>-6.881</v>
      </c>
      <c r="I87" s="24" t="n">
        <f aca="false">I$21*(0-Planner!$C$43)</f>
        <v>-5.7155</v>
      </c>
      <c r="J87" s="24" t="n">
        <f aca="false">J$21*(0-Planner!$C$43)</f>
        <v>-6.5555</v>
      </c>
      <c r="K87" s="24" t="n">
        <f aca="false">K$21*(0-Planner!$C$43)</f>
        <v>-6.51</v>
      </c>
      <c r="L87" s="24" t="n">
        <f aca="false">L$21*(0-Planner!$C$43)</f>
        <v>-4.417</v>
      </c>
      <c r="M87" s="24" t="n">
        <f aca="false">M$21*(0-Planner!$C$43)</f>
        <v>-7.6125</v>
      </c>
      <c r="N87" s="24" t="n">
        <f aca="false">N$21*(0-Planner!$C$43)</f>
        <v>-6.0095</v>
      </c>
      <c r="O87" s="24" t="n">
        <f aca="false">O$21*(0-Planner!$C$43)</f>
        <v>-7.2975</v>
      </c>
      <c r="P87" s="24" t="n">
        <f aca="false">P$21*(1-Planner!$C$43)</f>
        <v>10.79</v>
      </c>
      <c r="Q87" s="24" t="n">
        <f aca="false">Q$21*(0-Planner!$C$43)</f>
        <v>-7.399</v>
      </c>
      <c r="R87" s="24" t="n">
        <f aca="false">R$21*(0-Planner!$C$43)</f>
        <v>-7.679</v>
      </c>
      <c r="S87" s="24" t="n">
        <f aca="false">S$21*(0-Planner!$C$43)</f>
        <v>-6.972</v>
      </c>
      <c r="T87" s="24" t="n">
        <f aca="false">T$21*(0-Planner!$C$43)</f>
        <v>-6.804</v>
      </c>
      <c r="U87" s="24" t="n">
        <f aca="false">U$21*(0-Planner!$C$43)</f>
        <v>-7.147</v>
      </c>
      <c r="V87" s="24" t="n">
        <f aca="false">V$21*(0-Planner!$C$43)</f>
        <v>-4.7635</v>
      </c>
      <c r="W87" s="24" t="n">
        <f aca="false">W$21*(0-Planner!$C$43)</f>
        <v>-7.028</v>
      </c>
      <c r="X87" s="24" t="n">
        <f aca="false">X$21*(0-Planner!$C$43)</f>
        <v>-4.396</v>
      </c>
      <c r="Y87" s="24" t="n">
        <f aca="false">Y$21*(0-Planner!$C$43)</f>
        <v>-2.1105</v>
      </c>
      <c r="Z87" s="24" t="n">
        <f aca="false">Z$21*(0-Planner!$C$43)</f>
        <v>-7.56</v>
      </c>
      <c r="AA87" s="24" t="n">
        <f aca="false">AA$21*(0-Planner!$C$43)</f>
        <v>-1.659</v>
      </c>
      <c r="AB87" s="24" t="n">
        <f aca="false">AB$21*(0-Planner!$C$43)</f>
        <v>-8.232</v>
      </c>
      <c r="AC87" s="24" t="n">
        <f aca="false">AC$21*(0-Planner!$C$43)</f>
        <v>-1.722</v>
      </c>
      <c r="AD87" s="24" t="n">
        <f aca="false">AD$21*(0-Planner!$C$43)</f>
        <v>-2.5795</v>
      </c>
      <c r="AE87" s="24" t="n">
        <f aca="false">AE$21*(0-Planner!$C$43)</f>
        <v>-7.651</v>
      </c>
      <c r="AF87" s="24" t="n">
        <f aca="false">AF$21*(0-Planner!$C$43)</f>
        <v>-1.827</v>
      </c>
      <c r="AG87" s="24" t="n">
        <f aca="false">AG$21*(0-Planner!$C$43)</f>
        <v>-8.253</v>
      </c>
      <c r="AH87" s="24" t="n">
        <f aca="false">AH$21*(0-Planner!$C$43)</f>
        <v>-8.6205</v>
      </c>
      <c r="AI87" s="24" t="n">
        <f aca="false">AI$21*(0-Planner!$C$43)</f>
        <v>-7.511</v>
      </c>
      <c r="AJ87" s="24" t="n">
        <f aca="false">AJ$21*(0-Planner!$C$43)</f>
        <v>-2.6355</v>
      </c>
      <c r="AK87" s="24" t="n">
        <f aca="false">AK$21*(0-Planner!$C$43)</f>
        <v>-7.8155</v>
      </c>
      <c r="AL87" s="24" t="n">
        <f aca="false">AL$21*(0-Planner!$C$43)</f>
        <v>-7.7735</v>
      </c>
      <c r="AM87" s="24" t="n">
        <f aca="false">AM$21*(0-Planner!$C$43)</f>
        <v>-1.61</v>
      </c>
      <c r="AN87" s="24" t="n">
        <f aca="false">AN$21*(0-Planner!$C$43)</f>
        <v>-7.497</v>
      </c>
      <c r="AO87" s="24" t="n">
        <f aca="false">AO$21*(0-Planner!$C$43)</f>
        <v>-3.535</v>
      </c>
      <c r="AP87" s="24" t="n">
        <f aca="false">AP$21*(0-Planner!$C$43)</f>
        <v>-1.155</v>
      </c>
      <c r="AQ87" s="24" t="n">
        <f aca="false">AQ$21*(0-Planner!$C$43)</f>
        <v>-3.5665</v>
      </c>
      <c r="AR87" s="24" t="n">
        <f aca="false">AR$21*(0-Planner!$C$43)</f>
        <v>-0.91</v>
      </c>
      <c r="AS87" s="24" t="n">
        <f aca="false">AS$21*(0-Planner!$C$43)</f>
        <v>-1.1025</v>
      </c>
      <c r="AT87" s="24" t="n">
        <f aca="false">AT$21*(0-Planner!$C$43)</f>
        <v>-6.3455</v>
      </c>
      <c r="AU87" s="24" t="n">
        <f aca="false">AU$21*(0-Planner!$C$43)</f>
        <v>-8.0045</v>
      </c>
      <c r="AV87" s="24" t="n">
        <f aca="false">AV$21*(0-Planner!$C$43)</f>
        <v>-3.6575</v>
      </c>
      <c r="AW87" s="24" t="n">
        <f aca="false">AW$21*(0-Planner!$C$43)</f>
        <v>-8.3125</v>
      </c>
      <c r="AX87" s="24" t="n">
        <f aca="false">AX$21*(0-Planner!$C$43)</f>
        <v>-3.696</v>
      </c>
      <c r="AY87" s="24" t="n">
        <f aca="false">AY$21*(0-Planner!$C$43)</f>
        <v>-2.639</v>
      </c>
      <c r="AZ87" s="24" t="n">
        <f aca="false">AZ$21*(0-Planner!$C$43)</f>
        <v>-4.2315</v>
      </c>
      <c r="BA87" s="24" t="n">
        <f aca="false">BA$21*(0-Planner!$C$43)</f>
        <v>-1.995</v>
      </c>
      <c r="BB87" s="24" t="n">
        <f aca="false">BB$21*(0-Planner!$C$43)</f>
        <v>-2.8035</v>
      </c>
      <c r="BC87" s="24" t="n">
        <f aca="false">BC$21*(0-Planner!$C$43)</f>
        <v>-4.942</v>
      </c>
      <c r="BD87" s="24" t="n">
        <f aca="false">BD$21*(0-Planner!$C$43)</f>
        <v>-4.6025</v>
      </c>
      <c r="BE87" s="24" t="n">
        <f aca="false">BE$21*(0-Planner!$C$43)</f>
        <v>-4.564</v>
      </c>
      <c r="BF87" s="24" t="n">
        <f aca="false">BF$21*(0-Planner!$C$43)</f>
        <v>-3.0975</v>
      </c>
      <c r="BG87" s="24" t="n">
        <f aca="false">BG$21*(0-Planner!$C$43)</f>
        <v>-2.4955</v>
      </c>
      <c r="BH87" s="24" t="n">
        <f aca="false">BH$21*(0-Planner!$C$43)</f>
        <v>-4.3575</v>
      </c>
      <c r="BI87" s="24" t="n">
        <f aca="false">BI$21*(0-Planner!$C$43)</f>
        <v>-4.8545</v>
      </c>
      <c r="BJ87" s="24" t="n">
        <f aca="false">BJ$21*(0-Planner!$C$43)</f>
        <v>-2.6565</v>
      </c>
      <c r="BK87" s="24" t="n">
        <f aca="false">BK$21*(0-Planner!$C$43)</f>
        <v>-0.6825</v>
      </c>
      <c r="BL87" s="24" t="n">
        <f aca="false">BL$21*(0-Planner!$C$43)</f>
        <v>-1.057</v>
      </c>
      <c r="BM87" s="24" t="n">
        <f aca="false">BM$21*(0-Planner!$C$43)</f>
        <v>-0.784</v>
      </c>
      <c r="BN87" s="24" t="n">
        <f aca="false">BN$21*(0-Planner!$C$43)</f>
        <v>-1.0535</v>
      </c>
      <c r="BO87" s="24" t="n">
        <f aca="false">BO$21*(0-Planner!$C$43)</f>
        <v>-1.827</v>
      </c>
      <c r="BP87" s="24" t="n">
        <f aca="false">BP$21*(0-Planner!$C$43)</f>
        <v>-0.7175</v>
      </c>
      <c r="BQ87" s="24" t="n">
        <f aca="false">BQ$21*(0-Planner!$C$43)</f>
        <v>-0.5495</v>
      </c>
      <c r="BR87" s="24" t="n">
        <f aca="false">BR$21*(0-Planner!$C$43)</f>
        <v>-0.091</v>
      </c>
      <c r="BS87" s="24" t="n">
        <f aca="false">BS$21*(0-Planner!$C$43)</f>
        <v>-0.0595</v>
      </c>
      <c r="BT87" s="24" t="n">
        <f aca="false">BT$21*(0-Planner!$C$43)</f>
        <v>-0.3815</v>
      </c>
      <c r="BU87" s="24" t="n">
        <f aca="false">BU$21*(0-Planner!$C$43)</f>
        <v>-0.4865</v>
      </c>
      <c r="BV87" s="24" t="n">
        <f aca="false">BV$21*(0-Planner!$C$43)</f>
        <v>-0.147</v>
      </c>
      <c r="BW87" s="24" t="n">
        <f aca="false">BW$21*(0-Planner!$C$43)</f>
        <v>-0.294</v>
      </c>
      <c r="BX87" s="24" t="n">
        <f aca="false">BX$21*(0-Planner!$C$43)</f>
        <v>-0.371</v>
      </c>
      <c r="BY87" s="24" t="n">
        <f aca="false">BY$21*(0-Planner!$C$43)</f>
        <v>-0.2975</v>
      </c>
      <c r="BZ87" s="24" t="n">
        <f aca="false">BZ$21*(0-Planner!$C$43)</f>
        <v>-0.8575</v>
      </c>
      <c r="CA87" s="24" t="n">
        <f aca="false">CA$21*(0-Planner!$C$43)</f>
        <v>-1.1865</v>
      </c>
      <c r="CB87" s="24" t="n">
        <f aca="false">CB$21*(0-Planner!$C$43)</f>
        <v>-0.0595</v>
      </c>
      <c r="CC87" s="24" t="n">
        <f aca="false">CC$21*(0-Planner!$C$43)</f>
        <v>-0.161</v>
      </c>
      <c r="CD87" s="24" t="n">
        <f aca="false">CD$21*(0-Planner!$C$43)</f>
        <v>-0.2205</v>
      </c>
      <c r="CE87" s="24" t="n">
        <f aca="false">CE$21*(0-Planner!$C$43)</f>
        <v>-0.252</v>
      </c>
      <c r="CF87" s="24" t="n">
        <f aca="false">CF$21*(0-Planner!$C$43)</f>
        <v>-0.189</v>
      </c>
      <c r="CG87" s="24" t="n">
        <f aca="false">CG$21*(0-Planner!$C$43)</f>
        <v>-0.399</v>
      </c>
      <c r="CH87" s="24" t="n">
        <f aca="false">CH$21*(0-Planner!$C$43)</f>
        <v>-0.287</v>
      </c>
      <c r="CI87" s="24" t="n">
        <f aca="false">CI$21*(0-Planner!$C$43)</f>
        <v>-0.371</v>
      </c>
      <c r="CJ87" s="24" t="n">
        <f aca="false">CJ$21*(0-Planner!$C$43)</f>
        <v>-0.238</v>
      </c>
      <c r="CK87" s="24" t="n">
        <f aca="false">CK$21*(0-Planner!$C$43)</f>
        <v>-0.3185</v>
      </c>
      <c r="CL87" s="24" t="n">
        <f aca="false">CL$21*(0-Planner!$C$43)</f>
        <v>-0.1645</v>
      </c>
      <c r="CM87" s="24" t="n">
        <f aca="false">CM$21*(0-Planner!$C$43)</f>
        <v>-0.3185</v>
      </c>
      <c r="CN87" s="24" t="n">
        <f aca="false">CN$21*(0-Planner!$C$43)</f>
        <v>-0.2205</v>
      </c>
      <c r="CO87" s="24" t="n">
        <f aca="false">CO$21*(0-Planner!$C$43)</f>
        <v>-0.126</v>
      </c>
      <c r="CP87" s="24" t="n">
        <f aca="false">CP$21*(0-Planner!$C$43)</f>
        <v>-0.119</v>
      </c>
      <c r="CQ87" s="24" t="n">
        <f aca="false">CQ$21*(0-Planner!$C$43)</f>
        <v>-0.189</v>
      </c>
      <c r="CR87" s="24" t="n">
        <f aca="false">CR$21*(0-Planner!$C$43)</f>
        <v>-0.147</v>
      </c>
      <c r="CS87" s="24" t="n">
        <f aca="false">CS$21*(0-Planner!$C$43)</f>
        <v>-0.245</v>
      </c>
      <c r="CT87" s="24" t="n">
        <f aca="false">CT$21*(0-Planner!$C$43)</f>
        <v>-0.763</v>
      </c>
      <c r="CU87" s="24" t="n">
        <f aca="false">CU$21*(0-Planner!$C$43)</f>
        <v>-1.0745</v>
      </c>
      <c r="CV87" s="24" t="n">
        <f aca="false">CV$21*(0-Planner!$C$43)</f>
        <v>-0.42</v>
      </c>
      <c r="CW87" s="24" t="n">
        <f aca="false">CW$21*(0-Planner!$C$43)</f>
        <v>-0.2345</v>
      </c>
      <c r="CX87" s="24" t="n">
        <f aca="false">CX$21*(0-Planner!$C$43)</f>
        <v>-0.1505</v>
      </c>
      <c r="CY87" s="24" t="n">
        <f aca="false">CY$21*(0-Planner!$C$43)</f>
        <v>-0.2135</v>
      </c>
      <c r="CZ87" s="24" t="n">
        <f aca="false">CZ$21*(0-Planner!$C$43)</f>
        <v>-0.28</v>
      </c>
      <c r="DA87" s="24" t="n">
        <f aca="false">DA$21*(0-Planner!$C$43)</f>
        <v>-0.77</v>
      </c>
      <c r="DB87" s="24" t="n">
        <f aca="false">DB$21*(0-Planner!$C$43)</f>
        <v>-0.224</v>
      </c>
      <c r="DC87" s="24" t="n">
        <f aca="false">DC$21*(0-Planner!$C$43)</f>
        <v>-0.2555</v>
      </c>
      <c r="DD87" s="24" t="n">
        <f aca="false">DD$21*(0-Planner!$C$43)</f>
        <v>-1.071</v>
      </c>
      <c r="DE87" s="24" t="n">
        <f aca="false">DE$21*(0-Planner!$C$43)</f>
        <v>-1.323</v>
      </c>
      <c r="DF87" s="24" t="n">
        <f aca="false">DF$21*(0-Planner!$C$43)</f>
        <v>-0.35</v>
      </c>
      <c r="DG87" s="24" t="n">
        <f aca="false">DG$21*(0-Planner!$C$43)</f>
        <v>-0.448</v>
      </c>
      <c r="DH87" s="24" t="n">
        <f aca="false">DH$21*(0-Planner!$C$43)</f>
        <v>-0.5005</v>
      </c>
      <c r="DI87" s="24" t="n">
        <f aca="false">DI$21*(0-Planner!$C$43)</f>
        <v>-0.3255</v>
      </c>
      <c r="DJ87" s="24" t="n">
        <f aca="false">DJ$21*(0-Planner!$C$43)</f>
        <v>-0.203</v>
      </c>
      <c r="DK87" s="24" t="n">
        <f aca="false">DK$21*(0-Planner!$C$43)</f>
        <v>-0.273</v>
      </c>
      <c r="DL87" s="24" t="n">
        <f aca="false">DL$21*(0-Planner!$C$43)</f>
        <v>-0.7035</v>
      </c>
      <c r="DM87" s="24" t="n">
        <f aca="false">DM$21*(0-Planner!$C$43)</f>
        <v>-0.2415</v>
      </c>
      <c r="DN87" s="24" t="n">
        <f aca="false">DN$21*(0-Planner!$C$43)</f>
        <v>-1.057</v>
      </c>
      <c r="DO87" s="24" t="n">
        <f aca="false">DO$21*(0-Planner!$C$43)</f>
        <v>-0.9415</v>
      </c>
      <c r="DP87" s="24" t="n">
        <f aca="false">DP$21*(0-Planner!$C$43)</f>
        <v>-0.2275</v>
      </c>
      <c r="DQ87" s="24" t="n">
        <f aca="false">DQ$21*(0-Planner!$C$43)</f>
        <v>-0.252</v>
      </c>
      <c r="DR87" s="24" t="n">
        <f aca="false">DR$21*(0-Planner!$C$43)</f>
        <v>-0.6265</v>
      </c>
      <c r="DS87" s="24" t="n">
        <f aca="false">DS$21*(0-Planner!$C$43)</f>
        <v>-0.301</v>
      </c>
      <c r="DT87" s="24" t="n">
        <f aca="false">DT$21*(0-Planner!$C$43)</f>
        <v>-0.315</v>
      </c>
      <c r="DU87" s="24" t="n">
        <f aca="false">DU$21*(0-Planner!$C$43)</f>
        <v>-0.931</v>
      </c>
      <c r="DV87" s="24" t="n">
        <f aca="false">DV$21*(0-Planner!$C$43)</f>
        <v>-1.1655</v>
      </c>
      <c r="DW87" s="24" t="n">
        <f aca="false">DW$21*(0-Planner!$C$43)</f>
        <v>-1.0815</v>
      </c>
      <c r="DX87" s="24" t="n">
        <f aca="false">DX$21*(0-Planner!$C$43)</f>
        <v>-0.8715</v>
      </c>
      <c r="DY87" s="24" t="n">
        <f aca="false">DY$21*(0-Planner!$C$43)</f>
        <v>-0.5915</v>
      </c>
      <c r="DZ87" s="24" t="n">
        <f aca="false">DZ$21*(0-Planner!$C$43)</f>
        <v>-0.385</v>
      </c>
      <c r="EA87" s="24" t="n">
        <f aca="false">EA$21*(0-Planner!$C$43)</f>
        <v>-0.385</v>
      </c>
      <c r="EB87" s="24" t="n">
        <f aca="false">EB$21*(0-Planner!$C$43)</f>
        <v>-0.238</v>
      </c>
      <c r="EC87" s="24" t="n">
        <f aca="false">EC$21*(0-Planner!$C$43)</f>
        <v>-0.3465</v>
      </c>
      <c r="ED87" s="24" t="n">
        <f aca="false">ED$21*(0-Planner!$C$43)</f>
        <v>-0.4305</v>
      </c>
      <c r="EE87" s="24" t="n">
        <f aca="false">EE$21*(0-Planner!$C$43)</f>
        <v>-0.3185</v>
      </c>
      <c r="EF87" s="24" t="n">
        <f aca="false">EF$21*(0-Planner!$C$43)</f>
        <v>-0.7385</v>
      </c>
      <c r="EG87" s="24" t="n">
        <f aca="false">EG$21*(0-Planner!$C$43)</f>
        <v>-1.001</v>
      </c>
      <c r="EH87" s="24" t="n">
        <f aca="false">EH$21*(0-Planner!$C$43)</f>
        <v>-1.2705</v>
      </c>
      <c r="EI87" s="24" t="n">
        <f aca="false">EI$21*(0-Planner!$C$43)</f>
        <v>-0.2765</v>
      </c>
      <c r="EJ87" s="24" t="n">
        <f aca="false">EJ$21*(0-Planner!$C$43)</f>
        <v>-0.308</v>
      </c>
      <c r="EK87" s="24" t="n">
        <f aca="false">EK$21*(0-Planner!$C$43)</f>
        <v>-0.8645</v>
      </c>
      <c r="EL87" s="24" t="n">
        <f aca="false">EL$21*(0-Planner!$C$43)</f>
        <v>-0.4235</v>
      </c>
      <c r="EM87" s="24" t="n">
        <f aca="false">EM$21*(0-Planner!$C$43)</f>
        <v>-0.2975</v>
      </c>
      <c r="EN87" s="24" t="n">
        <f aca="false">EN$21*(0-Planner!$C$43)</f>
        <v>-0</v>
      </c>
      <c r="EO87" s="24" t="n">
        <f aca="false">EO$21*(0-Planner!$C$43)</f>
        <v>-0</v>
      </c>
      <c r="EP87" s="24" t="n">
        <f aca="false">EP$21*(0-Planner!$C$43)</f>
        <v>-7.4025</v>
      </c>
      <c r="EQ87" s="24" t="n">
        <f aca="false">EQ$21*(0-Planner!$C$43)</f>
        <v>-0.686</v>
      </c>
      <c r="ER87" s="24" t="n">
        <f aca="false">ER$21*(0-Planner!$C$43)</f>
        <v>-1.785</v>
      </c>
      <c r="ES87" s="24" t="n">
        <f aca="false">ES$21*(0-Planner!$C$43)</f>
        <v>-1.9775</v>
      </c>
      <c r="ET87" s="24" t="n">
        <f aca="false">ET$21*(0-Planner!$C$43)</f>
        <v>-2.2365</v>
      </c>
      <c r="EU87" s="24" t="n">
        <f aca="false">EU$21*(0-Planner!$C$43)</f>
        <v>-1.225</v>
      </c>
    </row>
    <row r="88" customFormat="false" ht="15" hidden="false" customHeight="false" outlineLevel="0" collapsed="false">
      <c r="A88" s="4" t="s">
        <v>1028</v>
      </c>
      <c r="B88" s="75" t="s">
        <v>1017</v>
      </c>
      <c r="C88" s="78" t="n">
        <v>0</v>
      </c>
      <c r="D88" s="77" t="n">
        <v>-39.199999997333</v>
      </c>
      <c r="E88" s="75" t="str">
        <f aca="false">IF(D88&lt;=C88+0.000001*MAX(1,ABS(C88)),IF(ABS(D88-C88)&lt;=0.000001*MAX(1,ABS(C88)),"tight","ok"),"VIOLATED")</f>
        <v>ok</v>
      </c>
      <c r="F88" s="24" t="n">
        <f aca="false">F$21*(0-Planner!$C$43)</f>
        <v>-7.875</v>
      </c>
      <c r="G88" s="24" t="n">
        <f aca="false">G$21*(0-Planner!$C$43)</f>
        <v>-6.328</v>
      </c>
      <c r="H88" s="24" t="n">
        <f aca="false">H$21*(0-Planner!$C$43)</f>
        <v>-6.881</v>
      </c>
      <c r="I88" s="24" t="n">
        <f aca="false">I$21*(0-Planner!$C$43)</f>
        <v>-5.7155</v>
      </c>
      <c r="J88" s="24" t="n">
        <f aca="false">J$21*(0-Planner!$C$43)</f>
        <v>-6.5555</v>
      </c>
      <c r="K88" s="24" t="n">
        <f aca="false">K$21*(0-Planner!$C$43)</f>
        <v>-6.51</v>
      </c>
      <c r="L88" s="24" t="n">
        <f aca="false">L$21*(0-Planner!$C$43)</f>
        <v>-4.417</v>
      </c>
      <c r="M88" s="24" t="n">
        <f aca="false">M$21*(0-Planner!$C$43)</f>
        <v>-7.6125</v>
      </c>
      <c r="N88" s="24" t="n">
        <f aca="false">N$21*(0-Planner!$C$43)</f>
        <v>-6.0095</v>
      </c>
      <c r="O88" s="24" t="n">
        <f aca="false">O$21*(0-Planner!$C$43)</f>
        <v>-7.2975</v>
      </c>
      <c r="P88" s="24" t="n">
        <f aca="false">P$21*(0-Planner!$C$43)</f>
        <v>-5.81</v>
      </c>
      <c r="Q88" s="24" t="n">
        <f aca="false">Q$21*(1-Planner!$C$43)</f>
        <v>13.741</v>
      </c>
      <c r="R88" s="24" t="n">
        <f aca="false">R$21*(0-Planner!$C$43)</f>
        <v>-7.679</v>
      </c>
      <c r="S88" s="24" t="n">
        <f aca="false">S$21*(0-Planner!$C$43)</f>
        <v>-6.972</v>
      </c>
      <c r="T88" s="24" t="n">
        <f aca="false">T$21*(0-Planner!$C$43)</f>
        <v>-6.804</v>
      </c>
      <c r="U88" s="24" t="n">
        <f aca="false">U$21*(0-Planner!$C$43)</f>
        <v>-7.147</v>
      </c>
      <c r="V88" s="24" t="n">
        <f aca="false">V$21*(0-Planner!$C$43)</f>
        <v>-4.7635</v>
      </c>
      <c r="W88" s="24" t="n">
        <f aca="false">W$21*(0-Planner!$C$43)</f>
        <v>-7.028</v>
      </c>
      <c r="X88" s="24" t="n">
        <f aca="false">X$21*(0-Planner!$C$43)</f>
        <v>-4.396</v>
      </c>
      <c r="Y88" s="24" t="n">
        <f aca="false">Y$21*(0-Planner!$C$43)</f>
        <v>-2.1105</v>
      </c>
      <c r="Z88" s="24" t="n">
        <f aca="false">Z$21*(0-Planner!$C$43)</f>
        <v>-7.56</v>
      </c>
      <c r="AA88" s="24" t="n">
        <f aca="false">AA$21*(0-Planner!$C$43)</f>
        <v>-1.659</v>
      </c>
      <c r="AB88" s="24" t="n">
        <f aca="false">AB$21*(0-Planner!$C$43)</f>
        <v>-8.232</v>
      </c>
      <c r="AC88" s="24" t="n">
        <f aca="false">AC$21*(0-Planner!$C$43)</f>
        <v>-1.722</v>
      </c>
      <c r="AD88" s="24" t="n">
        <f aca="false">AD$21*(0-Planner!$C$43)</f>
        <v>-2.5795</v>
      </c>
      <c r="AE88" s="24" t="n">
        <f aca="false">AE$21*(0-Planner!$C$43)</f>
        <v>-7.651</v>
      </c>
      <c r="AF88" s="24" t="n">
        <f aca="false">AF$21*(0-Planner!$C$43)</f>
        <v>-1.827</v>
      </c>
      <c r="AG88" s="24" t="n">
        <f aca="false">AG$21*(0-Planner!$C$43)</f>
        <v>-8.253</v>
      </c>
      <c r="AH88" s="24" t="n">
        <f aca="false">AH$21*(0-Planner!$C$43)</f>
        <v>-8.6205</v>
      </c>
      <c r="AI88" s="24" t="n">
        <f aca="false">AI$21*(0-Planner!$C$43)</f>
        <v>-7.511</v>
      </c>
      <c r="AJ88" s="24" t="n">
        <f aca="false">AJ$21*(0-Planner!$C$43)</f>
        <v>-2.6355</v>
      </c>
      <c r="AK88" s="24" t="n">
        <f aca="false">AK$21*(0-Planner!$C$43)</f>
        <v>-7.8155</v>
      </c>
      <c r="AL88" s="24" t="n">
        <f aca="false">AL$21*(0-Planner!$C$43)</f>
        <v>-7.7735</v>
      </c>
      <c r="AM88" s="24" t="n">
        <f aca="false">AM$21*(0-Planner!$C$43)</f>
        <v>-1.61</v>
      </c>
      <c r="AN88" s="24" t="n">
        <f aca="false">AN$21*(0-Planner!$C$43)</f>
        <v>-7.497</v>
      </c>
      <c r="AO88" s="24" t="n">
        <f aca="false">AO$21*(0-Planner!$C$43)</f>
        <v>-3.535</v>
      </c>
      <c r="AP88" s="24" t="n">
        <f aca="false">AP$21*(0-Planner!$C$43)</f>
        <v>-1.155</v>
      </c>
      <c r="AQ88" s="24" t="n">
        <f aca="false">AQ$21*(0-Planner!$C$43)</f>
        <v>-3.5665</v>
      </c>
      <c r="AR88" s="24" t="n">
        <f aca="false">AR$21*(0-Planner!$C$43)</f>
        <v>-0.91</v>
      </c>
      <c r="AS88" s="24" t="n">
        <f aca="false">AS$21*(0-Planner!$C$43)</f>
        <v>-1.1025</v>
      </c>
      <c r="AT88" s="24" t="n">
        <f aca="false">AT$21*(0-Planner!$C$43)</f>
        <v>-6.3455</v>
      </c>
      <c r="AU88" s="24" t="n">
        <f aca="false">AU$21*(0-Planner!$C$43)</f>
        <v>-8.0045</v>
      </c>
      <c r="AV88" s="24" t="n">
        <f aca="false">AV$21*(0-Planner!$C$43)</f>
        <v>-3.6575</v>
      </c>
      <c r="AW88" s="24" t="n">
        <f aca="false">AW$21*(0-Planner!$C$43)</f>
        <v>-8.3125</v>
      </c>
      <c r="AX88" s="24" t="n">
        <f aca="false">AX$21*(0-Planner!$C$43)</f>
        <v>-3.696</v>
      </c>
      <c r="AY88" s="24" t="n">
        <f aca="false">AY$21*(0-Planner!$C$43)</f>
        <v>-2.639</v>
      </c>
      <c r="AZ88" s="24" t="n">
        <f aca="false">AZ$21*(0-Planner!$C$43)</f>
        <v>-4.2315</v>
      </c>
      <c r="BA88" s="24" t="n">
        <f aca="false">BA$21*(0-Planner!$C$43)</f>
        <v>-1.995</v>
      </c>
      <c r="BB88" s="24" t="n">
        <f aca="false">BB$21*(0-Planner!$C$43)</f>
        <v>-2.8035</v>
      </c>
      <c r="BC88" s="24" t="n">
        <f aca="false">BC$21*(0-Planner!$C$43)</f>
        <v>-4.942</v>
      </c>
      <c r="BD88" s="24" t="n">
        <f aca="false">BD$21*(0-Planner!$C$43)</f>
        <v>-4.6025</v>
      </c>
      <c r="BE88" s="24" t="n">
        <f aca="false">BE$21*(0-Planner!$C$43)</f>
        <v>-4.564</v>
      </c>
      <c r="BF88" s="24" t="n">
        <f aca="false">BF$21*(0-Planner!$C$43)</f>
        <v>-3.0975</v>
      </c>
      <c r="BG88" s="24" t="n">
        <f aca="false">BG$21*(0-Planner!$C$43)</f>
        <v>-2.4955</v>
      </c>
      <c r="BH88" s="24" t="n">
        <f aca="false">BH$21*(0-Planner!$C$43)</f>
        <v>-4.3575</v>
      </c>
      <c r="BI88" s="24" t="n">
        <f aca="false">BI$21*(0-Planner!$C$43)</f>
        <v>-4.8545</v>
      </c>
      <c r="BJ88" s="24" t="n">
        <f aca="false">BJ$21*(0-Planner!$C$43)</f>
        <v>-2.6565</v>
      </c>
      <c r="BK88" s="24" t="n">
        <f aca="false">BK$21*(0-Planner!$C$43)</f>
        <v>-0.6825</v>
      </c>
      <c r="BL88" s="24" t="n">
        <f aca="false">BL$21*(0-Planner!$C$43)</f>
        <v>-1.057</v>
      </c>
      <c r="BM88" s="24" t="n">
        <f aca="false">BM$21*(0-Planner!$C$43)</f>
        <v>-0.784</v>
      </c>
      <c r="BN88" s="24" t="n">
        <f aca="false">BN$21*(0-Planner!$C$43)</f>
        <v>-1.0535</v>
      </c>
      <c r="BO88" s="24" t="n">
        <f aca="false">BO$21*(0-Planner!$C$43)</f>
        <v>-1.827</v>
      </c>
      <c r="BP88" s="24" t="n">
        <f aca="false">BP$21*(0-Planner!$C$43)</f>
        <v>-0.7175</v>
      </c>
      <c r="BQ88" s="24" t="n">
        <f aca="false">BQ$21*(0-Planner!$C$43)</f>
        <v>-0.5495</v>
      </c>
      <c r="BR88" s="24" t="n">
        <f aca="false">BR$21*(0-Planner!$C$43)</f>
        <v>-0.091</v>
      </c>
      <c r="BS88" s="24" t="n">
        <f aca="false">BS$21*(0-Planner!$C$43)</f>
        <v>-0.0595</v>
      </c>
      <c r="BT88" s="24" t="n">
        <f aca="false">BT$21*(0-Planner!$C$43)</f>
        <v>-0.3815</v>
      </c>
      <c r="BU88" s="24" t="n">
        <f aca="false">BU$21*(0-Planner!$C$43)</f>
        <v>-0.4865</v>
      </c>
      <c r="BV88" s="24" t="n">
        <f aca="false">BV$21*(0-Planner!$C$43)</f>
        <v>-0.147</v>
      </c>
      <c r="BW88" s="24" t="n">
        <f aca="false">BW$21*(0-Planner!$C$43)</f>
        <v>-0.294</v>
      </c>
      <c r="BX88" s="24" t="n">
        <f aca="false">BX$21*(0-Planner!$C$43)</f>
        <v>-0.371</v>
      </c>
      <c r="BY88" s="24" t="n">
        <f aca="false">BY$21*(0-Planner!$C$43)</f>
        <v>-0.2975</v>
      </c>
      <c r="BZ88" s="24" t="n">
        <f aca="false">BZ$21*(0-Planner!$C$43)</f>
        <v>-0.8575</v>
      </c>
      <c r="CA88" s="24" t="n">
        <f aca="false">CA$21*(0-Planner!$C$43)</f>
        <v>-1.1865</v>
      </c>
      <c r="CB88" s="24" t="n">
        <f aca="false">CB$21*(0-Planner!$C$43)</f>
        <v>-0.0595</v>
      </c>
      <c r="CC88" s="24" t="n">
        <f aca="false">CC$21*(0-Planner!$C$43)</f>
        <v>-0.161</v>
      </c>
      <c r="CD88" s="24" t="n">
        <f aca="false">CD$21*(0-Planner!$C$43)</f>
        <v>-0.2205</v>
      </c>
      <c r="CE88" s="24" t="n">
        <f aca="false">CE$21*(0-Planner!$C$43)</f>
        <v>-0.252</v>
      </c>
      <c r="CF88" s="24" t="n">
        <f aca="false">CF$21*(0-Planner!$C$43)</f>
        <v>-0.189</v>
      </c>
      <c r="CG88" s="24" t="n">
        <f aca="false">CG$21*(0-Planner!$C$43)</f>
        <v>-0.399</v>
      </c>
      <c r="CH88" s="24" t="n">
        <f aca="false">CH$21*(0-Planner!$C$43)</f>
        <v>-0.287</v>
      </c>
      <c r="CI88" s="24" t="n">
        <f aca="false">CI$21*(0-Planner!$C$43)</f>
        <v>-0.371</v>
      </c>
      <c r="CJ88" s="24" t="n">
        <f aca="false">CJ$21*(0-Planner!$C$43)</f>
        <v>-0.238</v>
      </c>
      <c r="CK88" s="24" t="n">
        <f aca="false">CK$21*(0-Planner!$C$43)</f>
        <v>-0.3185</v>
      </c>
      <c r="CL88" s="24" t="n">
        <f aca="false">CL$21*(0-Planner!$C$43)</f>
        <v>-0.1645</v>
      </c>
      <c r="CM88" s="24" t="n">
        <f aca="false">CM$21*(0-Planner!$C$43)</f>
        <v>-0.3185</v>
      </c>
      <c r="CN88" s="24" t="n">
        <f aca="false">CN$21*(0-Planner!$C$43)</f>
        <v>-0.2205</v>
      </c>
      <c r="CO88" s="24" t="n">
        <f aca="false">CO$21*(0-Planner!$C$43)</f>
        <v>-0.126</v>
      </c>
      <c r="CP88" s="24" t="n">
        <f aca="false">CP$21*(0-Planner!$C$43)</f>
        <v>-0.119</v>
      </c>
      <c r="CQ88" s="24" t="n">
        <f aca="false">CQ$21*(0-Planner!$C$43)</f>
        <v>-0.189</v>
      </c>
      <c r="CR88" s="24" t="n">
        <f aca="false">CR$21*(0-Planner!$C$43)</f>
        <v>-0.147</v>
      </c>
      <c r="CS88" s="24" t="n">
        <f aca="false">CS$21*(0-Planner!$C$43)</f>
        <v>-0.245</v>
      </c>
      <c r="CT88" s="24" t="n">
        <f aca="false">CT$21*(0-Planner!$C$43)</f>
        <v>-0.763</v>
      </c>
      <c r="CU88" s="24" t="n">
        <f aca="false">CU$21*(0-Planner!$C$43)</f>
        <v>-1.0745</v>
      </c>
      <c r="CV88" s="24" t="n">
        <f aca="false">CV$21*(0-Planner!$C$43)</f>
        <v>-0.42</v>
      </c>
      <c r="CW88" s="24" t="n">
        <f aca="false">CW$21*(0-Planner!$C$43)</f>
        <v>-0.2345</v>
      </c>
      <c r="CX88" s="24" t="n">
        <f aca="false">CX$21*(0-Planner!$C$43)</f>
        <v>-0.1505</v>
      </c>
      <c r="CY88" s="24" t="n">
        <f aca="false">CY$21*(0-Planner!$C$43)</f>
        <v>-0.2135</v>
      </c>
      <c r="CZ88" s="24" t="n">
        <f aca="false">CZ$21*(0-Planner!$C$43)</f>
        <v>-0.28</v>
      </c>
      <c r="DA88" s="24" t="n">
        <f aca="false">DA$21*(0-Planner!$C$43)</f>
        <v>-0.77</v>
      </c>
      <c r="DB88" s="24" t="n">
        <f aca="false">DB$21*(0-Planner!$C$43)</f>
        <v>-0.224</v>
      </c>
      <c r="DC88" s="24" t="n">
        <f aca="false">DC$21*(0-Planner!$C$43)</f>
        <v>-0.2555</v>
      </c>
      <c r="DD88" s="24" t="n">
        <f aca="false">DD$21*(0-Planner!$C$43)</f>
        <v>-1.071</v>
      </c>
      <c r="DE88" s="24" t="n">
        <f aca="false">DE$21*(0-Planner!$C$43)</f>
        <v>-1.323</v>
      </c>
      <c r="DF88" s="24" t="n">
        <f aca="false">DF$21*(0-Planner!$C$43)</f>
        <v>-0.35</v>
      </c>
      <c r="DG88" s="24" t="n">
        <f aca="false">DG$21*(0-Planner!$C$43)</f>
        <v>-0.448</v>
      </c>
      <c r="DH88" s="24" t="n">
        <f aca="false">DH$21*(0-Planner!$C$43)</f>
        <v>-0.5005</v>
      </c>
      <c r="DI88" s="24" t="n">
        <f aca="false">DI$21*(0-Planner!$C$43)</f>
        <v>-0.3255</v>
      </c>
      <c r="DJ88" s="24" t="n">
        <f aca="false">DJ$21*(0-Planner!$C$43)</f>
        <v>-0.203</v>
      </c>
      <c r="DK88" s="24" t="n">
        <f aca="false">DK$21*(0-Planner!$C$43)</f>
        <v>-0.273</v>
      </c>
      <c r="DL88" s="24" t="n">
        <f aca="false">DL$21*(0-Planner!$C$43)</f>
        <v>-0.7035</v>
      </c>
      <c r="DM88" s="24" t="n">
        <f aca="false">DM$21*(0-Planner!$C$43)</f>
        <v>-0.2415</v>
      </c>
      <c r="DN88" s="24" t="n">
        <f aca="false">DN$21*(0-Planner!$C$43)</f>
        <v>-1.057</v>
      </c>
      <c r="DO88" s="24" t="n">
        <f aca="false">DO$21*(0-Planner!$C$43)</f>
        <v>-0.9415</v>
      </c>
      <c r="DP88" s="24" t="n">
        <f aca="false">DP$21*(0-Planner!$C$43)</f>
        <v>-0.2275</v>
      </c>
      <c r="DQ88" s="24" t="n">
        <f aca="false">DQ$21*(0-Planner!$C$43)</f>
        <v>-0.252</v>
      </c>
      <c r="DR88" s="24" t="n">
        <f aca="false">DR$21*(0-Planner!$C$43)</f>
        <v>-0.6265</v>
      </c>
      <c r="DS88" s="24" t="n">
        <f aca="false">DS$21*(0-Planner!$C$43)</f>
        <v>-0.301</v>
      </c>
      <c r="DT88" s="24" t="n">
        <f aca="false">DT$21*(0-Planner!$C$43)</f>
        <v>-0.315</v>
      </c>
      <c r="DU88" s="24" t="n">
        <f aca="false">DU$21*(0-Planner!$C$43)</f>
        <v>-0.931</v>
      </c>
      <c r="DV88" s="24" t="n">
        <f aca="false">DV$21*(0-Planner!$C$43)</f>
        <v>-1.1655</v>
      </c>
      <c r="DW88" s="24" t="n">
        <f aca="false">DW$21*(0-Planner!$C$43)</f>
        <v>-1.0815</v>
      </c>
      <c r="DX88" s="24" t="n">
        <f aca="false">DX$21*(0-Planner!$C$43)</f>
        <v>-0.8715</v>
      </c>
      <c r="DY88" s="24" t="n">
        <f aca="false">DY$21*(0-Planner!$C$43)</f>
        <v>-0.5915</v>
      </c>
      <c r="DZ88" s="24" t="n">
        <f aca="false">DZ$21*(0-Planner!$C$43)</f>
        <v>-0.385</v>
      </c>
      <c r="EA88" s="24" t="n">
        <f aca="false">EA$21*(0-Planner!$C$43)</f>
        <v>-0.385</v>
      </c>
      <c r="EB88" s="24" t="n">
        <f aca="false">EB$21*(0-Planner!$C$43)</f>
        <v>-0.238</v>
      </c>
      <c r="EC88" s="24" t="n">
        <f aca="false">EC$21*(0-Planner!$C$43)</f>
        <v>-0.3465</v>
      </c>
      <c r="ED88" s="24" t="n">
        <f aca="false">ED$21*(0-Planner!$C$43)</f>
        <v>-0.4305</v>
      </c>
      <c r="EE88" s="24" t="n">
        <f aca="false">EE$21*(0-Planner!$C$43)</f>
        <v>-0.3185</v>
      </c>
      <c r="EF88" s="24" t="n">
        <f aca="false">EF$21*(0-Planner!$C$43)</f>
        <v>-0.7385</v>
      </c>
      <c r="EG88" s="24" t="n">
        <f aca="false">EG$21*(0-Planner!$C$43)</f>
        <v>-1.001</v>
      </c>
      <c r="EH88" s="24" t="n">
        <f aca="false">EH$21*(0-Planner!$C$43)</f>
        <v>-1.2705</v>
      </c>
      <c r="EI88" s="24" t="n">
        <f aca="false">EI$21*(0-Planner!$C$43)</f>
        <v>-0.2765</v>
      </c>
      <c r="EJ88" s="24" t="n">
        <f aca="false">EJ$21*(0-Planner!$C$43)</f>
        <v>-0.308</v>
      </c>
      <c r="EK88" s="24" t="n">
        <f aca="false">EK$21*(0-Planner!$C$43)</f>
        <v>-0.8645</v>
      </c>
      <c r="EL88" s="24" t="n">
        <f aca="false">EL$21*(0-Planner!$C$43)</f>
        <v>-0.4235</v>
      </c>
      <c r="EM88" s="24" t="n">
        <f aca="false">EM$21*(0-Planner!$C$43)</f>
        <v>-0.2975</v>
      </c>
      <c r="EN88" s="24" t="n">
        <f aca="false">EN$21*(0-Planner!$C$43)</f>
        <v>-0</v>
      </c>
      <c r="EO88" s="24" t="n">
        <f aca="false">EO$21*(0-Planner!$C$43)</f>
        <v>-0</v>
      </c>
      <c r="EP88" s="24" t="n">
        <f aca="false">EP$21*(0-Planner!$C$43)</f>
        <v>-7.4025</v>
      </c>
      <c r="EQ88" s="24" t="n">
        <f aca="false">EQ$21*(0-Planner!$C$43)</f>
        <v>-0.686</v>
      </c>
      <c r="ER88" s="24" t="n">
        <f aca="false">ER$21*(0-Planner!$C$43)</f>
        <v>-1.785</v>
      </c>
      <c r="ES88" s="24" t="n">
        <f aca="false">ES$21*(0-Planner!$C$43)</f>
        <v>-1.9775</v>
      </c>
      <c r="ET88" s="24" t="n">
        <f aca="false">ET$21*(0-Planner!$C$43)</f>
        <v>-2.2365</v>
      </c>
      <c r="EU88" s="24" t="n">
        <f aca="false">EU$21*(0-Planner!$C$43)</f>
        <v>-1.225</v>
      </c>
    </row>
    <row r="89" customFormat="false" ht="15" hidden="false" customHeight="false" outlineLevel="0" collapsed="false">
      <c r="A89" s="4" t="s">
        <v>1029</v>
      </c>
      <c r="B89" s="75" t="s">
        <v>1017</v>
      </c>
      <c r="C89" s="78" t="n">
        <v>0</v>
      </c>
      <c r="D89" s="77" t="n">
        <v>-39.199999997333</v>
      </c>
      <c r="E89" s="75" t="str">
        <f aca="false">IF(D89&lt;=C89+0.000001*MAX(1,ABS(C89)),IF(ABS(D89-C89)&lt;=0.000001*MAX(1,ABS(C89)),"tight","ok"),"VIOLATED")</f>
        <v>ok</v>
      </c>
      <c r="F89" s="24" t="n">
        <f aca="false">F$21*(0-Planner!$C$43)</f>
        <v>-7.875</v>
      </c>
      <c r="G89" s="24" t="n">
        <f aca="false">G$21*(0-Planner!$C$43)</f>
        <v>-6.328</v>
      </c>
      <c r="H89" s="24" t="n">
        <f aca="false">H$21*(0-Planner!$C$43)</f>
        <v>-6.881</v>
      </c>
      <c r="I89" s="24" t="n">
        <f aca="false">I$21*(0-Planner!$C$43)</f>
        <v>-5.7155</v>
      </c>
      <c r="J89" s="24" t="n">
        <f aca="false">J$21*(0-Planner!$C$43)</f>
        <v>-6.5555</v>
      </c>
      <c r="K89" s="24" t="n">
        <f aca="false">K$21*(0-Planner!$C$43)</f>
        <v>-6.51</v>
      </c>
      <c r="L89" s="24" t="n">
        <f aca="false">L$21*(0-Planner!$C$43)</f>
        <v>-4.417</v>
      </c>
      <c r="M89" s="24" t="n">
        <f aca="false">M$21*(0-Planner!$C$43)</f>
        <v>-7.6125</v>
      </c>
      <c r="N89" s="24" t="n">
        <f aca="false">N$21*(0-Planner!$C$43)</f>
        <v>-6.0095</v>
      </c>
      <c r="O89" s="24" t="n">
        <f aca="false">O$21*(0-Planner!$C$43)</f>
        <v>-7.2975</v>
      </c>
      <c r="P89" s="24" t="n">
        <f aca="false">P$21*(0-Planner!$C$43)</f>
        <v>-5.81</v>
      </c>
      <c r="Q89" s="24" t="n">
        <f aca="false">Q$21*(0-Planner!$C$43)</f>
        <v>-7.399</v>
      </c>
      <c r="R89" s="24" t="n">
        <f aca="false">R$21*(1-Planner!$C$43)</f>
        <v>14.261</v>
      </c>
      <c r="S89" s="24" t="n">
        <f aca="false">S$21*(0-Planner!$C$43)</f>
        <v>-6.972</v>
      </c>
      <c r="T89" s="24" t="n">
        <f aca="false">T$21*(0-Planner!$C$43)</f>
        <v>-6.804</v>
      </c>
      <c r="U89" s="24" t="n">
        <f aca="false">U$21*(0-Planner!$C$43)</f>
        <v>-7.147</v>
      </c>
      <c r="V89" s="24" t="n">
        <f aca="false">V$21*(0-Planner!$C$43)</f>
        <v>-4.7635</v>
      </c>
      <c r="W89" s="24" t="n">
        <f aca="false">W$21*(0-Planner!$C$43)</f>
        <v>-7.028</v>
      </c>
      <c r="X89" s="24" t="n">
        <f aca="false">X$21*(0-Planner!$C$43)</f>
        <v>-4.396</v>
      </c>
      <c r="Y89" s="24" t="n">
        <f aca="false">Y$21*(0-Planner!$C$43)</f>
        <v>-2.1105</v>
      </c>
      <c r="Z89" s="24" t="n">
        <f aca="false">Z$21*(0-Planner!$C$43)</f>
        <v>-7.56</v>
      </c>
      <c r="AA89" s="24" t="n">
        <f aca="false">AA$21*(0-Planner!$C$43)</f>
        <v>-1.659</v>
      </c>
      <c r="AB89" s="24" t="n">
        <f aca="false">AB$21*(0-Planner!$C$43)</f>
        <v>-8.232</v>
      </c>
      <c r="AC89" s="24" t="n">
        <f aca="false">AC$21*(0-Planner!$C$43)</f>
        <v>-1.722</v>
      </c>
      <c r="AD89" s="24" t="n">
        <f aca="false">AD$21*(0-Planner!$C$43)</f>
        <v>-2.5795</v>
      </c>
      <c r="AE89" s="24" t="n">
        <f aca="false">AE$21*(0-Planner!$C$43)</f>
        <v>-7.651</v>
      </c>
      <c r="AF89" s="24" t="n">
        <f aca="false">AF$21*(0-Planner!$C$43)</f>
        <v>-1.827</v>
      </c>
      <c r="AG89" s="24" t="n">
        <f aca="false">AG$21*(0-Planner!$C$43)</f>
        <v>-8.253</v>
      </c>
      <c r="AH89" s="24" t="n">
        <f aca="false">AH$21*(0-Planner!$C$43)</f>
        <v>-8.6205</v>
      </c>
      <c r="AI89" s="24" t="n">
        <f aca="false">AI$21*(0-Planner!$C$43)</f>
        <v>-7.511</v>
      </c>
      <c r="AJ89" s="24" t="n">
        <f aca="false">AJ$21*(0-Planner!$C$43)</f>
        <v>-2.6355</v>
      </c>
      <c r="AK89" s="24" t="n">
        <f aca="false">AK$21*(0-Planner!$C$43)</f>
        <v>-7.8155</v>
      </c>
      <c r="AL89" s="24" t="n">
        <f aca="false">AL$21*(0-Planner!$C$43)</f>
        <v>-7.7735</v>
      </c>
      <c r="AM89" s="24" t="n">
        <f aca="false">AM$21*(0-Planner!$C$43)</f>
        <v>-1.61</v>
      </c>
      <c r="AN89" s="24" t="n">
        <f aca="false">AN$21*(0-Planner!$C$43)</f>
        <v>-7.497</v>
      </c>
      <c r="AO89" s="24" t="n">
        <f aca="false">AO$21*(0-Planner!$C$43)</f>
        <v>-3.535</v>
      </c>
      <c r="AP89" s="24" t="n">
        <f aca="false">AP$21*(0-Planner!$C$43)</f>
        <v>-1.155</v>
      </c>
      <c r="AQ89" s="24" t="n">
        <f aca="false">AQ$21*(0-Planner!$C$43)</f>
        <v>-3.5665</v>
      </c>
      <c r="AR89" s="24" t="n">
        <f aca="false">AR$21*(0-Planner!$C$43)</f>
        <v>-0.91</v>
      </c>
      <c r="AS89" s="24" t="n">
        <f aca="false">AS$21*(0-Planner!$C$43)</f>
        <v>-1.1025</v>
      </c>
      <c r="AT89" s="24" t="n">
        <f aca="false">AT$21*(0-Planner!$C$43)</f>
        <v>-6.3455</v>
      </c>
      <c r="AU89" s="24" t="n">
        <f aca="false">AU$21*(0-Planner!$C$43)</f>
        <v>-8.0045</v>
      </c>
      <c r="AV89" s="24" t="n">
        <f aca="false">AV$21*(0-Planner!$C$43)</f>
        <v>-3.6575</v>
      </c>
      <c r="AW89" s="24" t="n">
        <f aca="false">AW$21*(0-Planner!$C$43)</f>
        <v>-8.3125</v>
      </c>
      <c r="AX89" s="24" t="n">
        <f aca="false">AX$21*(0-Planner!$C$43)</f>
        <v>-3.696</v>
      </c>
      <c r="AY89" s="24" t="n">
        <f aca="false">AY$21*(0-Planner!$C$43)</f>
        <v>-2.639</v>
      </c>
      <c r="AZ89" s="24" t="n">
        <f aca="false">AZ$21*(0-Planner!$C$43)</f>
        <v>-4.2315</v>
      </c>
      <c r="BA89" s="24" t="n">
        <f aca="false">BA$21*(0-Planner!$C$43)</f>
        <v>-1.995</v>
      </c>
      <c r="BB89" s="24" t="n">
        <f aca="false">BB$21*(0-Planner!$C$43)</f>
        <v>-2.8035</v>
      </c>
      <c r="BC89" s="24" t="n">
        <f aca="false">BC$21*(0-Planner!$C$43)</f>
        <v>-4.942</v>
      </c>
      <c r="BD89" s="24" t="n">
        <f aca="false">BD$21*(0-Planner!$C$43)</f>
        <v>-4.6025</v>
      </c>
      <c r="BE89" s="24" t="n">
        <f aca="false">BE$21*(0-Planner!$C$43)</f>
        <v>-4.564</v>
      </c>
      <c r="BF89" s="24" t="n">
        <f aca="false">BF$21*(0-Planner!$C$43)</f>
        <v>-3.0975</v>
      </c>
      <c r="BG89" s="24" t="n">
        <f aca="false">BG$21*(0-Planner!$C$43)</f>
        <v>-2.4955</v>
      </c>
      <c r="BH89" s="24" t="n">
        <f aca="false">BH$21*(0-Planner!$C$43)</f>
        <v>-4.3575</v>
      </c>
      <c r="BI89" s="24" t="n">
        <f aca="false">BI$21*(0-Planner!$C$43)</f>
        <v>-4.8545</v>
      </c>
      <c r="BJ89" s="24" t="n">
        <f aca="false">BJ$21*(0-Planner!$C$43)</f>
        <v>-2.6565</v>
      </c>
      <c r="BK89" s="24" t="n">
        <f aca="false">BK$21*(0-Planner!$C$43)</f>
        <v>-0.6825</v>
      </c>
      <c r="BL89" s="24" t="n">
        <f aca="false">BL$21*(0-Planner!$C$43)</f>
        <v>-1.057</v>
      </c>
      <c r="BM89" s="24" t="n">
        <f aca="false">BM$21*(0-Planner!$C$43)</f>
        <v>-0.784</v>
      </c>
      <c r="BN89" s="24" t="n">
        <f aca="false">BN$21*(0-Planner!$C$43)</f>
        <v>-1.0535</v>
      </c>
      <c r="BO89" s="24" t="n">
        <f aca="false">BO$21*(0-Planner!$C$43)</f>
        <v>-1.827</v>
      </c>
      <c r="BP89" s="24" t="n">
        <f aca="false">BP$21*(0-Planner!$C$43)</f>
        <v>-0.7175</v>
      </c>
      <c r="BQ89" s="24" t="n">
        <f aca="false">BQ$21*(0-Planner!$C$43)</f>
        <v>-0.5495</v>
      </c>
      <c r="BR89" s="24" t="n">
        <f aca="false">BR$21*(0-Planner!$C$43)</f>
        <v>-0.091</v>
      </c>
      <c r="BS89" s="24" t="n">
        <f aca="false">BS$21*(0-Planner!$C$43)</f>
        <v>-0.0595</v>
      </c>
      <c r="BT89" s="24" t="n">
        <f aca="false">BT$21*(0-Planner!$C$43)</f>
        <v>-0.3815</v>
      </c>
      <c r="BU89" s="24" t="n">
        <f aca="false">BU$21*(0-Planner!$C$43)</f>
        <v>-0.4865</v>
      </c>
      <c r="BV89" s="24" t="n">
        <f aca="false">BV$21*(0-Planner!$C$43)</f>
        <v>-0.147</v>
      </c>
      <c r="BW89" s="24" t="n">
        <f aca="false">BW$21*(0-Planner!$C$43)</f>
        <v>-0.294</v>
      </c>
      <c r="BX89" s="24" t="n">
        <f aca="false">BX$21*(0-Planner!$C$43)</f>
        <v>-0.371</v>
      </c>
      <c r="BY89" s="24" t="n">
        <f aca="false">BY$21*(0-Planner!$C$43)</f>
        <v>-0.2975</v>
      </c>
      <c r="BZ89" s="24" t="n">
        <f aca="false">BZ$21*(0-Planner!$C$43)</f>
        <v>-0.8575</v>
      </c>
      <c r="CA89" s="24" t="n">
        <f aca="false">CA$21*(0-Planner!$C$43)</f>
        <v>-1.1865</v>
      </c>
      <c r="CB89" s="24" t="n">
        <f aca="false">CB$21*(0-Planner!$C$43)</f>
        <v>-0.0595</v>
      </c>
      <c r="CC89" s="24" t="n">
        <f aca="false">CC$21*(0-Planner!$C$43)</f>
        <v>-0.161</v>
      </c>
      <c r="CD89" s="24" t="n">
        <f aca="false">CD$21*(0-Planner!$C$43)</f>
        <v>-0.2205</v>
      </c>
      <c r="CE89" s="24" t="n">
        <f aca="false">CE$21*(0-Planner!$C$43)</f>
        <v>-0.252</v>
      </c>
      <c r="CF89" s="24" t="n">
        <f aca="false">CF$21*(0-Planner!$C$43)</f>
        <v>-0.189</v>
      </c>
      <c r="CG89" s="24" t="n">
        <f aca="false">CG$21*(0-Planner!$C$43)</f>
        <v>-0.399</v>
      </c>
      <c r="CH89" s="24" t="n">
        <f aca="false">CH$21*(0-Planner!$C$43)</f>
        <v>-0.287</v>
      </c>
      <c r="CI89" s="24" t="n">
        <f aca="false">CI$21*(0-Planner!$C$43)</f>
        <v>-0.371</v>
      </c>
      <c r="CJ89" s="24" t="n">
        <f aca="false">CJ$21*(0-Planner!$C$43)</f>
        <v>-0.238</v>
      </c>
      <c r="CK89" s="24" t="n">
        <f aca="false">CK$21*(0-Planner!$C$43)</f>
        <v>-0.3185</v>
      </c>
      <c r="CL89" s="24" t="n">
        <f aca="false">CL$21*(0-Planner!$C$43)</f>
        <v>-0.1645</v>
      </c>
      <c r="CM89" s="24" t="n">
        <f aca="false">CM$21*(0-Planner!$C$43)</f>
        <v>-0.3185</v>
      </c>
      <c r="CN89" s="24" t="n">
        <f aca="false">CN$21*(0-Planner!$C$43)</f>
        <v>-0.2205</v>
      </c>
      <c r="CO89" s="24" t="n">
        <f aca="false">CO$21*(0-Planner!$C$43)</f>
        <v>-0.126</v>
      </c>
      <c r="CP89" s="24" t="n">
        <f aca="false">CP$21*(0-Planner!$C$43)</f>
        <v>-0.119</v>
      </c>
      <c r="CQ89" s="24" t="n">
        <f aca="false">CQ$21*(0-Planner!$C$43)</f>
        <v>-0.189</v>
      </c>
      <c r="CR89" s="24" t="n">
        <f aca="false">CR$21*(0-Planner!$C$43)</f>
        <v>-0.147</v>
      </c>
      <c r="CS89" s="24" t="n">
        <f aca="false">CS$21*(0-Planner!$C$43)</f>
        <v>-0.245</v>
      </c>
      <c r="CT89" s="24" t="n">
        <f aca="false">CT$21*(0-Planner!$C$43)</f>
        <v>-0.763</v>
      </c>
      <c r="CU89" s="24" t="n">
        <f aca="false">CU$21*(0-Planner!$C$43)</f>
        <v>-1.0745</v>
      </c>
      <c r="CV89" s="24" t="n">
        <f aca="false">CV$21*(0-Planner!$C$43)</f>
        <v>-0.42</v>
      </c>
      <c r="CW89" s="24" t="n">
        <f aca="false">CW$21*(0-Planner!$C$43)</f>
        <v>-0.2345</v>
      </c>
      <c r="CX89" s="24" t="n">
        <f aca="false">CX$21*(0-Planner!$C$43)</f>
        <v>-0.1505</v>
      </c>
      <c r="CY89" s="24" t="n">
        <f aca="false">CY$21*(0-Planner!$C$43)</f>
        <v>-0.2135</v>
      </c>
      <c r="CZ89" s="24" t="n">
        <f aca="false">CZ$21*(0-Planner!$C$43)</f>
        <v>-0.28</v>
      </c>
      <c r="DA89" s="24" t="n">
        <f aca="false">DA$21*(0-Planner!$C$43)</f>
        <v>-0.77</v>
      </c>
      <c r="DB89" s="24" t="n">
        <f aca="false">DB$21*(0-Planner!$C$43)</f>
        <v>-0.224</v>
      </c>
      <c r="DC89" s="24" t="n">
        <f aca="false">DC$21*(0-Planner!$C$43)</f>
        <v>-0.2555</v>
      </c>
      <c r="DD89" s="24" t="n">
        <f aca="false">DD$21*(0-Planner!$C$43)</f>
        <v>-1.071</v>
      </c>
      <c r="DE89" s="24" t="n">
        <f aca="false">DE$21*(0-Planner!$C$43)</f>
        <v>-1.323</v>
      </c>
      <c r="DF89" s="24" t="n">
        <f aca="false">DF$21*(0-Planner!$C$43)</f>
        <v>-0.35</v>
      </c>
      <c r="DG89" s="24" t="n">
        <f aca="false">DG$21*(0-Planner!$C$43)</f>
        <v>-0.448</v>
      </c>
      <c r="DH89" s="24" t="n">
        <f aca="false">DH$21*(0-Planner!$C$43)</f>
        <v>-0.5005</v>
      </c>
      <c r="DI89" s="24" t="n">
        <f aca="false">DI$21*(0-Planner!$C$43)</f>
        <v>-0.3255</v>
      </c>
      <c r="DJ89" s="24" t="n">
        <f aca="false">DJ$21*(0-Planner!$C$43)</f>
        <v>-0.203</v>
      </c>
      <c r="DK89" s="24" t="n">
        <f aca="false">DK$21*(0-Planner!$C$43)</f>
        <v>-0.273</v>
      </c>
      <c r="DL89" s="24" t="n">
        <f aca="false">DL$21*(0-Planner!$C$43)</f>
        <v>-0.7035</v>
      </c>
      <c r="DM89" s="24" t="n">
        <f aca="false">DM$21*(0-Planner!$C$43)</f>
        <v>-0.2415</v>
      </c>
      <c r="DN89" s="24" t="n">
        <f aca="false">DN$21*(0-Planner!$C$43)</f>
        <v>-1.057</v>
      </c>
      <c r="DO89" s="24" t="n">
        <f aca="false">DO$21*(0-Planner!$C$43)</f>
        <v>-0.9415</v>
      </c>
      <c r="DP89" s="24" t="n">
        <f aca="false">DP$21*(0-Planner!$C$43)</f>
        <v>-0.2275</v>
      </c>
      <c r="DQ89" s="24" t="n">
        <f aca="false">DQ$21*(0-Planner!$C$43)</f>
        <v>-0.252</v>
      </c>
      <c r="DR89" s="24" t="n">
        <f aca="false">DR$21*(0-Planner!$C$43)</f>
        <v>-0.6265</v>
      </c>
      <c r="DS89" s="24" t="n">
        <f aca="false">DS$21*(0-Planner!$C$43)</f>
        <v>-0.301</v>
      </c>
      <c r="DT89" s="24" t="n">
        <f aca="false">DT$21*(0-Planner!$C$43)</f>
        <v>-0.315</v>
      </c>
      <c r="DU89" s="24" t="n">
        <f aca="false">DU$21*(0-Planner!$C$43)</f>
        <v>-0.931</v>
      </c>
      <c r="DV89" s="24" t="n">
        <f aca="false">DV$21*(0-Planner!$C$43)</f>
        <v>-1.1655</v>
      </c>
      <c r="DW89" s="24" t="n">
        <f aca="false">DW$21*(0-Planner!$C$43)</f>
        <v>-1.0815</v>
      </c>
      <c r="DX89" s="24" t="n">
        <f aca="false">DX$21*(0-Planner!$C$43)</f>
        <v>-0.8715</v>
      </c>
      <c r="DY89" s="24" t="n">
        <f aca="false">DY$21*(0-Planner!$C$43)</f>
        <v>-0.5915</v>
      </c>
      <c r="DZ89" s="24" t="n">
        <f aca="false">DZ$21*(0-Planner!$C$43)</f>
        <v>-0.385</v>
      </c>
      <c r="EA89" s="24" t="n">
        <f aca="false">EA$21*(0-Planner!$C$43)</f>
        <v>-0.385</v>
      </c>
      <c r="EB89" s="24" t="n">
        <f aca="false">EB$21*(0-Planner!$C$43)</f>
        <v>-0.238</v>
      </c>
      <c r="EC89" s="24" t="n">
        <f aca="false">EC$21*(0-Planner!$C$43)</f>
        <v>-0.3465</v>
      </c>
      <c r="ED89" s="24" t="n">
        <f aca="false">ED$21*(0-Planner!$C$43)</f>
        <v>-0.4305</v>
      </c>
      <c r="EE89" s="24" t="n">
        <f aca="false">EE$21*(0-Planner!$C$43)</f>
        <v>-0.3185</v>
      </c>
      <c r="EF89" s="24" t="n">
        <f aca="false">EF$21*(0-Planner!$C$43)</f>
        <v>-0.7385</v>
      </c>
      <c r="EG89" s="24" t="n">
        <f aca="false">EG$21*(0-Planner!$C$43)</f>
        <v>-1.001</v>
      </c>
      <c r="EH89" s="24" t="n">
        <f aca="false">EH$21*(0-Planner!$C$43)</f>
        <v>-1.2705</v>
      </c>
      <c r="EI89" s="24" t="n">
        <f aca="false">EI$21*(0-Planner!$C$43)</f>
        <v>-0.2765</v>
      </c>
      <c r="EJ89" s="24" t="n">
        <f aca="false">EJ$21*(0-Planner!$C$43)</f>
        <v>-0.308</v>
      </c>
      <c r="EK89" s="24" t="n">
        <f aca="false">EK$21*(0-Planner!$C$43)</f>
        <v>-0.8645</v>
      </c>
      <c r="EL89" s="24" t="n">
        <f aca="false">EL$21*(0-Planner!$C$43)</f>
        <v>-0.4235</v>
      </c>
      <c r="EM89" s="24" t="n">
        <f aca="false">EM$21*(0-Planner!$C$43)</f>
        <v>-0.2975</v>
      </c>
      <c r="EN89" s="24" t="n">
        <f aca="false">EN$21*(0-Planner!$C$43)</f>
        <v>-0</v>
      </c>
      <c r="EO89" s="24" t="n">
        <f aca="false">EO$21*(0-Planner!$C$43)</f>
        <v>-0</v>
      </c>
      <c r="EP89" s="24" t="n">
        <f aca="false">EP$21*(0-Planner!$C$43)</f>
        <v>-7.4025</v>
      </c>
      <c r="EQ89" s="24" t="n">
        <f aca="false">EQ$21*(0-Planner!$C$43)</f>
        <v>-0.686</v>
      </c>
      <c r="ER89" s="24" t="n">
        <f aca="false">ER$21*(0-Planner!$C$43)</f>
        <v>-1.785</v>
      </c>
      <c r="ES89" s="24" t="n">
        <f aca="false">ES$21*(0-Planner!$C$43)</f>
        <v>-1.9775</v>
      </c>
      <c r="ET89" s="24" t="n">
        <f aca="false">ET$21*(0-Planner!$C$43)</f>
        <v>-2.2365</v>
      </c>
      <c r="EU89" s="24" t="n">
        <f aca="false">EU$21*(0-Planner!$C$43)</f>
        <v>-1.225</v>
      </c>
    </row>
    <row r="90" customFormat="false" ht="15" hidden="false" customHeight="false" outlineLevel="0" collapsed="false">
      <c r="A90" s="4" t="s">
        <v>1030</v>
      </c>
      <c r="B90" s="75" t="s">
        <v>1017</v>
      </c>
      <c r="C90" s="78" t="n">
        <v>0</v>
      </c>
      <c r="D90" s="77" t="n">
        <v>-39.199999997333</v>
      </c>
      <c r="E90" s="75" t="str">
        <f aca="false">IF(D90&lt;=C90+0.000001*MAX(1,ABS(C90)),IF(ABS(D90-C90)&lt;=0.000001*MAX(1,ABS(C90)),"tight","ok"),"VIOLATED")</f>
        <v>ok</v>
      </c>
      <c r="F90" s="24" t="n">
        <f aca="false">F$21*(0-Planner!$C$43)</f>
        <v>-7.875</v>
      </c>
      <c r="G90" s="24" t="n">
        <f aca="false">G$21*(0-Planner!$C$43)</f>
        <v>-6.328</v>
      </c>
      <c r="H90" s="24" t="n">
        <f aca="false">H$21*(0-Planner!$C$43)</f>
        <v>-6.881</v>
      </c>
      <c r="I90" s="24" t="n">
        <f aca="false">I$21*(0-Planner!$C$43)</f>
        <v>-5.7155</v>
      </c>
      <c r="J90" s="24" t="n">
        <f aca="false">J$21*(0-Planner!$C$43)</f>
        <v>-6.5555</v>
      </c>
      <c r="K90" s="24" t="n">
        <f aca="false">K$21*(0-Planner!$C$43)</f>
        <v>-6.51</v>
      </c>
      <c r="L90" s="24" t="n">
        <f aca="false">L$21*(0-Planner!$C$43)</f>
        <v>-4.417</v>
      </c>
      <c r="M90" s="24" t="n">
        <f aca="false">M$21*(0-Planner!$C$43)</f>
        <v>-7.6125</v>
      </c>
      <c r="N90" s="24" t="n">
        <f aca="false">N$21*(0-Planner!$C$43)</f>
        <v>-6.0095</v>
      </c>
      <c r="O90" s="24" t="n">
        <f aca="false">O$21*(0-Planner!$C$43)</f>
        <v>-7.2975</v>
      </c>
      <c r="P90" s="24" t="n">
        <f aca="false">P$21*(0-Planner!$C$43)</f>
        <v>-5.81</v>
      </c>
      <c r="Q90" s="24" t="n">
        <f aca="false">Q$21*(0-Planner!$C$43)</f>
        <v>-7.399</v>
      </c>
      <c r="R90" s="24" t="n">
        <f aca="false">R$21*(0-Planner!$C$43)</f>
        <v>-7.679</v>
      </c>
      <c r="S90" s="24" t="n">
        <f aca="false">S$21*(1-Planner!$C$43)</f>
        <v>12.948</v>
      </c>
      <c r="T90" s="24" t="n">
        <f aca="false">T$21*(0-Planner!$C$43)</f>
        <v>-6.804</v>
      </c>
      <c r="U90" s="24" t="n">
        <f aca="false">U$21*(0-Planner!$C$43)</f>
        <v>-7.147</v>
      </c>
      <c r="V90" s="24" t="n">
        <f aca="false">V$21*(0-Planner!$C$43)</f>
        <v>-4.7635</v>
      </c>
      <c r="W90" s="24" t="n">
        <f aca="false">W$21*(0-Planner!$C$43)</f>
        <v>-7.028</v>
      </c>
      <c r="X90" s="24" t="n">
        <f aca="false">X$21*(0-Planner!$C$43)</f>
        <v>-4.396</v>
      </c>
      <c r="Y90" s="24" t="n">
        <f aca="false">Y$21*(0-Planner!$C$43)</f>
        <v>-2.1105</v>
      </c>
      <c r="Z90" s="24" t="n">
        <f aca="false">Z$21*(0-Planner!$C$43)</f>
        <v>-7.56</v>
      </c>
      <c r="AA90" s="24" t="n">
        <f aca="false">AA$21*(0-Planner!$C$43)</f>
        <v>-1.659</v>
      </c>
      <c r="AB90" s="24" t="n">
        <f aca="false">AB$21*(0-Planner!$C$43)</f>
        <v>-8.232</v>
      </c>
      <c r="AC90" s="24" t="n">
        <f aca="false">AC$21*(0-Planner!$C$43)</f>
        <v>-1.722</v>
      </c>
      <c r="AD90" s="24" t="n">
        <f aca="false">AD$21*(0-Planner!$C$43)</f>
        <v>-2.5795</v>
      </c>
      <c r="AE90" s="24" t="n">
        <f aca="false">AE$21*(0-Planner!$C$43)</f>
        <v>-7.651</v>
      </c>
      <c r="AF90" s="24" t="n">
        <f aca="false">AF$21*(0-Planner!$C$43)</f>
        <v>-1.827</v>
      </c>
      <c r="AG90" s="24" t="n">
        <f aca="false">AG$21*(0-Planner!$C$43)</f>
        <v>-8.253</v>
      </c>
      <c r="AH90" s="24" t="n">
        <f aca="false">AH$21*(0-Planner!$C$43)</f>
        <v>-8.6205</v>
      </c>
      <c r="AI90" s="24" t="n">
        <f aca="false">AI$21*(0-Planner!$C$43)</f>
        <v>-7.511</v>
      </c>
      <c r="AJ90" s="24" t="n">
        <f aca="false">AJ$21*(0-Planner!$C$43)</f>
        <v>-2.6355</v>
      </c>
      <c r="AK90" s="24" t="n">
        <f aca="false">AK$21*(0-Planner!$C$43)</f>
        <v>-7.8155</v>
      </c>
      <c r="AL90" s="24" t="n">
        <f aca="false">AL$21*(0-Planner!$C$43)</f>
        <v>-7.7735</v>
      </c>
      <c r="AM90" s="24" t="n">
        <f aca="false">AM$21*(0-Planner!$C$43)</f>
        <v>-1.61</v>
      </c>
      <c r="AN90" s="24" t="n">
        <f aca="false">AN$21*(0-Planner!$C$43)</f>
        <v>-7.497</v>
      </c>
      <c r="AO90" s="24" t="n">
        <f aca="false">AO$21*(0-Planner!$C$43)</f>
        <v>-3.535</v>
      </c>
      <c r="AP90" s="24" t="n">
        <f aca="false">AP$21*(0-Planner!$C$43)</f>
        <v>-1.155</v>
      </c>
      <c r="AQ90" s="24" t="n">
        <f aca="false">AQ$21*(0-Planner!$C$43)</f>
        <v>-3.5665</v>
      </c>
      <c r="AR90" s="24" t="n">
        <f aca="false">AR$21*(0-Planner!$C$43)</f>
        <v>-0.91</v>
      </c>
      <c r="AS90" s="24" t="n">
        <f aca="false">AS$21*(0-Planner!$C$43)</f>
        <v>-1.1025</v>
      </c>
      <c r="AT90" s="24" t="n">
        <f aca="false">AT$21*(0-Planner!$C$43)</f>
        <v>-6.3455</v>
      </c>
      <c r="AU90" s="24" t="n">
        <f aca="false">AU$21*(0-Planner!$C$43)</f>
        <v>-8.0045</v>
      </c>
      <c r="AV90" s="24" t="n">
        <f aca="false">AV$21*(0-Planner!$C$43)</f>
        <v>-3.6575</v>
      </c>
      <c r="AW90" s="24" t="n">
        <f aca="false">AW$21*(0-Planner!$C$43)</f>
        <v>-8.3125</v>
      </c>
      <c r="AX90" s="24" t="n">
        <f aca="false">AX$21*(0-Planner!$C$43)</f>
        <v>-3.696</v>
      </c>
      <c r="AY90" s="24" t="n">
        <f aca="false">AY$21*(0-Planner!$C$43)</f>
        <v>-2.639</v>
      </c>
      <c r="AZ90" s="24" t="n">
        <f aca="false">AZ$21*(0-Planner!$C$43)</f>
        <v>-4.2315</v>
      </c>
      <c r="BA90" s="24" t="n">
        <f aca="false">BA$21*(0-Planner!$C$43)</f>
        <v>-1.995</v>
      </c>
      <c r="BB90" s="24" t="n">
        <f aca="false">BB$21*(0-Planner!$C$43)</f>
        <v>-2.8035</v>
      </c>
      <c r="BC90" s="24" t="n">
        <f aca="false">BC$21*(0-Planner!$C$43)</f>
        <v>-4.942</v>
      </c>
      <c r="BD90" s="24" t="n">
        <f aca="false">BD$21*(0-Planner!$C$43)</f>
        <v>-4.6025</v>
      </c>
      <c r="BE90" s="24" t="n">
        <f aca="false">BE$21*(0-Planner!$C$43)</f>
        <v>-4.564</v>
      </c>
      <c r="BF90" s="24" t="n">
        <f aca="false">BF$21*(0-Planner!$C$43)</f>
        <v>-3.0975</v>
      </c>
      <c r="BG90" s="24" t="n">
        <f aca="false">BG$21*(0-Planner!$C$43)</f>
        <v>-2.4955</v>
      </c>
      <c r="BH90" s="24" t="n">
        <f aca="false">BH$21*(0-Planner!$C$43)</f>
        <v>-4.3575</v>
      </c>
      <c r="BI90" s="24" t="n">
        <f aca="false">BI$21*(0-Planner!$C$43)</f>
        <v>-4.8545</v>
      </c>
      <c r="BJ90" s="24" t="n">
        <f aca="false">BJ$21*(0-Planner!$C$43)</f>
        <v>-2.6565</v>
      </c>
      <c r="BK90" s="24" t="n">
        <f aca="false">BK$21*(0-Planner!$C$43)</f>
        <v>-0.6825</v>
      </c>
      <c r="BL90" s="24" t="n">
        <f aca="false">BL$21*(0-Planner!$C$43)</f>
        <v>-1.057</v>
      </c>
      <c r="BM90" s="24" t="n">
        <f aca="false">BM$21*(0-Planner!$C$43)</f>
        <v>-0.784</v>
      </c>
      <c r="BN90" s="24" t="n">
        <f aca="false">BN$21*(0-Planner!$C$43)</f>
        <v>-1.0535</v>
      </c>
      <c r="BO90" s="24" t="n">
        <f aca="false">BO$21*(0-Planner!$C$43)</f>
        <v>-1.827</v>
      </c>
      <c r="BP90" s="24" t="n">
        <f aca="false">BP$21*(0-Planner!$C$43)</f>
        <v>-0.7175</v>
      </c>
      <c r="BQ90" s="24" t="n">
        <f aca="false">BQ$21*(0-Planner!$C$43)</f>
        <v>-0.5495</v>
      </c>
      <c r="BR90" s="24" t="n">
        <f aca="false">BR$21*(0-Planner!$C$43)</f>
        <v>-0.091</v>
      </c>
      <c r="BS90" s="24" t="n">
        <f aca="false">BS$21*(0-Planner!$C$43)</f>
        <v>-0.0595</v>
      </c>
      <c r="BT90" s="24" t="n">
        <f aca="false">BT$21*(0-Planner!$C$43)</f>
        <v>-0.3815</v>
      </c>
      <c r="BU90" s="24" t="n">
        <f aca="false">BU$21*(0-Planner!$C$43)</f>
        <v>-0.4865</v>
      </c>
      <c r="BV90" s="24" t="n">
        <f aca="false">BV$21*(0-Planner!$C$43)</f>
        <v>-0.147</v>
      </c>
      <c r="BW90" s="24" t="n">
        <f aca="false">BW$21*(0-Planner!$C$43)</f>
        <v>-0.294</v>
      </c>
      <c r="BX90" s="24" t="n">
        <f aca="false">BX$21*(0-Planner!$C$43)</f>
        <v>-0.371</v>
      </c>
      <c r="BY90" s="24" t="n">
        <f aca="false">BY$21*(0-Planner!$C$43)</f>
        <v>-0.2975</v>
      </c>
      <c r="BZ90" s="24" t="n">
        <f aca="false">BZ$21*(0-Planner!$C$43)</f>
        <v>-0.8575</v>
      </c>
      <c r="CA90" s="24" t="n">
        <f aca="false">CA$21*(0-Planner!$C$43)</f>
        <v>-1.1865</v>
      </c>
      <c r="CB90" s="24" t="n">
        <f aca="false">CB$21*(0-Planner!$C$43)</f>
        <v>-0.0595</v>
      </c>
      <c r="CC90" s="24" t="n">
        <f aca="false">CC$21*(0-Planner!$C$43)</f>
        <v>-0.161</v>
      </c>
      <c r="CD90" s="24" t="n">
        <f aca="false">CD$21*(0-Planner!$C$43)</f>
        <v>-0.2205</v>
      </c>
      <c r="CE90" s="24" t="n">
        <f aca="false">CE$21*(0-Planner!$C$43)</f>
        <v>-0.252</v>
      </c>
      <c r="CF90" s="24" t="n">
        <f aca="false">CF$21*(0-Planner!$C$43)</f>
        <v>-0.189</v>
      </c>
      <c r="CG90" s="24" t="n">
        <f aca="false">CG$21*(0-Planner!$C$43)</f>
        <v>-0.399</v>
      </c>
      <c r="CH90" s="24" t="n">
        <f aca="false">CH$21*(0-Planner!$C$43)</f>
        <v>-0.287</v>
      </c>
      <c r="CI90" s="24" t="n">
        <f aca="false">CI$21*(0-Planner!$C$43)</f>
        <v>-0.371</v>
      </c>
      <c r="CJ90" s="24" t="n">
        <f aca="false">CJ$21*(0-Planner!$C$43)</f>
        <v>-0.238</v>
      </c>
      <c r="CK90" s="24" t="n">
        <f aca="false">CK$21*(0-Planner!$C$43)</f>
        <v>-0.3185</v>
      </c>
      <c r="CL90" s="24" t="n">
        <f aca="false">CL$21*(0-Planner!$C$43)</f>
        <v>-0.1645</v>
      </c>
      <c r="CM90" s="24" t="n">
        <f aca="false">CM$21*(0-Planner!$C$43)</f>
        <v>-0.3185</v>
      </c>
      <c r="CN90" s="24" t="n">
        <f aca="false">CN$21*(0-Planner!$C$43)</f>
        <v>-0.2205</v>
      </c>
      <c r="CO90" s="24" t="n">
        <f aca="false">CO$21*(0-Planner!$C$43)</f>
        <v>-0.126</v>
      </c>
      <c r="CP90" s="24" t="n">
        <f aca="false">CP$21*(0-Planner!$C$43)</f>
        <v>-0.119</v>
      </c>
      <c r="CQ90" s="24" t="n">
        <f aca="false">CQ$21*(0-Planner!$C$43)</f>
        <v>-0.189</v>
      </c>
      <c r="CR90" s="24" t="n">
        <f aca="false">CR$21*(0-Planner!$C$43)</f>
        <v>-0.147</v>
      </c>
      <c r="CS90" s="24" t="n">
        <f aca="false">CS$21*(0-Planner!$C$43)</f>
        <v>-0.245</v>
      </c>
      <c r="CT90" s="24" t="n">
        <f aca="false">CT$21*(0-Planner!$C$43)</f>
        <v>-0.763</v>
      </c>
      <c r="CU90" s="24" t="n">
        <f aca="false">CU$21*(0-Planner!$C$43)</f>
        <v>-1.0745</v>
      </c>
      <c r="CV90" s="24" t="n">
        <f aca="false">CV$21*(0-Planner!$C$43)</f>
        <v>-0.42</v>
      </c>
      <c r="CW90" s="24" t="n">
        <f aca="false">CW$21*(0-Planner!$C$43)</f>
        <v>-0.2345</v>
      </c>
      <c r="CX90" s="24" t="n">
        <f aca="false">CX$21*(0-Planner!$C$43)</f>
        <v>-0.1505</v>
      </c>
      <c r="CY90" s="24" t="n">
        <f aca="false">CY$21*(0-Planner!$C$43)</f>
        <v>-0.2135</v>
      </c>
      <c r="CZ90" s="24" t="n">
        <f aca="false">CZ$21*(0-Planner!$C$43)</f>
        <v>-0.28</v>
      </c>
      <c r="DA90" s="24" t="n">
        <f aca="false">DA$21*(0-Planner!$C$43)</f>
        <v>-0.77</v>
      </c>
      <c r="DB90" s="24" t="n">
        <f aca="false">DB$21*(0-Planner!$C$43)</f>
        <v>-0.224</v>
      </c>
      <c r="DC90" s="24" t="n">
        <f aca="false">DC$21*(0-Planner!$C$43)</f>
        <v>-0.2555</v>
      </c>
      <c r="DD90" s="24" t="n">
        <f aca="false">DD$21*(0-Planner!$C$43)</f>
        <v>-1.071</v>
      </c>
      <c r="DE90" s="24" t="n">
        <f aca="false">DE$21*(0-Planner!$C$43)</f>
        <v>-1.323</v>
      </c>
      <c r="DF90" s="24" t="n">
        <f aca="false">DF$21*(0-Planner!$C$43)</f>
        <v>-0.35</v>
      </c>
      <c r="DG90" s="24" t="n">
        <f aca="false">DG$21*(0-Planner!$C$43)</f>
        <v>-0.448</v>
      </c>
      <c r="DH90" s="24" t="n">
        <f aca="false">DH$21*(0-Planner!$C$43)</f>
        <v>-0.5005</v>
      </c>
      <c r="DI90" s="24" t="n">
        <f aca="false">DI$21*(0-Planner!$C$43)</f>
        <v>-0.3255</v>
      </c>
      <c r="DJ90" s="24" t="n">
        <f aca="false">DJ$21*(0-Planner!$C$43)</f>
        <v>-0.203</v>
      </c>
      <c r="DK90" s="24" t="n">
        <f aca="false">DK$21*(0-Planner!$C$43)</f>
        <v>-0.273</v>
      </c>
      <c r="DL90" s="24" t="n">
        <f aca="false">DL$21*(0-Planner!$C$43)</f>
        <v>-0.7035</v>
      </c>
      <c r="DM90" s="24" t="n">
        <f aca="false">DM$21*(0-Planner!$C$43)</f>
        <v>-0.2415</v>
      </c>
      <c r="DN90" s="24" t="n">
        <f aca="false">DN$21*(0-Planner!$C$43)</f>
        <v>-1.057</v>
      </c>
      <c r="DO90" s="24" t="n">
        <f aca="false">DO$21*(0-Planner!$C$43)</f>
        <v>-0.9415</v>
      </c>
      <c r="DP90" s="24" t="n">
        <f aca="false">DP$21*(0-Planner!$C$43)</f>
        <v>-0.2275</v>
      </c>
      <c r="DQ90" s="24" t="n">
        <f aca="false">DQ$21*(0-Planner!$C$43)</f>
        <v>-0.252</v>
      </c>
      <c r="DR90" s="24" t="n">
        <f aca="false">DR$21*(0-Planner!$C$43)</f>
        <v>-0.6265</v>
      </c>
      <c r="DS90" s="24" t="n">
        <f aca="false">DS$21*(0-Planner!$C$43)</f>
        <v>-0.301</v>
      </c>
      <c r="DT90" s="24" t="n">
        <f aca="false">DT$21*(0-Planner!$C$43)</f>
        <v>-0.315</v>
      </c>
      <c r="DU90" s="24" t="n">
        <f aca="false">DU$21*(0-Planner!$C$43)</f>
        <v>-0.931</v>
      </c>
      <c r="DV90" s="24" t="n">
        <f aca="false">DV$21*(0-Planner!$C$43)</f>
        <v>-1.1655</v>
      </c>
      <c r="DW90" s="24" t="n">
        <f aca="false">DW$21*(0-Planner!$C$43)</f>
        <v>-1.0815</v>
      </c>
      <c r="DX90" s="24" t="n">
        <f aca="false">DX$21*(0-Planner!$C$43)</f>
        <v>-0.8715</v>
      </c>
      <c r="DY90" s="24" t="n">
        <f aca="false">DY$21*(0-Planner!$C$43)</f>
        <v>-0.5915</v>
      </c>
      <c r="DZ90" s="24" t="n">
        <f aca="false">DZ$21*(0-Planner!$C$43)</f>
        <v>-0.385</v>
      </c>
      <c r="EA90" s="24" t="n">
        <f aca="false">EA$21*(0-Planner!$C$43)</f>
        <v>-0.385</v>
      </c>
      <c r="EB90" s="24" t="n">
        <f aca="false">EB$21*(0-Planner!$C$43)</f>
        <v>-0.238</v>
      </c>
      <c r="EC90" s="24" t="n">
        <f aca="false">EC$21*(0-Planner!$C$43)</f>
        <v>-0.3465</v>
      </c>
      <c r="ED90" s="24" t="n">
        <f aca="false">ED$21*(0-Planner!$C$43)</f>
        <v>-0.4305</v>
      </c>
      <c r="EE90" s="24" t="n">
        <f aca="false">EE$21*(0-Planner!$C$43)</f>
        <v>-0.3185</v>
      </c>
      <c r="EF90" s="24" t="n">
        <f aca="false">EF$21*(0-Planner!$C$43)</f>
        <v>-0.7385</v>
      </c>
      <c r="EG90" s="24" t="n">
        <f aca="false">EG$21*(0-Planner!$C$43)</f>
        <v>-1.001</v>
      </c>
      <c r="EH90" s="24" t="n">
        <f aca="false">EH$21*(0-Planner!$C$43)</f>
        <v>-1.2705</v>
      </c>
      <c r="EI90" s="24" t="n">
        <f aca="false">EI$21*(0-Planner!$C$43)</f>
        <v>-0.2765</v>
      </c>
      <c r="EJ90" s="24" t="n">
        <f aca="false">EJ$21*(0-Planner!$C$43)</f>
        <v>-0.308</v>
      </c>
      <c r="EK90" s="24" t="n">
        <f aca="false">EK$21*(0-Planner!$C$43)</f>
        <v>-0.8645</v>
      </c>
      <c r="EL90" s="24" t="n">
        <f aca="false">EL$21*(0-Planner!$C$43)</f>
        <v>-0.4235</v>
      </c>
      <c r="EM90" s="24" t="n">
        <f aca="false">EM$21*(0-Planner!$C$43)</f>
        <v>-0.2975</v>
      </c>
      <c r="EN90" s="24" t="n">
        <f aca="false">EN$21*(0-Planner!$C$43)</f>
        <v>-0</v>
      </c>
      <c r="EO90" s="24" t="n">
        <f aca="false">EO$21*(0-Planner!$C$43)</f>
        <v>-0</v>
      </c>
      <c r="EP90" s="24" t="n">
        <f aca="false">EP$21*(0-Planner!$C$43)</f>
        <v>-7.4025</v>
      </c>
      <c r="EQ90" s="24" t="n">
        <f aca="false">EQ$21*(0-Planner!$C$43)</f>
        <v>-0.686</v>
      </c>
      <c r="ER90" s="24" t="n">
        <f aca="false">ER$21*(0-Planner!$C$43)</f>
        <v>-1.785</v>
      </c>
      <c r="ES90" s="24" t="n">
        <f aca="false">ES$21*(0-Planner!$C$43)</f>
        <v>-1.9775</v>
      </c>
      <c r="ET90" s="24" t="n">
        <f aca="false">ET$21*(0-Planner!$C$43)</f>
        <v>-2.2365</v>
      </c>
      <c r="EU90" s="24" t="n">
        <f aca="false">EU$21*(0-Planner!$C$43)</f>
        <v>-1.225</v>
      </c>
    </row>
    <row r="91" customFormat="false" ht="15" hidden="false" customHeight="false" outlineLevel="0" collapsed="false">
      <c r="A91" s="4" t="s">
        <v>1031</v>
      </c>
      <c r="B91" s="75" t="s">
        <v>1017</v>
      </c>
      <c r="C91" s="78" t="n">
        <v>0</v>
      </c>
      <c r="D91" s="77" t="n">
        <v>-39.199999997333</v>
      </c>
      <c r="E91" s="75" t="str">
        <f aca="false">IF(D91&lt;=C91+0.000001*MAX(1,ABS(C91)),IF(ABS(D91-C91)&lt;=0.000001*MAX(1,ABS(C91)),"tight","ok"),"VIOLATED")</f>
        <v>ok</v>
      </c>
      <c r="F91" s="24" t="n">
        <f aca="false">F$21*(0-Planner!$C$43)</f>
        <v>-7.875</v>
      </c>
      <c r="G91" s="24" t="n">
        <f aca="false">G$21*(0-Planner!$C$43)</f>
        <v>-6.328</v>
      </c>
      <c r="H91" s="24" t="n">
        <f aca="false">H$21*(0-Planner!$C$43)</f>
        <v>-6.881</v>
      </c>
      <c r="I91" s="24" t="n">
        <f aca="false">I$21*(0-Planner!$C$43)</f>
        <v>-5.7155</v>
      </c>
      <c r="J91" s="24" t="n">
        <f aca="false">J$21*(0-Planner!$C$43)</f>
        <v>-6.5555</v>
      </c>
      <c r="K91" s="24" t="n">
        <f aca="false">K$21*(0-Planner!$C$43)</f>
        <v>-6.51</v>
      </c>
      <c r="L91" s="24" t="n">
        <f aca="false">L$21*(0-Planner!$C$43)</f>
        <v>-4.417</v>
      </c>
      <c r="M91" s="24" t="n">
        <f aca="false">M$21*(0-Planner!$C$43)</f>
        <v>-7.6125</v>
      </c>
      <c r="N91" s="24" t="n">
        <f aca="false">N$21*(0-Planner!$C$43)</f>
        <v>-6.0095</v>
      </c>
      <c r="O91" s="24" t="n">
        <f aca="false">O$21*(0-Planner!$C$43)</f>
        <v>-7.2975</v>
      </c>
      <c r="P91" s="24" t="n">
        <f aca="false">P$21*(0-Planner!$C$43)</f>
        <v>-5.81</v>
      </c>
      <c r="Q91" s="24" t="n">
        <f aca="false">Q$21*(0-Planner!$C$43)</f>
        <v>-7.399</v>
      </c>
      <c r="R91" s="24" t="n">
        <f aca="false">R$21*(0-Planner!$C$43)</f>
        <v>-7.679</v>
      </c>
      <c r="S91" s="24" t="n">
        <f aca="false">S$21*(0-Planner!$C$43)</f>
        <v>-6.972</v>
      </c>
      <c r="T91" s="24" t="n">
        <f aca="false">T$21*(1-Planner!$C$43)</f>
        <v>12.636</v>
      </c>
      <c r="U91" s="24" t="n">
        <f aca="false">U$21*(0-Planner!$C$43)</f>
        <v>-7.147</v>
      </c>
      <c r="V91" s="24" t="n">
        <f aca="false">V$21*(0-Planner!$C$43)</f>
        <v>-4.7635</v>
      </c>
      <c r="W91" s="24" t="n">
        <f aca="false">W$21*(0-Planner!$C$43)</f>
        <v>-7.028</v>
      </c>
      <c r="X91" s="24" t="n">
        <f aca="false">X$21*(0-Planner!$C$43)</f>
        <v>-4.396</v>
      </c>
      <c r="Y91" s="24" t="n">
        <f aca="false">Y$21*(0-Planner!$C$43)</f>
        <v>-2.1105</v>
      </c>
      <c r="Z91" s="24" t="n">
        <f aca="false">Z$21*(0-Planner!$C$43)</f>
        <v>-7.56</v>
      </c>
      <c r="AA91" s="24" t="n">
        <f aca="false">AA$21*(0-Planner!$C$43)</f>
        <v>-1.659</v>
      </c>
      <c r="AB91" s="24" t="n">
        <f aca="false">AB$21*(0-Planner!$C$43)</f>
        <v>-8.232</v>
      </c>
      <c r="AC91" s="24" t="n">
        <f aca="false">AC$21*(0-Planner!$C$43)</f>
        <v>-1.722</v>
      </c>
      <c r="AD91" s="24" t="n">
        <f aca="false">AD$21*(0-Planner!$C$43)</f>
        <v>-2.5795</v>
      </c>
      <c r="AE91" s="24" t="n">
        <f aca="false">AE$21*(0-Planner!$C$43)</f>
        <v>-7.651</v>
      </c>
      <c r="AF91" s="24" t="n">
        <f aca="false">AF$21*(0-Planner!$C$43)</f>
        <v>-1.827</v>
      </c>
      <c r="AG91" s="24" t="n">
        <f aca="false">AG$21*(0-Planner!$C$43)</f>
        <v>-8.253</v>
      </c>
      <c r="AH91" s="24" t="n">
        <f aca="false">AH$21*(0-Planner!$C$43)</f>
        <v>-8.6205</v>
      </c>
      <c r="AI91" s="24" t="n">
        <f aca="false">AI$21*(0-Planner!$C$43)</f>
        <v>-7.511</v>
      </c>
      <c r="AJ91" s="24" t="n">
        <f aca="false">AJ$21*(0-Planner!$C$43)</f>
        <v>-2.6355</v>
      </c>
      <c r="AK91" s="24" t="n">
        <f aca="false">AK$21*(0-Planner!$C$43)</f>
        <v>-7.8155</v>
      </c>
      <c r="AL91" s="24" t="n">
        <f aca="false">AL$21*(0-Planner!$C$43)</f>
        <v>-7.7735</v>
      </c>
      <c r="AM91" s="24" t="n">
        <f aca="false">AM$21*(0-Planner!$C$43)</f>
        <v>-1.61</v>
      </c>
      <c r="AN91" s="24" t="n">
        <f aca="false">AN$21*(0-Planner!$C$43)</f>
        <v>-7.497</v>
      </c>
      <c r="AO91" s="24" t="n">
        <f aca="false">AO$21*(0-Planner!$C$43)</f>
        <v>-3.535</v>
      </c>
      <c r="AP91" s="24" t="n">
        <f aca="false">AP$21*(0-Planner!$C$43)</f>
        <v>-1.155</v>
      </c>
      <c r="AQ91" s="24" t="n">
        <f aca="false">AQ$21*(0-Planner!$C$43)</f>
        <v>-3.5665</v>
      </c>
      <c r="AR91" s="24" t="n">
        <f aca="false">AR$21*(0-Planner!$C$43)</f>
        <v>-0.91</v>
      </c>
      <c r="AS91" s="24" t="n">
        <f aca="false">AS$21*(0-Planner!$C$43)</f>
        <v>-1.1025</v>
      </c>
      <c r="AT91" s="24" t="n">
        <f aca="false">AT$21*(0-Planner!$C$43)</f>
        <v>-6.3455</v>
      </c>
      <c r="AU91" s="24" t="n">
        <f aca="false">AU$21*(0-Planner!$C$43)</f>
        <v>-8.0045</v>
      </c>
      <c r="AV91" s="24" t="n">
        <f aca="false">AV$21*(0-Planner!$C$43)</f>
        <v>-3.6575</v>
      </c>
      <c r="AW91" s="24" t="n">
        <f aca="false">AW$21*(0-Planner!$C$43)</f>
        <v>-8.3125</v>
      </c>
      <c r="AX91" s="24" t="n">
        <f aca="false">AX$21*(0-Planner!$C$43)</f>
        <v>-3.696</v>
      </c>
      <c r="AY91" s="24" t="n">
        <f aca="false">AY$21*(0-Planner!$C$43)</f>
        <v>-2.639</v>
      </c>
      <c r="AZ91" s="24" t="n">
        <f aca="false">AZ$21*(0-Planner!$C$43)</f>
        <v>-4.2315</v>
      </c>
      <c r="BA91" s="24" t="n">
        <f aca="false">BA$21*(0-Planner!$C$43)</f>
        <v>-1.995</v>
      </c>
      <c r="BB91" s="24" t="n">
        <f aca="false">BB$21*(0-Planner!$C$43)</f>
        <v>-2.8035</v>
      </c>
      <c r="BC91" s="24" t="n">
        <f aca="false">BC$21*(0-Planner!$C$43)</f>
        <v>-4.942</v>
      </c>
      <c r="BD91" s="24" t="n">
        <f aca="false">BD$21*(0-Planner!$C$43)</f>
        <v>-4.6025</v>
      </c>
      <c r="BE91" s="24" t="n">
        <f aca="false">BE$21*(0-Planner!$C$43)</f>
        <v>-4.564</v>
      </c>
      <c r="BF91" s="24" t="n">
        <f aca="false">BF$21*(0-Planner!$C$43)</f>
        <v>-3.0975</v>
      </c>
      <c r="BG91" s="24" t="n">
        <f aca="false">BG$21*(0-Planner!$C$43)</f>
        <v>-2.4955</v>
      </c>
      <c r="BH91" s="24" t="n">
        <f aca="false">BH$21*(0-Planner!$C$43)</f>
        <v>-4.3575</v>
      </c>
      <c r="BI91" s="24" t="n">
        <f aca="false">BI$21*(0-Planner!$C$43)</f>
        <v>-4.8545</v>
      </c>
      <c r="BJ91" s="24" t="n">
        <f aca="false">BJ$21*(0-Planner!$C$43)</f>
        <v>-2.6565</v>
      </c>
      <c r="BK91" s="24" t="n">
        <f aca="false">BK$21*(0-Planner!$C$43)</f>
        <v>-0.6825</v>
      </c>
      <c r="BL91" s="24" t="n">
        <f aca="false">BL$21*(0-Planner!$C$43)</f>
        <v>-1.057</v>
      </c>
      <c r="BM91" s="24" t="n">
        <f aca="false">BM$21*(0-Planner!$C$43)</f>
        <v>-0.784</v>
      </c>
      <c r="BN91" s="24" t="n">
        <f aca="false">BN$21*(0-Planner!$C$43)</f>
        <v>-1.0535</v>
      </c>
      <c r="BO91" s="24" t="n">
        <f aca="false">BO$21*(0-Planner!$C$43)</f>
        <v>-1.827</v>
      </c>
      <c r="BP91" s="24" t="n">
        <f aca="false">BP$21*(0-Planner!$C$43)</f>
        <v>-0.7175</v>
      </c>
      <c r="BQ91" s="24" t="n">
        <f aca="false">BQ$21*(0-Planner!$C$43)</f>
        <v>-0.5495</v>
      </c>
      <c r="BR91" s="24" t="n">
        <f aca="false">BR$21*(0-Planner!$C$43)</f>
        <v>-0.091</v>
      </c>
      <c r="BS91" s="24" t="n">
        <f aca="false">BS$21*(0-Planner!$C$43)</f>
        <v>-0.0595</v>
      </c>
      <c r="BT91" s="24" t="n">
        <f aca="false">BT$21*(0-Planner!$C$43)</f>
        <v>-0.3815</v>
      </c>
      <c r="BU91" s="24" t="n">
        <f aca="false">BU$21*(0-Planner!$C$43)</f>
        <v>-0.4865</v>
      </c>
      <c r="BV91" s="24" t="n">
        <f aca="false">BV$21*(0-Planner!$C$43)</f>
        <v>-0.147</v>
      </c>
      <c r="BW91" s="24" t="n">
        <f aca="false">BW$21*(0-Planner!$C$43)</f>
        <v>-0.294</v>
      </c>
      <c r="BX91" s="24" t="n">
        <f aca="false">BX$21*(0-Planner!$C$43)</f>
        <v>-0.371</v>
      </c>
      <c r="BY91" s="24" t="n">
        <f aca="false">BY$21*(0-Planner!$C$43)</f>
        <v>-0.2975</v>
      </c>
      <c r="BZ91" s="24" t="n">
        <f aca="false">BZ$21*(0-Planner!$C$43)</f>
        <v>-0.8575</v>
      </c>
      <c r="CA91" s="24" t="n">
        <f aca="false">CA$21*(0-Planner!$C$43)</f>
        <v>-1.1865</v>
      </c>
      <c r="CB91" s="24" t="n">
        <f aca="false">CB$21*(0-Planner!$C$43)</f>
        <v>-0.0595</v>
      </c>
      <c r="CC91" s="24" t="n">
        <f aca="false">CC$21*(0-Planner!$C$43)</f>
        <v>-0.161</v>
      </c>
      <c r="CD91" s="24" t="n">
        <f aca="false">CD$21*(0-Planner!$C$43)</f>
        <v>-0.2205</v>
      </c>
      <c r="CE91" s="24" t="n">
        <f aca="false">CE$21*(0-Planner!$C$43)</f>
        <v>-0.252</v>
      </c>
      <c r="CF91" s="24" t="n">
        <f aca="false">CF$21*(0-Planner!$C$43)</f>
        <v>-0.189</v>
      </c>
      <c r="CG91" s="24" t="n">
        <f aca="false">CG$21*(0-Planner!$C$43)</f>
        <v>-0.399</v>
      </c>
      <c r="CH91" s="24" t="n">
        <f aca="false">CH$21*(0-Planner!$C$43)</f>
        <v>-0.287</v>
      </c>
      <c r="CI91" s="24" t="n">
        <f aca="false">CI$21*(0-Planner!$C$43)</f>
        <v>-0.371</v>
      </c>
      <c r="CJ91" s="24" t="n">
        <f aca="false">CJ$21*(0-Planner!$C$43)</f>
        <v>-0.238</v>
      </c>
      <c r="CK91" s="24" t="n">
        <f aca="false">CK$21*(0-Planner!$C$43)</f>
        <v>-0.3185</v>
      </c>
      <c r="CL91" s="24" t="n">
        <f aca="false">CL$21*(0-Planner!$C$43)</f>
        <v>-0.1645</v>
      </c>
      <c r="CM91" s="24" t="n">
        <f aca="false">CM$21*(0-Planner!$C$43)</f>
        <v>-0.3185</v>
      </c>
      <c r="CN91" s="24" t="n">
        <f aca="false">CN$21*(0-Planner!$C$43)</f>
        <v>-0.2205</v>
      </c>
      <c r="CO91" s="24" t="n">
        <f aca="false">CO$21*(0-Planner!$C$43)</f>
        <v>-0.126</v>
      </c>
      <c r="CP91" s="24" t="n">
        <f aca="false">CP$21*(0-Planner!$C$43)</f>
        <v>-0.119</v>
      </c>
      <c r="CQ91" s="24" t="n">
        <f aca="false">CQ$21*(0-Planner!$C$43)</f>
        <v>-0.189</v>
      </c>
      <c r="CR91" s="24" t="n">
        <f aca="false">CR$21*(0-Planner!$C$43)</f>
        <v>-0.147</v>
      </c>
      <c r="CS91" s="24" t="n">
        <f aca="false">CS$21*(0-Planner!$C$43)</f>
        <v>-0.245</v>
      </c>
      <c r="CT91" s="24" t="n">
        <f aca="false">CT$21*(0-Planner!$C$43)</f>
        <v>-0.763</v>
      </c>
      <c r="CU91" s="24" t="n">
        <f aca="false">CU$21*(0-Planner!$C$43)</f>
        <v>-1.0745</v>
      </c>
      <c r="CV91" s="24" t="n">
        <f aca="false">CV$21*(0-Planner!$C$43)</f>
        <v>-0.42</v>
      </c>
      <c r="CW91" s="24" t="n">
        <f aca="false">CW$21*(0-Planner!$C$43)</f>
        <v>-0.2345</v>
      </c>
      <c r="CX91" s="24" t="n">
        <f aca="false">CX$21*(0-Planner!$C$43)</f>
        <v>-0.1505</v>
      </c>
      <c r="CY91" s="24" t="n">
        <f aca="false">CY$21*(0-Planner!$C$43)</f>
        <v>-0.2135</v>
      </c>
      <c r="CZ91" s="24" t="n">
        <f aca="false">CZ$21*(0-Planner!$C$43)</f>
        <v>-0.28</v>
      </c>
      <c r="DA91" s="24" t="n">
        <f aca="false">DA$21*(0-Planner!$C$43)</f>
        <v>-0.77</v>
      </c>
      <c r="DB91" s="24" t="n">
        <f aca="false">DB$21*(0-Planner!$C$43)</f>
        <v>-0.224</v>
      </c>
      <c r="DC91" s="24" t="n">
        <f aca="false">DC$21*(0-Planner!$C$43)</f>
        <v>-0.2555</v>
      </c>
      <c r="DD91" s="24" t="n">
        <f aca="false">DD$21*(0-Planner!$C$43)</f>
        <v>-1.071</v>
      </c>
      <c r="DE91" s="24" t="n">
        <f aca="false">DE$21*(0-Planner!$C$43)</f>
        <v>-1.323</v>
      </c>
      <c r="DF91" s="24" t="n">
        <f aca="false">DF$21*(0-Planner!$C$43)</f>
        <v>-0.35</v>
      </c>
      <c r="DG91" s="24" t="n">
        <f aca="false">DG$21*(0-Planner!$C$43)</f>
        <v>-0.448</v>
      </c>
      <c r="DH91" s="24" t="n">
        <f aca="false">DH$21*(0-Planner!$C$43)</f>
        <v>-0.5005</v>
      </c>
      <c r="DI91" s="24" t="n">
        <f aca="false">DI$21*(0-Planner!$C$43)</f>
        <v>-0.3255</v>
      </c>
      <c r="DJ91" s="24" t="n">
        <f aca="false">DJ$21*(0-Planner!$C$43)</f>
        <v>-0.203</v>
      </c>
      <c r="DK91" s="24" t="n">
        <f aca="false">DK$21*(0-Planner!$C$43)</f>
        <v>-0.273</v>
      </c>
      <c r="DL91" s="24" t="n">
        <f aca="false">DL$21*(0-Planner!$C$43)</f>
        <v>-0.7035</v>
      </c>
      <c r="DM91" s="24" t="n">
        <f aca="false">DM$21*(0-Planner!$C$43)</f>
        <v>-0.2415</v>
      </c>
      <c r="DN91" s="24" t="n">
        <f aca="false">DN$21*(0-Planner!$C$43)</f>
        <v>-1.057</v>
      </c>
      <c r="DO91" s="24" t="n">
        <f aca="false">DO$21*(0-Planner!$C$43)</f>
        <v>-0.9415</v>
      </c>
      <c r="DP91" s="24" t="n">
        <f aca="false">DP$21*(0-Planner!$C$43)</f>
        <v>-0.2275</v>
      </c>
      <c r="DQ91" s="24" t="n">
        <f aca="false">DQ$21*(0-Planner!$C$43)</f>
        <v>-0.252</v>
      </c>
      <c r="DR91" s="24" t="n">
        <f aca="false">DR$21*(0-Planner!$C$43)</f>
        <v>-0.6265</v>
      </c>
      <c r="DS91" s="24" t="n">
        <f aca="false">DS$21*(0-Planner!$C$43)</f>
        <v>-0.301</v>
      </c>
      <c r="DT91" s="24" t="n">
        <f aca="false">DT$21*(0-Planner!$C$43)</f>
        <v>-0.315</v>
      </c>
      <c r="DU91" s="24" t="n">
        <f aca="false">DU$21*(0-Planner!$C$43)</f>
        <v>-0.931</v>
      </c>
      <c r="DV91" s="24" t="n">
        <f aca="false">DV$21*(0-Planner!$C$43)</f>
        <v>-1.1655</v>
      </c>
      <c r="DW91" s="24" t="n">
        <f aca="false">DW$21*(0-Planner!$C$43)</f>
        <v>-1.0815</v>
      </c>
      <c r="DX91" s="24" t="n">
        <f aca="false">DX$21*(0-Planner!$C$43)</f>
        <v>-0.8715</v>
      </c>
      <c r="DY91" s="24" t="n">
        <f aca="false">DY$21*(0-Planner!$C$43)</f>
        <v>-0.5915</v>
      </c>
      <c r="DZ91" s="24" t="n">
        <f aca="false">DZ$21*(0-Planner!$C$43)</f>
        <v>-0.385</v>
      </c>
      <c r="EA91" s="24" t="n">
        <f aca="false">EA$21*(0-Planner!$C$43)</f>
        <v>-0.385</v>
      </c>
      <c r="EB91" s="24" t="n">
        <f aca="false">EB$21*(0-Planner!$C$43)</f>
        <v>-0.238</v>
      </c>
      <c r="EC91" s="24" t="n">
        <f aca="false">EC$21*(0-Planner!$C$43)</f>
        <v>-0.3465</v>
      </c>
      <c r="ED91" s="24" t="n">
        <f aca="false">ED$21*(0-Planner!$C$43)</f>
        <v>-0.4305</v>
      </c>
      <c r="EE91" s="24" t="n">
        <f aca="false">EE$21*(0-Planner!$C$43)</f>
        <v>-0.3185</v>
      </c>
      <c r="EF91" s="24" t="n">
        <f aca="false">EF$21*(0-Planner!$C$43)</f>
        <v>-0.7385</v>
      </c>
      <c r="EG91" s="24" t="n">
        <f aca="false">EG$21*(0-Planner!$C$43)</f>
        <v>-1.001</v>
      </c>
      <c r="EH91" s="24" t="n">
        <f aca="false">EH$21*(0-Planner!$C$43)</f>
        <v>-1.2705</v>
      </c>
      <c r="EI91" s="24" t="n">
        <f aca="false">EI$21*(0-Planner!$C$43)</f>
        <v>-0.2765</v>
      </c>
      <c r="EJ91" s="24" t="n">
        <f aca="false">EJ$21*(0-Planner!$C$43)</f>
        <v>-0.308</v>
      </c>
      <c r="EK91" s="24" t="n">
        <f aca="false">EK$21*(0-Planner!$C$43)</f>
        <v>-0.8645</v>
      </c>
      <c r="EL91" s="24" t="n">
        <f aca="false">EL$21*(0-Planner!$C$43)</f>
        <v>-0.4235</v>
      </c>
      <c r="EM91" s="24" t="n">
        <f aca="false">EM$21*(0-Planner!$C$43)</f>
        <v>-0.2975</v>
      </c>
      <c r="EN91" s="24" t="n">
        <f aca="false">EN$21*(0-Planner!$C$43)</f>
        <v>-0</v>
      </c>
      <c r="EO91" s="24" t="n">
        <f aca="false">EO$21*(0-Planner!$C$43)</f>
        <v>-0</v>
      </c>
      <c r="EP91" s="24" t="n">
        <f aca="false">EP$21*(0-Planner!$C$43)</f>
        <v>-7.4025</v>
      </c>
      <c r="EQ91" s="24" t="n">
        <f aca="false">EQ$21*(0-Planner!$C$43)</f>
        <v>-0.686</v>
      </c>
      <c r="ER91" s="24" t="n">
        <f aca="false">ER$21*(0-Planner!$C$43)</f>
        <v>-1.785</v>
      </c>
      <c r="ES91" s="24" t="n">
        <f aca="false">ES$21*(0-Planner!$C$43)</f>
        <v>-1.9775</v>
      </c>
      <c r="ET91" s="24" t="n">
        <f aca="false">ET$21*(0-Planner!$C$43)</f>
        <v>-2.2365</v>
      </c>
      <c r="EU91" s="24" t="n">
        <f aca="false">EU$21*(0-Planner!$C$43)</f>
        <v>-1.225</v>
      </c>
    </row>
    <row r="92" customFormat="false" ht="15" hidden="false" customHeight="false" outlineLevel="0" collapsed="false">
      <c r="A92" s="4" t="s">
        <v>1032</v>
      </c>
      <c r="B92" s="75" t="s">
        <v>1017</v>
      </c>
      <c r="C92" s="78" t="n">
        <v>0</v>
      </c>
      <c r="D92" s="77" t="n">
        <v>-39.199999997333</v>
      </c>
      <c r="E92" s="75" t="str">
        <f aca="false">IF(D92&lt;=C92+0.000001*MAX(1,ABS(C92)),IF(ABS(D92-C92)&lt;=0.000001*MAX(1,ABS(C92)),"tight","ok"),"VIOLATED")</f>
        <v>ok</v>
      </c>
      <c r="F92" s="24" t="n">
        <f aca="false">F$21*(0-Planner!$C$43)</f>
        <v>-7.875</v>
      </c>
      <c r="G92" s="24" t="n">
        <f aca="false">G$21*(0-Planner!$C$43)</f>
        <v>-6.328</v>
      </c>
      <c r="H92" s="24" t="n">
        <f aca="false">H$21*(0-Planner!$C$43)</f>
        <v>-6.881</v>
      </c>
      <c r="I92" s="24" t="n">
        <f aca="false">I$21*(0-Planner!$C$43)</f>
        <v>-5.7155</v>
      </c>
      <c r="J92" s="24" t="n">
        <f aca="false">J$21*(0-Planner!$C$43)</f>
        <v>-6.5555</v>
      </c>
      <c r="K92" s="24" t="n">
        <f aca="false">K$21*(0-Planner!$C$43)</f>
        <v>-6.51</v>
      </c>
      <c r="L92" s="24" t="n">
        <f aca="false">L$21*(0-Planner!$C$43)</f>
        <v>-4.417</v>
      </c>
      <c r="M92" s="24" t="n">
        <f aca="false">M$21*(0-Planner!$C$43)</f>
        <v>-7.6125</v>
      </c>
      <c r="N92" s="24" t="n">
        <f aca="false">N$21*(0-Planner!$C$43)</f>
        <v>-6.0095</v>
      </c>
      <c r="O92" s="24" t="n">
        <f aca="false">O$21*(0-Planner!$C$43)</f>
        <v>-7.2975</v>
      </c>
      <c r="P92" s="24" t="n">
        <f aca="false">P$21*(0-Planner!$C$43)</f>
        <v>-5.81</v>
      </c>
      <c r="Q92" s="24" t="n">
        <f aca="false">Q$21*(0-Planner!$C$43)</f>
        <v>-7.399</v>
      </c>
      <c r="R92" s="24" t="n">
        <f aca="false">R$21*(0-Planner!$C$43)</f>
        <v>-7.679</v>
      </c>
      <c r="S92" s="24" t="n">
        <f aca="false">S$21*(0-Planner!$C$43)</f>
        <v>-6.972</v>
      </c>
      <c r="T92" s="24" t="n">
        <f aca="false">T$21*(0-Planner!$C$43)</f>
        <v>-6.804</v>
      </c>
      <c r="U92" s="24" t="n">
        <f aca="false">U$21*(1-Planner!$C$43)</f>
        <v>13.273</v>
      </c>
      <c r="V92" s="24" t="n">
        <f aca="false">V$21*(0-Planner!$C$43)</f>
        <v>-4.7635</v>
      </c>
      <c r="W92" s="24" t="n">
        <f aca="false">W$21*(0-Planner!$C$43)</f>
        <v>-7.028</v>
      </c>
      <c r="X92" s="24" t="n">
        <f aca="false">X$21*(0-Planner!$C$43)</f>
        <v>-4.396</v>
      </c>
      <c r="Y92" s="24" t="n">
        <f aca="false">Y$21*(0-Planner!$C$43)</f>
        <v>-2.1105</v>
      </c>
      <c r="Z92" s="24" t="n">
        <f aca="false">Z$21*(0-Planner!$C$43)</f>
        <v>-7.56</v>
      </c>
      <c r="AA92" s="24" t="n">
        <f aca="false">AA$21*(0-Planner!$C$43)</f>
        <v>-1.659</v>
      </c>
      <c r="AB92" s="24" t="n">
        <f aca="false">AB$21*(0-Planner!$C$43)</f>
        <v>-8.232</v>
      </c>
      <c r="AC92" s="24" t="n">
        <f aca="false">AC$21*(0-Planner!$C$43)</f>
        <v>-1.722</v>
      </c>
      <c r="AD92" s="24" t="n">
        <f aca="false">AD$21*(0-Planner!$C$43)</f>
        <v>-2.5795</v>
      </c>
      <c r="AE92" s="24" t="n">
        <f aca="false">AE$21*(0-Planner!$C$43)</f>
        <v>-7.651</v>
      </c>
      <c r="AF92" s="24" t="n">
        <f aca="false">AF$21*(0-Planner!$C$43)</f>
        <v>-1.827</v>
      </c>
      <c r="AG92" s="24" t="n">
        <f aca="false">AG$21*(0-Planner!$C$43)</f>
        <v>-8.253</v>
      </c>
      <c r="AH92" s="24" t="n">
        <f aca="false">AH$21*(0-Planner!$C$43)</f>
        <v>-8.6205</v>
      </c>
      <c r="AI92" s="24" t="n">
        <f aca="false">AI$21*(0-Planner!$C$43)</f>
        <v>-7.511</v>
      </c>
      <c r="AJ92" s="24" t="n">
        <f aca="false">AJ$21*(0-Planner!$C$43)</f>
        <v>-2.6355</v>
      </c>
      <c r="AK92" s="24" t="n">
        <f aca="false">AK$21*(0-Planner!$C$43)</f>
        <v>-7.8155</v>
      </c>
      <c r="AL92" s="24" t="n">
        <f aca="false">AL$21*(0-Planner!$C$43)</f>
        <v>-7.7735</v>
      </c>
      <c r="AM92" s="24" t="n">
        <f aca="false">AM$21*(0-Planner!$C$43)</f>
        <v>-1.61</v>
      </c>
      <c r="AN92" s="24" t="n">
        <f aca="false">AN$21*(0-Planner!$C$43)</f>
        <v>-7.497</v>
      </c>
      <c r="AO92" s="24" t="n">
        <f aca="false">AO$21*(0-Planner!$C$43)</f>
        <v>-3.535</v>
      </c>
      <c r="AP92" s="24" t="n">
        <f aca="false">AP$21*(0-Planner!$C$43)</f>
        <v>-1.155</v>
      </c>
      <c r="AQ92" s="24" t="n">
        <f aca="false">AQ$21*(0-Planner!$C$43)</f>
        <v>-3.5665</v>
      </c>
      <c r="AR92" s="24" t="n">
        <f aca="false">AR$21*(0-Planner!$C$43)</f>
        <v>-0.91</v>
      </c>
      <c r="AS92" s="24" t="n">
        <f aca="false">AS$21*(0-Planner!$C$43)</f>
        <v>-1.1025</v>
      </c>
      <c r="AT92" s="24" t="n">
        <f aca="false">AT$21*(0-Planner!$C$43)</f>
        <v>-6.3455</v>
      </c>
      <c r="AU92" s="24" t="n">
        <f aca="false">AU$21*(0-Planner!$C$43)</f>
        <v>-8.0045</v>
      </c>
      <c r="AV92" s="24" t="n">
        <f aca="false">AV$21*(0-Planner!$C$43)</f>
        <v>-3.6575</v>
      </c>
      <c r="AW92" s="24" t="n">
        <f aca="false">AW$21*(0-Planner!$C$43)</f>
        <v>-8.3125</v>
      </c>
      <c r="AX92" s="24" t="n">
        <f aca="false">AX$21*(0-Planner!$C$43)</f>
        <v>-3.696</v>
      </c>
      <c r="AY92" s="24" t="n">
        <f aca="false">AY$21*(0-Planner!$C$43)</f>
        <v>-2.639</v>
      </c>
      <c r="AZ92" s="24" t="n">
        <f aca="false">AZ$21*(0-Planner!$C$43)</f>
        <v>-4.2315</v>
      </c>
      <c r="BA92" s="24" t="n">
        <f aca="false">BA$21*(0-Planner!$C$43)</f>
        <v>-1.995</v>
      </c>
      <c r="BB92" s="24" t="n">
        <f aca="false">BB$21*(0-Planner!$C$43)</f>
        <v>-2.8035</v>
      </c>
      <c r="BC92" s="24" t="n">
        <f aca="false">BC$21*(0-Planner!$C$43)</f>
        <v>-4.942</v>
      </c>
      <c r="BD92" s="24" t="n">
        <f aca="false">BD$21*(0-Planner!$C$43)</f>
        <v>-4.6025</v>
      </c>
      <c r="BE92" s="24" t="n">
        <f aca="false">BE$21*(0-Planner!$C$43)</f>
        <v>-4.564</v>
      </c>
      <c r="BF92" s="24" t="n">
        <f aca="false">BF$21*(0-Planner!$C$43)</f>
        <v>-3.0975</v>
      </c>
      <c r="BG92" s="24" t="n">
        <f aca="false">BG$21*(0-Planner!$C$43)</f>
        <v>-2.4955</v>
      </c>
      <c r="BH92" s="24" t="n">
        <f aca="false">BH$21*(0-Planner!$C$43)</f>
        <v>-4.3575</v>
      </c>
      <c r="BI92" s="24" t="n">
        <f aca="false">BI$21*(0-Planner!$C$43)</f>
        <v>-4.8545</v>
      </c>
      <c r="BJ92" s="24" t="n">
        <f aca="false">BJ$21*(0-Planner!$C$43)</f>
        <v>-2.6565</v>
      </c>
      <c r="BK92" s="24" t="n">
        <f aca="false">BK$21*(0-Planner!$C$43)</f>
        <v>-0.6825</v>
      </c>
      <c r="BL92" s="24" t="n">
        <f aca="false">BL$21*(0-Planner!$C$43)</f>
        <v>-1.057</v>
      </c>
      <c r="BM92" s="24" t="n">
        <f aca="false">BM$21*(0-Planner!$C$43)</f>
        <v>-0.784</v>
      </c>
      <c r="BN92" s="24" t="n">
        <f aca="false">BN$21*(0-Planner!$C$43)</f>
        <v>-1.0535</v>
      </c>
      <c r="BO92" s="24" t="n">
        <f aca="false">BO$21*(0-Planner!$C$43)</f>
        <v>-1.827</v>
      </c>
      <c r="BP92" s="24" t="n">
        <f aca="false">BP$21*(0-Planner!$C$43)</f>
        <v>-0.7175</v>
      </c>
      <c r="BQ92" s="24" t="n">
        <f aca="false">BQ$21*(0-Planner!$C$43)</f>
        <v>-0.5495</v>
      </c>
      <c r="BR92" s="24" t="n">
        <f aca="false">BR$21*(0-Planner!$C$43)</f>
        <v>-0.091</v>
      </c>
      <c r="BS92" s="24" t="n">
        <f aca="false">BS$21*(0-Planner!$C$43)</f>
        <v>-0.0595</v>
      </c>
      <c r="BT92" s="24" t="n">
        <f aca="false">BT$21*(0-Planner!$C$43)</f>
        <v>-0.3815</v>
      </c>
      <c r="BU92" s="24" t="n">
        <f aca="false">BU$21*(0-Planner!$C$43)</f>
        <v>-0.4865</v>
      </c>
      <c r="BV92" s="24" t="n">
        <f aca="false">BV$21*(0-Planner!$C$43)</f>
        <v>-0.147</v>
      </c>
      <c r="BW92" s="24" t="n">
        <f aca="false">BW$21*(0-Planner!$C$43)</f>
        <v>-0.294</v>
      </c>
      <c r="BX92" s="24" t="n">
        <f aca="false">BX$21*(0-Planner!$C$43)</f>
        <v>-0.371</v>
      </c>
      <c r="BY92" s="24" t="n">
        <f aca="false">BY$21*(0-Planner!$C$43)</f>
        <v>-0.2975</v>
      </c>
      <c r="BZ92" s="24" t="n">
        <f aca="false">BZ$21*(0-Planner!$C$43)</f>
        <v>-0.8575</v>
      </c>
      <c r="CA92" s="24" t="n">
        <f aca="false">CA$21*(0-Planner!$C$43)</f>
        <v>-1.1865</v>
      </c>
      <c r="CB92" s="24" t="n">
        <f aca="false">CB$21*(0-Planner!$C$43)</f>
        <v>-0.0595</v>
      </c>
      <c r="CC92" s="24" t="n">
        <f aca="false">CC$21*(0-Planner!$C$43)</f>
        <v>-0.161</v>
      </c>
      <c r="CD92" s="24" t="n">
        <f aca="false">CD$21*(0-Planner!$C$43)</f>
        <v>-0.2205</v>
      </c>
      <c r="CE92" s="24" t="n">
        <f aca="false">CE$21*(0-Planner!$C$43)</f>
        <v>-0.252</v>
      </c>
      <c r="CF92" s="24" t="n">
        <f aca="false">CF$21*(0-Planner!$C$43)</f>
        <v>-0.189</v>
      </c>
      <c r="CG92" s="24" t="n">
        <f aca="false">CG$21*(0-Planner!$C$43)</f>
        <v>-0.399</v>
      </c>
      <c r="CH92" s="24" t="n">
        <f aca="false">CH$21*(0-Planner!$C$43)</f>
        <v>-0.287</v>
      </c>
      <c r="CI92" s="24" t="n">
        <f aca="false">CI$21*(0-Planner!$C$43)</f>
        <v>-0.371</v>
      </c>
      <c r="CJ92" s="24" t="n">
        <f aca="false">CJ$21*(0-Planner!$C$43)</f>
        <v>-0.238</v>
      </c>
      <c r="CK92" s="24" t="n">
        <f aca="false">CK$21*(0-Planner!$C$43)</f>
        <v>-0.3185</v>
      </c>
      <c r="CL92" s="24" t="n">
        <f aca="false">CL$21*(0-Planner!$C$43)</f>
        <v>-0.1645</v>
      </c>
      <c r="CM92" s="24" t="n">
        <f aca="false">CM$21*(0-Planner!$C$43)</f>
        <v>-0.3185</v>
      </c>
      <c r="CN92" s="24" t="n">
        <f aca="false">CN$21*(0-Planner!$C$43)</f>
        <v>-0.2205</v>
      </c>
      <c r="CO92" s="24" t="n">
        <f aca="false">CO$21*(0-Planner!$C$43)</f>
        <v>-0.126</v>
      </c>
      <c r="CP92" s="24" t="n">
        <f aca="false">CP$21*(0-Planner!$C$43)</f>
        <v>-0.119</v>
      </c>
      <c r="CQ92" s="24" t="n">
        <f aca="false">CQ$21*(0-Planner!$C$43)</f>
        <v>-0.189</v>
      </c>
      <c r="CR92" s="24" t="n">
        <f aca="false">CR$21*(0-Planner!$C$43)</f>
        <v>-0.147</v>
      </c>
      <c r="CS92" s="24" t="n">
        <f aca="false">CS$21*(0-Planner!$C$43)</f>
        <v>-0.245</v>
      </c>
      <c r="CT92" s="24" t="n">
        <f aca="false">CT$21*(0-Planner!$C$43)</f>
        <v>-0.763</v>
      </c>
      <c r="CU92" s="24" t="n">
        <f aca="false">CU$21*(0-Planner!$C$43)</f>
        <v>-1.0745</v>
      </c>
      <c r="CV92" s="24" t="n">
        <f aca="false">CV$21*(0-Planner!$C$43)</f>
        <v>-0.42</v>
      </c>
      <c r="CW92" s="24" t="n">
        <f aca="false">CW$21*(0-Planner!$C$43)</f>
        <v>-0.2345</v>
      </c>
      <c r="CX92" s="24" t="n">
        <f aca="false">CX$21*(0-Planner!$C$43)</f>
        <v>-0.1505</v>
      </c>
      <c r="CY92" s="24" t="n">
        <f aca="false">CY$21*(0-Planner!$C$43)</f>
        <v>-0.2135</v>
      </c>
      <c r="CZ92" s="24" t="n">
        <f aca="false">CZ$21*(0-Planner!$C$43)</f>
        <v>-0.28</v>
      </c>
      <c r="DA92" s="24" t="n">
        <f aca="false">DA$21*(0-Planner!$C$43)</f>
        <v>-0.77</v>
      </c>
      <c r="DB92" s="24" t="n">
        <f aca="false">DB$21*(0-Planner!$C$43)</f>
        <v>-0.224</v>
      </c>
      <c r="DC92" s="24" t="n">
        <f aca="false">DC$21*(0-Planner!$C$43)</f>
        <v>-0.2555</v>
      </c>
      <c r="DD92" s="24" t="n">
        <f aca="false">DD$21*(0-Planner!$C$43)</f>
        <v>-1.071</v>
      </c>
      <c r="DE92" s="24" t="n">
        <f aca="false">DE$21*(0-Planner!$C$43)</f>
        <v>-1.323</v>
      </c>
      <c r="DF92" s="24" t="n">
        <f aca="false">DF$21*(0-Planner!$C$43)</f>
        <v>-0.35</v>
      </c>
      <c r="DG92" s="24" t="n">
        <f aca="false">DG$21*(0-Planner!$C$43)</f>
        <v>-0.448</v>
      </c>
      <c r="DH92" s="24" t="n">
        <f aca="false">DH$21*(0-Planner!$C$43)</f>
        <v>-0.5005</v>
      </c>
      <c r="DI92" s="24" t="n">
        <f aca="false">DI$21*(0-Planner!$C$43)</f>
        <v>-0.3255</v>
      </c>
      <c r="DJ92" s="24" t="n">
        <f aca="false">DJ$21*(0-Planner!$C$43)</f>
        <v>-0.203</v>
      </c>
      <c r="DK92" s="24" t="n">
        <f aca="false">DK$21*(0-Planner!$C$43)</f>
        <v>-0.273</v>
      </c>
      <c r="DL92" s="24" t="n">
        <f aca="false">DL$21*(0-Planner!$C$43)</f>
        <v>-0.7035</v>
      </c>
      <c r="DM92" s="24" t="n">
        <f aca="false">DM$21*(0-Planner!$C$43)</f>
        <v>-0.2415</v>
      </c>
      <c r="DN92" s="24" t="n">
        <f aca="false">DN$21*(0-Planner!$C$43)</f>
        <v>-1.057</v>
      </c>
      <c r="DO92" s="24" t="n">
        <f aca="false">DO$21*(0-Planner!$C$43)</f>
        <v>-0.9415</v>
      </c>
      <c r="DP92" s="24" t="n">
        <f aca="false">DP$21*(0-Planner!$C$43)</f>
        <v>-0.2275</v>
      </c>
      <c r="DQ92" s="24" t="n">
        <f aca="false">DQ$21*(0-Planner!$C$43)</f>
        <v>-0.252</v>
      </c>
      <c r="DR92" s="24" t="n">
        <f aca="false">DR$21*(0-Planner!$C$43)</f>
        <v>-0.6265</v>
      </c>
      <c r="DS92" s="24" t="n">
        <f aca="false">DS$21*(0-Planner!$C$43)</f>
        <v>-0.301</v>
      </c>
      <c r="DT92" s="24" t="n">
        <f aca="false">DT$21*(0-Planner!$C$43)</f>
        <v>-0.315</v>
      </c>
      <c r="DU92" s="24" t="n">
        <f aca="false">DU$21*(0-Planner!$C$43)</f>
        <v>-0.931</v>
      </c>
      <c r="DV92" s="24" t="n">
        <f aca="false">DV$21*(0-Planner!$C$43)</f>
        <v>-1.1655</v>
      </c>
      <c r="DW92" s="24" t="n">
        <f aca="false">DW$21*(0-Planner!$C$43)</f>
        <v>-1.0815</v>
      </c>
      <c r="DX92" s="24" t="n">
        <f aca="false">DX$21*(0-Planner!$C$43)</f>
        <v>-0.8715</v>
      </c>
      <c r="DY92" s="24" t="n">
        <f aca="false">DY$21*(0-Planner!$C$43)</f>
        <v>-0.5915</v>
      </c>
      <c r="DZ92" s="24" t="n">
        <f aca="false">DZ$21*(0-Planner!$C$43)</f>
        <v>-0.385</v>
      </c>
      <c r="EA92" s="24" t="n">
        <f aca="false">EA$21*(0-Planner!$C$43)</f>
        <v>-0.385</v>
      </c>
      <c r="EB92" s="24" t="n">
        <f aca="false">EB$21*(0-Planner!$C$43)</f>
        <v>-0.238</v>
      </c>
      <c r="EC92" s="24" t="n">
        <f aca="false">EC$21*(0-Planner!$C$43)</f>
        <v>-0.3465</v>
      </c>
      <c r="ED92" s="24" t="n">
        <f aca="false">ED$21*(0-Planner!$C$43)</f>
        <v>-0.4305</v>
      </c>
      <c r="EE92" s="24" t="n">
        <f aca="false">EE$21*(0-Planner!$C$43)</f>
        <v>-0.3185</v>
      </c>
      <c r="EF92" s="24" t="n">
        <f aca="false">EF$21*(0-Planner!$C$43)</f>
        <v>-0.7385</v>
      </c>
      <c r="EG92" s="24" t="n">
        <f aca="false">EG$21*(0-Planner!$C$43)</f>
        <v>-1.001</v>
      </c>
      <c r="EH92" s="24" t="n">
        <f aca="false">EH$21*(0-Planner!$C$43)</f>
        <v>-1.2705</v>
      </c>
      <c r="EI92" s="24" t="n">
        <f aca="false">EI$21*(0-Planner!$C$43)</f>
        <v>-0.2765</v>
      </c>
      <c r="EJ92" s="24" t="n">
        <f aca="false">EJ$21*(0-Planner!$C$43)</f>
        <v>-0.308</v>
      </c>
      <c r="EK92" s="24" t="n">
        <f aca="false">EK$21*(0-Planner!$C$43)</f>
        <v>-0.8645</v>
      </c>
      <c r="EL92" s="24" t="n">
        <f aca="false">EL$21*(0-Planner!$C$43)</f>
        <v>-0.4235</v>
      </c>
      <c r="EM92" s="24" t="n">
        <f aca="false">EM$21*(0-Planner!$C$43)</f>
        <v>-0.2975</v>
      </c>
      <c r="EN92" s="24" t="n">
        <f aca="false">EN$21*(0-Planner!$C$43)</f>
        <v>-0</v>
      </c>
      <c r="EO92" s="24" t="n">
        <f aca="false">EO$21*(0-Planner!$C$43)</f>
        <v>-0</v>
      </c>
      <c r="EP92" s="24" t="n">
        <f aca="false">EP$21*(0-Planner!$C$43)</f>
        <v>-7.4025</v>
      </c>
      <c r="EQ92" s="24" t="n">
        <f aca="false">EQ$21*(0-Planner!$C$43)</f>
        <v>-0.686</v>
      </c>
      <c r="ER92" s="24" t="n">
        <f aca="false">ER$21*(0-Planner!$C$43)</f>
        <v>-1.785</v>
      </c>
      <c r="ES92" s="24" t="n">
        <f aca="false">ES$21*(0-Planner!$C$43)</f>
        <v>-1.9775</v>
      </c>
      <c r="ET92" s="24" t="n">
        <f aca="false">ET$21*(0-Planner!$C$43)</f>
        <v>-2.2365</v>
      </c>
      <c r="EU92" s="24" t="n">
        <f aca="false">EU$21*(0-Planner!$C$43)</f>
        <v>-1.225</v>
      </c>
    </row>
    <row r="93" customFormat="false" ht="15" hidden="false" customHeight="false" outlineLevel="0" collapsed="false">
      <c r="A93" s="4" t="s">
        <v>1033</v>
      </c>
      <c r="B93" s="75" t="s">
        <v>1017</v>
      </c>
      <c r="C93" s="78" t="n">
        <v>0</v>
      </c>
      <c r="D93" s="77" t="n">
        <v>-39.199999997333</v>
      </c>
      <c r="E93" s="75" t="str">
        <f aca="false">IF(D93&lt;=C93+0.000001*MAX(1,ABS(C93)),IF(ABS(D93-C93)&lt;=0.000001*MAX(1,ABS(C93)),"tight","ok"),"VIOLATED")</f>
        <v>ok</v>
      </c>
      <c r="F93" s="24" t="n">
        <f aca="false">F$21*(0-Planner!$C$43)</f>
        <v>-7.875</v>
      </c>
      <c r="G93" s="24" t="n">
        <f aca="false">G$21*(0-Planner!$C$43)</f>
        <v>-6.328</v>
      </c>
      <c r="H93" s="24" t="n">
        <f aca="false">H$21*(0-Planner!$C$43)</f>
        <v>-6.881</v>
      </c>
      <c r="I93" s="24" t="n">
        <f aca="false">I$21*(0-Planner!$C$43)</f>
        <v>-5.7155</v>
      </c>
      <c r="J93" s="24" t="n">
        <f aca="false">J$21*(0-Planner!$C$43)</f>
        <v>-6.5555</v>
      </c>
      <c r="K93" s="24" t="n">
        <f aca="false">K$21*(0-Planner!$C$43)</f>
        <v>-6.51</v>
      </c>
      <c r="L93" s="24" t="n">
        <f aca="false">L$21*(0-Planner!$C$43)</f>
        <v>-4.417</v>
      </c>
      <c r="M93" s="24" t="n">
        <f aca="false">M$21*(0-Planner!$C$43)</f>
        <v>-7.6125</v>
      </c>
      <c r="N93" s="24" t="n">
        <f aca="false">N$21*(0-Planner!$C$43)</f>
        <v>-6.0095</v>
      </c>
      <c r="O93" s="24" t="n">
        <f aca="false">O$21*(0-Planner!$C$43)</f>
        <v>-7.2975</v>
      </c>
      <c r="P93" s="24" t="n">
        <f aca="false">P$21*(0-Planner!$C$43)</f>
        <v>-5.81</v>
      </c>
      <c r="Q93" s="24" t="n">
        <f aca="false">Q$21*(0-Planner!$C$43)</f>
        <v>-7.399</v>
      </c>
      <c r="R93" s="24" t="n">
        <f aca="false">R$21*(0-Planner!$C$43)</f>
        <v>-7.679</v>
      </c>
      <c r="S93" s="24" t="n">
        <f aca="false">S$21*(0-Planner!$C$43)</f>
        <v>-6.972</v>
      </c>
      <c r="T93" s="24" t="n">
        <f aca="false">T$21*(0-Planner!$C$43)</f>
        <v>-6.804</v>
      </c>
      <c r="U93" s="24" t="n">
        <f aca="false">U$21*(0-Planner!$C$43)</f>
        <v>-7.147</v>
      </c>
      <c r="V93" s="24" t="n">
        <f aca="false">V$21*(1-Planner!$C$43)</f>
        <v>8.8465</v>
      </c>
      <c r="W93" s="24" t="n">
        <f aca="false">W$21*(0-Planner!$C$43)</f>
        <v>-7.028</v>
      </c>
      <c r="X93" s="24" t="n">
        <f aca="false">X$21*(0-Planner!$C$43)</f>
        <v>-4.396</v>
      </c>
      <c r="Y93" s="24" t="n">
        <f aca="false">Y$21*(0-Planner!$C$43)</f>
        <v>-2.1105</v>
      </c>
      <c r="Z93" s="24" t="n">
        <f aca="false">Z$21*(0-Planner!$C$43)</f>
        <v>-7.56</v>
      </c>
      <c r="AA93" s="24" t="n">
        <f aca="false">AA$21*(0-Planner!$C$43)</f>
        <v>-1.659</v>
      </c>
      <c r="AB93" s="24" t="n">
        <f aca="false">AB$21*(0-Planner!$C$43)</f>
        <v>-8.232</v>
      </c>
      <c r="AC93" s="24" t="n">
        <f aca="false">AC$21*(0-Planner!$C$43)</f>
        <v>-1.722</v>
      </c>
      <c r="AD93" s="24" t="n">
        <f aca="false">AD$21*(0-Planner!$C$43)</f>
        <v>-2.5795</v>
      </c>
      <c r="AE93" s="24" t="n">
        <f aca="false">AE$21*(0-Planner!$C$43)</f>
        <v>-7.651</v>
      </c>
      <c r="AF93" s="24" t="n">
        <f aca="false">AF$21*(0-Planner!$C$43)</f>
        <v>-1.827</v>
      </c>
      <c r="AG93" s="24" t="n">
        <f aca="false">AG$21*(0-Planner!$C$43)</f>
        <v>-8.253</v>
      </c>
      <c r="AH93" s="24" t="n">
        <f aca="false">AH$21*(0-Planner!$C$43)</f>
        <v>-8.6205</v>
      </c>
      <c r="AI93" s="24" t="n">
        <f aca="false">AI$21*(0-Planner!$C$43)</f>
        <v>-7.511</v>
      </c>
      <c r="AJ93" s="24" t="n">
        <f aca="false">AJ$21*(0-Planner!$C$43)</f>
        <v>-2.6355</v>
      </c>
      <c r="AK93" s="24" t="n">
        <f aca="false">AK$21*(0-Planner!$C$43)</f>
        <v>-7.8155</v>
      </c>
      <c r="AL93" s="24" t="n">
        <f aca="false">AL$21*(0-Planner!$C$43)</f>
        <v>-7.7735</v>
      </c>
      <c r="AM93" s="24" t="n">
        <f aca="false">AM$21*(0-Planner!$C$43)</f>
        <v>-1.61</v>
      </c>
      <c r="AN93" s="24" t="n">
        <f aca="false">AN$21*(0-Planner!$C$43)</f>
        <v>-7.497</v>
      </c>
      <c r="AO93" s="24" t="n">
        <f aca="false">AO$21*(0-Planner!$C$43)</f>
        <v>-3.535</v>
      </c>
      <c r="AP93" s="24" t="n">
        <f aca="false">AP$21*(0-Planner!$C$43)</f>
        <v>-1.155</v>
      </c>
      <c r="AQ93" s="24" t="n">
        <f aca="false">AQ$21*(0-Planner!$C$43)</f>
        <v>-3.5665</v>
      </c>
      <c r="AR93" s="24" t="n">
        <f aca="false">AR$21*(0-Planner!$C$43)</f>
        <v>-0.91</v>
      </c>
      <c r="AS93" s="24" t="n">
        <f aca="false">AS$21*(0-Planner!$C$43)</f>
        <v>-1.1025</v>
      </c>
      <c r="AT93" s="24" t="n">
        <f aca="false">AT$21*(0-Planner!$C$43)</f>
        <v>-6.3455</v>
      </c>
      <c r="AU93" s="24" t="n">
        <f aca="false">AU$21*(0-Planner!$C$43)</f>
        <v>-8.0045</v>
      </c>
      <c r="AV93" s="24" t="n">
        <f aca="false">AV$21*(0-Planner!$C$43)</f>
        <v>-3.6575</v>
      </c>
      <c r="AW93" s="24" t="n">
        <f aca="false">AW$21*(0-Planner!$C$43)</f>
        <v>-8.3125</v>
      </c>
      <c r="AX93" s="24" t="n">
        <f aca="false">AX$21*(0-Planner!$C$43)</f>
        <v>-3.696</v>
      </c>
      <c r="AY93" s="24" t="n">
        <f aca="false">AY$21*(0-Planner!$C$43)</f>
        <v>-2.639</v>
      </c>
      <c r="AZ93" s="24" t="n">
        <f aca="false">AZ$21*(0-Planner!$C$43)</f>
        <v>-4.2315</v>
      </c>
      <c r="BA93" s="24" t="n">
        <f aca="false">BA$21*(0-Planner!$C$43)</f>
        <v>-1.995</v>
      </c>
      <c r="BB93" s="24" t="n">
        <f aca="false">BB$21*(0-Planner!$C$43)</f>
        <v>-2.8035</v>
      </c>
      <c r="BC93" s="24" t="n">
        <f aca="false">BC$21*(0-Planner!$C$43)</f>
        <v>-4.942</v>
      </c>
      <c r="BD93" s="24" t="n">
        <f aca="false">BD$21*(0-Planner!$C$43)</f>
        <v>-4.6025</v>
      </c>
      <c r="BE93" s="24" t="n">
        <f aca="false">BE$21*(0-Planner!$C$43)</f>
        <v>-4.564</v>
      </c>
      <c r="BF93" s="24" t="n">
        <f aca="false">BF$21*(0-Planner!$C$43)</f>
        <v>-3.0975</v>
      </c>
      <c r="BG93" s="24" t="n">
        <f aca="false">BG$21*(0-Planner!$C$43)</f>
        <v>-2.4955</v>
      </c>
      <c r="BH93" s="24" t="n">
        <f aca="false">BH$21*(0-Planner!$C$43)</f>
        <v>-4.3575</v>
      </c>
      <c r="BI93" s="24" t="n">
        <f aca="false">BI$21*(0-Planner!$C$43)</f>
        <v>-4.8545</v>
      </c>
      <c r="BJ93" s="24" t="n">
        <f aca="false">BJ$21*(0-Planner!$C$43)</f>
        <v>-2.6565</v>
      </c>
      <c r="BK93" s="24" t="n">
        <f aca="false">BK$21*(0-Planner!$C$43)</f>
        <v>-0.6825</v>
      </c>
      <c r="BL93" s="24" t="n">
        <f aca="false">BL$21*(0-Planner!$C$43)</f>
        <v>-1.057</v>
      </c>
      <c r="BM93" s="24" t="n">
        <f aca="false">BM$21*(0-Planner!$C$43)</f>
        <v>-0.784</v>
      </c>
      <c r="BN93" s="24" t="n">
        <f aca="false">BN$21*(0-Planner!$C$43)</f>
        <v>-1.0535</v>
      </c>
      <c r="BO93" s="24" t="n">
        <f aca="false">BO$21*(0-Planner!$C$43)</f>
        <v>-1.827</v>
      </c>
      <c r="BP93" s="24" t="n">
        <f aca="false">BP$21*(0-Planner!$C$43)</f>
        <v>-0.7175</v>
      </c>
      <c r="BQ93" s="24" t="n">
        <f aca="false">BQ$21*(0-Planner!$C$43)</f>
        <v>-0.5495</v>
      </c>
      <c r="BR93" s="24" t="n">
        <f aca="false">BR$21*(0-Planner!$C$43)</f>
        <v>-0.091</v>
      </c>
      <c r="BS93" s="24" t="n">
        <f aca="false">BS$21*(0-Planner!$C$43)</f>
        <v>-0.0595</v>
      </c>
      <c r="BT93" s="24" t="n">
        <f aca="false">BT$21*(0-Planner!$C$43)</f>
        <v>-0.3815</v>
      </c>
      <c r="BU93" s="24" t="n">
        <f aca="false">BU$21*(0-Planner!$C$43)</f>
        <v>-0.4865</v>
      </c>
      <c r="BV93" s="24" t="n">
        <f aca="false">BV$21*(0-Planner!$C$43)</f>
        <v>-0.147</v>
      </c>
      <c r="BW93" s="24" t="n">
        <f aca="false">BW$21*(0-Planner!$C$43)</f>
        <v>-0.294</v>
      </c>
      <c r="BX93" s="24" t="n">
        <f aca="false">BX$21*(0-Planner!$C$43)</f>
        <v>-0.371</v>
      </c>
      <c r="BY93" s="24" t="n">
        <f aca="false">BY$21*(0-Planner!$C$43)</f>
        <v>-0.2975</v>
      </c>
      <c r="BZ93" s="24" t="n">
        <f aca="false">BZ$21*(0-Planner!$C$43)</f>
        <v>-0.8575</v>
      </c>
      <c r="CA93" s="24" t="n">
        <f aca="false">CA$21*(0-Planner!$C$43)</f>
        <v>-1.1865</v>
      </c>
      <c r="CB93" s="24" t="n">
        <f aca="false">CB$21*(0-Planner!$C$43)</f>
        <v>-0.0595</v>
      </c>
      <c r="CC93" s="24" t="n">
        <f aca="false">CC$21*(0-Planner!$C$43)</f>
        <v>-0.161</v>
      </c>
      <c r="CD93" s="24" t="n">
        <f aca="false">CD$21*(0-Planner!$C$43)</f>
        <v>-0.2205</v>
      </c>
      <c r="CE93" s="24" t="n">
        <f aca="false">CE$21*(0-Planner!$C$43)</f>
        <v>-0.252</v>
      </c>
      <c r="CF93" s="24" t="n">
        <f aca="false">CF$21*(0-Planner!$C$43)</f>
        <v>-0.189</v>
      </c>
      <c r="CG93" s="24" t="n">
        <f aca="false">CG$21*(0-Planner!$C$43)</f>
        <v>-0.399</v>
      </c>
      <c r="CH93" s="24" t="n">
        <f aca="false">CH$21*(0-Planner!$C$43)</f>
        <v>-0.287</v>
      </c>
      <c r="CI93" s="24" t="n">
        <f aca="false">CI$21*(0-Planner!$C$43)</f>
        <v>-0.371</v>
      </c>
      <c r="CJ93" s="24" t="n">
        <f aca="false">CJ$21*(0-Planner!$C$43)</f>
        <v>-0.238</v>
      </c>
      <c r="CK93" s="24" t="n">
        <f aca="false">CK$21*(0-Planner!$C$43)</f>
        <v>-0.3185</v>
      </c>
      <c r="CL93" s="24" t="n">
        <f aca="false">CL$21*(0-Planner!$C$43)</f>
        <v>-0.1645</v>
      </c>
      <c r="CM93" s="24" t="n">
        <f aca="false">CM$21*(0-Planner!$C$43)</f>
        <v>-0.3185</v>
      </c>
      <c r="CN93" s="24" t="n">
        <f aca="false">CN$21*(0-Planner!$C$43)</f>
        <v>-0.2205</v>
      </c>
      <c r="CO93" s="24" t="n">
        <f aca="false">CO$21*(0-Planner!$C$43)</f>
        <v>-0.126</v>
      </c>
      <c r="CP93" s="24" t="n">
        <f aca="false">CP$21*(0-Planner!$C$43)</f>
        <v>-0.119</v>
      </c>
      <c r="CQ93" s="24" t="n">
        <f aca="false">CQ$21*(0-Planner!$C$43)</f>
        <v>-0.189</v>
      </c>
      <c r="CR93" s="24" t="n">
        <f aca="false">CR$21*(0-Planner!$C$43)</f>
        <v>-0.147</v>
      </c>
      <c r="CS93" s="24" t="n">
        <f aca="false">CS$21*(0-Planner!$C$43)</f>
        <v>-0.245</v>
      </c>
      <c r="CT93" s="24" t="n">
        <f aca="false">CT$21*(0-Planner!$C$43)</f>
        <v>-0.763</v>
      </c>
      <c r="CU93" s="24" t="n">
        <f aca="false">CU$21*(0-Planner!$C$43)</f>
        <v>-1.0745</v>
      </c>
      <c r="CV93" s="24" t="n">
        <f aca="false">CV$21*(0-Planner!$C$43)</f>
        <v>-0.42</v>
      </c>
      <c r="CW93" s="24" t="n">
        <f aca="false">CW$21*(0-Planner!$C$43)</f>
        <v>-0.2345</v>
      </c>
      <c r="CX93" s="24" t="n">
        <f aca="false">CX$21*(0-Planner!$C$43)</f>
        <v>-0.1505</v>
      </c>
      <c r="CY93" s="24" t="n">
        <f aca="false">CY$21*(0-Planner!$C$43)</f>
        <v>-0.2135</v>
      </c>
      <c r="CZ93" s="24" t="n">
        <f aca="false">CZ$21*(0-Planner!$C$43)</f>
        <v>-0.28</v>
      </c>
      <c r="DA93" s="24" t="n">
        <f aca="false">DA$21*(0-Planner!$C$43)</f>
        <v>-0.77</v>
      </c>
      <c r="DB93" s="24" t="n">
        <f aca="false">DB$21*(0-Planner!$C$43)</f>
        <v>-0.224</v>
      </c>
      <c r="DC93" s="24" t="n">
        <f aca="false">DC$21*(0-Planner!$C$43)</f>
        <v>-0.2555</v>
      </c>
      <c r="DD93" s="24" t="n">
        <f aca="false">DD$21*(0-Planner!$C$43)</f>
        <v>-1.071</v>
      </c>
      <c r="DE93" s="24" t="n">
        <f aca="false">DE$21*(0-Planner!$C$43)</f>
        <v>-1.323</v>
      </c>
      <c r="DF93" s="24" t="n">
        <f aca="false">DF$21*(0-Planner!$C$43)</f>
        <v>-0.35</v>
      </c>
      <c r="DG93" s="24" t="n">
        <f aca="false">DG$21*(0-Planner!$C$43)</f>
        <v>-0.448</v>
      </c>
      <c r="DH93" s="24" t="n">
        <f aca="false">DH$21*(0-Planner!$C$43)</f>
        <v>-0.5005</v>
      </c>
      <c r="DI93" s="24" t="n">
        <f aca="false">DI$21*(0-Planner!$C$43)</f>
        <v>-0.3255</v>
      </c>
      <c r="DJ93" s="24" t="n">
        <f aca="false">DJ$21*(0-Planner!$C$43)</f>
        <v>-0.203</v>
      </c>
      <c r="DK93" s="24" t="n">
        <f aca="false">DK$21*(0-Planner!$C$43)</f>
        <v>-0.273</v>
      </c>
      <c r="DL93" s="24" t="n">
        <f aca="false">DL$21*(0-Planner!$C$43)</f>
        <v>-0.7035</v>
      </c>
      <c r="DM93" s="24" t="n">
        <f aca="false">DM$21*(0-Planner!$C$43)</f>
        <v>-0.2415</v>
      </c>
      <c r="DN93" s="24" t="n">
        <f aca="false">DN$21*(0-Planner!$C$43)</f>
        <v>-1.057</v>
      </c>
      <c r="DO93" s="24" t="n">
        <f aca="false">DO$21*(0-Planner!$C$43)</f>
        <v>-0.9415</v>
      </c>
      <c r="DP93" s="24" t="n">
        <f aca="false">DP$21*(0-Planner!$C$43)</f>
        <v>-0.2275</v>
      </c>
      <c r="DQ93" s="24" t="n">
        <f aca="false">DQ$21*(0-Planner!$C$43)</f>
        <v>-0.252</v>
      </c>
      <c r="DR93" s="24" t="n">
        <f aca="false">DR$21*(0-Planner!$C$43)</f>
        <v>-0.6265</v>
      </c>
      <c r="DS93" s="24" t="n">
        <f aca="false">DS$21*(0-Planner!$C$43)</f>
        <v>-0.301</v>
      </c>
      <c r="DT93" s="24" t="n">
        <f aca="false">DT$21*(0-Planner!$C$43)</f>
        <v>-0.315</v>
      </c>
      <c r="DU93" s="24" t="n">
        <f aca="false">DU$21*(0-Planner!$C$43)</f>
        <v>-0.931</v>
      </c>
      <c r="DV93" s="24" t="n">
        <f aca="false">DV$21*(0-Planner!$C$43)</f>
        <v>-1.1655</v>
      </c>
      <c r="DW93" s="24" t="n">
        <f aca="false">DW$21*(0-Planner!$C$43)</f>
        <v>-1.0815</v>
      </c>
      <c r="DX93" s="24" t="n">
        <f aca="false">DX$21*(0-Planner!$C$43)</f>
        <v>-0.8715</v>
      </c>
      <c r="DY93" s="24" t="n">
        <f aca="false">DY$21*(0-Planner!$C$43)</f>
        <v>-0.5915</v>
      </c>
      <c r="DZ93" s="24" t="n">
        <f aca="false">DZ$21*(0-Planner!$C$43)</f>
        <v>-0.385</v>
      </c>
      <c r="EA93" s="24" t="n">
        <f aca="false">EA$21*(0-Planner!$C$43)</f>
        <v>-0.385</v>
      </c>
      <c r="EB93" s="24" t="n">
        <f aca="false">EB$21*(0-Planner!$C$43)</f>
        <v>-0.238</v>
      </c>
      <c r="EC93" s="24" t="n">
        <f aca="false">EC$21*(0-Planner!$C$43)</f>
        <v>-0.3465</v>
      </c>
      <c r="ED93" s="24" t="n">
        <f aca="false">ED$21*(0-Planner!$C$43)</f>
        <v>-0.4305</v>
      </c>
      <c r="EE93" s="24" t="n">
        <f aca="false">EE$21*(0-Planner!$C$43)</f>
        <v>-0.3185</v>
      </c>
      <c r="EF93" s="24" t="n">
        <f aca="false">EF$21*(0-Planner!$C$43)</f>
        <v>-0.7385</v>
      </c>
      <c r="EG93" s="24" t="n">
        <f aca="false">EG$21*(0-Planner!$C$43)</f>
        <v>-1.001</v>
      </c>
      <c r="EH93" s="24" t="n">
        <f aca="false">EH$21*(0-Planner!$C$43)</f>
        <v>-1.2705</v>
      </c>
      <c r="EI93" s="24" t="n">
        <f aca="false">EI$21*(0-Planner!$C$43)</f>
        <v>-0.2765</v>
      </c>
      <c r="EJ93" s="24" t="n">
        <f aca="false">EJ$21*(0-Planner!$C$43)</f>
        <v>-0.308</v>
      </c>
      <c r="EK93" s="24" t="n">
        <f aca="false">EK$21*(0-Planner!$C$43)</f>
        <v>-0.8645</v>
      </c>
      <c r="EL93" s="24" t="n">
        <f aca="false">EL$21*(0-Planner!$C$43)</f>
        <v>-0.4235</v>
      </c>
      <c r="EM93" s="24" t="n">
        <f aca="false">EM$21*(0-Planner!$C$43)</f>
        <v>-0.2975</v>
      </c>
      <c r="EN93" s="24" t="n">
        <f aca="false">EN$21*(0-Planner!$C$43)</f>
        <v>-0</v>
      </c>
      <c r="EO93" s="24" t="n">
        <f aca="false">EO$21*(0-Planner!$C$43)</f>
        <v>-0</v>
      </c>
      <c r="EP93" s="24" t="n">
        <f aca="false">EP$21*(0-Planner!$C$43)</f>
        <v>-7.4025</v>
      </c>
      <c r="EQ93" s="24" t="n">
        <f aca="false">EQ$21*(0-Planner!$C$43)</f>
        <v>-0.686</v>
      </c>
      <c r="ER93" s="24" t="n">
        <f aca="false">ER$21*(0-Planner!$C$43)</f>
        <v>-1.785</v>
      </c>
      <c r="ES93" s="24" t="n">
        <f aca="false">ES$21*(0-Planner!$C$43)</f>
        <v>-1.9775</v>
      </c>
      <c r="ET93" s="24" t="n">
        <f aca="false">ET$21*(0-Planner!$C$43)</f>
        <v>-2.2365</v>
      </c>
      <c r="EU93" s="24" t="n">
        <f aca="false">EU$21*(0-Planner!$C$43)</f>
        <v>-1.225</v>
      </c>
    </row>
    <row r="94" customFormat="false" ht="15" hidden="false" customHeight="false" outlineLevel="0" collapsed="false">
      <c r="A94" s="4" t="s">
        <v>1034</v>
      </c>
      <c r="B94" s="75" t="s">
        <v>1017</v>
      </c>
      <c r="C94" s="78" t="n">
        <v>0</v>
      </c>
      <c r="D94" s="77" t="n">
        <v>-39.199999997333</v>
      </c>
      <c r="E94" s="75" t="str">
        <f aca="false">IF(D94&lt;=C94+0.000001*MAX(1,ABS(C94)),IF(ABS(D94-C94)&lt;=0.000001*MAX(1,ABS(C94)),"tight","ok"),"VIOLATED")</f>
        <v>ok</v>
      </c>
      <c r="F94" s="24" t="n">
        <f aca="false">F$21*(0-Planner!$C$43)</f>
        <v>-7.875</v>
      </c>
      <c r="G94" s="24" t="n">
        <f aca="false">G$21*(0-Planner!$C$43)</f>
        <v>-6.328</v>
      </c>
      <c r="H94" s="24" t="n">
        <f aca="false">H$21*(0-Planner!$C$43)</f>
        <v>-6.881</v>
      </c>
      <c r="I94" s="24" t="n">
        <f aca="false">I$21*(0-Planner!$C$43)</f>
        <v>-5.7155</v>
      </c>
      <c r="J94" s="24" t="n">
        <f aca="false">J$21*(0-Planner!$C$43)</f>
        <v>-6.5555</v>
      </c>
      <c r="K94" s="24" t="n">
        <f aca="false">K$21*(0-Planner!$C$43)</f>
        <v>-6.51</v>
      </c>
      <c r="L94" s="24" t="n">
        <f aca="false">L$21*(0-Planner!$C$43)</f>
        <v>-4.417</v>
      </c>
      <c r="M94" s="24" t="n">
        <f aca="false">M$21*(0-Planner!$C$43)</f>
        <v>-7.6125</v>
      </c>
      <c r="N94" s="24" t="n">
        <f aca="false">N$21*(0-Planner!$C$43)</f>
        <v>-6.0095</v>
      </c>
      <c r="O94" s="24" t="n">
        <f aca="false">O$21*(0-Planner!$C$43)</f>
        <v>-7.2975</v>
      </c>
      <c r="P94" s="24" t="n">
        <f aca="false">P$21*(0-Planner!$C$43)</f>
        <v>-5.81</v>
      </c>
      <c r="Q94" s="24" t="n">
        <f aca="false">Q$21*(0-Planner!$C$43)</f>
        <v>-7.399</v>
      </c>
      <c r="R94" s="24" t="n">
        <f aca="false">R$21*(0-Planner!$C$43)</f>
        <v>-7.679</v>
      </c>
      <c r="S94" s="24" t="n">
        <f aca="false">S$21*(0-Planner!$C$43)</f>
        <v>-6.972</v>
      </c>
      <c r="T94" s="24" t="n">
        <f aca="false">T$21*(0-Planner!$C$43)</f>
        <v>-6.804</v>
      </c>
      <c r="U94" s="24" t="n">
        <f aca="false">U$21*(0-Planner!$C$43)</f>
        <v>-7.147</v>
      </c>
      <c r="V94" s="24" t="n">
        <f aca="false">V$21*(0-Planner!$C$43)</f>
        <v>-4.7635</v>
      </c>
      <c r="W94" s="24" t="n">
        <f aca="false">W$21*(1-Planner!$C$43)</f>
        <v>13.052</v>
      </c>
      <c r="X94" s="24" t="n">
        <f aca="false">X$21*(0-Planner!$C$43)</f>
        <v>-4.396</v>
      </c>
      <c r="Y94" s="24" t="n">
        <f aca="false">Y$21*(0-Planner!$C$43)</f>
        <v>-2.1105</v>
      </c>
      <c r="Z94" s="24" t="n">
        <f aca="false">Z$21*(0-Planner!$C$43)</f>
        <v>-7.56</v>
      </c>
      <c r="AA94" s="24" t="n">
        <f aca="false">AA$21*(0-Planner!$C$43)</f>
        <v>-1.659</v>
      </c>
      <c r="AB94" s="24" t="n">
        <f aca="false">AB$21*(0-Planner!$C$43)</f>
        <v>-8.232</v>
      </c>
      <c r="AC94" s="24" t="n">
        <f aca="false">AC$21*(0-Planner!$C$43)</f>
        <v>-1.722</v>
      </c>
      <c r="AD94" s="24" t="n">
        <f aca="false">AD$21*(0-Planner!$C$43)</f>
        <v>-2.5795</v>
      </c>
      <c r="AE94" s="24" t="n">
        <f aca="false">AE$21*(0-Planner!$C$43)</f>
        <v>-7.651</v>
      </c>
      <c r="AF94" s="24" t="n">
        <f aca="false">AF$21*(0-Planner!$C$43)</f>
        <v>-1.827</v>
      </c>
      <c r="AG94" s="24" t="n">
        <f aca="false">AG$21*(0-Planner!$C$43)</f>
        <v>-8.253</v>
      </c>
      <c r="AH94" s="24" t="n">
        <f aca="false">AH$21*(0-Planner!$C$43)</f>
        <v>-8.6205</v>
      </c>
      <c r="AI94" s="24" t="n">
        <f aca="false">AI$21*(0-Planner!$C$43)</f>
        <v>-7.511</v>
      </c>
      <c r="AJ94" s="24" t="n">
        <f aca="false">AJ$21*(0-Planner!$C$43)</f>
        <v>-2.6355</v>
      </c>
      <c r="AK94" s="24" t="n">
        <f aca="false">AK$21*(0-Planner!$C$43)</f>
        <v>-7.8155</v>
      </c>
      <c r="AL94" s="24" t="n">
        <f aca="false">AL$21*(0-Planner!$C$43)</f>
        <v>-7.7735</v>
      </c>
      <c r="AM94" s="24" t="n">
        <f aca="false">AM$21*(0-Planner!$C$43)</f>
        <v>-1.61</v>
      </c>
      <c r="AN94" s="24" t="n">
        <f aca="false">AN$21*(0-Planner!$C$43)</f>
        <v>-7.497</v>
      </c>
      <c r="AO94" s="24" t="n">
        <f aca="false">AO$21*(0-Planner!$C$43)</f>
        <v>-3.535</v>
      </c>
      <c r="AP94" s="24" t="n">
        <f aca="false">AP$21*(0-Planner!$C$43)</f>
        <v>-1.155</v>
      </c>
      <c r="AQ94" s="24" t="n">
        <f aca="false">AQ$21*(0-Planner!$C$43)</f>
        <v>-3.5665</v>
      </c>
      <c r="AR94" s="24" t="n">
        <f aca="false">AR$21*(0-Planner!$C$43)</f>
        <v>-0.91</v>
      </c>
      <c r="AS94" s="24" t="n">
        <f aca="false">AS$21*(0-Planner!$C$43)</f>
        <v>-1.1025</v>
      </c>
      <c r="AT94" s="24" t="n">
        <f aca="false">AT$21*(0-Planner!$C$43)</f>
        <v>-6.3455</v>
      </c>
      <c r="AU94" s="24" t="n">
        <f aca="false">AU$21*(0-Planner!$C$43)</f>
        <v>-8.0045</v>
      </c>
      <c r="AV94" s="24" t="n">
        <f aca="false">AV$21*(0-Planner!$C$43)</f>
        <v>-3.6575</v>
      </c>
      <c r="AW94" s="24" t="n">
        <f aca="false">AW$21*(0-Planner!$C$43)</f>
        <v>-8.3125</v>
      </c>
      <c r="AX94" s="24" t="n">
        <f aca="false">AX$21*(0-Planner!$C$43)</f>
        <v>-3.696</v>
      </c>
      <c r="AY94" s="24" t="n">
        <f aca="false">AY$21*(0-Planner!$C$43)</f>
        <v>-2.639</v>
      </c>
      <c r="AZ94" s="24" t="n">
        <f aca="false">AZ$21*(0-Planner!$C$43)</f>
        <v>-4.2315</v>
      </c>
      <c r="BA94" s="24" t="n">
        <f aca="false">BA$21*(0-Planner!$C$43)</f>
        <v>-1.995</v>
      </c>
      <c r="BB94" s="24" t="n">
        <f aca="false">BB$21*(0-Planner!$C$43)</f>
        <v>-2.8035</v>
      </c>
      <c r="BC94" s="24" t="n">
        <f aca="false">BC$21*(0-Planner!$C$43)</f>
        <v>-4.942</v>
      </c>
      <c r="BD94" s="24" t="n">
        <f aca="false">BD$21*(0-Planner!$C$43)</f>
        <v>-4.6025</v>
      </c>
      <c r="BE94" s="24" t="n">
        <f aca="false">BE$21*(0-Planner!$C$43)</f>
        <v>-4.564</v>
      </c>
      <c r="BF94" s="24" t="n">
        <f aca="false">BF$21*(0-Planner!$C$43)</f>
        <v>-3.0975</v>
      </c>
      <c r="BG94" s="24" t="n">
        <f aca="false">BG$21*(0-Planner!$C$43)</f>
        <v>-2.4955</v>
      </c>
      <c r="BH94" s="24" t="n">
        <f aca="false">BH$21*(0-Planner!$C$43)</f>
        <v>-4.3575</v>
      </c>
      <c r="BI94" s="24" t="n">
        <f aca="false">BI$21*(0-Planner!$C$43)</f>
        <v>-4.8545</v>
      </c>
      <c r="BJ94" s="24" t="n">
        <f aca="false">BJ$21*(0-Planner!$C$43)</f>
        <v>-2.6565</v>
      </c>
      <c r="BK94" s="24" t="n">
        <f aca="false">BK$21*(0-Planner!$C$43)</f>
        <v>-0.6825</v>
      </c>
      <c r="BL94" s="24" t="n">
        <f aca="false">BL$21*(0-Planner!$C$43)</f>
        <v>-1.057</v>
      </c>
      <c r="BM94" s="24" t="n">
        <f aca="false">BM$21*(0-Planner!$C$43)</f>
        <v>-0.784</v>
      </c>
      <c r="BN94" s="24" t="n">
        <f aca="false">BN$21*(0-Planner!$C$43)</f>
        <v>-1.0535</v>
      </c>
      <c r="BO94" s="24" t="n">
        <f aca="false">BO$21*(0-Planner!$C$43)</f>
        <v>-1.827</v>
      </c>
      <c r="BP94" s="24" t="n">
        <f aca="false">BP$21*(0-Planner!$C$43)</f>
        <v>-0.7175</v>
      </c>
      <c r="BQ94" s="24" t="n">
        <f aca="false">BQ$21*(0-Planner!$C$43)</f>
        <v>-0.5495</v>
      </c>
      <c r="BR94" s="24" t="n">
        <f aca="false">BR$21*(0-Planner!$C$43)</f>
        <v>-0.091</v>
      </c>
      <c r="BS94" s="24" t="n">
        <f aca="false">BS$21*(0-Planner!$C$43)</f>
        <v>-0.0595</v>
      </c>
      <c r="BT94" s="24" t="n">
        <f aca="false">BT$21*(0-Planner!$C$43)</f>
        <v>-0.3815</v>
      </c>
      <c r="BU94" s="24" t="n">
        <f aca="false">BU$21*(0-Planner!$C$43)</f>
        <v>-0.4865</v>
      </c>
      <c r="BV94" s="24" t="n">
        <f aca="false">BV$21*(0-Planner!$C$43)</f>
        <v>-0.147</v>
      </c>
      <c r="BW94" s="24" t="n">
        <f aca="false">BW$21*(0-Planner!$C$43)</f>
        <v>-0.294</v>
      </c>
      <c r="BX94" s="24" t="n">
        <f aca="false">BX$21*(0-Planner!$C$43)</f>
        <v>-0.371</v>
      </c>
      <c r="BY94" s="24" t="n">
        <f aca="false">BY$21*(0-Planner!$C$43)</f>
        <v>-0.2975</v>
      </c>
      <c r="BZ94" s="24" t="n">
        <f aca="false">BZ$21*(0-Planner!$C$43)</f>
        <v>-0.8575</v>
      </c>
      <c r="CA94" s="24" t="n">
        <f aca="false">CA$21*(0-Planner!$C$43)</f>
        <v>-1.1865</v>
      </c>
      <c r="CB94" s="24" t="n">
        <f aca="false">CB$21*(0-Planner!$C$43)</f>
        <v>-0.0595</v>
      </c>
      <c r="CC94" s="24" t="n">
        <f aca="false">CC$21*(0-Planner!$C$43)</f>
        <v>-0.161</v>
      </c>
      <c r="CD94" s="24" t="n">
        <f aca="false">CD$21*(0-Planner!$C$43)</f>
        <v>-0.2205</v>
      </c>
      <c r="CE94" s="24" t="n">
        <f aca="false">CE$21*(0-Planner!$C$43)</f>
        <v>-0.252</v>
      </c>
      <c r="CF94" s="24" t="n">
        <f aca="false">CF$21*(0-Planner!$C$43)</f>
        <v>-0.189</v>
      </c>
      <c r="CG94" s="24" t="n">
        <f aca="false">CG$21*(0-Planner!$C$43)</f>
        <v>-0.399</v>
      </c>
      <c r="CH94" s="24" t="n">
        <f aca="false">CH$21*(0-Planner!$C$43)</f>
        <v>-0.287</v>
      </c>
      <c r="CI94" s="24" t="n">
        <f aca="false">CI$21*(0-Planner!$C$43)</f>
        <v>-0.371</v>
      </c>
      <c r="CJ94" s="24" t="n">
        <f aca="false">CJ$21*(0-Planner!$C$43)</f>
        <v>-0.238</v>
      </c>
      <c r="CK94" s="24" t="n">
        <f aca="false">CK$21*(0-Planner!$C$43)</f>
        <v>-0.3185</v>
      </c>
      <c r="CL94" s="24" t="n">
        <f aca="false">CL$21*(0-Planner!$C$43)</f>
        <v>-0.1645</v>
      </c>
      <c r="CM94" s="24" t="n">
        <f aca="false">CM$21*(0-Planner!$C$43)</f>
        <v>-0.3185</v>
      </c>
      <c r="CN94" s="24" t="n">
        <f aca="false">CN$21*(0-Planner!$C$43)</f>
        <v>-0.2205</v>
      </c>
      <c r="CO94" s="24" t="n">
        <f aca="false">CO$21*(0-Planner!$C$43)</f>
        <v>-0.126</v>
      </c>
      <c r="CP94" s="24" t="n">
        <f aca="false">CP$21*(0-Planner!$C$43)</f>
        <v>-0.119</v>
      </c>
      <c r="CQ94" s="24" t="n">
        <f aca="false">CQ$21*(0-Planner!$C$43)</f>
        <v>-0.189</v>
      </c>
      <c r="CR94" s="24" t="n">
        <f aca="false">CR$21*(0-Planner!$C$43)</f>
        <v>-0.147</v>
      </c>
      <c r="CS94" s="24" t="n">
        <f aca="false">CS$21*(0-Planner!$C$43)</f>
        <v>-0.245</v>
      </c>
      <c r="CT94" s="24" t="n">
        <f aca="false">CT$21*(0-Planner!$C$43)</f>
        <v>-0.763</v>
      </c>
      <c r="CU94" s="24" t="n">
        <f aca="false">CU$21*(0-Planner!$C$43)</f>
        <v>-1.0745</v>
      </c>
      <c r="CV94" s="24" t="n">
        <f aca="false">CV$21*(0-Planner!$C$43)</f>
        <v>-0.42</v>
      </c>
      <c r="CW94" s="24" t="n">
        <f aca="false">CW$21*(0-Planner!$C$43)</f>
        <v>-0.2345</v>
      </c>
      <c r="CX94" s="24" t="n">
        <f aca="false">CX$21*(0-Planner!$C$43)</f>
        <v>-0.1505</v>
      </c>
      <c r="CY94" s="24" t="n">
        <f aca="false">CY$21*(0-Planner!$C$43)</f>
        <v>-0.2135</v>
      </c>
      <c r="CZ94" s="24" t="n">
        <f aca="false">CZ$21*(0-Planner!$C$43)</f>
        <v>-0.28</v>
      </c>
      <c r="DA94" s="24" t="n">
        <f aca="false">DA$21*(0-Planner!$C$43)</f>
        <v>-0.77</v>
      </c>
      <c r="DB94" s="24" t="n">
        <f aca="false">DB$21*(0-Planner!$C$43)</f>
        <v>-0.224</v>
      </c>
      <c r="DC94" s="24" t="n">
        <f aca="false">DC$21*(0-Planner!$C$43)</f>
        <v>-0.2555</v>
      </c>
      <c r="DD94" s="24" t="n">
        <f aca="false">DD$21*(0-Planner!$C$43)</f>
        <v>-1.071</v>
      </c>
      <c r="DE94" s="24" t="n">
        <f aca="false">DE$21*(0-Planner!$C$43)</f>
        <v>-1.323</v>
      </c>
      <c r="DF94" s="24" t="n">
        <f aca="false">DF$21*(0-Planner!$C$43)</f>
        <v>-0.35</v>
      </c>
      <c r="DG94" s="24" t="n">
        <f aca="false">DG$21*(0-Planner!$C$43)</f>
        <v>-0.448</v>
      </c>
      <c r="DH94" s="24" t="n">
        <f aca="false">DH$21*(0-Planner!$C$43)</f>
        <v>-0.5005</v>
      </c>
      <c r="DI94" s="24" t="n">
        <f aca="false">DI$21*(0-Planner!$C$43)</f>
        <v>-0.3255</v>
      </c>
      <c r="DJ94" s="24" t="n">
        <f aca="false">DJ$21*(0-Planner!$C$43)</f>
        <v>-0.203</v>
      </c>
      <c r="DK94" s="24" t="n">
        <f aca="false">DK$21*(0-Planner!$C$43)</f>
        <v>-0.273</v>
      </c>
      <c r="DL94" s="24" t="n">
        <f aca="false">DL$21*(0-Planner!$C$43)</f>
        <v>-0.7035</v>
      </c>
      <c r="DM94" s="24" t="n">
        <f aca="false">DM$21*(0-Planner!$C$43)</f>
        <v>-0.2415</v>
      </c>
      <c r="DN94" s="24" t="n">
        <f aca="false">DN$21*(0-Planner!$C$43)</f>
        <v>-1.057</v>
      </c>
      <c r="DO94" s="24" t="n">
        <f aca="false">DO$21*(0-Planner!$C$43)</f>
        <v>-0.9415</v>
      </c>
      <c r="DP94" s="24" t="n">
        <f aca="false">DP$21*(0-Planner!$C$43)</f>
        <v>-0.2275</v>
      </c>
      <c r="DQ94" s="24" t="n">
        <f aca="false">DQ$21*(0-Planner!$C$43)</f>
        <v>-0.252</v>
      </c>
      <c r="DR94" s="24" t="n">
        <f aca="false">DR$21*(0-Planner!$C$43)</f>
        <v>-0.6265</v>
      </c>
      <c r="DS94" s="24" t="n">
        <f aca="false">DS$21*(0-Planner!$C$43)</f>
        <v>-0.301</v>
      </c>
      <c r="DT94" s="24" t="n">
        <f aca="false">DT$21*(0-Planner!$C$43)</f>
        <v>-0.315</v>
      </c>
      <c r="DU94" s="24" t="n">
        <f aca="false">DU$21*(0-Planner!$C$43)</f>
        <v>-0.931</v>
      </c>
      <c r="DV94" s="24" t="n">
        <f aca="false">DV$21*(0-Planner!$C$43)</f>
        <v>-1.1655</v>
      </c>
      <c r="DW94" s="24" t="n">
        <f aca="false">DW$21*(0-Planner!$C$43)</f>
        <v>-1.0815</v>
      </c>
      <c r="DX94" s="24" t="n">
        <f aca="false">DX$21*(0-Planner!$C$43)</f>
        <v>-0.8715</v>
      </c>
      <c r="DY94" s="24" t="n">
        <f aca="false">DY$21*(0-Planner!$C$43)</f>
        <v>-0.5915</v>
      </c>
      <c r="DZ94" s="24" t="n">
        <f aca="false">DZ$21*(0-Planner!$C$43)</f>
        <v>-0.385</v>
      </c>
      <c r="EA94" s="24" t="n">
        <f aca="false">EA$21*(0-Planner!$C$43)</f>
        <v>-0.385</v>
      </c>
      <c r="EB94" s="24" t="n">
        <f aca="false">EB$21*(0-Planner!$C$43)</f>
        <v>-0.238</v>
      </c>
      <c r="EC94" s="24" t="n">
        <f aca="false">EC$21*(0-Planner!$C$43)</f>
        <v>-0.3465</v>
      </c>
      <c r="ED94" s="24" t="n">
        <f aca="false">ED$21*(0-Planner!$C$43)</f>
        <v>-0.4305</v>
      </c>
      <c r="EE94" s="24" t="n">
        <f aca="false">EE$21*(0-Planner!$C$43)</f>
        <v>-0.3185</v>
      </c>
      <c r="EF94" s="24" t="n">
        <f aca="false">EF$21*(0-Planner!$C$43)</f>
        <v>-0.7385</v>
      </c>
      <c r="EG94" s="24" t="n">
        <f aca="false">EG$21*(0-Planner!$C$43)</f>
        <v>-1.001</v>
      </c>
      <c r="EH94" s="24" t="n">
        <f aca="false">EH$21*(0-Planner!$C$43)</f>
        <v>-1.2705</v>
      </c>
      <c r="EI94" s="24" t="n">
        <f aca="false">EI$21*(0-Planner!$C$43)</f>
        <v>-0.2765</v>
      </c>
      <c r="EJ94" s="24" t="n">
        <f aca="false">EJ$21*(0-Planner!$C$43)</f>
        <v>-0.308</v>
      </c>
      <c r="EK94" s="24" t="n">
        <f aca="false">EK$21*(0-Planner!$C$43)</f>
        <v>-0.8645</v>
      </c>
      <c r="EL94" s="24" t="n">
        <f aca="false">EL$21*(0-Planner!$C$43)</f>
        <v>-0.4235</v>
      </c>
      <c r="EM94" s="24" t="n">
        <f aca="false">EM$21*(0-Planner!$C$43)</f>
        <v>-0.2975</v>
      </c>
      <c r="EN94" s="24" t="n">
        <f aca="false">EN$21*(0-Planner!$C$43)</f>
        <v>-0</v>
      </c>
      <c r="EO94" s="24" t="n">
        <f aca="false">EO$21*(0-Planner!$C$43)</f>
        <v>-0</v>
      </c>
      <c r="EP94" s="24" t="n">
        <f aca="false">EP$21*(0-Planner!$C$43)</f>
        <v>-7.4025</v>
      </c>
      <c r="EQ94" s="24" t="n">
        <f aca="false">EQ$21*(0-Planner!$C$43)</f>
        <v>-0.686</v>
      </c>
      <c r="ER94" s="24" t="n">
        <f aca="false">ER$21*(0-Planner!$C$43)</f>
        <v>-1.785</v>
      </c>
      <c r="ES94" s="24" t="n">
        <f aca="false">ES$21*(0-Planner!$C$43)</f>
        <v>-1.9775</v>
      </c>
      <c r="ET94" s="24" t="n">
        <f aca="false">ET$21*(0-Planner!$C$43)</f>
        <v>-2.2365</v>
      </c>
      <c r="EU94" s="24" t="n">
        <f aca="false">EU$21*(0-Planner!$C$43)</f>
        <v>-1.225</v>
      </c>
    </row>
    <row r="95" customFormat="false" ht="15" hidden="false" customHeight="false" outlineLevel="0" collapsed="false">
      <c r="A95" s="4" t="s">
        <v>1035</v>
      </c>
      <c r="B95" s="75" t="s">
        <v>1017</v>
      </c>
      <c r="C95" s="78" t="n">
        <v>0</v>
      </c>
      <c r="D95" s="77" t="n">
        <v>-20.359999997333</v>
      </c>
      <c r="E95" s="75" t="str">
        <f aca="false">IF(D95&lt;=C95+0.000001*MAX(1,ABS(C95)),IF(ABS(D95-C95)&lt;=0.000001*MAX(1,ABS(C95)),"tight","ok"),"VIOLATED")</f>
        <v>ok</v>
      </c>
      <c r="F95" s="24" t="n">
        <f aca="false">F$21*(0-Planner!$C$43)</f>
        <v>-7.875</v>
      </c>
      <c r="G95" s="24" t="n">
        <f aca="false">G$21*(0-Planner!$C$43)</f>
        <v>-6.328</v>
      </c>
      <c r="H95" s="24" t="n">
        <f aca="false">H$21*(0-Planner!$C$43)</f>
        <v>-6.881</v>
      </c>
      <c r="I95" s="24" t="n">
        <f aca="false">I$21*(0-Planner!$C$43)</f>
        <v>-5.7155</v>
      </c>
      <c r="J95" s="24" t="n">
        <f aca="false">J$21*(0-Planner!$C$43)</f>
        <v>-6.5555</v>
      </c>
      <c r="K95" s="24" t="n">
        <f aca="false">K$21*(0-Planner!$C$43)</f>
        <v>-6.51</v>
      </c>
      <c r="L95" s="24" t="n">
        <f aca="false">L$21*(0-Planner!$C$43)</f>
        <v>-4.417</v>
      </c>
      <c r="M95" s="24" t="n">
        <f aca="false">M$21*(0-Planner!$C$43)</f>
        <v>-7.6125</v>
      </c>
      <c r="N95" s="24" t="n">
        <f aca="false">N$21*(0-Planner!$C$43)</f>
        <v>-6.0095</v>
      </c>
      <c r="O95" s="24" t="n">
        <f aca="false">O$21*(0-Planner!$C$43)</f>
        <v>-7.2975</v>
      </c>
      <c r="P95" s="24" t="n">
        <f aca="false">P$21*(0-Planner!$C$43)</f>
        <v>-5.81</v>
      </c>
      <c r="Q95" s="24" t="n">
        <f aca="false">Q$21*(0-Planner!$C$43)</f>
        <v>-7.399</v>
      </c>
      <c r="R95" s="24" t="n">
        <f aca="false">R$21*(0-Planner!$C$43)</f>
        <v>-7.679</v>
      </c>
      <c r="S95" s="24" t="n">
        <f aca="false">S$21*(0-Planner!$C$43)</f>
        <v>-6.972</v>
      </c>
      <c r="T95" s="24" t="n">
        <f aca="false">T$21*(0-Planner!$C$43)</f>
        <v>-6.804</v>
      </c>
      <c r="U95" s="24" t="n">
        <f aca="false">U$21*(0-Planner!$C$43)</f>
        <v>-7.147</v>
      </c>
      <c r="V95" s="24" t="n">
        <f aca="false">V$21*(0-Planner!$C$43)</f>
        <v>-4.7635</v>
      </c>
      <c r="W95" s="24" t="n">
        <f aca="false">W$21*(0-Planner!$C$43)</f>
        <v>-7.028</v>
      </c>
      <c r="X95" s="24" t="n">
        <f aca="false">X$21*(1-Planner!$C$43)</f>
        <v>8.164</v>
      </c>
      <c r="Y95" s="24" t="n">
        <f aca="false">Y$21*(0-Planner!$C$43)</f>
        <v>-2.1105</v>
      </c>
      <c r="Z95" s="24" t="n">
        <f aca="false">Z$21*(0-Planner!$C$43)</f>
        <v>-7.56</v>
      </c>
      <c r="AA95" s="24" t="n">
        <f aca="false">AA$21*(0-Planner!$C$43)</f>
        <v>-1.659</v>
      </c>
      <c r="AB95" s="24" t="n">
        <f aca="false">AB$21*(0-Planner!$C$43)</f>
        <v>-8.232</v>
      </c>
      <c r="AC95" s="24" t="n">
        <f aca="false">AC$21*(0-Planner!$C$43)</f>
        <v>-1.722</v>
      </c>
      <c r="AD95" s="24" t="n">
        <f aca="false">AD$21*(0-Planner!$C$43)</f>
        <v>-2.5795</v>
      </c>
      <c r="AE95" s="24" t="n">
        <f aca="false">AE$21*(0-Planner!$C$43)</f>
        <v>-7.651</v>
      </c>
      <c r="AF95" s="24" t="n">
        <f aca="false">AF$21*(0-Planner!$C$43)</f>
        <v>-1.827</v>
      </c>
      <c r="AG95" s="24" t="n">
        <f aca="false">AG$21*(0-Planner!$C$43)</f>
        <v>-8.253</v>
      </c>
      <c r="AH95" s="24" t="n">
        <f aca="false">AH$21*(0-Planner!$C$43)</f>
        <v>-8.6205</v>
      </c>
      <c r="AI95" s="24" t="n">
        <f aca="false">AI$21*(0-Planner!$C$43)</f>
        <v>-7.511</v>
      </c>
      <c r="AJ95" s="24" t="n">
        <f aca="false">AJ$21*(0-Planner!$C$43)</f>
        <v>-2.6355</v>
      </c>
      <c r="AK95" s="24" t="n">
        <f aca="false">AK$21*(0-Planner!$C$43)</f>
        <v>-7.8155</v>
      </c>
      <c r="AL95" s="24" t="n">
        <f aca="false">AL$21*(0-Planner!$C$43)</f>
        <v>-7.7735</v>
      </c>
      <c r="AM95" s="24" t="n">
        <f aca="false">AM$21*(0-Planner!$C$43)</f>
        <v>-1.61</v>
      </c>
      <c r="AN95" s="24" t="n">
        <f aca="false">AN$21*(0-Planner!$C$43)</f>
        <v>-7.497</v>
      </c>
      <c r="AO95" s="24" t="n">
        <f aca="false">AO$21*(0-Planner!$C$43)</f>
        <v>-3.535</v>
      </c>
      <c r="AP95" s="24" t="n">
        <f aca="false">AP$21*(0-Planner!$C$43)</f>
        <v>-1.155</v>
      </c>
      <c r="AQ95" s="24" t="n">
        <f aca="false">AQ$21*(0-Planner!$C$43)</f>
        <v>-3.5665</v>
      </c>
      <c r="AR95" s="24" t="n">
        <f aca="false">AR$21*(0-Planner!$C$43)</f>
        <v>-0.91</v>
      </c>
      <c r="AS95" s="24" t="n">
        <f aca="false">AS$21*(0-Planner!$C$43)</f>
        <v>-1.1025</v>
      </c>
      <c r="AT95" s="24" t="n">
        <f aca="false">AT$21*(0-Planner!$C$43)</f>
        <v>-6.3455</v>
      </c>
      <c r="AU95" s="24" t="n">
        <f aca="false">AU$21*(0-Planner!$C$43)</f>
        <v>-8.0045</v>
      </c>
      <c r="AV95" s="24" t="n">
        <f aca="false">AV$21*(0-Planner!$C$43)</f>
        <v>-3.6575</v>
      </c>
      <c r="AW95" s="24" t="n">
        <f aca="false">AW$21*(0-Planner!$C$43)</f>
        <v>-8.3125</v>
      </c>
      <c r="AX95" s="24" t="n">
        <f aca="false">AX$21*(0-Planner!$C$43)</f>
        <v>-3.696</v>
      </c>
      <c r="AY95" s="24" t="n">
        <f aca="false">AY$21*(0-Planner!$C$43)</f>
        <v>-2.639</v>
      </c>
      <c r="AZ95" s="24" t="n">
        <f aca="false">AZ$21*(0-Planner!$C$43)</f>
        <v>-4.2315</v>
      </c>
      <c r="BA95" s="24" t="n">
        <f aca="false">BA$21*(0-Planner!$C$43)</f>
        <v>-1.995</v>
      </c>
      <c r="BB95" s="24" t="n">
        <f aca="false">BB$21*(0-Planner!$C$43)</f>
        <v>-2.8035</v>
      </c>
      <c r="BC95" s="24" t="n">
        <f aca="false">BC$21*(0-Planner!$C$43)</f>
        <v>-4.942</v>
      </c>
      <c r="BD95" s="24" t="n">
        <f aca="false">BD$21*(0-Planner!$C$43)</f>
        <v>-4.6025</v>
      </c>
      <c r="BE95" s="24" t="n">
        <f aca="false">BE$21*(0-Planner!$C$43)</f>
        <v>-4.564</v>
      </c>
      <c r="BF95" s="24" t="n">
        <f aca="false">BF$21*(0-Planner!$C$43)</f>
        <v>-3.0975</v>
      </c>
      <c r="BG95" s="24" t="n">
        <f aca="false">BG$21*(0-Planner!$C$43)</f>
        <v>-2.4955</v>
      </c>
      <c r="BH95" s="24" t="n">
        <f aca="false">BH$21*(0-Planner!$C$43)</f>
        <v>-4.3575</v>
      </c>
      <c r="BI95" s="24" t="n">
        <f aca="false">BI$21*(0-Planner!$C$43)</f>
        <v>-4.8545</v>
      </c>
      <c r="BJ95" s="24" t="n">
        <f aca="false">BJ$21*(0-Planner!$C$43)</f>
        <v>-2.6565</v>
      </c>
      <c r="BK95" s="24" t="n">
        <f aca="false">BK$21*(0-Planner!$C$43)</f>
        <v>-0.6825</v>
      </c>
      <c r="BL95" s="24" t="n">
        <f aca="false">BL$21*(0-Planner!$C$43)</f>
        <v>-1.057</v>
      </c>
      <c r="BM95" s="24" t="n">
        <f aca="false">BM$21*(0-Planner!$C$43)</f>
        <v>-0.784</v>
      </c>
      <c r="BN95" s="24" t="n">
        <f aca="false">BN$21*(0-Planner!$C$43)</f>
        <v>-1.0535</v>
      </c>
      <c r="BO95" s="24" t="n">
        <f aca="false">BO$21*(0-Planner!$C$43)</f>
        <v>-1.827</v>
      </c>
      <c r="BP95" s="24" t="n">
        <f aca="false">BP$21*(0-Planner!$C$43)</f>
        <v>-0.7175</v>
      </c>
      <c r="BQ95" s="24" t="n">
        <f aca="false">BQ$21*(0-Planner!$C$43)</f>
        <v>-0.5495</v>
      </c>
      <c r="BR95" s="24" t="n">
        <f aca="false">BR$21*(0-Planner!$C$43)</f>
        <v>-0.091</v>
      </c>
      <c r="BS95" s="24" t="n">
        <f aca="false">BS$21*(0-Planner!$C$43)</f>
        <v>-0.0595</v>
      </c>
      <c r="BT95" s="24" t="n">
        <f aca="false">BT$21*(0-Planner!$C$43)</f>
        <v>-0.3815</v>
      </c>
      <c r="BU95" s="24" t="n">
        <f aca="false">BU$21*(0-Planner!$C$43)</f>
        <v>-0.4865</v>
      </c>
      <c r="BV95" s="24" t="n">
        <f aca="false">BV$21*(0-Planner!$C$43)</f>
        <v>-0.147</v>
      </c>
      <c r="BW95" s="24" t="n">
        <f aca="false">BW$21*(0-Planner!$C$43)</f>
        <v>-0.294</v>
      </c>
      <c r="BX95" s="24" t="n">
        <f aca="false">BX$21*(0-Planner!$C$43)</f>
        <v>-0.371</v>
      </c>
      <c r="BY95" s="24" t="n">
        <f aca="false">BY$21*(0-Planner!$C$43)</f>
        <v>-0.2975</v>
      </c>
      <c r="BZ95" s="24" t="n">
        <f aca="false">BZ$21*(0-Planner!$C$43)</f>
        <v>-0.8575</v>
      </c>
      <c r="CA95" s="24" t="n">
        <f aca="false">CA$21*(0-Planner!$C$43)</f>
        <v>-1.1865</v>
      </c>
      <c r="CB95" s="24" t="n">
        <f aca="false">CB$21*(0-Planner!$C$43)</f>
        <v>-0.0595</v>
      </c>
      <c r="CC95" s="24" t="n">
        <f aca="false">CC$21*(0-Planner!$C$43)</f>
        <v>-0.161</v>
      </c>
      <c r="CD95" s="24" t="n">
        <f aca="false">CD$21*(0-Planner!$C$43)</f>
        <v>-0.2205</v>
      </c>
      <c r="CE95" s="24" t="n">
        <f aca="false">CE$21*(0-Planner!$C$43)</f>
        <v>-0.252</v>
      </c>
      <c r="CF95" s="24" t="n">
        <f aca="false">CF$21*(0-Planner!$C$43)</f>
        <v>-0.189</v>
      </c>
      <c r="CG95" s="24" t="n">
        <f aca="false">CG$21*(0-Planner!$C$43)</f>
        <v>-0.399</v>
      </c>
      <c r="CH95" s="24" t="n">
        <f aca="false">CH$21*(0-Planner!$C$43)</f>
        <v>-0.287</v>
      </c>
      <c r="CI95" s="24" t="n">
        <f aca="false">CI$21*(0-Planner!$C$43)</f>
        <v>-0.371</v>
      </c>
      <c r="CJ95" s="24" t="n">
        <f aca="false">CJ$21*(0-Planner!$C$43)</f>
        <v>-0.238</v>
      </c>
      <c r="CK95" s="24" t="n">
        <f aca="false">CK$21*(0-Planner!$C$43)</f>
        <v>-0.3185</v>
      </c>
      <c r="CL95" s="24" t="n">
        <f aca="false">CL$21*(0-Planner!$C$43)</f>
        <v>-0.1645</v>
      </c>
      <c r="CM95" s="24" t="n">
        <f aca="false">CM$21*(0-Planner!$C$43)</f>
        <v>-0.3185</v>
      </c>
      <c r="CN95" s="24" t="n">
        <f aca="false">CN$21*(0-Planner!$C$43)</f>
        <v>-0.2205</v>
      </c>
      <c r="CO95" s="24" t="n">
        <f aca="false">CO$21*(0-Planner!$C$43)</f>
        <v>-0.126</v>
      </c>
      <c r="CP95" s="24" t="n">
        <f aca="false">CP$21*(0-Planner!$C$43)</f>
        <v>-0.119</v>
      </c>
      <c r="CQ95" s="24" t="n">
        <f aca="false">CQ$21*(0-Planner!$C$43)</f>
        <v>-0.189</v>
      </c>
      <c r="CR95" s="24" t="n">
        <f aca="false">CR$21*(0-Planner!$C$43)</f>
        <v>-0.147</v>
      </c>
      <c r="CS95" s="24" t="n">
        <f aca="false">CS$21*(0-Planner!$C$43)</f>
        <v>-0.245</v>
      </c>
      <c r="CT95" s="24" t="n">
        <f aca="false">CT$21*(0-Planner!$C$43)</f>
        <v>-0.763</v>
      </c>
      <c r="CU95" s="24" t="n">
        <f aca="false">CU$21*(0-Planner!$C$43)</f>
        <v>-1.0745</v>
      </c>
      <c r="CV95" s="24" t="n">
        <f aca="false">CV$21*(0-Planner!$C$43)</f>
        <v>-0.42</v>
      </c>
      <c r="CW95" s="24" t="n">
        <f aca="false">CW$21*(0-Planner!$C$43)</f>
        <v>-0.2345</v>
      </c>
      <c r="CX95" s="24" t="n">
        <f aca="false">CX$21*(0-Planner!$C$43)</f>
        <v>-0.1505</v>
      </c>
      <c r="CY95" s="24" t="n">
        <f aca="false">CY$21*(0-Planner!$C$43)</f>
        <v>-0.2135</v>
      </c>
      <c r="CZ95" s="24" t="n">
        <f aca="false">CZ$21*(0-Planner!$C$43)</f>
        <v>-0.28</v>
      </c>
      <c r="DA95" s="24" t="n">
        <f aca="false">DA$21*(0-Planner!$C$43)</f>
        <v>-0.77</v>
      </c>
      <c r="DB95" s="24" t="n">
        <f aca="false">DB$21*(0-Planner!$C$43)</f>
        <v>-0.224</v>
      </c>
      <c r="DC95" s="24" t="n">
        <f aca="false">DC$21*(0-Planner!$C$43)</f>
        <v>-0.2555</v>
      </c>
      <c r="DD95" s="24" t="n">
        <f aca="false">DD$21*(0-Planner!$C$43)</f>
        <v>-1.071</v>
      </c>
      <c r="DE95" s="24" t="n">
        <f aca="false">DE$21*(0-Planner!$C$43)</f>
        <v>-1.323</v>
      </c>
      <c r="DF95" s="24" t="n">
        <f aca="false">DF$21*(0-Planner!$C$43)</f>
        <v>-0.35</v>
      </c>
      <c r="DG95" s="24" t="n">
        <f aca="false">DG$21*(0-Planner!$C$43)</f>
        <v>-0.448</v>
      </c>
      <c r="DH95" s="24" t="n">
        <f aca="false">DH$21*(0-Planner!$C$43)</f>
        <v>-0.5005</v>
      </c>
      <c r="DI95" s="24" t="n">
        <f aca="false">DI$21*(0-Planner!$C$43)</f>
        <v>-0.3255</v>
      </c>
      <c r="DJ95" s="24" t="n">
        <f aca="false">DJ$21*(0-Planner!$C$43)</f>
        <v>-0.203</v>
      </c>
      <c r="DK95" s="24" t="n">
        <f aca="false">DK$21*(0-Planner!$C$43)</f>
        <v>-0.273</v>
      </c>
      <c r="DL95" s="24" t="n">
        <f aca="false">DL$21*(0-Planner!$C$43)</f>
        <v>-0.7035</v>
      </c>
      <c r="DM95" s="24" t="n">
        <f aca="false">DM$21*(0-Planner!$C$43)</f>
        <v>-0.2415</v>
      </c>
      <c r="DN95" s="24" t="n">
        <f aca="false">DN$21*(0-Planner!$C$43)</f>
        <v>-1.057</v>
      </c>
      <c r="DO95" s="24" t="n">
        <f aca="false">DO$21*(0-Planner!$C$43)</f>
        <v>-0.9415</v>
      </c>
      <c r="DP95" s="24" t="n">
        <f aca="false">DP$21*(0-Planner!$C$43)</f>
        <v>-0.2275</v>
      </c>
      <c r="DQ95" s="24" t="n">
        <f aca="false">DQ$21*(0-Planner!$C$43)</f>
        <v>-0.252</v>
      </c>
      <c r="DR95" s="24" t="n">
        <f aca="false">DR$21*(0-Planner!$C$43)</f>
        <v>-0.6265</v>
      </c>
      <c r="DS95" s="24" t="n">
        <f aca="false">DS$21*(0-Planner!$C$43)</f>
        <v>-0.301</v>
      </c>
      <c r="DT95" s="24" t="n">
        <f aca="false">DT$21*(0-Planner!$C$43)</f>
        <v>-0.315</v>
      </c>
      <c r="DU95" s="24" t="n">
        <f aca="false">DU$21*(0-Planner!$C$43)</f>
        <v>-0.931</v>
      </c>
      <c r="DV95" s="24" t="n">
        <f aca="false">DV$21*(0-Planner!$C$43)</f>
        <v>-1.1655</v>
      </c>
      <c r="DW95" s="24" t="n">
        <f aca="false">DW$21*(0-Planner!$C$43)</f>
        <v>-1.0815</v>
      </c>
      <c r="DX95" s="24" t="n">
        <f aca="false">DX$21*(0-Planner!$C$43)</f>
        <v>-0.8715</v>
      </c>
      <c r="DY95" s="24" t="n">
        <f aca="false">DY$21*(0-Planner!$C$43)</f>
        <v>-0.5915</v>
      </c>
      <c r="DZ95" s="24" t="n">
        <f aca="false">DZ$21*(0-Planner!$C$43)</f>
        <v>-0.385</v>
      </c>
      <c r="EA95" s="24" t="n">
        <f aca="false">EA$21*(0-Planner!$C$43)</f>
        <v>-0.385</v>
      </c>
      <c r="EB95" s="24" t="n">
        <f aca="false">EB$21*(0-Planner!$C$43)</f>
        <v>-0.238</v>
      </c>
      <c r="EC95" s="24" t="n">
        <f aca="false">EC$21*(0-Planner!$C$43)</f>
        <v>-0.3465</v>
      </c>
      <c r="ED95" s="24" t="n">
        <f aca="false">ED$21*(0-Planner!$C$43)</f>
        <v>-0.4305</v>
      </c>
      <c r="EE95" s="24" t="n">
        <f aca="false">EE$21*(0-Planner!$C$43)</f>
        <v>-0.3185</v>
      </c>
      <c r="EF95" s="24" t="n">
        <f aca="false">EF$21*(0-Planner!$C$43)</f>
        <v>-0.7385</v>
      </c>
      <c r="EG95" s="24" t="n">
        <f aca="false">EG$21*(0-Planner!$C$43)</f>
        <v>-1.001</v>
      </c>
      <c r="EH95" s="24" t="n">
        <f aca="false">EH$21*(0-Planner!$C$43)</f>
        <v>-1.2705</v>
      </c>
      <c r="EI95" s="24" t="n">
        <f aca="false">EI$21*(0-Planner!$C$43)</f>
        <v>-0.2765</v>
      </c>
      <c r="EJ95" s="24" t="n">
        <f aca="false">EJ$21*(0-Planner!$C$43)</f>
        <v>-0.308</v>
      </c>
      <c r="EK95" s="24" t="n">
        <f aca="false">EK$21*(0-Planner!$C$43)</f>
        <v>-0.8645</v>
      </c>
      <c r="EL95" s="24" t="n">
        <f aca="false">EL$21*(0-Planner!$C$43)</f>
        <v>-0.4235</v>
      </c>
      <c r="EM95" s="24" t="n">
        <f aca="false">EM$21*(0-Planner!$C$43)</f>
        <v>-0.2975</v>
      </c>
      <c r="EN95" s="24" t="n">
        <f aca="false">EN$21*(0-Planner!$C$43)</f>
        <v>-0</v>
      </c>
      <c r="EO95" s="24" t="n">
        <f aca="false">EO$21*(0-Planner!$C$43)</f>
        <v>-0</v>
      </c>
      <c r="EP95" s="24" t="n">
        <f aca="false">EP$21*(0-Planner!$C$43)</f>
        <v>-7.4025</v>
      </c>
      <c r="EQ95" s="24" t="n">
        <f aca="false">EQ$21*(0-Planner!$C$43)</f>
        <v>-0.686</v>
      </c>
      <c r="ER95" s="24" t="n">
        <f aca="false">ER$21*(0-Planner!$C$43)</f>
        <v>-1.785</v>
      </c>
      <c r="ES95" s="24" t="n">
        <f aca="false">ES$21*(0-Planner!$C$43)</f>
        <v>-1.9775</v>
      </c>
      <c r="ET95" s="24" t="n">
        <f aca="false">ET$21*(0-Planner!$C$43)</f>
        <v>-2.2365</v>
      </c>
      <c r="EU95" s="24" t="n">
        <f aca="false">EU$21*(0-Planner!$C$43)</f>
        <v>-1.225</v>
      </c>
    </row>
    <row r="96" customFormat="false" ht="15" hidden="false" customHeight="false" outlineLevel="0" collapsed="false">
      <c r="A96" s="4" t="s">
        <v>1036</v>
      </c>
      <c r="B96" s="75" t="s">
        <v>1017</v>
      </c>
      <c r="C96" s="78" t="n">
        <v>0</v>
      </c>
      <c r="D96" s="77" t="n">
        <v>-39.199999997333</v>
      </c>
      <c r="E96" s="75" t="str">
        <f aca="false">IF(D96&lt;=C96+0.000001*MAX(1,ABS(C96)),IF(ABS(D96-C96)&lt;=0.000001*MAX(1,ABS(C96)),"tight","ok"),"VIOLATED")</f>
        <v>ok</v>
      </c>
      <c r="F96" s="24" t="n">
        <f aca="false">F$21*(0-Planner!$C$43)</f>
        <v>-7.875</v>
      </c>
      <c r="G96" s="24" t="n">
        <f aca="false">G$21*(0-Planner!$C$43)</f>
        <v>-6.328</v>
      </c>
      <c r="H96" s="24" t="n">
        <f aca="false">H$21*(0-Planner!$C$43)</f>
        <v>-6.881</v>
      </c>
      <c r="I96" s="24" t="n">
        <f aca="false">I$21*(0-Planner!$C$43)</f>
        <v>-5.7155</v>
      </c>
      <c r="J96" s="24" t="n">
        <f aca="false">J$21*(0-Planner!$C$43)</f>
        <v>-6.5555</v>
      </c>
      <c r="K96" s="24" t="n">
        <f aca="false">K$21*(0-Planner!$C$43)</f>
        <v>-6.51</v>
      </c>
      <c r="L96" s="24" t="n">
        <f aca="false">L$21*(0-Planner!$C$43)</f>
        <v>-4.417</v>
      </c>
      <c r="M96" s="24" t="n">
        <f aca="false">M$21*(0-Planner!$C$43)</f>
        <v>-7.6125</v>
      </c>
      <c r="N96" s="24" t="n">
        <f aca="false">N$21*(0-Planner!$C$43)</f>
        <v>-6.0095</v>
      </c>
      <c r="O96" s="24" t="n">
        <f aca="false">O$21*(0-Planner!$C$43)</f>
        <v>-7.2975</v>
      </c>
      <c r="P96" s="24" t="n">
        <f aca="false">P$21*(0-Planner!$C$43)</f>
        <v>-5.81</v>
      </c>
      <c r="Q96" s="24" t="n">
        <f aca="false">Q$21*(0-Planner!$C$43)</f>
        <v>-7.399</v>
      </c>
      <c r="R96" s="24" t="n">
        <f aca="false">R$21*(0-Planner!$C$43)</f>
        <v>-7.679</v>
      </c>
      <c r="S96" s="24" t="n">
        <f aca="false">S$21*(0-Planner!$C$43)</f>
        <v>-6.972</v>
      </c>
      <c r="T96" s="24" t="n">
        <f aca="false">T$21*(0-Planner!$C$43)</f>
        <v>-6.804</v>
      </c>
      <c r="U96" s="24" t="n">
        <f aca="false">U$21*(0-Planner!$C$43)</f>
        <v>-7.147</v>
      </c>
      <c r="V96" s="24" t="n">
        <f aca="false">V$21*(0-Planner!$C$43)</f>
        <v>-4.7635</v>
      </c>
      <c r="W96" s="24" t="n">
        <f aca="false">W$21*(0-Planner!$C$43)</f>
        <v>-7.028</v>
      </c>
      <c r="X96" s="24" t="n">
        <f aca="false">X$21*(0-Planner!$C$43)</f>
        <v>-4.396</v>
      </c>
      <c r="Y96" s="24" t="n">
        <f aca="false">Y$21*(0-Planner!$C$43)</f>
        <v>-2.1105</v>
      </c>
      <c r="Z96" s="24" t="n">
        <f aca="false">Z$21*(1-Planner!$C$43)</f>
        <v>14.04</v>
      </c>
      <c r="AA96" s="24" t="n">
        <f aca="false">AA$21*(0-Planner!$C$43)</f>
        <v>-1.659</v>
      </c>
      <c r="AB96" s="24" t="n">
        <f aca="false">AB$21*(0-Planner!$C$43)</f>
        <v>-8.232</v>
      </c>
      <c r="AC96" s="24" t="n">
        <f aca="false">AC$21*(0-Planner!$C$43)</f>
        <v>-1.722</v>
      </c>
      <c r="AD96" s="24" t="n">
        <f aca="false">AD$21*(0-Planner!$C$43)</f>
        <v>-2.5795</v>
      </c>
      <c r="AE96" s="24" t="n">
        <f aca="false">AE$21*(0-Planner!$C$43)</f>
        <v>-7.651</v>
      </c>
      <c r="AF96" s="24" t="n">
        <f aca="false">AF$21*(0-Planner!$C$43)</f>
        <v>-1.827</v>
      </c>
      <c r="AG96" s="24" t="n">
        <f aca="false">AG$21*(0-Planner!$C$43)</f>
        <v>-8.253</v>
      </c>
      <c r="AH96" s="24" t="n">
        <f aca="false">AH$21*(0-Planner!$C$43)</f>
        <v>-8.6205</v>
      </c>
      <c r="AI96" s="24" t="n">
        <f aca="false">AI$21*(0-Planner!$C$43)</f>
        <v>-7.511</v>
      </c>
      <c r="AJ96" s="24" t="n">
        <f aca="false">AJ$21*(0-Planner!$C$43)</f>
        <v>-2.6355</v>
      </c>
      <c r="AK96" s="24" t="n">
        <f aca="false">AK$21*(0-Planner!$C$43)</f>
        <v>-7.8155</v>
      </c>
      <c r="AL96" s="24" t="n">
        <f aca="false">AL$21*(0-Planner!$C$43)</f>
        <v>-7.7735</v>
      </c>
      <c r="AM96" s="24" t="n">
        <f aca="false">AM$21*(0-Planner!$C$43)</f>
        <v>-1.61</v>
      </c>
      <c r="AN96" s="24" t="n">
        <f aca="false">AN$21*(0-Planner!$C$43)</f>
        <v>-7.497</v>
      </c>
      <c r="AO96" s="24" t="n">
        <f aca="false">AO$21*(0-Planner!$C$43)</f>
        <v>-3.535</v>
      </c>
      <c r="AP96" s="24" t="n">
        <f aca="false">AP$21*(0-Planner!$C$43)</f>
        <v>-1.155</v>
      </c>
      <c r="AQ96" s="24" t="n">
        <f aca="false">AQ$21*(0-Planner!$C$43)</f>
        <v>-3.5665</v>
      </c>
      <c r="AR96" s="24" t="n">
        <f aca="false">AR$21*(0-Planner!$C$43)</f>
        <v>-0.91</v>
      </c>
      <c r="AS96" s="24" t="n">
        <f aca="false">AS$21*(0-Planner!$C$43)</f>
        <v>-1.1025</v>
      </c>
      <c r="AT96" s="24" t="n">
        <f aca="false">AT$21*(0-Planner!$C$43)</f>
        <v>-6.3455</v>
      </c>
      <c r="AU96" s="24" t="n">
        <f aca="false">AU$21*(0-Planner!$C$43)</f>
        <v>-8.0045</v>
      </c>
      <c r="AV96" s="24" t="n">
        <f aca="false">AV$21*(0-Planner!$C$43)</f>
        <v>-3.6575</v>
      </c>
      <c r="AW96" s="24" t="n">
        <f aca="false">AW$21*(0-Planner!$C$43)</f>
        <v>-8.3125</v>
      </c>
      <c r="AX96" s="24" t="n">
        <f aca="false">AX$21*(0-Planner!$C$43)</f>
        <v>-3.696</v>
      </c>
      <c r="AY96" s="24" t="n">
        <f aca="false">AY$21*(0-Planner!$C$43)</f>
        <v>-2.639</v>
      </c>
      <c r="AZ96" s="24" t="n">
        <f aca="false">AZ$21*(0-Planner!$C$43)</f>
        <v>-4.2315</v>
      </c>
      <c r="BA96" s="24" t="n">
        <f aca="false">BA$21*(0-Planner!$C$43)</f>
        <v>-1.995</v>
      </c>
      <c r="BB96" s="24" t="n">
        <f aca="false">BB$21*(0-Planner!$C$43)</f>
        <v>-2.8035</v>
      </c>
      <c r="BC96" s="24" t="n">
        <f aca="false">BC$21*(0-Planner!$C$43)</f>
        <v>-4.942</v>
      </c>
      <c r="BD96" s="24" t="n">
        <f aca="false">BD$21*(0-Planner!$C$43)</f>
        <v>-4.6025</v>
      </c>
      <c r="BE96" s="24" t="n">
        <f aca="false">BE$21*(0-Planner!$C$43)</f>
        <v>-4.564</v>
      </c>
      <c r="BF96" s="24" t="n">
        <f aca="false">BF$21*(0-Planner!$C$43)</f>
        <v>-3.0975</v>
      </c>
      <c r="BG96" s="24" t="n">
        <f aca="false">BG$21*(0-Planner!$C$43)</f>
        <v>-2.4955</v>
      </c>
      <c r="BH96" s="24" t="n">
        <f aca="false">BH$21*(0-Planner!$C$43)</f>
        <v>-4.3575</v>
      </c>
      <c r="BI96" s="24" t="n">
        <f aca="false">BI$21*(0-Planner!$C$43)</f>
        <v>-4.8545</v>
      </c>
      <c r="BJ96" s="24" t="n">
        <f aca="false">BJ$21*(0-Planner!$C$43)</f>
        <v>-2.6565</v>
      </c>
      <c r="BK96" s="24" t="n">
        <f aca="false">BK$21*(0-Planner!$C$43)</f>
        <v>-0.6825</v>
      </c>
      <c r="BL96" s="24" t="n">
        <f aca="false">BL$21*(0-Planner!$C$43)</f>
        <v>-1.057</v>
      </c>
      <c r="BM96" s="24" t="n">
        <f aca="false">BM$21*(0-Planner!$C$43)</f>
        <v>-0.784</v>
      </c>
      <c r="BN96" s="24" t="n">
        <f aca="false">BN$21*(0-Planner!$C$43)</f>
        <v>-1.0535</v>
      </c>
      <c r="BO96" s="24" t="n">
        <f aca="false">BO$21*(0-Planner!$C$43)</f>
        <v>-1.827</v>
      </c>
      <c r="BP96" s="24" t="n">
        <f aca="false">BP$21*(0-Planner!$C$43)</f>
        <v>-0.7175</v>
      </c>
      <c r="BQ96" s="24" t="n">
        <f aca="false">BQ$21*(0-Planner!$C$43)</f>
        <v>-0.5495</v>
      </c>
      <c r="BR96" s="24" t="n">
        <f aca="false">BR$21*(0-Planner!$C$43)</f>
        <v>-0.091</v>
      </c>
      <c r="BS96" s="24" t="n">
        <f aca="false">BS$21*(0-Planner!$C$43)</f>
        <v>-0.0595</v>
      </c>
      <c r="BT96" s="24" t="n">
        <f aca="false">BT$21*(0-Planner!$C$43)</f>
        <v>-0.3815</v>
      </c>
      <c r="BU96" s="24" t="n">
        <f aca="false">BU$21*(0-Planner!$C$43)</f>
        <v>-0.4865</v>
      </c>
      <c r="BV96" s="24" t="n">
        <f aca="false">BV$21*(0-Planner!$C$43)</f>
        <v>-0.147</v>
      </c>
      <c r="BW96" s="24" t="n">
        <f aca="false">BW$21*(0-Planner!$C$43)</f>
        <v>-0.294</v>
      </c>
      <c r="BX96" s="24" t="n">
        <f aca="false">BX$21*(0-Planner!$C$43)</f>
        <v>-0.371</v>
      </c>
      <c r="BY96" s="24" t="n">
        <f aca="false">BY$21*(0-Planner!$C$43)</f>
        <v>-0.2975</v>
      </c>
      <c r="BZ96" s="24" t="n">
        <f aca="false">BZ$21*(0-Planner!$C$43)</f>
        <v>-0.8575</v>
      </c>
      <c r="CA96" s="24" t="n">
        <f aca="false">CA$21*(0-Planner!$C$43)</f>
        <v>-1.1865</v>
      </c>
      <c r="CB96" s="24" t="n">
        <f aca="false">CB$21*(0-Planner!$C$43)</f>
        <v>-0.0595</v>
      </c>
      <c r="CC96" s="24" t="n">
        <f aca="false">CC$21*(0-Planner!$C$43)</f>
        <v>-0.161</v>
      </c>
      <c r="CD96" s="24" t="n">
        <f aca="false">CD$21*(0-Planner!$C$43)</f>
        <v>-0.2205</v>
      </c>
      <c r="CE96" s="24" t="n">
        <f aca="false">CE$21*(0-Planner!$C$43)</f>
        <v>-0.252</v>
      </c>
      <c r="CF96" s="24" t="n">
        <f aca="false">CF$21*(0-Planner!$C$43)</f>
        <v>-0.189</v>
      </c>
      <c r="CG96" s="24" t="n">
        <f aca="false">CG$21*(0-Planner!$C$43)</f>
        <v>-0.399</v>
      </c>
      <c r="CH96" s="24" t="n">
        <f aca="false">CH$21*(0-Planner!$C$43)</f>
        <v>-0.287</v>
      </c>
      <c r="CI96" s="24" t="n">
        <f aca="false">CI$21*(0-Planner!$C$43)</f>
        <v>-0.371</v>
      </c>
      <c r="CJ96" s="24" t="n">
        <f aca="false">CJ$21*(0-Planner!$C$43)</f>
        <v>-0.238</v>
      </c>
      <c r="CK96" s="24" t="n">
        <f aca="false">CK$21*(0-Planner!$C$43)</f>
        <v>-0.3185</v>
      </c>
      <c r="CL96" s="24" t="n">
        <f aca="false">CL$21*(0-Planner!$C$43)</f>
        <v>-0.1645</v>
      </c>
      <c r="CM96" s="24" t="n">
        <f aca="false">CM$21*(0-Planner!$C$43)</f>
        <v>-0.3185</v>
      </c>
      <c r="CN96" s="24" t="n">
        <f aca="false">CN$21*(0-Planner!$C$43)</f>
        <v>-0.2205</v>
      </c>
      <c r="CO96" s="24" t="n">
        <f aca="false">CO$21*(0-Planner!$C$43)</f>
        <v>-0.126</v>
      </c>
      <c r="CP96" s="24" t="n">
        <f aca="false">CP$21*(0-Planner!$C$43)</f>
        <v>-0.119</v>
      </c>
      <c r="CQ96" s="24" t="n">
        <f aca="false">CQ$21*(0-Planner!$C$43)</f>
        <v>-0.189</v>
      </c>
      <c r="CR96" s="24" t="n">
        <f aca="false">CR$21*(0-Planner!$C$43)</f>
        <v>-0.147</v>
      </c>
      <c r="CS96" s="24" t="n">
        <f aca="false">CS$21*(0-Planner!$C$43)</f>
        <v>-0.245</v>
      </c>
      <c r="CT96" s="24" t="n">
        <f aca="false">CT$21*(0-Planner!$C$43)</f>
        <v>-0.763</v>
      </c>
      <c r="CU96" s="24" t="n">
        <f aca="false">CU$21*(0-Planner!$C$43)</f>
        <v>-1.0745</v>
      </c>
      <c r="CV96" s="24" t="n">
        <f aca="false">CV$21*(0-Planner!$C$43)</f>
        <v>-0.42</v>
      </c>
      <c r="CW96" s="24" t="n">
        <f aca="false">CW$21*(0-Planner!$C$43)</f>
        <v>-0.2345</v>
      </c>
      <c r="CX96" s="24" t="n">
        <f aca="false">CX$21*(0-Planner!$C$43)</f>
        <v>-0.1505</v>
      </c>
      <c r="CY96" s="24" t="n">
        <f aca="false">CY$21*(0-Planner!$C$43)</f>
        <v>-0.2135</v>
      </c>
      <c r="CZ96" s="24" t="n">
        <f aca="false">CZ$21*(0-Planner!$C$43)</f>
        <v>-0.28</v>
      </c>
      <c r="DA96" s="24" t="n">
        <f aca="false">DA$21*(0-Planner!$C$43)</f>
        <v>-0.77</v>
      </c>
      <c r="DB96" s="24" t="n">
        <f aca="false">DB$21*(0-Planner!$C$43)</f>
        <v>-0.224</v>
      </c>
      <c r="DC96" s="24" t="n">
        <f aca="false">DC$21*(0-Planner!$C$43)</f>
        <v>-0.2555</v>
      </c>
      <c r="DD96" s="24" t="n">
        <f aca="false">DD$21*(0-Planner!$C$43)</f>
        <v>-1.071</v>
      </c>
      <c r="DE96" s="24" t="n">
        <f aca="false">DE$21*(0-Planner!$C$43)</f>
        <v>-1.323</v>
      </c>
      <c r="DF96" s="24" t="n">
        <f aca="false">DF$21*(0-Planner!$C$43)</f>
        <v>-0.35</v>
      </c>
      <c r="DG96" s="24" t="n">
        <f aca="false">DG$21*(0-Planner!$C$43)</f>
        <v>-0.448</v>
      </c>
      <c r="DH96" s="24" t="n">
        <f aca="false">DH$21*(0-Planner!$C$43)</f>
        <v>-0.5005</v>
      </c>
      <c r="DI96" s="24" t="n">
        <f aca="false">DI$21*(0-Planner!$C$43)</f>
        <v>-0.3255</v>
      </c>
      <c r="DJ96" s="24" t="n">
        <f aca="false">DJ$21*(0-Planner!$C$43)</f>
        <v>-0.203</v>
      </c>
      <c r="DK96" s="24" t="n">
        <f aca="false">DK$21*(0-Planner!$C$43)</f>
        <v>-0.273</v>
      </c>
      <c r="DL96" s="24" t="n">
        <f aca="false">DL$21*(0-Planner!$C$43)</f>
        <v>-0.7035</v>
      </c>
      <c r="DM96" s="24" t="n">
        <f aca="false">DM$21*(0-Planner!$C$43)</f>
        <v>-0.2415</v>
      </c>
      <c r="DN96" s="24" t="n">
        <f aca="false">DN$21*(0-Planner!$C$43)</f>
        <v>-1.057</v>
      </c>
      <c r="DO96" s="24" t="n">
        <f aca="false">DO$21*(0-Planner!$C$43)</f>
        <v>-0.9415</v>
      </c>
      <c r="DP96" s="24" t="n">
        <f aca="false">DP$21*(0-Planner!$C$43)</f>
        <v>-0.2275</v>
      </c>
      <c r="DQ96" s="24" t="n">
        <f aca="false">DQ$21*(0-Planner!$C$43)</f>
        <v>-0.252</v>
      </c>
      <c r="DR96" s="24" t="n">
        <f aca="false">DR$21*(0-Planner!$C$43)</f>
        <v>-0.6265</v>
      </c>
      <c r="DS96" s="24" t="n">
        <f aca="false">DS$21*(0-Planner!$C$43)</f>
        <v>-0.301</v>
      </c>
      <c r="DT96" s="24" t="n">
        <f aca="false">DT$21*(0-Planner!$C$43)</f>
        <v>-0.315</v>
      </c>
      <c r="DU96" s="24" t="n">
        <f aca="false">DU$21*(0-Planner!$C$43)</f>
        <v>-0.931</v>
      </c>
      <c r="DV96" s="24" t="n">
        <f aca="false">DV$21*(0-Planner!$C$43)</f>
        <v>-1.1655</v>
      </c>
      <c r="DW96" s="24" t="n">
        <f aca="false">DW$21*(0-Planner!$C$43)</f>
        <v>-1.0815</v>
      </c>
      <c r="DX96" s="24" t="n">
        <f aca="false">DX$21*(0-Planner!$C$43)</f>
        <v>-0.8715</v>
      </c>
      <c r="DY96" s="24" t="n">
        <f aca="false">DY$21*(0-Planner!$C$43)</f>
        <v>-0.5915</v>
      </c>
      <c r="DZ96" s="24" t="n">
        <f aca="false">DZ$21*(0-Planner!$C$43)</f>
        <v>-0.385</v>
      </c>
      <c r="EA96" s="24" t="n">
        <f aca="false">EA$21*(0-Planner!$C$43)</f>
        <v>-0.385</v>
      </c>
      <c r="EB96" s="24" t="n">
        <f aca="false">EB$21*(0-Planner!$C$43)</f>
        <v>-0.238</v>
      </c>
      <c r="EC96" s="24" t="n">
        <f aca="false">EC$21*(0-Planner!$C$43)</f>
        <v>-0.3465</v>
      </c>
      <c r="ED96" s="24" t="n">
        <f aca="false">ED$21*(0-Planner!$C$43)</f>
        <v>-0.4305</v>
      </c>
      <c r="EE96" s="24" t="n">
        <f aca="false">EE$21*(0-Planner!$C$43)</f>
        <v>-0.3185</v>
      </c>
      <c r="EF96" s="24" t="n">
        <f aca="false">EF$21*(0-Planner!$C$43)</f>
        <v>-0.7385</v>
      </c>
      <c r="EG96" s="24" t="n">
        <f aca="false">EG$21*(0-Planner!$C$43)</f>
        <v>-1.001</v>
      </c>
      <c r="EH96" s="24" t="n">
        <f aca="false">EH$21*(0-Planner!$C$43)</f>
        <v>-1.2705</v>
      </c>
      <c r="EI96" s="24" t="n">
        <f aca="false">EI$21*(0-Planner!$C$43)</f>
        <v>-0.2765</v>
      </c>
      <c r="EJ96" s="24" t="n">
        <f aca="false">EJ$21*(0-Planner!$C$43)</f>
        <v>-0.308</v>
      </c>
      <c r="EK96" s="24" t="n">
        <f aca="false">EK$21*(0-Planner!$C$43)</f>
        <v>-0.8645</v>
      </c>
      <c r="EL96" s="24" t="n">
        <f aca="false">EL$21*(0-Planner!$C$43)</f>
        <v>-0.4235</v>
      </c>
      <c r="EM96" s="24" t="n">
        <f aca="false">EM$21*(0-Planner!$C$43)</f>
        <v>-0.2975</v>
      </c>
      <c r="EN96" s="24" t="n">
        <f aca="false">EN$21*(0-Planner!$C$43)</f>
        <v>-0</v>
      </c>
      <c r="EO96" s="24" t="n">
        <f aca="false">EO$21*(0-Planner!$C$43)</f>
        <v>-0</v>
      </c>
      <c r="EP96" s="24" t="n">
        <f aca="false">EP$21*(0-Planner!$C$43)</f>
        <v>-7.4025</v>
      </c>
      <c r="EQ96" s="24" t="n">
        <f aca="false">EQ$21*(0-Planner!$C$43)</f>
        <v>-0.686</v>
      </c>
      <c r="ER96" s="24" t="n">
        <f aca="false">ER$21*(0-Planner!$C$43)</f>
        <v>-1.785</v>
      </c>
      <c r="ES96" s="24" t="n">
        <f aca="false">ES$21*(0-Planner!$C$43)</f>
        <v>-1.9775</v>
      </c>
      <c r="ET96" s="24" t="n">
        <f aca="false">ET$21*(0-Planner!$C$43)</f>
        <v>-2.2365</v>
      </c>
      <c r="EU96" s="24" t="n">
        <f aca="false">EU$21*(0-Planner!$C$43)</f>
        <v>-1.225</v>
      </c>
    </row>
    <row r="97" customFormat="false" ht="15" hidden="false" customHeight="false" outlineLevel="0" collapsed="false">
      <c r="A97" s="4" t="s">
        <v>1037</v>
      </c>
      <c r="B97" s="75" t="s">
        <v>1017</v>
      </c>
      <c r="C97" s="78" t="n">
        <v>0</v>
      </c>
      <c r="D97" s="77" t="n">
        <v>-39.199999997333</v>
      </c>
      <c r="E97" s="75" t="str">
        <f aca="false">IF(D97&lt;=C97+0.000001*MAX(1,ABS(C97)),IF(ABS(D97-C97)&lt;=0.000001*MAX(1,ABS(C97)),"tight","ok"),"VIOLATED")</f>
        <v>ok</v>
      </c>
      <c r="F97" s="24" t="n">
        <f aca="false">F$21*(0-Planner!$C$43)</f>
        <v>-7.875</v>
      </c>
      <c r="G97" s="24" t="n">
        <f aca="false">G$21*(0-Planner!$C$43)</f>
        <v>-6.328</v>
      </c>
      <c r="H97" s="24" t="n">
        <f aca="false">H$21*(0-Planner!$C$43)</f>
        <v>-6.881</v>
      </c>
      <c r="I97" s="24" t="n">
        <f aca="false">I$21*(0-Planner!$C$43)</f>
        <v>-5.7155</v>
      </c>
      <c r="J97" s="24" t="n">
        <f aca="false">J$21*(0-Planner!$C$43)</f>
        <v>-6.5555</v>
      </c>
      <c r="K97" s="24" t="n">
        <f aca="false">K$21*(0-Planner!$C$43)</f>
        <v>-6.51</v>
      </c>
      <c r="L97" s="24" t="n">
        <f aca="false">L$21*(0-Planner!$C$43)</f>
        <v>-4.417</v>
      </c>
      <c r="M97" s="24" t="n">
        <f aca="false">M$21*(0-Planner!$C$43)</f>
        <v>-7.6125</v>
      </c>
      <c r="N97" s="24" t="n">
        <f aca="false">N$21*(0-Planner!$C$43)</f>
        <v>-6.0095</v>
      </c>
      <c r="O97" s="24" t="n">
        <f aca="false">O$21*(0-Planner!$C$43)</f>
        <v>-7.2975</v>
      </c>
      <c r="P97" s="24" t="n">
        <f aca="false">P$21*(0-Planner!$C$43)</f>
        <v>-5.81</v>
      </c>
      <c r="Q97" s="24" t="n">
        <f aca="false">Q$21*(0-Planner!$C$43)</f>
        <v>-7.399</v>
      </c>
      <c r="R97" s="24" t="n">
        <f aca="false">R$21*(0-Planner!$C$43)</f>
        <v>-7.679</v>
      </c>
      <c r="S97" s="24" t="n">
        <f aca="false">S$21*(0-Planner!$C$43)</f>
        <v>-6.972</v>
      </c>
      <c r="T97" s="24" t="n">
        <f aca="false">T$21*(0-Planner!$C$43)</f>
        <v>-6.804</v>
      </c>
      <c r="U97" s="24" t="n">
        <f aca="false">U$21*(0-Planner!$C$43)</f>
        <v>-7.147</v>
      </c>
      <c r="V97" s="24" t="n">
        <f aca="false">V$21*(0-Planner!$C$43)</f>
        <v>-4.7635</v>
      </c>
      <c r="W97" s="24" t="n">
        <f aca="false">W$21*(0-Planner!$C$43)</f>
        <v>-7.028</v>
      </c>
      <c r="X97" s="24" t="n">
        <f aca="false">X$21*(0-Planner!$C$43)</f>
        <v>-4.396</v>
      </c>
      <c r="Y97" s="24" t="n">
        <f aca="false">Y$21*(0-Planner!$C$43)</f>
        <v>-2.1105</v>
      </c>
      <c r="Z97" s="24" t="n">
        <f aca="false">Z$21*(0-Planner!$C$43)</f>
        <v>-7.56</v>
      </c>
      <c r="AA97" s="24" t="n">
        <f aca="false">AA$21*(0-Planner!$C$43)</f>
        <v>-1.659</v>
      </c>
      <c r="AB97" s="24" t="n">
        <f aca="false">AB$21*(1-Planner!$C$43)</f>
        <v>15.288</v>
      </c>
      <c r="AC97" s="24" t="n">
        <f aca="false">AC$21*(0-Planner!$C$43)</f>
        <v>-1.722</v>
      </c>
      <c r="AD97" s="24" t="n">
        <f aca="false">AD$21*(0-Planner!$C$43)</f>
        <v>-2.5795</v>
      </c>
      <c r="AE97" s="24" t="n">
        <f aca="false">AE$21*(0-Planner!$C$43)</f>
        <v>-7.651</v>
      </c>
      <c r="AF97" s="24" t="n">
        <f aca="false">AF$21*(0-Planner!$C$43)</f>
        <v>-1.827</v>
      </c>
      <c r="AG97" s="24" t="n">
        <f aca="false">AG$21*(0-Planner!$C$43)</f>
        <v>-8.253</v>
      </c>
      <c r="AH97" s="24" t="n">
        <f aca="false">AH$21*(0-Planner!$C$43)</f>
        <v>-8.6205</v>
      </c>
      <c r="AI97" s="24" t="n">
        <f aca="false">AI$21*(0-Planner!$C$43)</f>
        <v>-7.511</v>
      </c>
      <c r="AJ97" s="24" t="n">
        <f aca="false">AJ$21*(0-Planner!$C$43)</f>
        <v>-2.6355</v>
      </c>
      <c r="AK97" s="24" t="n">
        <f aca="false">AK$21*(0-Planner!$C$43)</f>
        <v>-7.8155</v>
      </c>
      <c r="AL97" s="24" t="n">
        <f aca="false">AL$21*(0-Planner!$C$43)</f>
        <v>-7.7735</v>
      </c>
      <c r="AM97" s="24" t="n">
        <f aca="false">AM$21*(0-Planner!$C$43)</f>
        <v>-1.61</v>
      </c>
      <c r="AN97" s="24" t="n">
        <f aca="false">AN$21*(0-Planner!$C$43)</f>
        <v>-7.497</v>
      </c>
      <c r="AO97" s="24" t="n">
        <f aca="false">AO$21*(0-Planner!$C$43)</f>
        <v>-3.535</v>
      </c>
      <c r="AP97" s="24" t="n">
        <f aca="false">AP$21*(0-Planner!$C$43)</f>
        <v>-1.155</v>
      </c>
      <c r="AQ97" s="24" t="n">
        <f aca="false">AQ$21*(0-Planner!$C$43)</f>
        <v>-3.5665</v>
      </c>
      <c r="AR97" s="24" t="n">
        <f aca="false">AR$21*(0-Planner!$C$43)</f>
        <v>-0.91</v>
      </c>
      <c r="AS97" s="24" t="n">
        <f aca="false">AS$21*(0-Planner!$C$43)</f>
        <v>-1.1025</v>
      </c>
      <c r="AT97" s="24" t="n">
        <f aca="false">AT$21*(0-Planner!$C$43)</f>
        <v>-6.3455</v>
      </c>
      <c r="AU97" s="24" t="n">
        <f aca="false">AU$21*(0-Planner!$C$43)</f>
        <v>-8.0045</v>
      </c>
      <c r="AV97" s="24" t="n">
        <f aca="false">AV$21*(0-Planner!$C$43)</f>
        <v>-3.6575</v>
      </c>
      <c r="AW97" s="24" t="n">
        <f aca="false">AW$21*(0-Planner!$C$43)</f>
        <v>-8.3125</v>
      </c>
      <c r="AX97" s="24" t="n">
        <f aca="false">AX$21*(0-Planner!$C$43)</f>
        <v>-3.696</v>
      </c>
      <c r="AY97" s="24" t="n">
        <f aca="false">AY$21*(0-Planner!$C$43)</f>
        <v>-2.639</v>
      </c>
      <c r="AZ97" s="24" t="n">
        <f aca="false">AZ$21*(0-Planner!$C$43)</f>
        <v>-4.2315</v>
      </c>
      <c r="BA97" s="24" t="n">
        <f aca="false">BA$21*(0-Planner!$C$43)</f>
        <v>-1.995</v>
      </c>
      <c r="BB97" s="24" t="n">
        <f aca="false">BB$21*(0-Planner!$C$43)</f>
        <v>-2.8035</v>
      </c>
      <c r="BC97" s="24" t="n">
        <f aca="false">BC$21*(0-Planner!$C$43)</f>
        <v>-4.942</v>
      </c>
      <c r="BD97" s="24" t="n">
        <f aca="false">BD$21*(0-Planner!$C$43)</f>
        <v>-4.6025</v>
      </c>
      <c r="BE97" s="24" t="n">
        <f aca="false">BE$21*(0-Planner!$C$43)</f>
        <v>-4.564</v>
      </c>
      <c r="BF97" s="24" t="n">
        <f aca="false">BF$21*(0-Planner!$C$43)</f>
        <v>-3.0975</v>
      </c>
      <c r="BG97" s="24" t="n">
        <f aca="false">BG$21*(0-Planner!$C$43)</f>
        <v>-2.4955</v>
      </c>
      <c r="BH97" s="24" t="n">
        <f aca="false">BH$21*(0-Planner!$C$43)</f>
        <v>-4.3575</v>
      </c>
      <c r="BI97" s="24" t="n">
        <f aca="false">BI$21*(0-Planner!$C$43)</f>
        <v>-4.8545</v>
      </c>
      <c r="BJ97" s="24" t="n">
        <f aca="false">BJ$21*(0-Planner!$C$43)</f>
        <v>-2.6565</v>
      </c>
      <c r="BK97" s="24" t="n">
        <f aca="false">BK$21*(0-Planner!$C$43)</f>
        <v>-0.6825</v>
      </c>
      <c r="BL97" s="24" t="n">
        <f aca="false">BL$21*(0-Planner!$C$43)</f>
        <v>-1.057</v>
      </c>
      <c r="BM97" s="24" t="n">
        <f aca="false">BM$21*(0-Planner!$C$43)</f>
        <v>-0.784</v>
      </c>
      <c r="BN97" s="24" t="n">
        <f aca="false">BN$21*(0-Planner!$C$43)</f>
        <v>-1.0535</v>
      </c>
      <c r="BO97" s="24" t="n">
        <f aca="false">BO$21*(0-Planner!$C$43)</f>
        <v>-1.827</v>
      </c>
      <c r="BP97" s="24" t="n">
        <f aca="false">BP$21*(0-Planner!$C$43)</f>
        <v>-0.7175</v>
      </c>
      <c r="BQ97" s="24" t="n">
        <f aca="false">BQ$21*(0-Planner!$C$43)</f>
        <v>-0.5495</v>
      </c>
      <c r="BR97" s="24" t="n">
        <f aca="false">BR$21*(0-Planner!$C$43)</f>
        <v>-0.091</v>
      </c>
      <c r="BS97" s="24" t="n">
        <f aca="false">BS$21*(0-Planner!$C$43)</f>
        <v>-0.0595</v>
      </c>
      <c r="BT97" s="24" t="n">
        <f aca="false">BT$21*(0-Planner!$C$43)</f>
        <v>-0.3815</v>
      </c>
      <c r="BU97" s="24" t="n">
        <f aca="false">BU$21*(0-Planner!$C$43)</f>
        <v>-0.4865</v>
      </c>
      <c r="BV97" s="24" t="n">
        <f aca="false">BV$21*(0-Planner!$C$43)</f>
        <v>-0.147</v>
      </c>
      <c r="BW97" s="24" t="n">
        <f aca="false">BW$21*(0-Planner!$C$43)</f>
        <v>-0.294</v>
      </c>
      <c r="BX97" s="24" t="n">
        <f aca="false">BX$21*(0-Planner!$C$43)</f>
        <v>-0.371</v>
      </c>
      <c r="BY97" s="24" t="n">
        <f aca="false">BY$21*(0-Planner!$C$43)</f>
        <v>-0.2975</v>
      </c>
      <c r="BZ97" s="24" t="n">
        <f aca="false">BZ$21*(0-Planner!$C$43)</f>
        <v>-0.8575</v>
      </c>
      <c r="CA97" s="24" t="n">
        <f aca="false">CA$21*(0-Planner!$C$43)</f>
        <v>-1.1865</v>
      </c>
      <c r="CB97" s="24" t="n">
        <f aca="false">CB$21*(0-Planner!$C$43)</f>
        <v>-0.0595</v>
      </c>
      <c r="CC97" s="24" t="n">
        <f aca="false">CC$21*(0-Planner!$C$43)</f>
        <v>-0.161</v>
      </c>
      <c r="CD97" s="24" t="n">
        <f aca="false">CD$21*(0-Planner!$C$43)</f>
        <v>-0.2205</v>
      </c>
      <c r="CE97" s="24" t="n">
        <f aca="false">CE$21*(0-Planner!$C$43)</f>
        <v>-0.252</v>
      </c>
      <c r="CF97" s="24" t="n">
        <f aca="false">CF$21*(0-Planner!$C$43)</f>
        <v>-0.189</v>
      </c>
      <c r="CG97" s="24" t="n">
        <f aca="false">CG$21*(0-Planner!$C$43)</f>
        <v>-0.399</v>
      </c>
      <c r="CH97" s="24" t="n">
        <f aca="false">CH$21*(0-Planner!$C$43)</f>
        <v>-0.287</v>
      </c>
      <c r="CI97" s="24" t="n">
        <f aca="false">CI$21*(0-Planner!$C$43)</f>
        <v>-0.371</v>
      </c>
      <c r="CJ97" s="24" t="n">
        <f aca="false">CJ$21*(0-Planner!$C$43)</f>
        <v>-0.238</v>
      </c>
      <c r="CK97" s="24" t="n">
        <f aca="false">CK$21*(0-Planner!$C$43)</f>
        <v>-0.3185</v>
      </c>
      <c r="CL97" s="24" t="n">
        <f aca="false">CL$21*(0-Planner!$C$43)</f>
        <v>-0.1645</v>
      </c>
      <c r="CM97" s="24" t="n">
        <f aca="false">CM$21*(0-Planner!$C$43)</f>
        <v>-0.3185</v>
      </c>
      <c r="CN97" s="24" t="n">
        <f aca="false">CN$21*(0-Planner!$C$43)</f>
        <v>-0.2205</v>
      </c>
      <c r="CO97" s="24" t="n">
        <f aca="false">CO$21*(0-Planner!$C$43)</f>
        <v>-0.126</v>
      </c>
      <c r="CP97" s="24" t="n">
        <f aca="false">CP$21*(0-Planner!$C$43)</f>
        <v>-0.119</v>
      </c>
      <c r="CQ97" s="24" t="n">
        <f aca="false">CQ$21*(0-Planner!$C$43)</f>
        <v>-0.189</v>
      </c>
      <c r="CR97" s="24" t="n">
        <f aca="false">CR$21*(0-Planner!$C$43)</f>
        <v>-0.147</v>
      </c>
      <c r="CS97" s="24" t="n">
        <f aca="false">CS$21*(0-Planner!$C$43)</f>
        <v>-0.245</v>
      </c>
      <c r="CT97" s="24" t="n">
        <f aca="false">CT$21*(0-Planner!$C$43)</f>
        <v>-0.763</v>
      </c>
      <c r="CU97" s="24" t="n">
        <f aca="false">CU$21*(0-Planner!$C$43)</f>
        <v>-1.0745</v>
      </c>
      <c r="CV97" s="24" t="n">
        <f aca="false">CV$21*(0-Planner!$C$43)</f>
        <v>-0.42</v>
      </c>
      <c r="CW97" s="24" t="n">
        <f aca="false">CW$21*(0-Planner!$C$43)</f>
        <v>-0.2345</v>
      </c>
      <c r="CX97" s="24" t="n">
        <f aca="false">CX$21*(0-Planner!$C$43)</f>
        <v>-0.1505</v>
      </c>
      <c r="CY97" s="24" t="n">
        <f aca="false">CY$21*(0-Planner!$C$43)</f>
        <v>-0.2135</v>
      </c>
      <c r="CZ97" s="24" t="n">
        <f aca="false">CZ$21*(0-Planner!$C$43)</f>
        <v>-0.28</v>
      </c>
      <c r="DA97" s="24" t="n">
        <f aca="false">DA$21*(0-Planner!$C$43)</f>
        <v>-0.77</v>
      </c>
      <c r="DB97" s="24" t="n">
        <f aca="false">DB$21*(0-Planner!$C$43)</f>
        <v>-0.224</v>
      </c>
      <c r="DC97" s="24" t="n">
        <f aca="false">DC$21*(0-Planner!$C$43)</f>
        <v>-0.2555</v>
      </c>
      <c r="DD97" s="24" t="n">
        <f aca="false">DD$21*(0-Planner!$C$43)</f>
        <v>-1.071</v>
      </c>
      <c r="DE97" s="24" t="n">
        <f aca="false">DE$21*(0-Planner!$C$43)</f>
        <v>-1.323</v>
      </c>
      <c r="DF97" s="24" t="n">
        <f aca="false">DF$21*(0-Planner!$C$43)</f>
        <v>-0.35</v>
      </c>
      <c r="DG97" s="24" t="n">
        <f aca="false">DG$21*(0-Planner!$C$43)</f>
        <v>-0.448</v>
      </c>
      <c r="DH97" s="24" t="n">
        <f aca="false">DH$21*(0-Planner!$C$43)</f>
        <v>-0.5005</v>
      </c>
      <c r="DI97" s="24" t="n">
        <f aca="false">DI$21*(0-Planner!$C$43)</f>
        <v>-0.3255</v>
      </c>
      <c r="DJ97" s="24" t="n">
        <f aca="false">DJ$21*(0-Planner!$C$43)</f>
        <v>-0.203</v>
      </c>
      <c r="DK97" s="24" t="n">
        <f aca="false">DK$21*(0-Planner!$C$43)</f>
        <v>-0.273</v>
      </c>
      <c r="DL97" s="24" t="n">
        <f aca="false">DL$21*(0-Planner!$C$43)</f>
        <v>-0.7035</v>
      </c>
      <c r="DM97" s="24" t="n">
        <f aca="false">DM$21*(0-Planner!$C$43)</f>
        <v>-0.2415</v>
      </c>
      <c r="DN97" s="24" t="n">
        <f aca="false">DN$21*(0-Planner!$C$43)</f>
        <v>-1.057</v>
      </c>
      <c r="DO97" s="24" t="n">
        <f aca="false">DO$21*(0-Planner!$C$43)</f>
        <v>-0.9415</v>
      </c>
      <c r="DP97" s="24" t="n">
        <f aca="false">DP$21*(0-Planner!$C$43)</f>
        <v>-0.2275</v>
      </c>
      <c r="DQ97" s="24" t="n">
        <f aca="false">DQ$21*(0-Planner!$C$43)</f>
        <v>-0.252</v>
      </c>
      <c r="DR97" s="24" t="n">
        <f aca="false">DR$21*(0-Planner!$C$43)</f>
        <v>-0.6265</v>
      </c>
      <c r="DS97" s="24" t="n">
        <f aca="false">DS$21*(0-Planner!$C$43)</f>
        <v>-0.301</v>
      </c>
      <c r="DT97" s="24" t="n">
        <f aca="false">DT$21*(0-Planner!$C$43)</f>
        <v>-0.315</v>
      </c>
      <c r="DU97" s="24" t="n">
        <f aca="false">DU$21*(0-Planner!$C$43)</f>
        <v>-0.931</v>
      </c>
      <c r="DV97" s="24" t="n">
        <f aca="false">DV$21*(0-Planner!$C$43)</f>
        <v>-1.1655</v>
      </c>
      <c r="DW97" s="24" t="n">
        <f aca="false">DW$21*(0-Planner!$C$43)</f>
        <v>-1.0815</v>
      </c>
      <c r="DX97" s="24" t="n">
        <f aca="false">DX$21*(0-Planner!$C$43)</f>
        <v>-0.8715</v>
      </c>
      <c r="DY97" s="24" t="n">
        <f aca="false">DY$21*(0-Planner!$C$43)</f>
        <v>-0.5915</v>
      </c>
      <c r="DZ97" s="24" t="n">
        <f aca="false">DZ$21*(0-Planner!$C$43)</f>
        <v>-0.385</v>
      </c>
      <c r="EA97" s="24" t="n">
        <f aca="false">EA$21*(0-Planner!$C$43)</f>
        <v>-0.385</v>
      </c>
      <c r="EB97" s="24" t="n">
        <f aca="false">EB$21*(0-Planner!$C$43)</f>
        <v>-0.238</v>
      </c>
      <c r="EC97" s="24" t="n">
        <f aca="false">EC$21*(0-Planner!$C$43)</f>
        <v>-0.3465</v>
      </c>
      <c r="ED97" s="24" t="n">
        <f aca="false">ED$21*(0-Planner!$C$43)</f>
        <v>-0.4305</v>
      </c>
      <c r="EE97" s="24" t="n">
        <f aca="false">EE$21*(0-Planner!$C$43)</f>
        <v>-0.3185</v>
      </c>
      <c r="EF97" s="24" t="n">
        <f aca="false">EF$21*(0-Planner!$C$43)</f>
        <v>-0.7385</v>
      </c>
      <c r="EG97" s="24" t="n">
        <f aca="false">EG$21*(0-Planner!$C$43)</f>
        <v>-1.001</v>
      </c>
      <c r="EH97" s="24" t="n">
        <f aca="false">EH$21*(0-Planner!$C$43)</f>
        <v>-1.2705</v>
      </c>
      <c r="EI97" s="24" t="n">
        <f aca="false">EI$21*(0-Planner!$C$43)</f>
        <v>-0.2765</v>
      </c>
      <c r="EJ97" s="24" t="n">
        <f aca="false">EJ$21*(0-Planner!$C$43)</f>
        <v>-0.308</v>
      </c>
      <c r="EK97" s="24" t="n">
        <f aca="false">EK$21*(0-Planner!$C$43)</f>
        <v>-0.8645</v>
      </c>
      <c r="EL97" s="24" t="n">
        <f aca="false">EL$21*(0-Planner!$C$43)</f>
        <v>-0.4235</v>
      </c>
      <c r="EM97" s="24" t="n">
        <f aca="false">EM$21*(0-Planner!$C$43)</f>
        <v>-0.2975</v>
      </c>
      <c r="EN97" s="24" t="n">
        <f aca="false">EN$21*(0-Planner!$C$43)</f>
        <v>-0</v>
      </c>
      <c r="EO97" s="24" t="n">
        <f aca="false">EO$21*(0-Planner!$C$43)</f>
        <v>-0</v>
      </c>
      <c r="EP97" s="24" t="n">
        <f aca="false">EP$21*(0-Planner!$C$43)</f>
        <v>-7.4025</v>
      </c>
      <c r="EQ97" s="24" t="n">
        <f aca="false">EQ$21*(0-Planner!$C$43)</f>
        <v>-0.686</v>
      </c>
      <c r="ER97" s="24" t="n">
        <f aca="false">ER$21*(0-Planner!$C$43)</f>
        <v>-1.785</v>
      </c>
      <c r="ES97" s="24" t="n">
        <f aca="false">ES$21*(0-Planner!$C$43)</f>
        <v>-1.9775</v>
      </c>
      <c r="ET97" s="24" t="n">
        <f aca="false">ET$21*(0-Planner!$C$43)</f>
        <v>-2.2365</v>
      </c>
      <c r="EU97" s="24" t="n">
        <f aca="false">EU$21*(0-Planner!$C$43)</f>
        <v>-1.225</v>
      </c>
    </row>
    <row r="98" customFormat="false" ht="15" hidden="false" customHeight="false" outlineLevel="0" collapsed="false">
      <c r="A98" s="4" t="s">
        <v>1038</v>
      </c>
      <c r="B98" s="75" t="s">
        <v>1017</v>
      </c>
      <c r="C98" s="78" t="n">
        <v>0</v>
      </c>
      <c r="D98" s="77" t="n">
        <v>-39.199999997333</v>
      </c>
      <c r="E98" s="75" t="str">
        <f aca="false">IF(D98&lt;=C98+0.000001*MAX(1,ABS(C98)),IF(ABS(D98-C98)&lt;=0.000001*MAX(1,ABS(C98)),"tight","ok"),"VIOLATED")</f>
        <v>ok</v>
      </c>
      <c r="F98" s="24" t="n">
        <f aca="false">F$21*(0-Planner!$C$43)</f>
        <v>-7.875</v>
      </c>
      <c r="G98" s="24" t="n">
        <f aca="false">G$21*(0-Planner!$C$43)</f>
        <v>-6.328</v>
      </c>
      <c r="H98" s="24" t="n">
        <f aca="false">H$21*(0-Planner!$C$43)</f>
        <v>-6.881</v>
      </c>
      <c r="I98" s="24" t="n">
        <f aca="false">I$21*(0-Planner!$C$43)</f>
        <v>-5.7155</v>
      </c>
      <c r="J98" s="24" t="n">
        <f aca="false">J$21*(0-Planner!$C$43)</f>
        <v>-6.5555</v>
      </c>
      <c r="K98" s="24" t="n">
        <f aca="false">K$21*(0-Planner!$C$43)</f>
        <v>-6.51</v>
      </c>
      <c r="L98" s="24" t="n">
        <f aca="false">L$21*(0-Planner!$C$43)</f>
        <v>-4.417</v>
      </c>
      <c r="M98" s="24" t="n">
        <f aca="false">M$21*(0-Planner!$C$43)</f>
        <v>-7.6125</v>
      </c>
      <c r="N98" s="24" t="n">
        <f aca="false">N$21*(0-Planner!$C$43)</f>
        <v>-6.0095</v>
      </c>
      <c r="O98" s="24" t="n">
        <f aca="false">O$21*(0-Planner!$C$43)</f>
        <v>-7.2975</v>
      </c>
      <c r="P98" s="24" t="n">
        <f aca="false">P$21*(0-Planner!$C$43)</f>
        <v>-5.81</v>
      </c>
      <c r="Q98" s="24" t="n">
        <f aca="false">Q$21*(0-Planner!$C$43)</f>
        <v>-7.399</v>
      </c>
      <c r="R98" s="24" t="n">
        <f aca="false">R$21*(0-Planner!$C$43)</f>
        <v>-7.679</v>
      </c>
      <c r="S98" s="24" t="n">
        <f aca="false">S$21*(0-Planner!$C$43)</f>
        <v>-6.972</v>
      </c>
      <c r="T98" s="24" t="n">
        <f aca="false">T$21*(0-Planner!$C$43)</f>
        <v>-6.804</v>
      </c>
      <c r="U98" s="24" t="n">
        <f aca="false">U$21*(0-Planner!$C$43)</f>
        <v>-7.147</v>
      </c>
      <c r="V98" s="24" t="n">
        <f aca="false">V$21*(0-Planner!$C$43)</f>
        <v>-4.7635</v>
      </c>
      <c r="W98" s="24" t="n">
        <f aca="false">W$21*(0-Planner!$C$43)</f>
        <v>-7.028</v>
      </c>
      <c r="X98" s="24" t="n">
        <f aca="false">X$21*(0-Planner!$C$43)</f>
        <v>-4.396</v>
      </c>
      <c r="Y98" s="24" t="n">
        <f aca="false">Y$21*(0-Planner!$C$43)</f>
        <v>-2.1105</v>
      </c>
      <c r="Z98" s="24" t="n">
        <f aca="false">Z$21*(0-Planner!$C$43)</f>
        <v>-7.56</v>
      </c>
      <c r="AA98" s="24" t="n">
        <f aca="false">AA$21*(0-Planner!$C$43)</f>
        <v>-1.659</v>
      </c>
      <c r="AB98" s="24" t="n">
        <f aca="false">AB$21*(0-Planner!$C$43)</f>
        <v>-8.232</v>
      </c>
      <c r="AC98" s="24" t="n">
        <f aca="false">AC$21*(0-Planner!$C$43)</f>
        <v>-1.722</v>
      </c>
      <c r="AD98" s="24" t="n">
        <f aca="false">AD$21*(0-Planner!$C$43)</f>
        <v>-2.5795</v>
      </c>
      <c r="AE98" s="24" t="n">
        <f aca="false">AE$21*(1-Planner!$C$43)</f>
        <v>14.209</v>
      </c>
      <c r="AF98" s="24" t="n">
        <f aca="false">AF$21*(0-Planner!$C$43)</f>
        <v>-1.827</v>
      </c>
      <c r="AG98" s="24" t="n">
        <f aca="false">AG$21*(0-Planner!$C$43)</f>
        <v>-8.253</v>
      </c>
      <c r="AH98" s="24" t="n">
        <f aca="false">AH$21*(0-Planner!$C$43)</f>
        <v>-8.6205</v>
      </c>
      <c r="AI98" s="24" t="n">
        <f aca="false">AI$21*(0-Planner!$C$43)</f>
        <v>-7.511</v>
      </c>
      <c r="AJ98" s="24" t="n">
        <f aca="false">AJ$21*(0-Planner!$C$43)</f>
        <v>-2.6355</v>
      </c>
      <c r="AK98" s="24" t="n">
        <f aca="false">AK$21*(0-Planner!$C$43)</f>
        <v>-7.8155</v>
      </c>
      <c r="AL98" s="24" t="n">
        <f aca="false">AL$21*(0-Planner!$C$43)</f>
        <v>-7.7735</v>
      </c>
      <c r="AM98" s="24" t="n">
        <f aca="false">AM$21*(0-Planner!$C$43)</f>
        <v>-1.61</v>
      </c>
      <c r="AN98" s="24" t="n">
        <f aca="false">AN$21*(0-Planner!$C$43)</f>
        <v>-7.497</v>
      </c>
      <c r="AO98" s="24" t="n">
        <f aca="false">AO$21*(0-Planner!$C$43)</f>
        <v>-3.535</v>
      </c>
      <c r="AP98" s="24" t="n">
        <f aca="false">AP$21*(0-Planner!$C$43)</f>
        <v>-1.155</v>
      </c>
      <c r="AQ98" s="24" t="n">
        <f aca="false">AQ$21*(0-Planner!$C$43)</f>
        <v>-3.5665</v>
      </c>
      <c r="AR98" s="24" t="n">
        <f aca="false">AR$21*(0-Planner!$C$43)</f>
        <v>-0.91</v>
      </c>
      <c r="AS98" s="24" t="n">
        <f aca="false">AS$21*(0-Planner!$C$43)</f>
        <v>-1.1025</v>
      </c>
      <c r="AT98" s="24" t="n">
        <f aca="false">AT$21*(0-Planner!$C$43)</f>
        <v>-6.3455</v>
      </c>
      <c r="AU98" s="24" t="n">
        <f aca="false">AU$21*(0-Planner!$C$43)</f>
        <v>-8.0045</v>
      </c>
      <c r="AV98" s="24" t="n">
        <f aca="false">AV$21*(0-Planner!$C$43)</f>
        <v>-3.6575</v>
      </c>
      <c r="AW98" s="24" t="n">
        <f aca="false">AW$21*(0-Planner!$C$43)</f>
        <v>-8.3125</v>
      </c>
      <c r="AX98" s="24" t="n">
        <f aca="false">AX$21*(0-Planner!$C$43)</f>
        <v>-3.696</v>
      </c>
      <c r="AY98" s="24" t="n">
        <f aca="false">AY$21*(0-Planner!$C$43)</f>
        <v>-2.639</v>
      </c>
      <c r="AZ98" s="24" t="n">
        <f aca="false">AZ$21*(0-Planner!$C$43)</f>
        <v>-4.2315</v>
      </c>
      <c r="BA98" s="24" t="n">
        <f aca="false">BA$21*(0-Planner!$C$43)</f>
        <v>-1.995</v>
      </c>
      <c r="BB98" s="24" t="n">
        <f aca="false">BB$21*(0-Planner!$C$43)</f>
        <v>-2.8035</v>
      </c>
      <c r="BC98" s="24" t="n">
        <f aca="false">BC$21*(0-Planner!$C$43)</f>
        <v>-4.942</v>
      </c>
      <c r="BD98" s="24" t="n">
        <f aca="false">BD$21*(0-Planner!$C$43)</f>
        <v>-4.6025</v>
      </c>
      <c r="BE98" s="24" t="n">
        <f aca="false">BE$21*(0-Planner!$C$43)</f>
        <v>-4.564</v>
      </c>
      <c r="BF98" s="24" t="n">
        <f aca="false">BF$21*(0-Planner!$C$43)</f>
        <v>-3.0975</v>
      </c>
      <c r="BG98" s="24" t="n">
        <f aca="false">BG$21*(0-Planner!$C$43)</f>
        <v>-2.4955</v>
      </c>
      <c r="BH98" s="24" t="n">
        <f aca="false">BH$21*(0-Planner!$C$43)</f>
        <v>-4.3575</v>
      </c>
      <c r="BI98" s="24" t="n">
        <f aca="false">BI$21*(0-Planner!$C$43)</f>
        <v>-4.8545</v>
      </c>
      <c r="BJ98" s="24" t="n">
        <f aca="false">BJ$21*(0-Planner!$C$43)</f>
        <v>-2.6565</v>
      </c>
      <c r="BK98" s="24" t="n">
        <f aca="false">BK$21*(0-Planner!$C$43)</f>
        <v>-0.6825</v>
      </c>
      <c r="BL98" s="24" t="n">
        <f aca="false">BL$21*(0-Planner!$C$43)</f>
        <v>-1.057</v>
      </c>
      <c r="BM98" s="24" t="n">
        <f aca="false">BM$21*(0-Planner!$C$43)</f>
        <v>-0.784</v>
      </c>
      <c r="BN98" s="24" t="n">
        <f aca="false">BN$21*(0-Planner!$C$43)</f>
        <v>-1.0535</v>
      </c>
      <c r="BO98" s="24" t="n">
        <f aca="false">BO$21*(0-Planner!$C$43)</f>
        <v>-1.827</v>
      </c>
      <c r="BP98" s="24" t="n">
        <f aca="false">BP$21*(0-Planner!$C$43)</f>
        <v>-0.7175</v>
      </c>
      <c r="BQ98" s="24" t="n">
        <f aca="false">BQ$21*(0-Planner!$C$43)</f>
        <v>-0.5495</v>
      </c>
      <c r="BR98" s="24" t="n">
        <f aca="false">BR$21*(0-Planner!$C$43)</f>
        <v>-0.091</v>
      </c>
      <c r="BS98" s="24" t="n">
        <f aca="false">BS$21*(0-Planner!$C$43)</f>
        <v>-0.0595</v>
      </c>
      <c r="BT98" s="24" t="n">
        <f aca="false">BT$21*(0-Planner!$C$43)</f>
        <v>-0.3815</v>
      </c>
      <c r="BU98" s="24" t="n">
        <f aca="false">BU$21*(0-Planner!$C$43)</f>
        <v>-0.4865</v>
      </c>
      <c r="BV98" s="24" t="n">
        <f aca="false">BV$21*(0-Planner!$C$43)</f>
        <v>-0.147</v>
      </c>
      <c r="BW98" s="24" t="n">
        <f aca="false">BW$21*(0-Planner!$C$43)</f>
        <v>-0.294</v>
      </c>
      <c r="BX98" s="24" t="n">
        <f aca="false">BX$21*(0-Planner!$C$43)</f>
        <v>-0.371</v>
      </c>
      <c r="BY98" s="24" t="n">
        <f aca="false">BY$21*(0-Planner!$C$43)</f>
        <v>-0.2975</v>
      </c>
      <c r="BZ98" s="24" t="n">
        <f aca="false">BZ$21*(0-Planner!$C$43)</f>
        <v>-0.8575</v>
      </c>
      <c r="CA98" s="24" t="n">
        <f aca="false">CA$21*(0-Planner!$C$43)</f>
        <v>-1.1865</v>
      </c>
      <c r="CB98" s="24" t="n">
        <f aca="false">CB$21*(0-Planner!$C$43)</f>
        <v>-0.0595</v>
      </c>
      <c r="CC98" s="24" t="n">
        <f aca="false">CC$21*(0-Planner!$C$43)</f>
        <v>-0.161</v>
      </c>
      <c r="CD98" s="24" t="n">
        <f aca="false">CD$21*(0-Planner!$C$43)</f>
        <v>-0.2205</v>
      </c>
      <c r="CE98" s="24" t="n">
        <f aca="false">CE$21*(0-Planner!$C$43)</f>
        <v>-0.252</v>
      </c>
      <c r="CF98" s="24" t="n">
        <f aca="false">CF$21*(0-Planner!$C$43)</f>
        <v>-0.189</v>
      </c>
      <c r="CG98" s="24" t="n">
        <f aca="false">CG$21*(0-Planner!$C$43)</f>
        <v>-0.399</v>
      </c>
      <c r="CH98" s="24" t="n">
        <f aca="false">CH$21*(0-Planner!$C$43)</f>
        <v>-0.287</v>
      </c>
      <c r="CI98" s="24" t="n">
        <f aca="false">CI$21*(0-Planner!$C$43)</f>
        <v>-0.371</v>
      </c>
      <c r="CJ98" s="24" t="n">
        <f aca="false">CJ$21*(0-Planner!$C$43)</f>
        <v>-0.238</v>
      </c>
      <c r="CK98" s="24" t="n">
        <f aca="false">CK$21*(0-Planner!$C$43)</f>
        <v>-0.3185</v>
      </c>
      <c r="CL98" s="24" t="n">
        <f aca="false">CL$21*(0-Planner!$C$43)</f>
        <v>-0.1645</v>
      </c>
      <c r="CM98" s="24" t="n">
        <f aca="false">CM$21*(0-Planner!$C$43)</f>
        <v>-0.3185</v>
      </c>
      <c r="CN98" s="24" t="n">
        <f aca="false">CN$21*(0-Planner!$C$43)</f>
        <v>-0.2205</v>
      </c>
      <c r="CO98" s="24" t="n">
        <f aca="false">CO$21*(0-Planner!$C$43)</f>
        <v>-0.126</v>
      </c>
      <c r="CP98" s="24" t="n">
        <f aca="false">CP$21*(0-Planner!$C$43)</f>
        <v>-0.119</v>
      </c>
      <c r="CQ98" s="24" t="n">
        <f aca="false">CQ$21*(0-Planner!$C$43)</f>
        <v>-0.189</v>
      </c>
      <c r="CR98" s="24" t="n">
        <f aca="false">CR$21*(0-Planner!$C$43)</f>
        <v>-0.147</v>
      </c>
      <c r="CS98" s="24" t="n">
        <f aca="false">CS$21*(0-Planner!$C$43)</f>
        <v>-0.245</v>
      </c>
      <c r="CT98" s="24" t="n">
        <f aca="false">CT$21*(0-Planner!$C$43)</f>
        <v>-0.763</v>
      </c>
      <c r="CU98" s="24" t="n">
        <f aca="false">CU$21*(0-Planner!$C$43)</f>
        <v>-1.0745</v>
      </c>
      <c r="CV98" s="24" t="n">
        <f aca="false">CV$21*(0-Planner!$C$43)</f>
        <v>-0.42</v>
      </c>
      <c r="CW98" s="24" t="n">
        <f aca="false">CW$21*(0-Planner!$C$43)</f>
        <v>-0.2345</v>
      </c>
      <c r="CX98" s="24" t="n">
        <f aca="false">CX$21*(0-Planner!$C$43)</f>
        <v>-0.1505</v>
      </c>
      <c r="CY98" s="24" t="n">
        <f aca="false">CY$21*(0-Planner!$C$43)</f>
        <v>-0.2135</v>
      </c>
      <c r="CZ98" s="24" t="n">
        <f aca="false">CZ$21*(0-Planner!$C$43)</f>
        <v>-0.28</v>
      </c>
      <c r="DA98" s="24" t="n">
        <f aca="false">DA$21*(0-Planner!$C$43)</f>
        <v>-0.77</v>
      </c>
      <c r="DB98" s="24" t="n">
        <f aca="false">DB$21*(0-Planner!$C$43)</f>
        <v>-0.224</v>
      </c>
      <c r="DC98" s="24" t="n">
        <f aca="false">DC$21*(0-Planner!$C$43)</f>
        <v>-0.2555</v>
      </c>
      <c r="DD98" s="24" t="n">
        <f aca="false">DD$21*(0-Planner!$C$43)</f>
        <v>-1.071</v>
      </c>
      <c r="DE98" s="24" t="n">
        <f aca="false">DE$21*(0-Planner!$C$43)</f>
        <v>-1.323</v>
      </c>
      <c r="DF98" s="24" t="n">
        <f aca="false">DF$21*(0-Planner!$C$43)</f>
        <v>-0.35</v>
      </c>
      <c r="DG98" s="24" t="n">
        <f aca="false">DG$21*(0-Planner!$C$43)</f>
        <v>-0.448</v>
      </c>
      <c r="DH98" s="24" t="n">
        <f aca="false">DH$21*(0-Planner!$C$43)</f>
        <v>-0.5005</v>
      </c>
      <c r="DI98" s="24" t="n">
        <f aca="false">DI$21*(0-Planner!$C$43)</f>
        <v>-0.3255</v>
      </c>
      <c r="DJ98" s="24" t="n">
        <f aca="false">DJ$21*(0-Planner!$C$43)</f>
        <v>-0.203</v>
      </c>
      <c r="DK98" s="24" t="n">
        <f aca="false">DK$21*(0-Planner!$C$43)</f>
        <v>-0.273</v>
      </c>
      <c r="DL98" s="24" t="n">
        <f aca="false">DL$21*(0-Planner!$C$43)</f>
        <v>-0.7035</v>
      </c>
      <c r="DM98" s="24" t="n">
        <f aca="false">DM$21*(0-Planner!$C$43)</f>
        <v>-0.2415</v>
      </c>
      <c r="DN98" s="24" t="n">
        <f aca="false">DN$21*(0-Planner!$C$43)</f>
        <v>-1.057</v>
      </c>
      <c r="DO98" s="24" t="n">
        <f aca="false">DO$21*(0-Planner!$C$43)</f>
        <v>-0.9415</v>
      </c>
      <c r="DP98" s="24" t="n">
        <f aca="false">DP$21*(0-Planner!$C$43)</f>
        <v>-0.2275</v>
      </c>
      <c r="DQ98" s="24" t="n">
        <f aca="false">DQ$21*(0-Planner!$C$43)</f>
        <v>-0.252</v>
      </c>
      <c r="DR98" s="24" t="n">
        <f aca="false">DR$21*(0-Planner!$C$43)</f>
        <v>-0.6265</v>
      </c>
      <c r="DS98" s="24" t="n">
        <f aca="false">DS$21*(0-Planner!$C$43)</f>
        <v>-0.301</v>
      </c>
      <c r="DT98" s="24" t="n">
        <f aca="false">DT$21*(0-Planner!$C$43)</f>
        <v>-0.315</v>
      </c>
      <c r="DU98" s="24" t="n">
        <f aca="false">DU$21*(0-Planner!$C$43)</f>
        <v>-0.931</v>
      </c>
      <c r="DV98" s="24" t="n">
        <f aca="false">DV$21*(0-Planner!$C$43)</f>
        <v>-1.1655</v>
      </c>
      <c r="DW98" s="24" t="n">
        <f aca="false">DW$21*(0-Planner!$C$43)</f>
        <v>-1.0815</v>
      </c>
      <c r="DX98" s="24" t="n">
        <f aca="false">DX$21*(0-Planner!$C$43)</f>
        <v>-0.8715</v>
      </c>
      <c r="DY98" s="24" t="n">
        <f aca="false">DY$21*(0-Planner!$C$43)</f>
        <v>-0.5915</v>
      </c>
      <c r="DZ98" s="24" t="n">
        <f aca="false">DZ$21*(0-Planner!$C$43)</f>
        <v>-0.385</v>
      </c>
      <c r="EA98" s="24" t="n">
        <f aca="false">EA$21*(0-Planner!$C$43)</f>
        <v>-0.385</v>
      </c>
      <c r="EB98" s="24" t="n">
        <f aca="false">EB$21*(0-Planner!$C$43)</f>
        <v>-0.238</v>
      </c>
      <c r="EC98" s="24" t="n">
        <f aca="false">EC$21*(0-Planner!$C$43)</f>
        <v>-0.3465</v>
      </c>
      <c r="ED98" s="24" t="n">
        <f aca="false">ED$21*(0-Planner!$C$43)</f>
        <v>-0.4305</v>
      </c>
      <c r="EE98" s="24" t="n">
        <f aca="false">EE$21*(0-Planner!$C$43)</f>
        <v>-0.3185</v>
      </c>
      <c r="EF98" s="24" t="n">
        <f aca="false">EF$21*(0-Planner!$C$43)</f>
        <v>-0.7385</v>
      </c>
      <c r="EG98" s="24" t="n">
        <f aca="false">EG$21*(0-Planner!$C$43)</f>
        <v>-1.001</v>
      </c>
      <c r="EH98" s="24" t="n">
        <f aca="false">EH$21*(0-Planner!$C$43)</f>
        <v>-1.2705</v>
      </c>
      <c r="EI98" s="24" t="n">
        <f aca="false">EI$21*(0-Planner!$C$43)</f>
        <v>-0.2765</v>
      </c>
      <c r="EJ98" s="24" t="n">
        <f aca="false">EJ$21*(0-Planner!$C$43)</f>
        <v>-0.308</v>
      </c>
      <c r="EK98" s="24" t="n">
        <f aca="false">EK$21*(0-Planner!$C$43)</f>
        <v>-0.8645</v>
      </c>
      <c r="EL98" s="24" t="n">
        <f aca="false">EL$21*(0-Planner!$C$43)</f>
        <v>-0.4235</v>
      </c>
      <c r="EM98" s="24" t="n">
        <f aca="false">EM$21*(0-Planner!$C$43)</f>
        <v>-0.2975</v>
      </c>
      <c r="EN98" s="24" t="n">
        <f aca="false">EN$21*(0-Planner!$C$43)</f>
        <v>-0</v>
      </c>
      <c r="EO98" s="24" t="n">
        <f aca="false">EO$21*(0-Planner!$C$43)</f>
        <v>-0</v>
      </c>
      <c r="EP98" s="24" t="n">
        <f aca="false">EP$21*(0-Planner!$C$43)</f>
        <v>-7.4025</v>
      </c>
      <c r="EQ98" s="24" t="n">
        <f aca="false">EQ$21*(0-Planner!$C$43)</f>
        <v>-0.686</v>
      </c>
      <c r="ER98" s="24" t="n">
        <f aca="false">ER$21*(0-Planner!$C$43)</f>
        <v>-1.785</v>
      </c>
      <c r="ES98" s="24" t="n">
        <f aca="false">ES$21*(0-Planner!$C$43)</f>
        <v>-1.9775</v>
      </c>
      <c r="ET98" s="24" t="n">
        <f aca="false">ET$21*(0-Planner!$C$43)</f>
        <v>-2.2365</v>
      </c>
      <c r="EU98" s="24" t="n">
        <f aca="false">EU$21*(0-Planner!$C$43)</f>
        <v>-1.225</v>
      </c>
    </row>
    <row r="99" customFormat="false" ht="15" hidden="false" customHeight="false" outlineLevel="0" collapsed="false">
      <c r="A99" s="4" t="s">
        <v>1039</v>
      </c>
      <c r="B99" s="75" t="s">
        <v>1017</v>
      </c>
      <c r="C99" s="78" t="n">
        <v>0</v>
      </c>
      <c r="D99" s="77" t="n">
        <v>-39.199999997333</v>
      </c>
      <c r="E99" s="75" t="str">
        <f aca="false">IF(D99&lt;=C99+0.000001*MAX(1,ABS(C99)),IF(ABS(D99-C99)&lt;=0.000001*MAX(1,ABS(C99)),"tight","ok"),"VIOLATED")</f>
        <v>ok</v>
      </c>
      <c r="F99" s="24" t="n">
        <f aca="false">F$21*(0-Planner!$C$43)</f>
        <v>-7.875</v>
      </c>
      <c r="G99" s="24" t="n">
        <f aca="false">G$21*(0-Planner!$C$43)</f>
        <v>-6.328</v>
      </c>
      <c r="H99" s="24" t="n">
        <f aca="false">H$21*(0-Planner!$C$43)</f>
        <v>-6.881</v>
      </c>
      <c r="I99" s="24" t="n">
        <f aca="false">I$21*(0-Planner!$C$43)</f>
        <v>-5.7155</v>
      </c>
      <c r="J99" s="24" t="n">
        <f aca="false">J$21*(0-Planner!$C$43)</f>
        <v>-6.5555</v>
      </c>
      <c r="K99" s="24" t="n">
        <f aca="false">K$21*(0-Planner!$C$43)</f>
        <v>-6.51</v>
      </c>
      <c r="L99" s="24" t="n">
        <f aca="false">L$21*(0-Planner!$C$43)</f>
        <v>-4.417</v>
      </c>
      <c r="M99" s="24" t="n">
        <f aca="false">M$21*(0-Planner!$C$43)</f>
        <v>-7.6125</v>
      </c>
      <c r="N99" s="24" t="n">
        <f aca="false">N$21*(0-Planner!$C$43)</f>
        <v>-6.0095</v>
      </c>
      <c r="O99" s="24" t="n">
        <f aca="false">O$21*(0-Planner!$C$43)</f>
        <v>-7.2975</v>
      </c>
      <c r="P99" s="24" t="n">
        <f aca="false">P$21*(0-Planner!$C$43)</f>
        <v>-5.81</v>
      </c>
      <c r="Q99" s="24" t="n">
        <f aca="false">Q$21*(0-Planner!$C$43)</f>
        <v>-7.399</v>
      </c>
      <c r="R99" s="24" t="n">
        <f aca="false">R$21*(0-Planner!$C$43)</f>
        <v>-7.679</v>
      </c>
      <c r="S99" s="24" t="n">
        <f aca="false">S$21*(0-Planner!$C$43)</f>
        <v>-6.972</v>
      </c>
      <c r="T99" s="24" t="n">
        <f aca="false">T$21*(0-Planner!$C$43)</f>
        <v>-6.804</v>
      </c>
      <c r="U99" s="24" t="n">
        <f aca="false">U$21*(0-Planner!$C$43)</f>
        <v>-7.147</v>
      </c>
      <c r="V99" s="24" t="n">
        <f aca="false">V$21*(0-Planner!$C$43)</f>
        <v>-4.7635</v>
      </c>
      <c r="W99" s="24" t="n">
        <f aca="false">W$21*(0-Planner!$C$43)</f>
        <v>-7.028</v>
      </c>
      <c r="X99" s="24" t="n">
        <f aca="false">X$21*(0-Planner!$C$43)</f>
        <v>-4.396</v>
      </c>
      <c r="Y99" s="24" t="n">
        <f aca="false">Y$21*(0-Planner!$C$43)</f>
        <v>-2.1105</v>
      </c>
      <c r="Z99" s="24" t="n">
        <f aca="false">Z$21*(0-Planner!$C$43)</f>
        <v>-7.56</v>
      </c>
      <c r="AA99" s="24" t="n">
        <f aca="false">AA$21*(0-Planner!$C$43)</f>
        <v>-1.659</v>
      </c>
      <c r="AB99" s="24" t="n">
        <f aca="false">AB$21*(0-Planner!$C$43)</f>
        <v>-8.232</v>
      </c>
      <c r="AC99" s="24" t="n">
        <f aca="false">AC$21*(0-Planner!$C$43)</f>
        <v>-1.722</v>
      </c>
      <c r="AD99" s="24" t="n">
        <f aca="false">AD$21*(0-Planner!$C$43)</f>
        <v>-2.5795</v>
      </c>
      <c r="AE99" s="24" t="n">
        <f aca="false">AE$21*(0-Planner!$C$43)</f>
        <v>-7.651</v>
      </c>
      <c r="AF99" s="24" t="n">
        <f aca="false">AF$21*(0-Planner!$C$43)</f>
        <v>-1.827</v>
      </c>
      <c r="AG99" s="24" t="n">
        <f aca="false">AG$21*(1-Planner!$C$43)</f>
        <v>15.327</v>
      </c>
      <c r="AH99" s="24" t="n">
        <f aca="false">AH$21*(0-Planner!$C$43)</f>
        <v>-8.6205</v>
      </c>
      <c r="AI99" s="24" t="n">
        <f aca="false">AI$21*(0-Planner!$C$43)</f>
        <v>-7.511</v>
      </c>
      <c r="AJ99" s="24" t="n">
        <f aca="false">AJ$21*(0-Planner!$C$43)</f>
        <v>-2.6355</v>
      </c>
      <c r="AK99" s="24" t="n">
        <f aca="false">AK$21*(0-Planner!$C$43)</f>
        <v>-7.8155</v>
      </c>
      <c r="AL99" s="24" t="n">
        <f aca="false">AL$21*(0-Planner!$C$43)</f>
        <v>-7.7735</v>
      </c>
      <c r="AM99" s="24" t="n">
        <f aca="false">AM$21*(0-Planner!$C$43)</f>
        <v>-1.61</v>
      </c>
      <c r="AN99" s="24" t="n">
        <f aca="false">AN$21*(0-Planner!$C$43)</f>
        <v>-7.497</v>
      </c>
      <c r="AO99" s="24" t="n">
        <f aca="false">AO$21*(0-Planner!$C$43)</f>
        <v>-3.535</v>
      </c>
      <c r="AP99" s="24" t="n">
        <f aca="false">AP$21*(0-Planner!$C$43)</f>
        <v>-1.155</v>
      </c>
      <c r="AQ99" s="24" t="n">
        <f aca="false">AQ$21*(0-Planner!$C$43)</f>
        <v>-3.5665</v>
      </c>
      <c r="AR99" s="24" t="n">
        <f aca="false">AR$21*(0-Planner!$C$43)</f>
        <v>-0.91</v>
      </c>
      <c r="AS99" s="24" t="n">
        <f aca="false">AS$21*(0-Planner!$C$43)</f>
        <v>-1.1025</v>
      </c>
      <c r="AT99" s="24" t="n">
        <f aca="false">AT$21*(0-Planner!$C$43)</f>
        <v>-6.3455</v>
      </c>
      <c r="AU99" s="24" t="n">
        <f aca="false">AU$21*(0-Planner!$C$43)</f>
        <v>-8.0045</v>
      </c>
      <c r="AV99" s="24" t="n">
        <f aca="false">AV$21*(0-Planner!$C$43)</f>
        <v>-3.6575</v>
      </c>
      <c r="AW99" s="24" t="n">
        <f aca="false">AW$21*(0-Planner!$C$43)</f>
        <v>-8.3125</v>
      </c>
      <c r="AX99" s="24" t="n">
        <f aca="false">AX$21*(0-Planner!$C$43)</f>
        <v>-3.696</v>
      </c>
      <c r="AY99" s="24" t="n">
        <f aca="false">AY$21*(0-Planner!$C$43)</f>
        <v>-2.639</v>
      </c>
      <c r="AZ99" s="24" t="n">
        <f aca="false">AZ$21*(0-Planner!$C$43)</f>
        <v>-4.2315</v>
      </c>
      <c r="BA99" s="24" t="n">
        <f aca="false">BA$21*(0-Planner!$C$43)</f>
        <v>-1.995</v>
      </c>
      <c r="BB99" s="24" t="n">
        <f aca="false">BB$21*(0-Planner!$C$43)</f>
        <v>-2.8035</v>
      </c>
      <c r="BC99" s="24" t="n">
        <f aca="false">BC$21*(0-Planner!$C$43)</f>
        <v>-4.942</v>
      </c>
      <c r="BD99" s="24" t="n">
        <f aca="false">BD$21*(0-Planner!$C$43)</f>
        <v>-4.6025</v>
      </c>
      <c r="BE99" s="24" t="n">
        <f aca="false">BE$21*(0-Planner!$C$43)</f>
        <v>-4.564</v>
      </c>
      <c r="BF99" s="24" t="n">
        <f aca="false">BF$21*(0-Planner!$C$43)</f>
        <v>-3.0975</v>
      </c>
      <c r="BG99" s="24" t="n">
        <f aca="false">BG$21*(0-Planner!$C$43)</f>
        <v>-2.4955</v>
      </c>
      <c r="BH99" s="24" t="n">
        <f aca="false">BH$21*(0-Planner!$C$43)</f>
        <v>-4.3575</v>
      </c>
      <c r="BI99" s="24" t="n">
        <f aca="false">BI$21*(0-Planner!$C$43)</f>
        <v>-4.8545</v>
      </c>
      <c r="BJ99" s="24" t="n">
        <f aca="false">BJ$21*(0-Planner!$C$43)</f>
        <v>-2.6565</v>
      </c>
      <c r="BK99" s="24" t="n">
        <f aca="false">BK$21*(0-Planner!$C$43)</f>
        <v>-0.6825</v>
      </c>
      <c r="BL99" s="24" t="n">
        <f aca="false">BL$21*(0-Planner!$C$43)</f>
        <v>-1.057</v>
      </c>
      <c r="BM99" s="24" t="n">
        <f aca="false">BM$21*(0-Planner!$C$43)</f>
        <v>-0.784</v>
      </c>
      <c r="BN99" s="24" t="n">
        <f aca="false">BN$21*(0-Planner!$C$43)</f>
        <v>-1.0535</v>
      </c>
      <c r="BO99" s="24" t="n">
        <f aca="false">BO$21*(0-Planner!$C$43)</f>
        <v>-1.827</v>
      </c>
      <c r="BP99" s="24" t="n">
        <f aca="false">BP$21*(0-Planner!$C$43)</f>
        <v>-0.7175</v>
      </c>
      <c r="BQ99" s="24" t="n">
        <f aca="false">BQ$21*(0-Planner!$C$43)</f>
        <v>-0.5495</v>
      </c>
      <c r="BR99" s="24" t="n">
        <f aca="false">BR$21*(0-Planner!$C$43)</f>
        <v>-0.091</v>
      </c>
      <c r="BS99" s="24" t="n">
        <f aca="false">BS$21*(0-Planner!$C$43)</f>
        <v>-0.0595</v>
      </c>
      <c r="BT99" s="24" t="n">
        <f aca="false">BT$21*(0-Planner!$C$43)</f>
        <v>-0.3815</v>
      </c>
      <c r="BU99" s="24" t="n">
        <f aca="false">BU$21*(0-Planner!$C$43)</f>
        <v>-0.4865</v>
      </c>
      <c r="BV99" s="24" t="n">
        <f aca="false">BV$21*(0-Planner!$C$43)</f>
        <v>-0.147</v>
      </c>
      <c r="BW99" s="24" t="n">
        <f aca="false">BW$21*(0-Planner!$C$43)</f>
        <v>-0.294</v>
      </c>
      <c r="BX99" s="24" t="n">
        <f aca="false">BX$21*(0-Planner!$C$43)</f>
        <v>-0.371</v>
      </c>
      <c r="BY99" s="24" t="n">
        <f aca="false">BY$21*(0-Planner!$C$43)</f>
        <v>-0.2975</v>
      </c>
      <c r="BZ99" s="24" t="n">
        <f aca="false">BZ$21*(0-Planner!$C$43)</f>
        <v>-0.8575</v>
      </c>
      <c r="CA99" s="24" t="n">
        <f aca="false">CA$21*(0-Planner!$C$43)</f>
        <v>-1.1865</v>
      </c>
      <c r="CB99" s="24" t="n">
        <f aca="false">CB$21*(0-Planner!$C$43)</f>
        <v>-0.0595</v>
      </c>
      <c r="CC99" s="24" t="n">
        <f aca="false">CC$21*(0-Planner!$C$43)</f>
        <v>-0.161</v>
      </c>
      <c r="CD99" s="24" t="n">
        <f aca="false">CD$21*(0-Planner!$C$43)</f>
        <v>-0.2205</v>
      </c>
      <c r="CE99" s="24" t="n">
        <f aca="false">CE$21*(0-Planner!$C$43)</f>
        <v>-0.252</v>
      </c>
      <c r="CF99" s="24" t="n">
        <f aca="false">CF$21*(0-Planner!$C$43)</f>
        <v>-0.189</v>
      </c>
      <c r="CG99" s="24" t="n">
        <f aca="false">CG$21*(0-Planner!$C$43)</f>
        <v>-0.399</v>
      </c>
      <c r="CH99" s="24" t="n">
        <f aca="false">CH$21*(0-Planner!$C$43)</f>
        <v>-0.287</v>
      </c>
      <c r="CI99" s="24" t="n">
        <f aca="false">CI$21*(0-Planner!$C$43)</f>
        <v>-0.371</v>
      </c>
      <c r="CJ99" s="24" t="n">
        <f aca="false">CJ$21*(0-Planner!$C$43)</f>
        <v>-0.238</v>
      </c>
      <c r="CK99" s="24" t="n">
        <f aca="false">CK$21*(0-Planner!$C$43)</f>
        <v>-0.3185</v>
      </c>
      <c r="CL99" s="24" t="n">
        <f aca="false">CL$21*(0-Planner!$C$43)</f>
        <v>-0.1645</v>
      </c>
      <c r="CM99" s="24" t="n">
        <f aca="false">CM$21*(0-Planner!$C$43)</f>
        <v>-0.3185</v>
      </c>
      <c r="CN99" s="24" t="n">
        <f aca="false">CN$21*(0-Planner!$C$43)</f>
        <v>-0.2205</v>
      </c>
      <c r="CO99" s="24" t="n">
        <f aca="false">CO$21*(0-Planner!$C$43)</f>
        <v>-0.126</v>
      </c>
      <c r="CP99" s="24" t="n">
        <f aca="false">CP$21*(0-Planner!$C$43)</f>
        <v>-0.119</v>
      </c>
      <c r="CQ99" s="24" t="n">
        <f aca="false">CQ$21*(0-Planner!$C$43)</f>
        <v>-0.189</v>
      </c>
      <c r="CR99" s="24" t="n">
        <f aca="false">CR$21*(0-Planner!$C$43)</f>
        <v>-0.147</v>
      </c>
      <c r="CS99" s="24" t="n">
        <f aca="false">CS$21*(0-Planner!$C$43)</f>
        <v>-0.245</v>
      </c>
      <c r="CT99" s="24" t="n">
        <f aca="false">CT$21*(0-Planner!$C$43)</f>
        <v>-0.763</v>
      </c>
      <c r="CU99" s="24" t="n">
        <f aca="false">CU$21*(0-Planner!$C$43)</f>
        <v>-1.0745</v>
      </c>
      <c r="CV99" s="24" t="n">
        <f aca="false">CV$21*(0-Planner!$C$43)</f>
        <v>-0.42</v>
      </c>
      <c r="CW99" s="24" t="n">
        <f aca="false">CW$21*(0-Planner!$C$43)</f>
        <v>-0.2345</v>
      </c>
      <c r="CX99" s="24" t="n">
        <f aca="false">CX$21*(0-Planner!$C$43)</f>
        <v>-0.1505</v>
      </c>
      <c r="CY99" s="24" t="n">
        <f aca="false">CY$21*(0-Planner!$C$43)</f>
        <v>-0.2135</v>
      </c>
      <c r="CZ99" s="24" t="n">
        <f aca="false">CZ$21*(0-Planner!$C$43)</f>
        <v>-0.28</v>
      </c>
      <c r="DA99" s="24" t="n">
        <f aca="false">DA$21*(0-Planner!$C$43)</f>
        <v>-0.77</v>
      </c>
      <c r="DB99" s="24" t="n">
        <f aca="false">DB$21*(0-Planner!$C$43)</f>
        <v>-0.224</v>
      </c>
      <c r="DC99" s="24" t="n">
        <f aca="false">DC$21*(0-Planner!$C$43)</f>
        <v>-0.2555</v>
      </c>
      <c r="DD99" s="24" t="n">
        <f aca="false">DD$21*(0-Planner!$C$43)</f>
        <v>-1.071</v>
      </c>
      <c r="DE99" s="24" t="n">
        <f aca="false">DE$21*(0-Planner!$C$43)</f>
        <v>-1.323</v>
      </c>
      <c r="DF99" s="24" t="n">
        <f aca="false">DF$21*(0-Planner!$C$43)</f>
        <v>-0.35</v>
      </c>
      <c r="DG99" s="24" t="n">
        <f aca="false">DG$21*(0-Planner!$C$43)</f>
        <v>-0.448</v>
      </c>
      <c r="DH99" s="24" t="n">
        <f aca="false">DH$21*(0-Planner!$C$43)</f>
        <v>-0.5005</v>
      </c>
      <c r="DI99" s="24" t="n">
        <f aca="false">DI$21*(0-Planner!$C$43)</f>
        <v>-0.3255</v>
      </c>
      <c r="DJ99" s="24" t="n">
        <f aca="false">DJ$21*(0-Planner!$C$43)</f>
        <v>-0.203</v>
      </c>
      <c r="DK99" s="24" t="n">
        <f aca="false">DK$21*(0-Planner!$C$43)</f>
        <v>-0.273</v>
      </c>
      <c r="DL99" s="24" t="n">
        <f aca="false">DL$21*(0-Planner!$C$43)</f>
        <v>-0.7035</v>
      </c>
      <c r="DM99" s="24" t="n">
        <f aca="false">DM$21*(0-Planner!$C$43)</f>
        <v>-0.2415</v>
      </c>
      <c r="DN99" s="24" t="n">
        <f aca="false">DN$21*(0-Planner!$C$43)</f>
        <v>-1.057</v>
      </c>
      <c r="DO99" s="24" t="n">
        <f aca="false">DO$21*(0-Planner!$C$43)</f>
        <v>-0.9415</v>
      </c>
      <c r="DP99" s="24" t="n">
        <f aca="false">DP$21*(0-Planner!$C$43)</f>
        <v>-0.2275</v>
      </c>
      <c r="DQ99" s="24" t="n">
        <f aca="false">DQ$21*(0-Planner!$C$43)</f>
        <v>-0.252</v>
      </c>
      <c r="DR99" s="24" t="n">
        <f aca="false">DR$21*(0-Planner!$C$43)</f>
        <v>-0.6265</v>
      </c>
      <c r="DS99" s="24" t="n">
        <f aca="false">DS$21*(0-Planner!$C$43)</f>
        <v>-0.301</v>
      </c>
      <c r="DT99" s="24" t="n">
        <f aca="false">DT$21*(0-Planner!$C$43)</f>
        <v>-0.315</v>
      </c>
      <c r="DU99" s="24" t="n">
        <f aca="false">DU$21*(0-Planner!$C$43)</f>
        <v>-0.931</v>
      </c>
      <c r="DV99" s="24" t="n">
        <f aca="false">DV$21*(0-Planner!$C$43)</f>
        <v>-1.1655</v>
      </c>
      <c r="DW99" s="24" t="n">
        <f aca="false">DW$21*(0-Planner!$C$43)</f>
        <v>-1.0815</v>
      </c>
      <c r="DX99" s="24" t="n">
        <f aca="false">DX$21*(0-Planner!$C$43)</f>
        <v>-0.8715</v>
      </c>
      <c r="DY99" s="24" t="n">
        <f aca="false">DY$21*(0-Planner!$C$43)</f>
        <v>-0.5915</v>
      </c>
      <c r="DZ99" s="24" t="n">
        <f aca="false">DZ$21*(0-Planner!$C$43)</f>
        <v>-0.385</v>
      </c>
      <c r="EA99" s="24" t="n">
        <f aca="false">EA$21*(0-Planner!$C$43)</f>
        <v>-0.385</v>
      </c>
      <c r="EB99" s="24" t="n">
        <f aca="false">EB$21*(0-Planner!$C$43)</f>
        <v>-0.238</v>
      </c>
      <c r="EC99" s="24" t="n">
        <f aca="false">EC$21*(0-Planner!$C$43)</f>
        <v>-0.3465</v>
      </c>
      <c r="ED99" s="24" t="n">
        <f aca="false">ED$21*(0-Planner!$C$43)</f>
        <v>-0.4305</v>
      </c>
      <c r="EE99" s="24" t="n">
        <f aca="false">EE$21*(0-Planner!$C$43)</f>
        <v>-0.3185</v>
      </c>
      <c r="EF99" s="24" t="n">
        <f aca="false">EF$21*(0-Planner!$C$43)</f>
        <v>-0.7385</v>
      </c>
      <c r="EG99" s="24" t="n">
        <f aca="false">EG$21*(0-Planner!$C$43)</f>
        <v>-1.001</v>
      </c>
      <c r="EH99" s="24" t="n">
        <f aca="false">EH$21*(0-Planner!$C$43)</f>
        <v>-1.2705</v>
      </c>
      <c r="EI99" s="24" t="n">
        <f aca="false">EI$21*(0-Planner!$C$43)</f>
        <v>-0.2765</v>
      </c>
      <c r="EJ99" s="24" t="n">
        <f aca="false">EJ$21*(0-Planner!$C$43)</f>
        <v>-0.308</v>
      </c>
      <c r="EK99" s="24" t="n">
        <f aca="false">EK$21*(0-Planner!$C$43)</f>
        <v>-0.8645</v>
      </c>
      <c r="EL99" s="24" t="n">
        <f aca="false">EL$21*(0-Planner!$C$43)</f>
        <v>-0.4235</v>
      </c>
      <c r="EM99" s="24" t="n">
        <f aca="false">EM$21*(0-Planner!$C$43)</f>
        <v>-0.2975</v>
      </c>
      <c r="EN99" s="24" t="n">
        <f aca="false">EN$21*(0-Planner!$C$43)</f>
        <v>-0</v>
      </c>
      <c r="EO99" s="24" t="n">
        <f aca="false">EO$21*(0-Planner!$C$43)</f>
        <v>-0</v>
      </c>
      <c r="EP99" s="24" t="n">
        <f aca="false">EP$21*(0-Planner!$C$43)</f>
        <v>-7.4025</v>
      </c>
      <c r="EQ99" s="24" t="n">
        <f aca="false">EQ$21*(0-Planner!$C$43)</f>
        <v>-0.686</v>
      </c>
      <c r="ER99" s="24" t="n">
        <f aca="false">ER$21*(0-Planner!$C$43)</f>
        <v>-1.785</v>
      </c>
      <c r="ES99" s="24" t="n">
        <f aca="false">ES$21*(0-Planner!$C$43)</f>
        <v>-1.9775</v>
      </c>
      <c r="ET99" s="24" t="n">
        <f aca="false">ET$21*(0-Planner!$C$43)</f>
        <v>-2.2365</v>
      </c>
      <c r="EU99" s="24" t="n">
        <f aca="false">EU$21*(0-Planner!$C$43)</f>
        <v>-1.225</v>
      </c>
    </row>
    <row r="100" customFormat="false" ht="15" hidden="false" customHeight="false" outlineLevel="0" collapsed="false">
      <c r="A100" s="4" t="s">
        <v>1040</v>
      </c>
      <c r="B100" s="75" t="s">
        <v>1017</v>
      </c>
      <c r="C100" s="78" t="n">
        <v>0</v>
      </c>
      <c r="D100" s="77" t="n">
        <v>-39.199999997333</v>
      </c>
      <c r="E100" s="75" t="str">
        <f aca="false">IF(D100&lt;=C100+0.000001*MAX(1,ABS(C100)),IF(ABS(D100-C100)&lt;=0.000001*MAX(1,ABS(C100)),"tight","ok"),"VIOLATED")</f>
        <v>ok</v>
      </c>
      <c r="F100" s="24" t="n">
        <f aca="false">F$21*(0-Planner!$C$43)</f>
        <v>-7.875</v>
      </c>
      <c r="G100" s="24" t="n">
        <f aca="false">G$21*(0-Planner!$C$43)</f>
        <v>-6.328</v>
      </c>
      <c r="H100" s="24" t="n">
        <f aca="false">H$21*(0-Planner!$C$43)</f>
        <v>-6.881</v>
      </c>
      <c r="I100" s="24" t="n">
        <f aca="false">I$21*(0-Planner!$C$43)</f>
        <v>-5.7155</v>
      </c>
      <c r="J100" s="24" t="n">
        <f aca="false">J$21*(0-Planner!$C$43)</f>
        <v>-6.5555</v>
      </c>
      <c r="K100" s="24" t="n">
        <f aca="false">K$21*(0-Planner!$C$43)</f>
        <v>-6.51</v>
      </c>
      <c r="L100" s="24" t="n">
        <f aca="false">L$21*(0-Planner!$C$43)</f>
        <v>-4.417</v>
      </c>
      <c r="M100" s="24" t="n">
        <f aca="false">M$21*(0-Planner!$C$43)</f>
        <v>-7.6125</v>
      </c>
      <c r="N100" s="24" t="n">
        <f aca="false">N$21*(0-Planner!$C$43)</f>
        <v>-6.0095</v>
      </c>
      <c r="O100" s="24" t="n">
        <f aca="false">O$21*(0-Planner!$C$43)</f>
        <v>-7.2975</v>
      </c>
      <c r="P100" s="24" t="n">
        <f aca="false">P$21*(0-Planner!$C$43)</f>
        <v>-5.81</v>
      </c>
      <c r="Q100" s="24" t="n">
        <f aca="false">Q$21*(0-Planner!$C$43)</f>
        <v>-7.399</v>
      </c>
      <c r="R100" s="24" t="n">
        <f aca="false">R$21*(0-Planner!$C$43)</f>
        <v>-7.679</v>
      </c>
      <c r="S100" s="24" t="n">
        <f aca="false">S$21*(0-Planner!$C$43)</f>
        <v>-6.972</v>
      </c>
      <c r="T100" s="24" t="n">
        <f aca="false">T$21*(0-Planner!$C$43)</f>
        <v>-6.804</v>
      </c>
      <c r="U100" s="24" t="n">
        <f aca="false">U$21*(0-Planner!$C$43)</f>
        <v>-7.147</v>
      </c>
      <c r="V100" s="24" t="n">
        <f aca="false">V$21*(0-Planner!$C$43)</f>
        <v>-4.7635</v>
      </c>
      <c r="W100" s="24" t="n">
        <f aca="false">W$21*(0-Planner!$C$43)</f>
        <v>-7.028</v>
      </c>
      <c r="X100" s="24" t="n">
        <f aca="false">X$21*(0-Planner!$C$43)</f>
        <v>-4.396</v>
      </c>
      <c r="Y100" s="24" t="n">
        <f aca="false">Y$21*(0-Planner!$C$43)</f>
        <v>-2.1105</v>
      </c>
      <c r="Z100" s="24" t="n">
        <f aca="false">Z$21*(0-Planner!$C$43)</f>
        <v>-7.56</v>
      </c>
      <c r="AA100" s="24" t="n">
        <f aca="false">AA$21*(0-Planner!$C$43)</f>
        <v>-1.659</v>
      </c>
      <c r="AB100" s="24" t="n">
        <f aca="false">AB$21*(0-Planner!$C$43)</f>
        <v>-8.232</v>
      </c>
      <c r="AC100" s="24" t="n">
        <f aca="false">AC$21*(0-Planner!$C$43)</f>
        <v>-1.722</v>
      </c>
      <c r="AD100" s="24" t="n">
        <f aca="false">AD$21*(0-Planner!$C$43)</f>
        <v>-2.5795</v>
      </c>
      <c r="AE100" s="24" t="n">
        <f aca="false">AE$21*(0-Planner!$C$43)</f>
        <v>-7.651</v>
      </c>
      <c r="AF100" s="24" t="n">
        <f aca="false">AF$21*(0-Planner!$C$43)</f>
        <v>-1.827</v>
      </c>
      <c r="AG100" s="24" t="n">
        <f aca="false">AG$21*(0-Planner!$C$43)</f>
        <v>-8.253</v>
      </c>
      <c r="AH100" s="24" t="n">
        <f aca="false">AH$21*(1-Planner!$C$43)</f>
        <v>16.0095</v>
      </c>
      <c r="AI100" s="24" t="n">
        <f aca="false">AI$21*(0-Planner!$C$43)</f>
        <v>-7.511</v>
      </c>
      <c r="AJ100" s="24" t="n">
        <f aca="false">AJ$21*(0-Planner!$C$43)</f>
        <v>-2.6355</v>
      </c>
      <c r="AK100" s="24" t="n">
        <f aca="false">AK$21*(0-Planner!$C$43)</f>
        <v>-7.8155</v>
      </c>
      <c r="AL100" s="24" t="n">
        <f aca="false">AL$21*(0-Planner!$C$43)</f>
        <v>-7.7735</v>
      </c>
      <c r="AM100" s="24" t="n">
        <f aca="false">AM$21*(0-Planner!$C$43)</f>
        <v>-1.61</v>
      </c>
      <c r="AN100" s="24" t="n">
        <f aca="false">AN$21*(0-Planner!$C$43)</f>
        <v>-7.497</v>
      </c>
      <c r="AO100" s="24" t="n">
        <f aca="false">AO$21*(0-Planner!$C$43)</f>
        <v>-3.535</v>
      </c>
      <c r="AP100" s="24" t="n">
        <f aca="false">AP$21*(0-Planner!$C$43)</f>
        <v>-1.155</v>
      </c>
      <c r="AQ100" s="24" t="n">
        <f aca="false">AQ$21*(0-Planner!$C$43)</f>
        <v>-3.5665</v>
      </c>
      <c r="AR100" s="24" t="n">
        <f aca="false">AR$21*(0-Planner!$C$43)</f>
        <v>-0.91</v>
      </c>
      <c r="AS100" s="24" t="n">
        <f aca="false">AS$21*(0-Planner!$C$43)</f>
        <v>-1.1025</v>
      </c>
      <c r="AT100" s="24" t="n">
        <f aca="false">AT$21*(0-Planner!$C$43)</f>
        <v>-6.3455</v>
      </c>
      <c r="AU100" s="24" t="n">
        <f aca="false">AU$21*(0-Planner!$C$43)</f>
        <v>-8.0045</v>
      </c>
      <c r="AV100" s="24" t="n">
        <f aca="false">AV$21*(0-Planner!$C$43)</f>
        <v>-3.6575</v>
      </c>
      <c r="AW100" s="24" t="n">
        <f aca="false">AW$21*(0-Planner!$C$43)</f>
        <v>-8.3125</v>
      </c>
      <c r="AX100" s="24" t="n">
        <f aca="false">AX$21*(0-Planner!$C$43)</f>
        <v>-3.696</v>
      </c>
      <c r="AY100" s="24" t="n">
        <f aca="false">AY$21*(0-Planner!$C$43)</f>
        <v>-2.639</v>
      </c>
      <c r="AZ100" s="24" t="n">
        <f aca="false">AZ$21*(0-Planner!$C$43)</f>
        <v>-4.2315</v>
      </c>
      <c r="BA100" s="24" t="n">
        <f aca="false">BA$21*(0-Planner!$C$43)</f>
        <v>-1.995</v>
      </c>
      <c r="BB100" s="24" t="n">
        <f aca="false">BB$21*(0-Planner!$C$43)</f>
        <v>-2.8035</v>
      </c>
      <c r="BC100" s="24" t="n">
        <f aca="false">BC$21*(0-Planner!$C$43)</f>
        <v>-4.942</v>
      </c>
      <c r="BD100" s="24" t="n">
        <f aca="false">BD$21*(0-Planner!$C$43)</f>
        <v>-4.6025</v>
      </c>
      <c r="BE100" s="24" t="n">
        <f aca="false">BE$21*(0-Planner!$C$43)</f>
        <v>-4.564</v>
      </c>
      <c r="BF100" s="24" t="n">
        <f aca="false">BF$21*(0-Planner!$C$43)</f>
        <v>-3.0975</v>
      </c>
      <c r="BG100" s="24" t="n">
        <f aca="false">BG$21*(0-Planner!$C$43)</f>
        <v>-2.4955</v>
      </c>
      <c r="BH100" s="24" t="n">
        <f aca="false">BH$21*(0-Planner!$C$43)</f>
        <v>-4.3575</v>
      </c>
      <c r="BI100" s="24" t="n">
        <f aca="false">BI$21*(0-Planner!$C$43)</f>
        <v>-4.8545</v>
      </c>
      <c r="BJ100" s="24" t="n">
        <f aca="false">BJ$21*(0-Planner!$C$43)</f>
        <v>-2.6565</v>
      </c>
      <c r="BK100" s="24" t="n">
        <f aca="false">BK$21*(0-Planner!$C$43)</f>
        <v>-0.6825</v>
      </c>
      <c r="BL100" s="24" t="n">
        <f aca="false">BL$21*(0-Planner!$C$43)</f>
        <v>-1.057</v>
      </c>
      <c r="BM100" s="24" t="n">
        <f aca="false">BM$21*(0-Planner!$C$43)</f>
        <v>-0.784</v>
      </c>
      <c r="BN100" s="24" t="n">
        <f aca="false">BN$21*(0-Planner!$C$43)</f>
        <v>-1.0535</v>
      </c>
      <c r="BO100" s="24" t="n">
        <f aca="false">BO$21*(0-Planner!$C$43)</f>
        <v>-1.827</v>
      </c>
      <c r="BP100" s="24" t="n">
        <f aca="false">BP$21*(0-Planner!$C$43)</f>
        <v>-0.7175</v>
      </c>
      <c r="BQ100" s="24" t="n">
        <f aca="false">BQ$21*(0-Planner!$C$43)</f>
        <v>-0.5495</v>
      </c>
      <c r="BR100" s="24" t="n">
        <f aca="false">BR$21*(0-Planner!$C$43)</f>
        <v>-0.091</v>
      </c>
      <c r="BS100" s="24" t="n">
        <f aca="false">BS$21*(0-Planner!$C$43)</f>
        <v>-0.0595</v>
      </c>
      <c r="BT100" s="24" t="n">
        <f aca="false">BT$21*(0-Planner!$C$43)</f>
        <v>-0.3815</v>
      </c>
      <c r="BU100" s="24" t="n">
        <f aca="false">BU$21*(0-Planner!$C$43)</f>
        <v>-0.4865</v>
      </c>
      <c r="BV100" s="24" t="n">
        <f aca="false">BV$21*(0-Planner!$C$43)</f>
        <v>-0.147</v>
      </c>
      <c r="BW100" s="24" t="n">
        <f aca="false">BW$21*(0-Planner!$C$43)</f>
        <v>-0.294</v>
      </c>
      <c r="BX100" s="24" t="n">
        <f aca="false">BX$21*(0-Planner!$C$43)</f>
        <v>-0.371</v>
      </c>
      <c r="BY100" s="24" t="n">
        <f aca="false">BY$21*(0-Planner!$C$43)</f>
        <v>-0.2975</v>
      </c>
      <c r="BZ100" s="24" t="n">
        <f aca="false">BZ$21*(0-Planner!$C$43)</f>
        <v>-0.8575</v>
      </c>
      <c r="CA100" s="24" t="n">
        <f aca="false">CA$21*(0-Planner!$C$43)</f>
        <v>-1.1865</v>
      </c>
      <c r="CB100" s="24" t="n">
        <f aca="false">CB$21*(0-Planner!$C$43)</f>
        <v>-0.0595</v>
      </c>
      <c r="CC100" s="24" t="n">
        <f aca="false">CC$21*(0-Planner!$C$43)</f>
        <v>-0.161</v>
      </c>
      <c r="CD100" s="24" t="n">
        <f aca="false">CD$21*(0-Planner!$C$43)</f>
        <v>-0.2205</v>
      </c>
      <c r="CE100" s="24" t="n">
        <f aca="false">CE$21*(0-Planner!$C$43)</f>
        <v>-0.252</v>
      </c>
      <c r="CF100" s="24" t="n">
        <f aca="false">CF$21*(0-Planner!$C$43)</f>
        <v>-0.189</v>
      </c>
      <c r="CG100" s="24" t="n">
        <f aca="false">CG$21*(0-Planner!$C$43)</f>
        <v>-0.399</v>
      </c>
      <c r="CH100" s="24" t="n">
        <f aca="false">CH$21*(0-Planner!$C$43)</f>
        <v>-0.287</v>
      </c>
      <c r="CI100" s="24" t="n">
        <f aca="false">CI$21*(0-Planner!$C$43)</f>
        <v>-0.371</v>
      </c>
      <c r="CJ100" s="24" t="n">
        <f aca="false">CJ$21*(0-Planner!$C$43)</f>
        <v>-0.238</v>
      </c>
      <c r="CK100" s="24" t="n">
        <f aca="false">CK$21*(0-Planner!$C$43)</f>
        <v>-0.3185</v>
      </c>
      <c r="CL100" s="24" t="n">
        <f aca="false">CL$21*(0-Planner!$C$43)</f>
        <v>-0.1645</v>
      </c>
      <c r="CM100" s="24" t="n">
        <f aca="false">CM$21*(0-Planner!$C$43)</f>
        <v>-0.3185</v>
      </c>
      <c r="CN100" s="24" t="n">
        <f aca="false">CN$21*(0-Planner!$C$43)</f>
        <v>-0.2205</v>
      </c>
      <c r="CO100" s="24" t="n">
        <f aca="false">CO$21*(0-Planner!$C$43)</f>
        <v>-0.126</v>
      </c>
      <c r="CP100" s="24" t="n">
        <f aca="false">CP$21*(0-Planner!$C$43)</f>
        <v>-0.119</v>
      </c>
      <c r="CQ100" s="24" t="n">
        <f aca="false">CQ$21*(0-Planner!$C$43)</f>
        <v>-0.189</v>
      </c>
      <c r="CR100" s="24" t="n">
        <f aca="false">CR$21*(0-Planner!$C$43)</f>
        <v>-0.147</v>
      </c>
      <c r="CS100" s="24" t="n">
        <f aca="false">CS$21*(0-Planner!$C$43)</f>
        <v>-0.245</v>
      </c>
      <c r="CT100" s="24" t="n">
        <f aca="false">CT$21*(0-Planner!$C$43)</f>
        <v>-0.763</v>
      </c>
      <c r="CU100" s="24" t="n">
        <f aca="false">CU$21*(0-Planner!$C$43)</f>
        <v>-1.0745</v>
      </c>
      <c r="CV100" s="24" t="n">
        <f aca="false">CV$21*(0-Planner!$C$43)</f>
        <v>-0.42</v>
      </c>
      <c r="CW100" s="24" t="n">
        <f aca="false">CW$21*(0-Planner!$C$43)</f>
        <v>-0.2345</v>
      </c>
      <c r="CX100" s="24" t="n">
        <f aca="false">CX$21*(0-Planner!$C$43)</f>
        <v>-0.1505</v>
      </c>
      <c r="CY100" s="24" t="n">
        <f aca="false">CY$21*(0-Planner!$C$43)</f>
        <v>-0.2135</v>
      </c>
      <c r="CZ100" s="24" t="n">
        <f aca="false">CZ$21*(0-Planner!$C$43)</f>
        <v>-0.28</v>
      </c>
      <c r="DA100" s="24" t="n">
        <f aca="false">DA$21*(0-Planner!$C$43)</f>
        <v>-0.77</v>
      </c>
      <c r="DB100" s="24" t="n">
        <f aca="false">DB$21*(0-Planner!$C$43)</f>
        <v>-0.224</v>
      </c>
      <c r="DC100" s="24" t="n">
        <f aca="false">DC$21*(0-Planner!$C$43)</f>
        <v>-0.2555</v>
      </c>
      <c r="DD100" s="24" t="n">
        <f aca="false">DD$21*(0-Planner!$C$43)</f>
        <v>-1.071</v>
      </c>
      <c r="DE100" s="24" t="n">
        <f aca="false">DE$21*(0-Planner!$C$43)</f>
        <v>-1.323</v>
      </c>
      <c r="DF100" s="24" t="n">
        <f aca="false">DF$21*(0-Planner!$C$43)</f>
        <v>-0.35</v>
      </c>
      <c r="DG100" s="24" t="n">
        <f aca="false">DG$21*(0-Planner!$C$43)</f>
        <v>-0.448</v>
      </c>
      <c r="DH100" s="24" t="n">
        <f aca="false">DH$21*(0-Planner!$C$43)</f>
        <v>-0.5005</v>
      </c>
      <c r="DI100" s="24" t="n">
        <f aca="false">DI$21*(0-Planner!$C$43)</f>
        <v>-0.3255</v>
      </c>
      <c r="DJ100" s="24" t="n">
        <f aca="false">DJ$21*(0-Planner!$C$43)</f>
        <v>-0.203</v>
      </c>
      <c r="DK100" s="24" t="n">
        <f aca="false">DK$21*(0-Planner!$C$43)</f>
        <v>-0.273</v>
      </c>
      <c r="DL100" s="24" t="n">
        <f aca="false">DL$21*(0-Planner!$C$43)</f>
        <v>-0.7035</v>
      </c>
      <c r="DM100" s="24" t="n">
        <f aca="false">DM$21*(0-Planner!$C$43)</f>
        <v>-0.2415</v>
      </c>
      <c r="DN100" s="24" t="n">
        <f aca="false">DN$21*(0-Planner!$C$43)</f>
        <v>-1.057</v>
      </c>
      <c r="DO100" s="24" t="n">
        <f aca="false">DO$21*(0-Planner!$C$43)</f>
        <v>-0.9415</v>
      </c>
      <c r="DP100" s="24" t="n">
        <f aca="false">DP$21*(0-Planner!$C$43)</f>
        <v>-0.2275</v>
      </c>
      <c r="DQ100" s="24" t="n">
        <f aca="false">DQ$21*(0-Planner!$C$43)</f>
        <v>-0.252</v>
      </c>
      <c r="DR100" s="24" t="n">
        <f aca="false">DR$21*(0-Planner!$C$43)</f>
        <v>-0.6265</v>
      </c>
      <c r="DS100" s="24" t="n">
        <f aca="false">DS$21*(0-Planner!$C$43)</f>
        <v>-0.301</v>
      </c>
      <c r="DT100" s="24" t="n">
        <f aca="false">DT$21*(0-Planner!$C$43)</f>
        <v>-0.315</v>
      </c>
      <c r="DU100" s="24" t="n">
        <f aca="false">DU$21*(0-Planner!$C$43)</f>
        <v>-0.931</v>
      </c>
      <c r="DV100" s="24" t="n">
        <f aca="false">DV$21*(0-Planner!$C$43)</f>
        <v>-1.1655</v>
      </c>
      <c r="DW100" s="24" t="n">
        <f aca="false">DW$21*(0-Planner!$C$43)</f>
        <v>-1.0815</v>
      </c>
      <c r="DX100" s="24" t="n">
        <f aca="false">DX$21*(0-Planner!$C$43)</f>
        <v>-0.8715</v>
      </c>
      <c r="DY100" s="24" t="n">
        <f aca="false">DY$21*(0-Planner!$C$43)</f>
        <v>-0.5915</v>
      </c>
      <c r="DZ100" s="24" t="n">
        <f aca="false">DZ$21*(0-Planner!$C$43)</f>
        <v>-0.385</v>
      </c>
      <c r="EA100" s="24" t="n">
        <f aca="false">EA$21*(0-Planner!$C$43)</f>
        <v>-0.385</v>
      </c>
      <c r="EB100" s="24" t="n">
        <f aca="false">EB$21*(0-Planner!$C$43)</f>
        <v>-0.238</v>
      </c>
      <c r="EC100" s="24" t="n">
        <f aca="false">EC$21*(0-Planner!$C$43)</f>
        <v>-0.3465</v>
      </c>
      <c r="ED100" s="24" t="n">
        <f aca="false">ED$21*(0-Planner!$C$43)</f>
        <v>-0.4305</v>
      </c>
      <c r="EE100" s="24" t="n">
        <f aca="false">EE$21*(0-Planner!$C$43)</f>
        <v>-0.3185</v>
      </c>
      <c r="EF100" s="24" t="n">
        <f aca="false">EF$21*(0-Planner!$C$43)</f>
        <v>-0.7385</v>
      </c>
      <c r="EG100" s="24" t="n">
        <f aca="false">EG$21*(0-Planner!$C$43)</f>
        <v>-1.001</v>
      </c>
      <c r="EH100" s="24" t="n">
        <f aca="false">EH$21*(0-Planner!$C$43)</f>
        <v>-1.2705</v>
      </c>
      <c r="EI100" s="24" t="n">
        <f aca="false">EI$21*(0-Planner!$C$43)</f>
        <v>-0.2765</v>
      </c>
      <c r="EJ100" s="24" t="n">
        <f aca="false">EJ$21*(0-Planner!$C$43)</f>
        <v>-0.308</v>
      </c>
      <c r="EK100" s="24" t="n">
        <f aca="false">EK$21*(0-Planner!$C$43)</f>
        <v>-0.8645</v>
      </c>
      <c r="EL100" s="24" t="n">
        <f aca="false">EL$21*(0-Planner!$C$43)</f>
        <v>-0.4235</v>
      </c>
      <c r="EM100" s="24" t="n">
        <f aca="false">EM$21*(0-Planner!$C$43)</f>
        <v>-0.2975</v>
      </c>
      <c r="EN100" s="24" t="n">
        <f aca="false">EN$21*(0-Planner!$C$43)</f>
        <v>-0</v>
      </c>
      <c r="EO100" s="24" t="n">
        <f aca="false">EO$21*(0-Planner!$C$43)</f>
        <v>-0</v>
      </c>
      <c r="EP100" s="24" t="n">
        <f aca="false">EP$21*(0-Planner!$C$43)</f>
        <v>-7.4025</v>
      </c>
      <c r="EQ100" s="24" t="n">
        <f aca="false">EQ$21*(0-Planner!$C$43)</f>
        <v>-0.686</v>
      </c>
      <c r="ER100" s="24" t="n">
        <f aca="false">ER$21*(0-Planner!$C$43)</f>
        <v>-1.785</v>
      </c>
      <c r="ES100" s="24" t="n">
        <f aca="false">ES$21*(0-Planner!$C$43)</f>
        <v>-1.9775</v>
      </c>
      <c r="ET100" s="24" t="n">
        <f aca="false">ET$21*(0-Planner!$C$43)</f>
        <v>-2.2365</v>
      </c>
      <c r="EU100" s="24" t="n">
        <f aca="false">EU$21*(0-Planner!$C$43)</f>
        <v>-1.225</v>
      </c>
    </row>
    <row r="101" customFormat="false" ht="15" hidden="false" customHeight="false" outlineLevel="0" collapsed="false">
      <c r="A101" s="4" t="s">
        <v>1041</v>
      </c>
      <c r="B101" s="75" t="s">
        <v>1017</v>
      </c>
      <c r="C101" s="78" t="n">
        <v>0</v>
      </c>
      <c r="D101" s="77" t="n">
        <v>-39.199999997333</v>
      </c>
      <c r="E101" s="75" t="str">
        <f aca="false">IF(D101&lt;=C101+0.000001*MAX(1,ABS(C101)),IF(ABS(D101-C101)&lt;=0.000001*MAX(1,ABS(C101)),"tight","ok"),"VIOLATED")</f>
        <v>ok</v>
      </c>
      <c r="F101" s="24" t="n">
        <f aca="false">F$21*(0-Planner!$C$43)</f>
        <v>-7.875</v>
      </c>
      <c r="G101" s="24" t="n">
        <f aca="false">G$21*(0-Planner!$C$43)</f>
        <v>-6.328</v>
      </c>
      <c r="H101" s="24" t="n">
        <f aca="false">H$21*(0-Planner!$C$43)</f>
        <v>-6.881</v>
      </c>
      <c r="I101" s="24" t="n">
        <f aca="false">I$21*(0-Planner!$C$43)</f>
        <v>-5.7155</v>
      </c>
      <c r="J101" s="24" t="n">
        <f aca="false">J$21*(0-Planner!$C$43)</f>
        <v>-6.5555</v>
      </c>
      <c r="K101" s="24" t="n">
        <f aca="false">K$21*(0-Planner!$C$43)</f>
        <v>-6.51</v>
      </c>
      <c r="L101" s="24" t="n">
        <f aca="false">L$21*(0-Planner!$C$43)</f>
        <v>-4.417</v>
      </c>
      <c r="M101" s="24" t="n">
        <f aca="false">M$21*(0-Planner!$C$43)</f>
        <v>-7.6125</v>
      </c>
      <c r="N101" s="24" t="n">
        <f aca="false">N$21*(0-Planner!$C$43)</f>
        <v>-6.0095</v>
      </c>
      <c r="O101" s="24" t="n">
        <f aca="false">O$21*(0-Planner!$C$43)</f>
        <v>-7.2975</v>
      </c>
      <c r="P101" s="24" t="n">
        <f aca="false">P$21*(0-Planner!$C$43)</f>
        <v>-5.81</v>
      </c>
      <c r="Q101" s="24" t="n">
        <f aca="false">Q$21*(0-Planner!$C$43)</f>
        <v>-7.399</v>
      </c>
      <c r="R101" s="24" t="n">
        <f aca="false">R$21*(0-Planner!$C$43)</f>
        <v>-7.679</v>
      </c>
      <c r="S101" s="24" t="n">
        <f aca="false">S$21*(0-Planner!$C$43)</f>
        <v>-6.972</v>
      </c>
      <c r="T101" s="24" t="n">
        <f aca="false">T$21*(0-Planner!$C$43)</f>
        <v>-6.804</v>
      </c>
      <c r="U101" s="24" t="n">
        <f aca="false">U$21*(0-Planner!$C$43)</f>
        <v>-7.147</v>
      </c>
      <c r="V101" s="24" t="n">
        <f aca="false">V$21*(0-Planner!$C$43)</f>
        <v>-4.7635</v>
      </c>
      <c r="W101" s="24" t="n">
        <f aca="false">W$21*(0-Planner!$C$43)</f>
        <v>-7.028</v>
      </c>
      <c r="X101" s="24" t="n">
        <f aca="false">X$21*(0-Planner!$C$43)</f>
        <v>-4.396</v>
      </c>
      <c r="Y101" s="24" t="n">
        <f aca="false">Y$21*(0-Planner!$C$43)</f>
        <v>-2.1105</v>
      </c>
      <c r="Z101" s="24" t="n">
        <f aca="false">Z$21*(0-Planner!$C$43)</f>
        <v>-7.56</v>
      </c>
      <c r="AA101" s="24" t="n">
        <f aca="false">AA$21*(0-Planner!$C$43)</f>
        <v>-1.659</v>
      </c>
      <c r="AB101" s="24" t="n">
        <f aca="false">AB$21*(0-Planner!$C$43)</f>
        <v>-8.232</v>
      </c>
      <c r="AC101" s="24" t="n">
        <f aca="false">AC$21*(0-Planner!$C$43)</f>
        <v>-1.722</v>
      </c>
      <c r="AD101" s="24" t="n">
        <f aca="false">AD$21*(0-Planner!$C$43)</f>
        <v>-2.5795</v>
      </c>
      <c r="AE101" s="24" t="n">
        <f aca="false">AE$21*(0-Planner!$C$43)</f>
        <v>-7.651</v>
      </c>
      <c r="AF101" s="24" t="n">
        <f aca="false">AF$21*(0-Planner!$C$43)</f>
        <v>-1.827</v>
      </c>
      <c r="AG101" s="24" t="n">
        <f aca="false">AG$21*(0-Planner!$C$43)</f>
        <v>-8.253</v>
      </c>
      <c r="AH101" s="24" t="n">
        <f aca="false">AH$21*(0-Planner!$C$43)</f>
        <v>-8.6205</v>
      </c>
      <c r="AI101" s="24" t="n">
        <f aca="false">AI$21*(1-Planner!$C$43)</f>
        <v>13.949</v>
      </c>
      <c r="AJ101" s="24" t="n">
        <f aca="false">AJ$21*(0-Planner!$C$43)</f>
        <v>-2.6355</v>
      </c>
      <c r="AK101" s="24" t="n">
        <f aca="false">AK$21*(0-Planner!$C$43)</f>
        <v>-7.8155</v>
      </c>
      <c r="AL101" s="24" t="n">
        <f aca="false">AL$21*(0-Planner!$C$43)</f>
        <v>-7.7735</v>
      </c>
      <c r="AM101" s="24" t="n">
        <f aca="false">AM$21*(0-Planner!$C$43)</f>
        <v>-1.61</v>
      </c>
      <c r="AN101" s="24" t="n">
        <f aca="false">AN$21*(0-Planner!$C$43)</f>
        <v>-7.497</v>
      </c>
      <c r="AO101" s="24" t="n">
        <f aca="false">AO$21*(0-Planner!$C$43)</f>
        <v>-3.535</v>
      </c>
      <c r="AP101" s="24" t="n">
        <f aca="false">AP$21*(0-Planner!$C$43)</f>
        <v>-1.155</v>
      </c>
      <c r="AQ101" s="24" t="n">
        <f aca="false">AQ$21*(0-Planner!$C$43)</f>
        <v>-3.5665</v>
      </c>
      <c r="AR101" s="24" t="n">
        <f aca="false">AR$21*(0-Planner!$C$43)</f>
        <v>-0.91</v>
      </c>
      <c r="AS101" s="24" t="n">
        <f aca="false">AS$21*(0-Planner!$C$43)</f>
        <v>-1.1025</v>
      </c>
      <c r="AT101" s="24" t="n">
        <f aca="false">AT$21*(0-Planner!$C$43)</f>
        <v>-6.3455</v>
      </c>
      <c r="AU101" s="24" t="n">
        <f aca="false">AU$21*(0-Planner!$C$43)</f>
        <v>-8.0045</v>
      </c>
      <c r="AV101" s="24" t="n">
        <f aca="false">AV$21*(0-Planner!$C$43)</f>
        <v>-3.6575</v>
      </c>
      <c r="AW101" s="24" t="n">
        <f aca="false">AW$21*(0-Planner!$C$43)</f>
        <v>-8.3125</v>
      </c>
      <c r="AX101" s="24" t="n">
        <f aca="false">AX$21*(0-Planner!$C$43)</f>
        <v>-3.696</v>
      </c>
      <c r="AY101" s="24" t="n">
        <f aca="false">AY$21*(0-Planner!$C$43)</f>
        <v>-2.639</v>
      </c>
      <c r="AZ101" s="24" t="n">
        <f aca="false">AZ$21*(0-Planner!$C$43)</f>
        <v>-4.2315</v>
      </c>
      <c r="BA101" s="24" t="n">
        <f aca="false">BA$21*(0-Planner!$C$43)</f>
        <v>-1.995</v>
      </c>
      <c r="BB101" s="24" t="n">
        <f aca="false">BB$21*(0-Planner!$C$43)</f>
        <v>-2.8035</v>
      </c>
      <c r="BC101" s="24" t="n">
        <f aca="false">BC$21*(0-Planner!$C$43)</f>
        <v>-4.942</v>
      </c>
      <c r="BD101" s="24" t="n">
        <f aca="false">BD$21*(0-Planner!$C$43)</f>
        <v>-4.6025</v>
      </c>
      <c r="BE101" s="24" t="n">
        <f aca="false">BE$21*(0-Planner!$C$43)</f>
        <v>-4.564</v>
      </c>
      <c r="BF101" s="24" t="n">
        <f aca="false">BF$21*(0-Planner!$C$43)</f>
        <v>-3.0975</v>
      </c>
      <c r="BG101" s="24" t="n">
        <f aca="false">BG$21*(0-Planner!$C$43)</f>
        <v>-2.4955</v>
      </c>
      <c r="BH101" s="24" t="n">
        <f aca="false">BH$21*(0-Planner!$C$43)</f>
        <v>-4.3575</v>
      </c>
      <c r="BI101" s="24" t="n">
        <f aca="false">BI$21*(0-Planner!$C$43)</f>
        <v>-4.8545</v>
      </c>
      <c r="BJ101" s="24" t="n">
        <f aca="false">BJ$21*(0-Planner!$C$43)</f>
        <v>-2.6565</v>
      </c>
      <c r="BK101" s="24" t="n">
        <f aca="false">BK$21*(0-Planner!$C$43)</f>
        <v>-0.6825</v>
      </c>
      <c r="BL101" s="24" t="n">
        <f aca="false">BL$21*(0-Planner!$C$43)</f>
        <v>-1.057</v>
      </c>
      <c r="BM101" s="24" t="n">
        <f aca="false">BM$21*(0-Planner!$C$43)</f>
        <v>-0.784</v>
      </c>
      <c r="BN101" s="24" t="n">
        <f aca="false">BN$21*(0-Planner!$C$43)</f>
        <v>-1.0535</v>
      </c>
      <c r="BO101" s="24" t="n">
        <f aca="false">BO$21*(0-Planner!$C$43)</f>
        <v>-1.827</v>
      </c>
      <c r="BP101" s="24" t="n">
        <f aca="false">BP$21*(0-Planner!$C$43)</f>
        <v>-0.7175</v>
      </c>
      <c r="BQ101" s="24" t="n">
        <f aca="false">BQ$21*(0-Planner!$C$43)</f>
        <v>-0.5495</v>
      </c>
      <c r="BR101" s="24" t="n">
        <f aca="false">BR$21*(0-Planner!$C$43)</f>
        <v>-0.091</v>
      </c>
      <c r="BS101" s="24" t="n">
        <f aca="false">BS$21*(0-Planner!$C$43)</f>
        <v>-0.0595</v>
      </c>
      <c r="BT101" s="24" t="n">
        <f aca="false">BT$21*(0-Planner!$C$43)</f>
        <v>-0.3815</v>
      </c>
      <c r="BU101" s="24" t="n">
        <f aca="false">BU$21*(0-Planner!$C$43)</f>
        <v>-0.4865</v>
      </c>
      <c r="BV101" s="24" t="n">
        <f aca="false">BV$21*(0-Planner!$C$43)</f>
        <v>-0.147</v>
      </c>
      <c r="BW101" s="24" t="n">
        <f aca="false">BW$21*(0-Planner!$C$43)</f>
        <v>-0.294</v>
      </c>
      <c r="BX101" s="24" t="n">
        <f aca="false">BX$21*(0-Planner!$C$43)</f>
        <v>-0.371</v>
      </c>
      <c r="BY101" s="24" t="n">
        <f aca="false">BY$21*(0-Planner!$C$43)</f>
        <v>-0.2975</v>
      </c>
      <c r="BZ101" s="24" t="n">
        <f aca="false">BZ$21*(0-Planner!$C$43)</f>
        <v>-0.8575</v>
      </c>
      <c r="CA101" s="24" t="n">
        <f aca="false">CA$21*(0-Planner!$C$43)</f>
        <v>-1.1865</v>
      </c>
      <c r="CB101" s="24" t="n">
        <f aca="false">CB$21*(0-Planner!$C$43)</f>
        <v>-0.0595</v>
      </c>
      <c r="CC101" s="24" t="n">
        <f aca="false">CC$21*(0-Planner!$C$43)</f>
        <v>-0.161</v>
      </c>
      <c r="CD101" s="24" t="n">
        <f aca="false">CD$21*(0-Planner!$C$43)</f>
        <v>-0.2205</v>
      </c>
      <c r="CE101" s="24" t="n">
        <f aca="false">CE$21*(0-Planner!$C$43)</f>
        <v>-0.252</v>
      </c>
      <c r="CF101" s="24" t="n">
        <f aca="false">CF$21*(0-Planner!$C$43)</f>
        <v>-0.189</v>
      </c>
      <c r="CG101" s="24" t="n">
        <f aca="false">CG$21*(0-Planner!$C$43)</f>
        <v>-0.399</v>
      </c>
      <c r="CH101" s="24" t="n">
        <f aca="false">CH$21*(0-Planner!$C$43)</f>
        <v>-0.287</v>
      </c>
      <c r="CI101" s="24" t="n">
        <f aca="false">CI$21*(0-Planner!$C$43)</f>
        <v>-0.371</v>
      </c>
      <c r="CJ101" s="24" t="n">
        <f aca="false">CJ$21*(0-Planner!$C$43)</f>
        <v>-0.238</v>
      </c>
      <c r="CK101" s="24" t="n">
        <f aca="false">CK$21*(0-Planner!$C$43)</f>
        <v>-0.3185</v>
      </c>
      <c r="CL101" s="24" t="n">
        <f aca="false">CL$21*(0-Planner!$C$43)</f>
        <v>-0.1645</v>
      </c>
      <c r="CM101" s="24" t="n">
        <f aca="false">CM$21*(0-Planner!$C$43)</f>
        <v>-0.3185</v>
      </c>
      <c r="CN101" s="24" t="n">
        <f aca="false">CN$21*(0-Planner!$C$43)</f>
        <v>-0.2205</v>
      </c>
      <c r="CO101" s="24" t="n">
        <f aca="false">CO$21*(0-Planner!$C$43)</f>
        <v>-0.126</v>
      </c>
      <c r="CP101" s="24" t="n">
        <f aca="false">CP$21*(0-Planner!$C$43)</f>
        <v>-0.119</v>
      </c>
      <c r="CQ101" s="24" t="n">
        <f aca="false">CQ$21*(0-Planner!$C$43)</f>
        <v>-0.189</v>
      </c>
      <c r="CR101" s="24" t="n">
        <f aca="false">CR$21*(0-Planner!$C$43)</f>
        <v>-0.147</v>
      </c>
      <c r="CS101" s="24" t="n">
        <f aca="false">CS$21*(0-Planner!$C$43)</f>
        <v>-0.245</v>
      </c>
      <c r="CT101" s="24" t="n">
        <f aca="false">CT$21*(0-Planner!$C$43)</f>
        <v>-0.763</v>
      </c>
      <c r="CU101" s="24" t="n">
        <f aca="false">CU$21*(0-Planner!$C$43)</f>
        <v>-1.0745</v>
      </c>
      <c r="CV101" s="24" t="n">
        <f aca="false">CV$21*(0-Planner!$C$43)</f>
        <v>-0.42</v>
      </c>
      <c r="CW101" s="24" t="n">
        <f aca="false">CW$21*(0-Planner!$C$43)</f>
        <v>-0.2345</v>
      </c>
      <c r="CX101" s="24" t="n">
        <f aca="false">CX$21*(0-Planner!$C$43)</f>
        <v>-0.1505</v>
      </c>
      <c r="CY101" s="24" t="n">
        <f aca="false">CY$21*(0-Planner!$C$43)</f>
        <v>-0.2135</v>
      </c>
      <c r="CZ101" s="24" t="n">
        <f aca="false">CZ$21*(0-Planner!$C$43)</f>
        <v>-0.28</v>
      </c>
      <c r="DA101" s="24" t="n">
        <f aca="false">DA$21*(0-Planner!$C$43)</f>
        <v>-0.77</v>
      </c>
      <c r="DB101" s="24" t="n">
        <f aca="false">DB$21*(0-Planner!$C$43)</f>
        <v>-0.224</v>
      </c>
      <c r="DC101" s="24" t="n">
        <f aca="false">DC$21*(0-Planner!$C$43)</f>
        <v>-0.2555</v>
      </c>
      <c r="DD101" s="24" t="n">
        <f aca="false">DD$21*(0-Planner!$C$43)</f>
        <v>-1.071</v>
      </c>
      <c r="DE101" s="24" t="n">
        <f aca="false">DE$21*(0-Planner!$C$43)</f>
        <v>-1.323</v>
      </c>
      <c r="DF101" s="24" t="n">
        <f aca="false">DF$21*(0-Planner!$C$43)</f>
        <v>-0.35</v>
      </c>
      <c r="DG101" s="24" t="n">
        <f aca="false">DG$21*(0-Planner!$C$43)</f>
        <v>-0.448</v>
      </c>
      <c r="DH101" s="24" t="n">
        <f aca="false">DH$21*(0-Planner!$C$43)</f>
        <v>-0.5005</v>
      </c>
      <c r="DI101" s="24" t="n">
        <f aca="false">DI$21*(0-Planner!$C$43)</f>
        <v>-0.3255</v>
      </c>
      <c r="DJ101" s="24" t="n">
        <f aca="false">DJ$21*(0-Planner!$C$43)</f>
        <v>-0.203</v>
      </c>
      <c r="DK101" s="24" t="n">
        <f aca="false">DK$21*(0-Planner!$C$43)</f>
        <v>-0.273</v>
      </c>
      <c r="DL101" s="24" t="n">
        <f aca="false">DL$21*(0-Planner!$C$43)</f>
        <v>-0.7035</v>
      </c>
      <c r="DM101" s="24" t="n">
        <f aca="false">DM$21*(0-Planner!$C$43)</f>
        <v>-0.2415</v>
      </c>
      <c r="DN101" s="24" t="n">
        <f aca="false">DN$21*(0-Planner!$C$43)</f>
        <v>-1.057</v>
      </c>
      <c r="DO101" s="24" t="n">
        <f aca="false">DO$21*(0-Planner!$C$43)</f>
        <v>-0.9415</v>
      </c>
      <c r="DP101" s="24" t="n">
        <f aca="false">DP$21*(0-Planner!$C$43)</f>
        <v>-0.2275</v>
      </c>
      <c r="DQ101" s="24" t="n">
        <f aca="false">DQ$21*(0-Planner!$C$43)</f>
        <v>-0.252</v>
      </c>
      <c r="DR101" s="24" t="n">
        <f aca="false">DR$21*(0-Planner!$C$43)</f>
        <v>-0.6265</v>
      </c>
      <c r="DS101" s="24" t="n">
        <f aca="false">DS$21*(0-Planner!$C$43)</f>
        <v>-0.301</v>
      </c>
      <c r="DT101" s="24" t="n">
        <f aca="false">DT$21*(0-Planner!$C$43)</f>
        <v>-0.315</v>
      </c>
      <c r="DU101" s="24" t="n">
        <f aca="false">DU$21*(0-Planner!$C$43)</f>
        <v>-0.931</v>
      </c>
      <c r="DV101" s="24" t="n">
        <f aca="false">DV$21*(0-Planner!$C$43)</f>
        <v>-1.1655</v>
      </c>
      <c r="DW101" s="24" t="n">
        <f aca="false">DW$21*(0-Planner!$C$43)</f>
        <v>-1.0815</v>
      </c>
      <c r="DX101" s="24" t="n">
        <f aca="false">DX$21*(0-Planner!$C$43)</f>
        <v>-0.8715</v>
      </c>
      <c r="DY101" s="24" t="n">
        <f aca="false">DY$21*(0-Planner!$C$43)</f>
        <v>-0.5915</v>
      </c>
      <c r="DZ101" s="24" t="n">
        <f aca="false">DZ$21*(0-Planner!$C$43)</f>
        <v>-0.385</v>
      </c>
      <c r="EA101" s="24" t="n">
        <f aca="false">EA$21*(0-Planner!$C$43)</f>
        <v>-0.385</v>
      </c>
      <c r="EB101" s="24" t="n">
        <f aca="false">EB$21*(0-Planner!$C$43)</f>
        <v>-0.238</v>
      </c>
      <c r="EC101" s="24" t="n">
        <f aca="false">EC$21*(0-Planner!$C$43)</f>
        <v>-0.3465</v>
      </c>
      <c r="ED101" s="24" t="n">
        <f aca="false">ED$21*(0-Planner!$C$43)</f>
        <v>-0.4305</v>
      </c>
      <c r="EE101" s="24" t="n">
        <f aca="false">EE$21*(0-Planner!$C$43)</f>
        <v>-0.3185</v>
      </c>
      <c r="EF101" s="24" t="n">
        <f aca="false">EF$21*(0-Planner!$C$43)</f>
        <v>-0.7385</v>
      </c>
      <c r="EG101" s="24" t="n">
        <f aca="false">EG$21*(0-Planner!$C$43)</f>
        <v>-1.001</v>
      </c>
      <c r="EH101" s="24" t="n">
        <f aca="false">EH$21*(0-Planner!$C$43)</f>
        <v>-1.2705</v>
      </c>
      <c r="EI101" s="24" t="n">
        <f aca="false">EI$21*(0-Planner!$C$43)</f>
        <v>-0.2765</v>
      </c>
      <c r="EJ101" s="24" t="n">
        <f aca="false">EJ$21*(0-Planner!$C$43)</f>
        <v>-0.308</v>
      </c>
      <c r="EK101" s="24" t="n">
        <f aca="false">EK$21*(0-Planner!$C$43)</f>
        <v>-0.8645</v>
      </c>
      <c r="EL101" s="24" t="n">
        <f aca="false">EL$21*(0-Planner!$C$43)</f>
        <v>-0.4235</v>
      </c>
      <c r="EM101" s="24" t="n">
        <f aca="false">EM$21*(0-Planner!$C$43)</f>
        <v>-0.2975</v>
      </c>
      <c r="EN101" s="24" t="n">
        <f aca="false">EN$21*(0-Planner!$C$43)</f>
        <v>-0</v>
      </c>
      <c r="EO101" s="24" t="n">
        <f aca="false">EO$21*(0-Planner!$C$43)</f>
        <v>-0</v>
      </c>
      <c r="EP101" s="24" t="n">
        <f aca="false">EP$21*(0-Planner!$C$43)</f>
        <v>-7.4025</v>
      </c>
      <c r="EQ101" s="24" t="n">
        <f aca="false">EQ$21*(0-Planner!$C$43)</f>
        <v>-0.686</v>
      </c>
      <c r="ER101" s="24" t="n">
        <f aca="false">ER$21*(0-Planner!$C$43)</f>
        <v>-1.785</v>
      </c>
      <c r="ES101" s="24" t="n">
        <f aca="false">ES$21*(0-Planner!$C$43)</f>
        <v>-1.9775</v>
      </c>
      <c r="ET101" s="24" t="n">
        <f aca="false">ET$21*(0-Planner!$C$43)</f>
        <v>-2.2365</v>
      </c>
      <c r="EU101" s="24" t="n">
        <f aca="false">EU$21*(0-Planner!$C$43)</f>
        <v>-1.225</v>
      </c>
    </row>
    <row r="102" customFormat="false" ht="15" hidden="false" customHeight="false" outlineLevel="0" collapsed="false">
      <c r="A102" s="4" t="s">
        <v>1042</v>
      </c>
      <c r="B102" s="75" t="s">
        <v>1017</v>
      </c>
      <c r="C102" s="78" t="n">
        <v>0</v>
      </c>
      <c r="D102" s="77" t="n">
        <v>-39.199999997333</v>
      </c>
      <c r="E102" s="75" t="str">
        <f aca="false">IF(D102&lt;=C102+0.000001*MAX(1,ABS(C102)),IF(ABS(D102-C102)&lt;=0.000001*MAX(1,ABS(C102)),"tight","ok"),"VIOLATED")</f>
        <v>ok</v>
      </c>
      <c r="F102" s="24" t="n">
        <f aca="false">F$21*(0-Planner!$C$43)</f>
        <v>-7.875</v>
      </c>
      <c r="G102" s="24" t="n">
        <f aca="false">G$21*(0-Planner!$C$43)</f>
        <v>-6.328</v>
      </c>
      <c r="H102" s="24" t="n">
        <f aca="false">H$21*(0-Planner!$C$43)</f>
        <v>-6.881</v>
      </c>
      <c r="I102" s="24" t="n">
        <f aca="false">I$21*(0-Planner!$C$43)</f>
        <v>-5.7155</v>
      </c>
      <c r="J102" s="24" t="n">
        <f aca="false">J$21*(0-Planner!$C$43)</f>
        <v>-6.5555</v>
      </c>
      <c r="K102" s="24" t="n">
        <f aca="false">K$21*(0-Planner!$C$43)</f>
        <v>-6.51</v>
      </c>
      <c r="L102" s="24" t="n">
        <f aca="false">L$21*(0-Planner!$C$43)</f>
        <v>-4.417</v>
      </c>
      <c r="M102" s="24" t="n">
        <f aca="false">M$21*(0-Planner!$C$43)</f>
        <v>-7.6125</v>
      </c>
      <c r="N102" s="24" t="n">
        <f aca="false">N$21*(0-Planner!$C$43)</f>
        <v>-6.0095</v>
      </c>
      <c r="O102" s="24" t="n">
        <f aca="false">O$21*(0-Planner!$C$43)</f>
        <v>-7.2975</v>
      </c>
      <c r="P102" s="24" t="n">
        <f aca="false">P$21*(0-Planner!$C$43)</f>
        <v>-5.81</v>
      </c>
      <c r="Q102" s="24" t="n">
        <f aca="false">Q$21*(0-Planner!$C$43)</f>
        <v>-7.399</v>
      </c>
      <c r="R102" s="24" t="n">
        <f aca="false">R$21*(0-Planner!$C$43)</f>
        <v>-7.679</v>
      </c>
      <c r="S102" s="24" t="n">
        <f aca="false">S$21*(0-Planner!$C$43)</f>
        <v>-6.972</v>
      </c>
      <c r="T102" s="24" t="n">
        <f aca="false">T$21*(0-Planner!$C$43)</f>
        <v>-6.804</v>
      </c>
      <c r="U102" s="24" t="n">
        <f aca="false">U$21*(0-Planner!$C$43)</f>
        <v>-7.147</v>
      </c>
      <c r="V102" s="24" t="n">
        <f aca="false">V$21*(0-Planner!$C$43)</f>
        <v>-4.7635</v>
      </c>
      <c r="W102" s="24" t="n">
        <f aca="false">W$21*(0-Planner!$C$43)</f>
        <v>-7.028</v>
      </c>
      <c r="X102" s="24" t="n">
        <f aca="false">X$21*(0-Planner!$C$43)</f>
        <v>-4.396</v>
      </c>
      <c r="Y102" s="24" t="n">
        <f aca="false">Y$21*(0-Planner!$C$43)</f>
        <v>-2.1105</v>
      </c>
      <c r="Z102" s="24" t="n">
        <f aca="false">Z$21*(0-Planner!$C$43)</f>
        <v>-7.56</v>
      </c>
      <c r="AA102" s="24" t="n">
        <f aca="false">AA$21*(0-Planner!$C$43)</f>
        <v>-1.659</v>
      </c>
      <c r="AB102" s="24" t="n">
        <f aca="false">AB$21*(0-Planner!$C$43)</f>
        <v>-8.232</v>
      </c>
      <c r="AC102" s="24" t="n">
        <f aca="false">AC$21*(0-Planner!$C$43)</f>
        <v>-1.722</v>
      </c>
      <c r="AD102" s="24" t="n">
        <f aca="false">AD$21*(0-Planner!$C$43)</f>
        <v>-2.5795</v>
      </c>
      <c r="AE102" s="24" t="n">
        <f aca="false">AE$21*(0-Planner!$C$43)</f>
        <v>-7.651</v>
      </c>
      <c r="AF102" s="24" t="n">
        <f aca="false">AF$21*(0-Planner!$C$43)</f>
        <v>-1.827</v>
      </c>
      <c r="AG102" s="24" t="n">
        <f aca="false">AG$21*(0-Planner!$C$43)</f>
        <v>-8.253</v>
      </c>
      <c r="AH102" s="24" t="n">
        <f aca="false">AH$21*(0-Planner!$C$43)</f>
        <v>-8.6205</v>
      </c>
      <c r="AI102" s="24" t="n">
        <f aca="false">AI$21*(0-Planner!$C$43)</f>
        <v>-7.511</v>
      </c>
      <c r="AJ102" s="24" t="n">
        <f aca="false">AJ$21*(0-Planner!$C$43)</f>
        <v>-2.6355</v>
      </c>
      <c r="AK102" s="24" t="n">
        <f aca="false">AK$21*(1-Planner!$C$43)</f>
        <v>14.5145</v>
      </c>
      <c r="AL102" s="24" t="n">
        <f aca="false">AL$21*(0-Planner!$C$43)</f>
        <v>-7.7735</v>
      </c>
      <c r="AM102" s="24" t="n">
        <f aca="false">AM$21*(0-Planner!$C$43)</f>
        <v>-1.61</v>
      </c>
      <c r="AN102" s="24" t="n">
        <f aca="false">AN$21*(0-Planner!$C$43)</f>
        <v>-7.497</v>
      </c>
      <c r="AO102" s="24" t="n">
        <f aca="false">AO$21*(0-Planner!$C$43)</f>
        <v>-3.535</v>
      </c>
      <c r="AP102" s="24" t="n">
        <f aca="false">AP$21*(0-Planner!$C$43)</f>
        <v>-1.155</v>
      </c>
      <c r="AQ102" s="24" t="n">
        <f aca="false">AQ$21*(0-Planner!$C$43)</f>
        <v>-3.5665</v>
      </c>
      <c r="AR102" s="24" t="n">
        <f aca="false">AR$21*(0-Planner!$C$43)</f>
        <v>-0.91</v>
      </c>
      <c r="AS102" s="24" t="n">
        <f aca="false">AS$21*(0-Planner!$C$43)</f>
        <v>-1.1025</v>
      </c>
      <c r="AT102" s="24" t="n">
        <f aca="false">AT$21*(0-Planner!$C$43)</f>
        <v>-6.3455</v>
      </c>
      <c r="AU102" s="24" t="n">
        <f aca="false">AU$21*(0-Planner!$C$43)</f>
        <v>-8.0045</v>
      </c>
      <c r="AV102" s="24" t="n">
        <f aca="false">AV$21*(0-Planner!$C$43)</f>
        <v>-3.6575</v>
      </c>
      <c r="AW102" s="24" t="n">
        <f aca="false">AW$21*(0-Planner!$C$43)</f>
        <v>-8.3125</v>
      </c>
      <c r="AX102" s="24" t="n">
        <f aca="false">AX$21*(0-Planner!$C$43)</f>
        <v>-3.696</v>
      </c>
      <c r="AY102" s="24" t="n">
        <f aca="false">AY$21*(0-Planner!$C$43)</f>
        <v>-2.639</v>
      </c>
      <c r="AZ102" s="24" t="n">
        <f aca="false">AZ$21*(0-Planner!$C$43)</f>
        <v>-4.2315</v>
      </c>
      <c r="BA102" s="24" t="n">
        <f aca="false">BA$21*(0-Planner!$C$43)</f>
        <v>-1.995</v>
      </c>
      <c r="BB102" s="24" t="n">
        <f aca="false">BB$21*(0-Planner!$C$43)</f>
        <v>-2.8035</v>
      </c>
      <c r="BC102" s="24" t="n">
        <f aca="false">BC$21*(0-Planner!$C$43)</f>
        <v>-4.942</v>
      </c>
      <c r="BD102" s="24" t="n">
        <f aca="false">BD$21*(0-Planner!$C$43)</f>
        <v>-4.6025</v>
      </c>
      <c r="BE102" s="24" t="n">
        <f aca="false">BE$21*(0-Planner!$C$43)</f>
        <v>-4.564</v>
      </c>
      <c r="BF102" s="24" t="n">
        <f aca="false">BF$21*(0-Planner!$C$43)</f>
        <v>-3.0975</v>
      </c>
      <c r="BG102" s="24" t="n">
        <f aca="false">BG$21*(0-Planner!$C$43)</f>
        <v>-2.4955</v>
      </c>
      <c r="BH102" s="24" t="n">
        <f aca="false">BH$21*(0-Planner!$C$43)</f>
        <v>-4.3575</v>
      </c>
      <c r="BI102" s="24" t="n">
        <f aca="false">BI$21*(0-Planner!$C$43)</f>
        <v>-4.8545</v>
      </c>
      <c r="BJ102" s="24" t="n">
        <f aca="false">BJ$21*(0-Planner!$C$43)</f>
        <v>-2.6565</v>
      </c>
      <c r="BK102" s="24" t="n">
        <f aca="false">BK$21*(0-Planner!$C$43)</f>
        <v>-0.6825</v>
      </c>
      <c r="BL102" s="24" t="n">
        <f aca="false">BL$21*(0-Planner!$C$43)</f>
        <v>-1.057</v>
      </c>
      <c r="BM102" s="24" t="n">
        <f aca="false">BM$21*(0-Planner!$C$43)</f>
        <v>-0.784</v>
      </c>
      <c r="BN102" s="24" t="n">
        <f aca="false">BN$21*(0-Planner!$C$43)</f>
        <v>-1.0535</v>
      </c>
      <c r="BO102" s="24" t="n">
        <f aca="false">BO$21*(0-Planner!$C$43)</f>
        <v>-1.827</v>
      </c>
      <c r="BP102" s="24" t="n">
        <f aca="false">BP$21*(0-Planner!$C$43)</f>
        <v>-0.7175</v>
      </c>
      <c r="BQ102" s="24" t="n">
        <f aca="false">BQ$21*(0-Planner!$C$43)</f>
        <v>-0.5495</v>
      </c>
      <c r="BR102" s="24" t="n">
        <f aca="false">BR$21*(0-Planner!$C$43)</f>
        <v>-0.091</v>
      </c>
      <c r="BS102" s="24" t="n">
        <f aca="false">BS$21*(0-Planner!$C$43)</f>
        <v>-0.0595</v>
      </c>
      <c r="BT102" s="24" t="n">
        <f aca="false">BT$21*(0-Planner!$C$43)</f>
        <v>-0.3815</v>
      </c>
      <c r="BU102" s="24" t="n">
        <f aca="false">BU$21*(0-Planner!$C$43)</f>
        <v>-0.4865</v>
      </c>
      <c r="BV102" s="24" t="n">
        <f aca="false">BV$21*(0-Planner!$C$43)</f>
        <v>-0.147</v>
      </c>
      <c r="BW102" s="24" t="n">
        <f aca="false">BW$21*(0-Planner!$C$43)</f>
        <v>-0.294</v>
      </c>
      <c r="BX102" s="24" t="n">
        <f aca="false">BX$21*(0-Planner!$C$43)</f>
        <v>-0.371</v>
      </c>
      <c r="BY102" s="24" t="n">
        <f aca="false">BY$21*(0-Planner!$C$43)</f>
        <v>-0.2975</v>
      </c>
      <c r="BZ102" s="24" t="n">
        <f aca="false">BZ$21*(0-Planner!$C$43)</f>
        <v>-0.8575</v>
      </c>
      <c r="CA102" s="24" t="n">
        <f aca="false">CA$21*(0-Planner!$C$43)</f>
        <v>-1.1865</v>
      </c>
      <c r="CB102" s="24" t="n">
        <f aca="false">CB$21*(0-Planner!$C$43)</f>
        <v>-0.0595</v>
      </c>
      <c r="CC102" s="24" t="n">
        <f aca="false">CC$21*(0-Planner!$C$43)</f>
        <v>-0.161</v>
      </c>
      <c r="CD102" s="24" t="n">
        <f aca="false">CD$21*(0-Planner!$C$43)</f>
        <v>-0.2205</v>
      </c>
      <c r="CE102" s="24" t="n">
        <f aca="false">CE$21*(0-Planner!$C$43)</f>
        <v>-0.252</v>
      </c>
      <c r="CF102" s="24" t="n">
        <f aca="false">CF$21*(0-Planner!$C$43)</f>
        <v>-0.189</v>
      </c>
      <c r="CG102" s="24" t="n">
        <f aca="false">CG$21*(0-Planner!$C$43)</f>
        <v>-0.399</v>
      </c>
      <c r="CH102" s="24" t="n">
        <f aca="false">CH$21*(0-Planner!$C$43)</f>
        <v>-0.287</v>
      </c>
      <c r="CI102" s="24" t="n">
        <f aca="false">CI$21*(0-Planner!$C$43)</f>
        <v>-0.371</v>
      </c>
      <c r="CJ102" s="24" t="n">
        <f aca="false">CJ$21*(0-Planner!$C$43)</f>
        <v>-0.238</v>
      </c>
      <c r="CK102" s="24" t="n">
        <f aca="false">CK$21*(0-Planner!$C$43)</f>
        <v>-0.3185</v>
      </c>
      <c r="CL102" s="24" t="n">
        <f aca="false">CL$21*(0-Planner!$C$43)</f>
        <v>-0.1645</v>
      </c>
      <c r="CM102" s="24" t="n">
        <f aca="false">CM$21*(0-Planner!$C$43)</f>
        <v>-0.3185</v>
      </c>
      <c r="CN102" s="24" t="n">
        <f aca="false">CN$21*(0-Planner!$C$43)</f>
        <v>-0.2205</v>
      </c>
      <c r="CO102" s="24" t="n">
        <f aca="false">CO$21*(0-Planner!$C$43)</f>
        <v>-0.126</v>
      </c>
      <c r="CP102" s="24" t="n">
        <f aca="false">CP$21*(0-Planner!$C$43)</f>
        <v>-0.119</v>
      </c>
      <c r="CQ102" s="24" t="n">
        <f aca="false">CQ$21*(0-Planner!$C$43)</f>
        <v>-0.189</v>
      </c>
      <c r="CR102" s="24" t="n">
        <f aca="false">CR$21*(0-Planner!$C$43)</f>
        <v>-0.147</v>
      </c>
      <c r="CS102" s="24" t="n">
        <f aca="false">CS$21*(0-Planner!$C$43)</f>
        <v>-0.245</v>
      </c>
      <c r="CT102" s="24" t="n">
        <f aca="false">CT$21*(0-Planner!$C$43)</f>
        <v>-0.763</v>
      </c>
      <c r="CU102" s="24" t="n">
        <f aca="false">CU$21*(0-Planner!$C$43)</f>
        <v>-1.0745</v>
      </c>
      <c r="CV102" s="24" t="n">
        <f aca="false">CV$21*(0-Planner!$C$43)</f>
        <v>-0.42</v>
      </c>
      <c r="CW102" s="24" t="n">
        <f aca="false">CW$21*(0-Planner!$C$43)</f>
        <v>-0.2345</v>
      </c>
      <c r="CX102" s="24" t="n">
        <f aca="false">CX$21*(0-Planner!$C$43)</f>
        <v>-0.1505</v>
      </c>
      <c r="CY102" s="24" t="n">
        <f aca="false">CY$21*(0-Planner!$C$43)</f>
        <v>-0.2135</v>
      </c>
      <c r="CZ102" s="24" t="n">
        <f aca="false">CZ$21*(0-Planner!$C$43)</f>
        <v>-0.28</v>
      </c>
      <c r="DA102" s="24" t="n">
        <f aca="false">DA$21*(0-Planner!$C$43)</f>
        <v>-0.77</v>
      </c>
      <c r="DB102" s="24" t="n">
        <f aca="false">DB$21*(0-Planner!$C$43)</f>
        <v>-0.224</v>
      </c>
      <c r="DC102" s="24" t="n">
        <f aca="false">DC$21*(0-Planner!$C$43)</f>
        <v>-0.2555</v>
      </c>
      <c r="DD102" s="24" t="n">
        <f aca="false">DD$21*(0-Planner!$C$43)</f>
        <v>-1.071</v>
      </c>
      <c r="DE102" s="24" t="n">
        <f aca="false">DE$21*(0-Planner!$C$43)</f>
        <v>-1.323</v>
      </c>
      <c r="DF102" s="24" t="n">
        <f aca="false">DF$21*(0-Planner!$C$43)</f>
        <v>-0.35</v>
      </c>
      <c r="DG102" s="24" t="n">
        <f aca="false">DG$21*(0-Planner!$C$43)</f>
        <v>-0.448</v>
      </c>
      <c r="DH102" s="24" t="n">
        <f aca="false">DH$21*(0-Planner!$C$43)</f>
        <v>-0.5005</v>
      </c>
      <c r="DI102" s="24" t="n">
        <f aca="false">DI$21*(0-Planner!$C$43)</f>
        <v>-0.3255</v>
      </c>
      <c r="DJ102" s="24" t="n">
        <f aca="false">DJ$21*(0-Planner!$C$43)</f>
        <v>-0.203</v>
      </c>
      <c r="DK102" s="24" t="n">
        <f aca="false">DK$21*(0-Planner!$C$43)</f>
        <v>-0.273</v>
      </c>
      <c r="DL102" s="24" t="n">
        <f aca="false">DL$21*(0-Planner!$C$43)</f>
        <v>-0.7035</v>
      </c>
      <c r="DM102" s="24" t="n">
        <f aca="false">DM$21*(0-Planner!$C$43)</f>
        <v>-0.2415</v>
      </c>
      <c r="DN102" s="24" t="n">
        <f aca="false">DN$21*(0-Planner!$C$43)</f>
        <v>-1.057</v>
      </c>
      <c r="DO102" s="24" t="n">
        <f aca="false">DO$21*(0-Planner!$C$43)</f>
        <v>-0.9415</v>
      </c>
      <c r="DP102" s="24" t="n">
        <f aca="false">DP$21*(0-Planner!$C$43)</f>
        <v>-0.2275</v>
      </c>
      <c r="DQ102" s="24" t="n">
        <f aca="false">DQ$21*(0-Planner!$C$43)</f>
        <v>-0.252</v>
      </c>
      <c r="DR102" s="24" t="n">
        <f aca="false">DR$21*(0-Planner!$C$43)</f>
        <v>-0.6265</v>
      </c>
      <c r="DS102" s="24" t="n">
        <f aca="false">DS$21*(0-Planner!$C$43)</f>
        <v>-0.301</v>
      </c>
      <c r="DT102" s="24" t="n">
        <f aca="false">DT$21*(0-Planner!$C$43)</f>
        <v>-0.315</v>
      </c>
      <c r="DU102" s="24" t="n">
        <f aca="false">DU$21*(0-Planner!$C$43)</f>
        <v>-0.931</v>
      </c>
      <c r="DV102" s="24" t="n">
        <f aca="false">DV$21*(0-Planner!$C$43)</f>
        <v>-1.1655</v>
      </c>
      <c r="DW102" s="24" t="n">
        <f aca="false">DW$21*(0-Planner!$C$43)</f>
        <v>-1.0815</v>
      </c>
      <c r="DX102" s="24" t="n">
        <f aca="false">DX$21*(0-Planner!$C$43)</f>
        <v>-0.8715</v>
      </c>
      <c r="DY102" s="24" t="n">
        <f aca="false">DY$21*(0-Planner!$C$43)</f>
        <v>-0.5915</v>
      </c>
      <c r="DZ102" s="24" t="n">
        <f aca="false">DZ$21*(0-Planner!$C$43)</f>
        <v>-0.385</v>
      </c>
      <c r="EA102" s="24" t="n">
        <f aca="false">EA$21*(0-Planner!$C$43)</f>
        <v>-0.385</v>
      </c>
      <c r="EB102" s="24" t="n">
        <f aca="false">EB$21*(0-Planner!$C$43)</f>
        <v>-0.238</v>
      </c>
      <c r="EC102" s="24" t="n">
        <f aca="false">EC$21*(0-Planner!$C$43)</f>
        <v>-0.3465</v>
      </c>
      <c r="ED102" s="24" t="n">
        <f aca="false">ED$21*(0-Planner!$C$43)</f>
        <v>-0.4305</v>
      </c>
      <c r="EE102" s="24" t="n">
        <f aca="false">EE$21*(0-Planner!$C$43)</f>
        <v>-0.3185</v>
      </c>
      <c r="EF102" s="24" t="n">
        <f aca="false">EF$21*(0-Planner!$C$43)</f>
        <v>-0.7385</v>
      </c>
      <c r="EG102" s="24" t="n">
        <f aca="false">EG$21*(0-Planner!$C$43)</f>
        <v>-1.001</v>
      </c>
      <c r="EH102" s="24" t="n">
        <f aca="false">EH$21*(0-Planner!$C$43)</f>
        <v>-1.2705</v>
      </c>
      <c r="EI102" s="24" t="n">
        <f aca="false">EI$21*(0-Planner!$C$43)</f>
        <v>-0.2765</v>
      </c>
      <c r="EJ102" s="24" t="n">
        <f aca="false">EJ$21*(0-Planner!$C$43)</f>
        <v>-0.308</v>
      </c>
      <c r="EK102" s="24" t="n">
        <f aca="false">EK$21*(0-Planner!$C$43)</f>
        <v>-0.8645</v>
      </c>
      <c r="EL102" s="24" t="n">
        <f aca="false">EL$21*(0-Planner!$C$43)</f>
        <v>-0.4235</v>
      </c>
      <c r="EM102" s="24" t="n">
        <f aca="false">EM$21*(0-Planner!$C$43)</f>
        <v>-0.2975</v>
      </c>
      <c r="EN102" s="24" t="n">
        <f aca="false">EN$21*(0-Planner!$C$43)</f>
        <v>-0</v>
      </c>
      <c r="EO102" s="24" t="n">
        <f aca="false">EO$21*(0-Planner!$C$43)</f>
        <v>-0</v>
      </c>
      <c r="EP102" s="24" t="n">
        <f aca="false">EP$21*(0-Planner!$C$43)</f>
        <v>-7.4025</v>
      </c>
      <c r="EQ102" s="24" t="n">
        <f aca="false">EQ$21*(0-Planner!$C$43)</f>
        <v>-0.686</v>
      </c>
      <c r="ER102" s="24" t="n">
        <f aca="false">ER$21*(0-Planner!$C$43)</f>
        <v>-1.785</v>
      </c>
      <c r="ES102" s="24" t="n">
        <f aca="false">ES$21*(0-Planner!$C$43)</f>
        <v>-1.9775</v>
      </c>
      <c r="ET102" s="24" t="n">
        <f aca="false">ET$21*(0-Planner!$C$43)</f>
        <v>-2.2365</v>
      </c>
      <c r="EU102" s="24" t="n">
        <f aca="false">EU$21*(0-Planner!$C$43)</f>
        <v>-1.225</v>
      </c>
    </row>
    <row r="103" customFormat="false" ht="15" hidden="false" customHeight="false" outlineLevel="0" collapsed="false">
      <c r="A103" s="4" t="s">
        <v>1043</v>
      </c>
      <c r="B103" s="75" t="s">
        <v>1017</v>
      </c>
      <c r="C103" s="78" t="n">
        <v>0</v>
      </c>
      <c r="D103" s="77" t="n">
        <v>-24.985599997333</v>
      </c>
      <c r="E103" s="75" t="str">
        <f aca="false">IF(D103&lt;=C103+0.000001*MAX(1,ABS(C103)),IF(ABS(D103-C103)&lt;=0.000001*MAX(1,ABS(C103)),"tight","ok"),"VIOLATED")</f>
        <v>ok</v>
      </c>
      <c r="F103" s="24" t="n">
        <f aca="false">F$21*(0-Planner!$C$43)</f>
        <v>-7.875</v>
      </c>
      <c r="G103" s="24" t="n">
        <f aca="false">G$21*(0-Planner!$C$43)</f>
        <v>-6.328</v>
      </c>
      <c r="H103" s="24" t="n">
        <f aca="false">H$21*(0-Planner!$C$43)</f>
        <v>-6.881</v>
      </c>
      <c r="I103" s="24" t="n">
        <f aca="false">I$21*(0-Planner!$C$43)</f>
        <v>-5.7155</v>
      </c>
      <c r="J103" s="24" t="n">
        <f aca="false">J$21*(0-Planner!$C$43)</f>
        <v>-6.5555</v>
      </c>
      <c r="K103" s="24" t="n">
        <f aca="false">K$21*(0-Planner!$C$43)</f>
        <v>-6.51</v>
      </c>
      <c r="L103" s="24" t="n">
        <f aca="false">L$21*(0-Planner!$C$43)</f>
        <v>-4.417</v>
      </c>
      <c r="M103" s="24" t="n">
        <f aca="false">M$21*(0-Planner!$C$43)</f>
        <v>-7.6125</v>
      </c>
      <c r="N103" s="24" t="n">
        <f aca="false">N$21*(0-Planner!$C$43)</f>
        <v>-6.0095</v>
      </c>
      <c r="O103" s="24" t="n">
        <f aca="false">O$21*(0-Planner!$C$43)</f>
        <v>-7.2975</v>
      </c>
      <c r="P103" s="24" t="n">
        <f aca="false">P$21*(0-Planner!$C$43)</f>
        <v>-5.81</v>
      </c>
      <c r="Q103" s="24" t="n">
        <f aca="false">Q$21*(0-Planner!$C$43)</f>
        <v>-7.399</v>
      </c>
      <c r="R103" s="24" t="n">
        <f aca="false">R$21*(0-Planner!$C$43)</f>
        <v>-7.679</v>
      </c>
      <c r="S103" s="24" t="n">
        <f aca="false">S$21*(0-Planner!$C$43)</f>
        <v>-6.972</v>
      </c>
      <c r="T103" s="24" t="n">
        <f aca="false">T$21*(0-Planner!$C$43)</f>
        <v>-6.804</v>
      </c>
      <c r="U103" s="24" t="n">
        <f aca="false">U$21*(0-Planner!$C$43)</f>
        <v>-7.147</v>
      </c>
      <c r="V103" s="24" t="n">
        <f aca="false">V$21*(0-Planner!$C$43)</f>
        <v>-4.7635</v>
      </c>
      <c r="W103" s="24" t="n">
        <f aca="false">W$21*(0-Planner!$C$43)</f>
        <v>-7.028</v>
      </c>
      <c r="X103" s="24" t="n">
        <f aca="false">X$21*(0-Planner!$C$43)</f>
        <v>-4.396</v>
      </c>
      <c r="Y103" s="24" t="n">
        <f aca="false">Y$21*(0-Planner!$C$43)</f>
        <v>-2.1105</v>
      </c>
      <c r="Z103" s="24" t="n">
        <f aca="false">Z$21*(0-Planner!$C$43)</f>
        <v>-7.56</v>
      </c>
      <c r="AA103" s="24" t="n">
        <f aca="false">AA$21*(0-Planner!$C$43)</f>
        <v>-1.659</v>
      </c>
      <c r="AB103" s="24" t="n">
        <f aca="false">AB$21*(0-Planner!$C$43)</f>
        <v>-8.232</v>
      </c>
      <c r="AC103" s="24" t="n">
        <f aca="false">AC$21*(0-Planner!$C$43)</f>
        <v>-1.722</v>
      </c>
      <c r="AD103" s="24" t="n">
        <f aca="false">AD$21*(0-Planner!$C$43)</f>
        <v>-2.5795</v>
      </c>
      <c r="AE103" s="24" t="n">
        <f aca="false">AE$21*(0-Planner!$C$43)</f>
        <v>-7.651</v>
      </c>
      <c r="AF103" s="24" t="n">
        <f aca="false">AF$21*(0-Planner!$C$43)</f>
        <v>-1.827</v>
      </c>
      <c r="AG103" s="24" t="n">
        <f aca="false">AG$21*(0-Planner!$C$43)</f>
        <v>-8.253</v>
      </c>
      <c r="AH103" s="24" t="n">
        <f aca="false">AH$21*(0-Planner!$C$43)</f>
        <v>-8.6205</v>
      </c>
      <c r="AI103" s="24" t="n">
        <f aca="false">AI$21*(0-Planner!$C$43)</f>
        <v>-7.511</v>
      </c>
      <c r="AJ103" s="24" t="n">
        <f aca="false">AJ$21*(0-Planner!$C$43)</f>
        <v>-2.6355</v>
      </c>
      <c r="AK103" s="24" t="n">
        <f aca="false">AK$21*(0-Planner!$C$43)</f>
        <v>-7.8155</v>
      </c>
      <c r="AL103" s="24" t="n">
        <f aca="false">AL$21*(1-Planner!$C$43)</f>
        <v>14.4365</v>
      </c>
      <c r="AM103" s="24" t="n">
        <f aca="false">AM$21*(0-Planner!$C$43)</f>
        <v>-1.61</v>
      </c>
      <c r="AN103" s="24" t="n">
        <f aca="false">AN$21*(0-Planner!$C$43)</f>
        <v>-7.497</v>
      </c>
      <c r="AO103" s="24" t="n">
        <f aca="false">AO$21*(0-Planner!$C$43)</f>
        <v>-3.535</v>
      </c>
      <c r="AP103" s="24" t="n">
        <f aca="false">AP$21*(0-Planner!$C$43)</f>
        <v>-1.155</v>
      </c>
      <c r="AQ103" s="24" t="n">
        <f aca="false">AQ$21*(0-Planner!$C$43)</f>
        <v>-3.5665</v>
      </c>
      <c r="AR103" s="24" t="n">
        <f aca="false">AR$21*(0-Planner!$C$43)</f>
        <v>-0.91</v>
      </c>
      <c r="AS103" s="24" t="n">
        <f aca="false">AS$21*(0-Planner!$C$43)</f>
        <v>-1.1025</v>
      </c>
      <c r="AT103" s="24" t="n">
        <f aca="false">AT$21*(0-Planner!$C$43)</f>
        <v>-6.3455</v>
      </c>
      <c r="AU103" s="24" t="n">
        <f aca="false">AU$21*(0-Planner!$C$43)</f>
        <v>-8.0045</v>
      </c>
      <c r="AV103" s="24" t="n">
        <f aca="false">AV$21*(0-Planner!$C$43)</f>
        <v>-3.6575</v>
      </c>
      <c r="AW103" s="24" t="n">
        <f aca="false">AW$21*(0-Planner!$C$43)</f>
        <v>-8.3125</v>
      </c>
      <c r="AX103" s="24" t="n">
        <f aca="false">AX$21*(0-Planner!$C$43)</f>
        <v>-3.696</v>
      </c>
      <c r="AY103" s="24" t="n">
        <f aca="false">AY$21*(0-Planner!$C$43)</f>
        <v>-2.639</v>
      </c>
      <c r="AZ103" s="24" t="n">
        <f aca="false">AZ$21*(0-Planner!$C$43)</f>
        <v>-4.2315</v>
      </c>
      <c r="BA103" s="24" t="n">
        <f aca="false">BA$21*(0-Planner!$C$43)</f>
        <v>-1.995</v>
      </c>
      <c r="BB103" s="24" t="n">
        <f aca="false">BB$21*(0-Planner!$C$43)</f>
        <v>-2.8035</v>
      </c>
      <c r="BC103" s="24" t="n">
        <f aca="false">BC$21*(0-Planner!$C$43)</f>
        <v>-4.942</v>
      </c>
      <c r="BD103" s="24" t="n">
        <f aca="false">BD$21*(0-Planner!$C$43)</f>
        <v>-4.6025</v>
      </c>
      <c r="BE103" s="24" t="n">
        <f aca="false">BE$21*(0-Planner!$C$43)</f>
        <v>-4.564</v>
      </c>
      <c r="BF103" s="24" t="n">
        <f aca="false">BF$21*(0-Planner!$C$43)</f>
        <v>-3.0975</v>
      </c>
      <c r="BG103" s="24" t="n">
        <f aca="false">BG$21*(0-Planner!$C$43)</f>
        <v>-2.4955</v>
      </c>
      <c r="BH103" s="24" t="n">
        <f aca="false">BH$21*(0-Planner!$C$43)</f>
        <v>-4.3575</v>
      </c>
      <c r="BI103" s="24" t="n">
        <f aca="false">BI$21*(0-Planner!$C$43)</f>
        <v>-4.8545</v>
      </c>
      <c r="BJ103" s="24" t="n">
        <f aca="false">BJ$21*(0-Planner!$C$43)</f>
        <v>-2.6565</v>
      </c>
      <c r="BK103" s="24" t="n">
        <f aca="false">BK$21*(0-Planner!$C$43)</f>
        <v>-0.6825</v>
      </c>
      <c r="BL103" s="24" t="n">
        <f aca="false">BL$21*(0-Planner!$C$43)</f>
        <v>-1.057</v>
      </c>
      <c r="BM103" s="24" t="n">
        <f aca="false">BM$21*(0-Planner!$C$43)</f>
        <v>-0.784</v>
      </c>
      <c r="BN103" s="24" t="n">
        <f aca="false">BN$21*(0-Planner!$C$43)</f>
        <v>-1.0535</v>
      </c>
      <c r="BO103" s="24" t="n">
        <f aca="false">BO$21*(0-Planner!$C$43)</f>
        <v>-1.827</v>
      </c>
      <c r="BP103" s="24" t="n">
        <f aca="false">BP$21*(0-Planner!$C$43)</f>
        <v>-0.7175</v>
      </c>
      <c r="BQ103" s="24" t="n">
        <f aca="false">BQ$21*(0-Planner!$C$43)</f>
        <v>-0.5495</v>
      </c>
      <c r="BR103" s="24" t="n">
        <f aca="false">BR$21*(0-Planner!$C$43)</f>
        <v>-0.091</v>
      </c>
      <c r="BS103" s="24" t="n">
        <f aca="false">BS$21*(0-Planner!$C$43)</f>
        <v>-0.0595</v>
      </c>
      <c r="BT103" s="24" t="n">
        <f aca="false">BT$21*(0-Planner!$C$43)</f>
        <v>-0.3815</v>
      </c>
      <c r="BU103" s="24" t="n">
        <f aca="false">BU$21*(0-Planner!$C$43)</f>
        <v>-0.4865</v>
      </c>
      <c r="BV103" s="24" t="n">
        <f aca="false">BV$21*(0-Planner!$C$43)</f>
        <v>-0.147</v>
      </c>
      <c r="BW103" s="24" t="n">
        <f aca="false">BW$21*(0-Planner!$C$43)</f>
        <v>-0.294</v>
      </c>
      <c r="BX103" s="24" t="n">
        <f aca="false">BX$21*(0-Planner!$C$43)</f>
        <v>-0.371</v>
      </c>
      <c r="BY103" s="24" t="n">
        <f aca="false">BY$21*(0-Planner!$C$43)</f>
        <v>-0.2975</v>
      </c>
      <c r="BZ103" s="24" t="n">
        <f aca="false">BZ$21*(0-Planner!$C$43)</f>
        <v>-0.8575</v>
      </c>
      <c r="CA103" s="24" t="n">
        <f aca="false">CA$21*(0-Planner!$C$43)</f>
        <v>-1.1865</v>
      </c>
      <c r="CB103" s="24" t="n">
        <f aca="false">CB$21*(0-Planner!$C$43)</f>
        <v>-0.0595</v>
      </c>
      <c r="CC103" s="24" t="n">
        <f aca="false">CC$21*(0-Planner!$C$43)</f>
        <v>-0.161</v>
      </c>
      <c r="CD103" s="24" t="n">
        <f aca="false">CD$21*(0-Planner!$C$43)</f>
        <v>-0.2205</v>
      </c>
      <c r="CE103" s="24" t="n">
        <f aca="false">CE$21*(0-Planner!$C$43)</f>
        <v>-0.252</v>
      </c>
      <c r="CF103" s="24" t="n">
        <f aca="false">CF$21*(0-Planner!$C$43)</f>
        <v>-0.189</v>
      </c>
      <c r="CG103" s="24" t="n">
        <f aca="false">CG$21*(0-Planner!$C$43)</f>
        <v>-0.399</v>
      </c>
      <c r="CH103" s="24" t="n">
        <f aca="false">CH$21*(0-Planner!$C$43)</f>
        <v>-0.287</v>
      </c>
      <c r="CI103" s="24" t="n">
        <f aca="false">CI$21*(0-Planner!$C$43)</f>
        <v>-0.371</v>
      </c>
      <c r="CJ103" s="24" t="n">
        <f aca="false">CJ$21*(0-Planner!$C$43)</f>
        <v>-0.238</v>
      </c>
      <c r="CK103" s="24" t="n">
        <f aca="false">CK$21*(0-Planner!$C$43)</f>
        <v>-0.3185</v>
      </c>
      <c r="CL103" s="24" t="n">
        <f aca="false">CL$21*(0-Planner!$C$43)</f>
        <v>-0.1645</v>
      </c>
      <c r="CM103" s="24" t="n">
        <f aca="false">CM$21*(0-Planner!$C$43)</f>
        <v>-0.3185</v>
      </c>
      <c r="CN103" s="24" t="n">
        <f aca="false">CN$21*(0-Planner!$C$43)</f>
        <v>-0.2205</v>
      </c>
      <c r="CO103" s="24" t="n">
        <f aca="false">CO$21*(0-Planner!$C$43)</f>
        <v>-0.126</v>
      </c>
      <c r="CP103" s="24" t="n">
        <f aca="false">CP$21*(0-Planner!$C$43)</f>
        <v>-0.119</v>
      </c>
      <c r="CQ103" s="24" t="n">
        <f aca="false">CQ$21*(0-Planner!$C$43)</f>
        <v>-0.189</v>
      </c>
      <c r="CR103" s="24" t="n">
        <f aca="false">CR$21*(0-Planner!$C$43)</f>
        <v>-0.147</v>
      </c>
      <c r="CS103" s="24" t="n">
        <f aca="false">CS$21*(0-Planner!$C$43)</f>
        <v>-0.245</v>
      </c>
      <c r="CT103" s="24" t="n">
        <f aca="false">CT$21*(0-Planner!$C$43)</f>
        <v>-0.763</v>
      </c>
      <c r="CU103" s="24" t="n">
        <f aca="false">CU$21*(0-Planner!$C$43)</f>
        <v>-1.0745</v>
      </c>
      <c r="CV103" s="24" t="n">
        <f aca="false">CV$21*(0-Planner!$C$43)</f>
        <v>-0.42</v>
      </c>
      <c r="CW103" s="24" t="n">
        <f aca="false">CW$21*(0-Planner!$C$43)</f>
        <v>-0.2345</v>
      </c>
      <c r="CX103" s="24" t="n">
        <f aca="false">CX$21*(0-Planner!$C$43)</f>
        <v>-0.1505</v>
      </c>
      <c r="CY103" s="24" t="n">
        <f aca="false">CY$21*(0-Planner!$C$43)</f>
        <v>-0.2135</v>
      </c>
      <c r="CZ103" s="24" t="n">
        <f aca="false">CZ$21*(0-Planner!$C$43)</f>
        <v>-0.28</v>
      </c>
      <c r="DA103" s="24" t="n">
        <f aca="false">DA$21*(0-Planner!$C$43)</f>
        <v>-0.77</v>
      </c>
      <c r="DB103" s="24" t="n">
        <f aca="false">DB$21*(0-Planner!$C$43)</f>
        <v>-0.224</v>
      </c>
      <c r="DC103" s="24" t="n">
        <f aca="false">DC$21*(0-Planner!$C$43)</f>
        <v>-0.2555</v>
      </c>
      <c r="DD103" s="24" t="n">
        <f aca="false">DD$21*(0-Planner!$C$43)</f>
        <v>-1.071</v>
      </c>
      <c r="DE103" s="24" t="n">
        <f aca="false">DE$21*(0-Planner!$C$43)</f>
        <v>-1.323</v>
      </c>
      <c r="DF103" s="24" t="n">
        <f aca="false">DF$21*(0-Planner!$C$43)</f>
        <v>-0.35</v>
      </c>
      <c r="DG103" s="24" t="n">
        <f aca="false">DG$21*(0-Planner!$C$43)</f>
        <v>-0.448</v>
      </c>
      <c r="DH103" s="24" t="n">
        <f aca="false">DH$21*(0-Planner!$C$43)</f>
        <v>-0.5005</v>
      </c>
      <c r="DI103" s="24" t="n">
        <f aca="false">DI$21*(0-Planner!$C$43)</f>
        <v>-0.3255</v>
      </c>
      <c r="DJ103" s="24" t="n">
        <f aca="false">DJ$21*(0-Planner!$C$43)</f>
        <v>-0.203</v>
      </c>
      <c r="DK103" s="24" t="n">
        <f aca="false">DK$21*(0-Planner!$C$43)</f>
        <v>-0.273</v>
      </c>
      <c r="DL103" s="24" t="n">
        <f aca="false">DL$21*(0-Planner!$C$43)</f>
        <v>-0.7035</v>
      </c>
      <c r="DM103" s="24" t="n">
        <f aca="false">DM$21*(0-Planner!$C$43)</f>
        <v>-0.2415</v>
      </c>
      <c r="DN103" s="24" t="n">
        <f aca="false">DN$21*(0-Planner!$C$43)</f>
        <v>-1.057</v>
      </c>
      <c r="DO103" s="24" t="n">
        <f aca="false">DO$21*(0-Planner!$C$43)</f>
        <v>-0.9415</v>
      </c>
      <c r="DP103" s="24" t="n">
        <f aca="false">DP$21*(0-Planner!$C$43)</f>
        <v>-0.2275</v>
      </c>
      <c r="DQ103" s="24" t="n">
        <f aca="false">DQ$21*(0-Planner!$C$43)</f>
        <v>-0.252</v>
      </c>
      <c r="DR103" s="24" t="n">
        <f aca="false">DR$21*(0-Planner!$C$43)</f>
        <v>-0.6265</v>
      </c>
      <c r="DS103" s="24" t="n">
        <f aca="false">DS$21*(0-Planner!$C$43)</f>
        <v>-0.301</v>
      </c>
      <c r="DT103" s="24" t="n">
        <f aca="false">DT$21*(0-Planner!$C$43)</f>
        <v>-0.315</v>
      </c>
      <c r="DU103" s="24" t="n">
        <f aca="false">DU$21*(0-Planner!$C$43)</f>
        <v>-0.931</v>
      </c>
      <c r="DV103" s="24" t="n">
        <f aca="false">DV$21*(0-Planner!$C$43)</f>
        <v>-1.1655</v>
      </c>
      <c r="DW103" s="24" t="n">
        <f aca="false">DW$21*(0-Planner!$C$43)</f>
        <v>-1.0815</v>
      </c>
      <c r="DX103" s="24" t="n">
        <f aca="false">DX$21*(0-Planner!$C$43)</f>
        <v>-0.8715</v>
      </c>
      <c r="DY103" s="24" t="n">
        <f aca="false">DY$21*(0-Planner!$C$43)</f>
        <v>-0.5915</v>
      </c>
      <c r="DZ103" s="24" t="n">
        <f aca="false">DZ$21*(0-Planner!$C$43)</f>
        <v>-0.385</v>
      </c>
      <c r="EA103" s="24" t="n">
        <f aca="false">EA$21*(0-Planner!$C$43)</f>
        <v>-0.385</v>
      </c>
      <c r="EB103" s="24" t="n">
        <f aca="false">EB$21*(0-Planner!$C$43)</f>
        <v>-0.238</v>
      </c>
      <c r="EC103" s="24" t="n">
        <f aca="false">EC$21*(0-Planner!$C$43)</f>
        <v>-0.3465</v>
      </c>
      <c r="ED103" s="24" t="n">
        <f aca="false">ED$21*(0-Planner!$C$43)</f>
        <v>-0.4305</v>
      </c>
      <c r="EE103" s="24" t="n">
        <f aca="false">EE$21*(0-Planner!$C$43)</f>
        <v>-0.3185</v>
      </c>
      <c r="EF103" s="24" t="n">
        <f aca="false">EF$21*(0-Planner!$C$43)</f>
        <v>-0.7385</v>
      </c>
      <c r="EG103" s="24" t="n">
        <f aca="false">EG$21*(0-Planner!$C$43)</f>
        <v>-1.001</v>
      </c>
      <c r="EH103" s="24" t="n">
        <f aca="false">EH$21*(0-Planner!$C$43)</f>
        <v>-1.2705</v>
      </c>
      <c r="EI103" s="24" t="n">
        <f aca="false">EI$21*(0-Planner!$C$43)</f>
        <v>-0.2765</v>
      </c>
      <c r="EJ103" s="24" t="n">
        <f aca="false">EJ$21*(0-Planner!$C$43)</f>
        <v>-0.308</v>
      </c>
      <c r="EK103" s="24" t="n">
        <f aca="false">EK$21*(0-Planner!$C$43)</f>
        <v>-0.8645</v>
      </c>
      <c r="EL103" s="24" t="n">
        <f aca="false">EL$21*(0-Planner!$C$43)</f>
        <v>-0.4235</v>
      </c>
      <c r="EM103" s="24" t="n">
        <f aca="false">EM$21*(0-Planner!$C$43)</f>
        <v>-0.2975</v>
      </c>
      <c r="EN103" s="24" t="n">
        <f aca="false">EN$21*(0-Planner!$C$43)</f>
        <v>-0</v>
      </c>
      <c r="EO103" s="24" t="n">
        <f aca="false">EO$21*(0-Planner!$C$43)</f>
        <v>-0</v>
      </c>
      <c r="EP103" s="24" t="n">
        <f aca="false">EP$21*(0-Planner!$C$43)</f>
        <v>-7.4025</v>
      </c>
      <c r="EQ103" s="24" t="n">
        <f aca="false">EQ$21*(0-Planner!$C$43)</f>
        <v>-0.686</v>
      </c>
      <c r="ER103" s="24" t="n">
        <f aca="false">ER$21*(0-Planner!$C$43)</f>
        <v>-1.785</v>
      </c>
      <c r="ES103" s="24" t="n">
        <f aca="false">ES$21*(0-Planner!$C$43)</f>
        <v>-1.9775</v>
      </c>
      <c r="ET103" s="24" t="n">
        <f aca="false">ET$21*(0-Planner!$C$43)</f>
        <v>-2.2365</v>
      </c>
      <c r="EU103" s="24" t="n">
        <f aca="false">EU$21*(0-Planner!$C$43)</f>
        <v>-1.225</v>
      </c>
    </row>
    <row r="104" customFormat="false" ht="15" hidden="false" customHeight="false" outlineLevel="0" collapsed="false">
      <c r="A104" s="4" t="s">
        <v>1044</v>
      </c>
      <c r="B104" s="75" t="s">
        <v>1017</v>
      </c>
      <c r="C104" s="78" t="n">
        <v>0</v>
      </c>
      <c r="D104" s="77" t="n">
        <v>-8.355199997333</v>
      </c>
      <c r="E104" s="75" t="str">
        <f aca="false">IF(D104&lt;=C104+0.000001*MAX(1,ABS(C104)),IF(ABS(D104-C104)&lt;=0.000001*MAX(1,ABS(C104)),"tight","ok"),"VIOLATED")</f>
        <v>ok</v>
      </c>
      <c r="F104" s="24" t="n">
        <f aca="false">F$21*(0-Planner!$C$43)</f>
        <v>-7.875</v>
      </c>
      <c r="G104" s="24" t="n">
        <f aca="false">G$21*(0-Planner!$C$43)</f>
        <v>-6.328</v>
      </c>
      <c r="H104" s="24" t="n">
        <f aca="false">H$21*(0-Planner!$C$43)</f>
        <v>-6.881</v>
      </c>
      <c r="I104" s="24" t="n">
        <f aca="false">I$21*(0-Planner!$C$43)</f>
        <v>-5.7155</v>
      </c>
      <c r="J104" s="24" t="n">
        <f aca="false">J$21*(0-Planner!$C$43)</f>
        <v>-6.5555</v>
      </c>
      <c r="K104" s="24" t="n">
        <f aca="false">K$21*(0-Planner!$C$43)</f>
        <v>-6.51</v>
      </c>
      <c r="L104" s="24" t="n">
        <f aca="false">L$21*(0-Planner!$C$43)</f>
        <v>-4.417</v>
      </c>
      <c r="M104" s="24" t="n">
        <f aca="false">M$21*(0-Planner!$C$43)</f>
        <v>-7.6125</v>
      </c>
      <c r="N104" s="24" t="n">
        <f aca="false">N$21*(0-Planner!$C$43)</f>
        <v>-6.0095</v>
      </c>
      <c r="O104" s="24" t="n">
        <f aca="false">O$21*(0-Planner!$C$43)</f>
        <v>-7.2975</v>
      </c>
      <c r="P104" s="24" t="n">
        <f aca="false">P$21*(0-Planner!$C$43)</f>
        <v>-5.81</v>
      </c>
      <c r="Q104" s="24" t="n">
        <f aca="false">Q$21*(0-Planner!$C$43)</f>
        <v>-7.399</v>
      </c>
      <c r="R104" s="24" t="n">
        <f aca="false">R$21*(0-Planner!$C$43)</f>
        <v>-7.679</v>
      </c>
      <c r="S104" s="24" t="n">
        <f aca="false">S$21*(0-Planner!$C$43)</f>
        <v>-6.972</v>
      </c>
      <c r="T104" s="24" t="n">
        <f aca="false">T$21*(0-Planner!$C$43)</f>
        <v>-6.804</v>
      </c>
      <c r="U104" s="24" t="n">
        <f aca="false">U$21*(0-Planner!$C$43)</f>
        <v>-7.147</v>
      </c>
      <c r="V104" s="24" t="n">
        <f aca="false">V$21*(0-Planner!$C$43)</f>
        <v>-4.7635</v>
      </c>
      <c r="W104" s="24" t="n">
        <f aca="false">W$21*(0-Planner!$C$43)</f>
        <v>-7.028</v>
      </c>
      <c r="X104" s="24" t="n">
        <f aca="false">X$21*(0-Planner!$C$43)</f>
        <v>-4.396</v>
      </c>
      <c r="Y104" s="24" t="n">
        <f aca="false">Y$21*(0-Planner!$C$43)</f>
        <v>-2.1105</v>
      </c>
      <c r="Z104" s="24" t="n">
        <f aca="false">Z$21*(0-Planner!$C$43)</f>
        <v>-7.56</v>
      </c>
      <c r="AA104" s="24" t="n">
        <f aca="false">AA$21*(0-Planner!$C$43)</f>
        <v>-1.659</v>
      </c>
      <c r="AB104" s="24" t="n">
        <f aca="false">AB$21*(0-Planner!$C$43)</f>
        <v>-8.232</v>
      </c>
      <c r="AC104" s="24" t="n">
        <f aca="false">AC$21*(0-Planner!$C$43)</f>
        <v>-1.722</v>
      </c>
      <c r="AD104" s="24" t="n">
        <f aca="false">AD$21*(0-Planner!$C$43)</f>
        <v>-2.5795</v>
      </c>
      <c r="AE104" s="24" t="n">
        <f aca="false">AE$21*(0-Planner!$C$43)</f>
        <v>-7.651</v>
      </c>
      <c r="AF104" s="24" t="n">
        <f aca="false">AF$21*(0-Planner!$C$43)</f>
        <v>-1.827</v>
      </c>
      <c r="AG104" s="24" t="n">
        <f aca="false">AG$21*(0-Planner!$C$43)</f>
        <v>-8.253</v>
      </c>
      <c r="AH104" s="24" t="n">
        <f aca="false">AH$21*(0-Planner!$C$43)</f>
        <v>-8.6205</v>
      </c>
      <c r="AI104" s="24" t="n">
        <f aca="false">AI$21*(0-Planner!$C$43)</f>
        <v>-7.511</v>
      </c>
      <c r="AJ104" s="24" t="n">
        <f aca="false">AJ$21*(0-Planner!$C$43)</f>
        <v>-2.6355</v>
      </c>
      <c r="AK104" s="24" t="n">
        <f aca="false">AK$21*(0-Planner!$C$43)</f>
        <v>-7.8155</v>
      </c>
      <c r="AL104" s="24" t="n">
        <f aca="false">AL$21*(0-Planner!$C$43)</f>
        <v>-7.7735</v>
      </c>
      <c r="AM104" s="24" t="n">
        <f aca="false">AM$21*(0-Planner!$C$43)</f>
        <v>-1.61</v>
      </c>
      <c r="AN104" s="24" t="n">
        <f aca="false">AN$21*(1-Planner!$C$43)</f>
        <v>13.923</v>
      </c>
      <c r="AO104" s="24" t="n">
        <f aca="false">AO$21*(0-Planner!$C$43)</f>
        <v>-3.535</v>
      </c>
      <c r="AP104" s="24" t="n">
        <f aca="false">AP$21*(0-Planner!$C$43)</f>
        <v>-1.155</v>
      </c>
      <c r="AQ104" s="24" t="n">
        <f aca="false">AQ$21*(0-Planner!$C$43)</f>
        <v>-3.5665</v>
      </c>
      <c r="AR104" s="24" t="n">
        <f aca="false">AR$21*(0-Planner!$C$43)</f>
        <v>-0.91</v>
      </c>
      <c r="AS104" s="24" t="n">
        <f aca="false">AS$21*(0-Planner!$C$43)</f>
        <v>-1.1025</v>
      </c>
      <c r="AT104" s="24" t="n">
        <f aca="false">AT$21*(0-Planner!$C$43)</f>
        <v>-6.3455</v>
      </c>
      <c r="AU104" s="24" t="n">
        <f aca="false">AU$21*(0-Planner!$C$43)</f>
        <v>-8.0045</v>
      </c>
      <c r="AV104" s="24" t="n">
        <f aca="false">AV$21*(0-Planner!$C$43)</f>
        <v>-3.6575</v>
      </c>
      <c r="AW104" s="24" t="n">
        <f aca="false">AW$21*(0-Planner!$C$43)</f>
        <v>-8.3125</v>
      </c>
      <c r="AX104" s="24" t="n">
        <f aca="false">AX$21*(0-Planner!$C$43)</f>
        <v>-3.696</v>
      </c>
      <c r="AY104" s="24" t="n">
        <f aca="false">AY$21*(0-Planner!$C$43)</f>
        <v>-2.639</v>
      </c>
      <c r="AZ104" s="24" t="n">
        <f aca="false">AZ$21*(0-Planner!$C$43)</f>
        <v>-4.2315</v>
      </c>
      <c r="BA104" s="24" t="n">
        <f aca="false">BA$21*(0-Planner!$C$43)</f>
        <v>-1.995</v>
      </c>
      <c r="BB104" s="24" t="n">
        <f aca="false">BB$21*(0-Planner!$C$43)</f>
        <v>-2.8035</v>
      </c>
      <c r="BC104" s="24" t="n">
        <f aca="false">BC$21*(0-Planner!$C$43)</f>
        <v>-4.942</v>
      </c>
      <c r="BD104" s="24" t="n">
        <f aca="false">BD$21*(0-Planner!$C$43)</f>
        <v>-4.6025</v>
      </c>
      <c r="BE104" s="24" t="n">
        <f aca="false">BE$21*(0-Planner!$C$43)</f>
        <v>-4.564</v>
      </c>
      <c r="BF104" s="24" t="n">
        <f aca="false">BF$21*(0-Planner!$C$43)</f>
        <v>-3.0975</v>
      </c>
      <c r="BG104" s="24" t="n">
        <f aca="false">BG$21*(0-Planner!$C$43)</f>
        <v>-2.4955</v>
      </c>
      <c r="BH104" s="24" t="n">
        <f aca="false">BH$21*(0-Planner!$C$43)</f>
        <v>-4.3575</v>
      </c>
      <c r="BI104" s="24" t="n">
        <f aca="false">BI$21*(0-Planner!$C$43)</f>
        <v>-4.8545</v>
      </c>
      <c r="BJ104" s="24" t="n">
        <f aca="false">BJ$21*(0-Planner!$C$43)</f>
        <v>-2.6565</v>
      </c>
      <c r="BK104" s="24" t="n">
        <f aca="false">BK$21*(0-Planner!$C$43)</f>
        <v>-0.6825</v>
      </c>
      <c r="BL104" s="24" t="n">
        <f aca="false">BL$21*(0-Planner!$C$43)</f>
        <v>-1.057</v>
      </c>
      <c r="BM104" s="24" t="n">
        <f aca="false">BM$21*(0-Planner!$C$43)</f>
        <v>-0.784</v>
      </c>
      <c r="BN104" s="24" t="n">
        <f aca="false">BN$21*(0-Planner!$C$43)</f>
        <v>-1.0535</v>
      </c>
      <c r="BO104" s="24" t="n">
        <f aca="false">BO$21*(0-Planner!$C$43)</f>
        <v>-1.827</v>
      </c>
      <c r="BP104" s="24" t="n">
        <f aca="false">BP$21*(0-Planner!$C$43)</f>
        <v>-0.7175</v>
      </c>
      <c r="BQ104" s="24" t="n">
        <f aca="false">BQ$21*(0-Planner!$C$43)</f>
        <v>-0.5495</v>
      </c>
      <c r="BR104" s="24" t="n">
        <f aca="false">BR$21*(0-Planner!$C$43)</f>
        <v>-0.091</v>
      </c>
      <c r="BS104" s="24" t="n">
        <f aca="false">BS$21*(0-Planner!$C$43)</f>
        <v>-0.0595</v>
      </c>
      <c r="BT104" s="24" t="n">
        <f aca="false">BT$21*(0-Planner!$C$43)</f>
        <v>-0.3815</v>
      </c>
      <c r="BU104" s="24" t="n">
        <f aca="false">BU$21*(0-Planner!$C$43)</f>
        <v>-0.4865</v>
      </c>
      <c r="BV104" s="24" t="n">
        <f aca="false">BV$21*(0-Planner!$C$43)</f>
        <v>-0.147</v>
      </c>
      <c r="BW104" s="24" t="n">
        <f aca="false">BW$21*(0-Planner!$C$43)</f>
        <v>-0.294</v>
      </c>
      <c r="BX104" s="24" t="n">
        <f aca="false">BX$21*(0-Planner!$C$43)</f>
        <v>-0.371</v>
      </c>
      <c r="BY104" s="24" t="n">
        <f aca="false">BY$21*(0-Planner!$C$43)</f>
        <v>-0.2975</v>
      </c>
      <c r="BZ104" s="24" t="n">
        <f aca="false">BZ$21*(0-Planner!$C$43)</f>
        <v>-0.8575</v>
      </c>
      <c r="CA104" s="24" t="n">
        <f aca="false">CA$21*(0-Planner!$C$43)</f>
        <v>-1.1865</v>
      </c>
      <c r="CB104" s="24" t="n">
        <f aca="false">CB$21*(0-Planner!$C$43)</f>
        <v>-0.0595</v>
      </c>
      <c r="CC104" s="24" t="n">
        <f aca="false">CC$21*(0-Planner!$C$43)</f>
        <v>-0.161</v>
      </c>
      <c r="CD104" s="24" t="n">
        <f aca="false">CD$21*(0-Planner!$C$43)</f>
        <v>-0.2205</v>
      </c>
      <c r="CE104" s="24" t="n">
        <f aca="false">CE$21*(0-Planner!$C$43)</f>
        <v>-0.252</v>
      </c>
      <c r="CF104" s="24" t="n">
        <f aca="false">CF$21*(0-Planner!$C$43)</f>
        <v>-0.189</v>
      </c>
      <c r="CG104" s="24" t="n">
        <f aca="false">CG$21*(0-Planner!$C$43)</f>
        <v>-0.399</v>
      </c>
      <c r="CH104" s="24" t="n">
        <f aca="false">CH$21*(0-Planner!$C$43)</f>
        <v>-0.287</v>
      </c>
      <c r="CI104" s="24" t="n">
        <f aca="false">CI$21*(0-Planner!$C$43)</f>
        <v>-0.371</v>
      </c>
      <c r="CJ104" s="24" t="n">
        <f aca="false">CJ$21*(0-Planner!$C$43)</f>
        <v>-0.238</v>
      </c>
      <c r="CK104" s="24" t="n">
        <f aca="false">CK$21*(0-Planner!$C$43)</f>
        <v>-0.3185</v>
      </c>
      <c r="CL104" s="24" t="n">
        <f aca="false">CL$21*(0-Planner!$C$43)</f>
        <v>-0.1645</v>
      </c>
      <c r="CM104" s="24" t="n">
        <f aca="false">CM$21*(0-Planner!$C$43)</f>
        <v>-0.3185</v>
      </c>
      <c r="CN104" s="24" t="n">
        <f aca="false">CN$21*(0-Planner!$C$43)</f>
        <v>-0.2205</v>
      </c>
      <c r="CO104" s="24" t="n">
        <f aca="false">CO$21*(0-Planner!$C$43)</f>
        <v>-0.126</v>
      </c>
      <c r="CP104" s="24" t="n">
        <f aca="false">CP$21*(0-Planner!$C$43)</f>
        <v>-0.119</v>
      </c>
      <c r="CQ104" s="24" t="n">
        <f aca="false">CQ$21*(0-Planner!$C$43)</f>
        <v>-0.189</v>
      </c>
      <c r="CR104" s="24" t="n">
        <f aca="false">CR$21*(0-Planner!$C$43)</f>
        <v>-0.147</v>
      </c>
      <c r="CS104" s="24" t="n">
        <f aca="false">CS$21*(0-Planner!$C$43)</f>
        <v>-0.245</v>
      </c>
      <c r="CT104" s="24" t="n">
        <f aca="false">CT$21*(0-Planner!$C$43)</f>
        <v>-0.763</v>
      </c>
      <c r="CU104" s="24" t="n">
        <f aca="false">CU$21*(0-Planner!$C$43)</f>
        <v>-1.0745</v>
      </c>
      <c r="CV104" s="24" t="n">
        <f aca="false">CV$21*(0-Planner!$C$43)</f>
        <v>-0.42</v>
      </c>
      <c r="CW104" s="24" t="n">
        <f aca="false">CW$21*(0-Planner!$C$43)</f>
        <v>-0.2345</v>
      </c>
      <c r="CX104" s="24" t="n">
        <f aca="false">CX$21*(0-Planner!$C$43)</f>
        <v>-0.1505</v>
      </c>
      <c r="CY104" s="24" t="n">
        <f aca="false">CY$21*(0-Planner!$C$43)</f>
        <v>-0.2135</v>
      </c>
      <c r="CZ104" s="24" t="n">
        <f aca="false">CZ$21*(0-Planner!$C$43)</f>
        <v>-0.28</v>
      </c>
      <c r="DA104" s="24" t="n">
        <f aca="false">DA$21*(0-Planner!$C$43)</f>
        <v>-0.77</v>
      </c>
      <c r="DB104" s="24" t="n">
        <f aca="false">DB$21*(0-Planner!$C$43)</f>
        <v>-0.224</v>
      </c>
      <c r="DC104" s="24" t="n">
        <f aca="false">DC$21*(0-Planner!$C$43)</f>
        <v>-0.2555</v>
      </c>
      <c r="DD104" s="24" t="n">
        <f aca="false">DD$21*(0-Planner!$C$43)</f>
        <v>-1.071</v>
      </c>
      <c r="DE104" s="24" t="n">
        <f aca="false">DE$21*(0-Planner!$C$43)</f>
        <v>-1.323</v>
      </c>
      <c r="DF104" s="24" t="n">
        <f aca="false">DF$21*(0-Planner!$C$43)</f>
        <v>-0.35</v>
      </c>
      <c r="DG104" s="24" t="n">
        <f aca="false">DG$21*(0-Planner!$C$43)</f>
        <v>-0.448</v>
      </c>
      <c r="DH104" s="24" t="n">
        <f aca="false">DH$21*(0-Planner!$C$43)</f>
        <v>-0.5005</v>
      </c>
      <c r="DI104" s="24" t="n">
        <f aca="false">DI$21*(0-Planner!$C$43)</f>
        <v>-0.3255</v>
      </c>
      <c r="DJ104" s="24" t="n">
        <f aca="false">DJ$21*(0-Planner!$C$43)</f>
        <v>-0.203</v>
      </c>
      <c r="DK104" s="24" t="n">
        <f aca="false">DK$21*(0-Planner!$C$43)</f>
        <v>-0.273</v>
      </c>
      <c r="DL104" s="24" t="n">
        <f aca="false">DL$21*(0-Planner!$C$43)</f>
        <v>-0.7035</v>
      </c>
      <c r="DM104" s="24" t="n">
        <f aca="false">DM$21*(0-Planner!$C$43)</f>
        <v>-0.2415</v>
      </c>
      <c r="DN104" s="24" t="n">
        <f aca="false">DN$21*(0-Planner!$C$43)</f>
        <v>-1.057</v>
      </c>
      <c r="DO104" s="24" t="n">
        <f aca="false">DO$21*(0-Planner!$C$43)</f>
        <v>-0.9415</v>
      </c>
      <c r="DP104" s="24" t="n">
        <f aca="false">DP$21*(0-Planner!$C$43)</f>
        <v>-0.2275</v>
      </c>
      <c r="DQ104" s="24" t="n">
        <f aca="false">DQ$21*(0-Planner!$C$43)</f>
        <v>-0.252</v>
      </c>
      <c r="DR104" s="24" t="n">
        <f aca="false">DR$21*(0-Planner!$C$43)</f>
        <v>-0.6265</v>
      </c>
      <c r="DS104" s="24" t="n">
        <f aca="false">DS$21*(0-Planner!$C$43)</f>
        <v>-0.301</v>
      </c>
      <c r="DT104" s="24" t="n">
        <f aca="false">DT$21*(0-Planner!$C$43)</f>
        <v>-0.315</v>
      </c>
      <c r="DU104" s="24" t="n">
        <f aca="false">DU$21*(0-Planner!$C$43)</f>
        <v>-0.931</v>
      </c>
      <c r="DV104" s="24" t="n">
        <f aca="false">DV$21*(0-Planner!$C$43)</f>
        <v>-1.1655</v>
      </c>
      <c r="DW104" s="24" t="n">
        <f aca="false">DW$21*(0-Planner!$C$43)</f>
        <v>-1.0815</v>
      </c>
      <c r="DX104" s="24" t="n">
        <f aca="false">DX$21*(0-Planner!$C$43)</f>
        <v>-0.8715</v>
      </c>
      <c r="DY104" s="24" t="n">
        <f aca="false">DY$21*(0-Planner!$C$43)</f>
        <v>-0.5915</v>
      </c>
      <c r="DZ104" s="24" t="n">
        <f aca="false">DZ$21*(0-Planner!$C$43)</f>
        <v>-0.385</v>
      </c>
      <c r="EA104" s="24" t="n">
        <f aca="false">EA$21*(0-Planner!$C$43)</f>
        <v>-0.385</v>
      </c>
      <c r="EB104" s="24" t="n">
        <f aca="false">EB$21*(0-Planner!$C$43)</f>
        <v>-0.238</v>
      </c>
      <c r="EC104" s="24" t="n">
        <f aca="false">EC$21*(0-Planner!$C$43)</f>
        <v>-0.3465</v>
      </c>
      <c r="ED104" s="24" t="n">
        <f aca="false">ED$21*(0-Planner!$C$43)</f>
        <v>-0.4305</v>
      </c>
      <c r="EE104" s="24" t="n">
        <f aca="false">EE$21*(0-Planner!$C$43)</f>
        <v>-0.3185</v>
      </c>
      <c r="EF104" s="24" t="n">
        <f aca="false">EF$21*(0-Planner!$C$43)</f>
        <v>-0.7385</v>
      </c>
      <c r="EG104" s="24" t="n">
        <f aca="false">EG$21*(0-Planner!$C$43)</f>
        <v>-1.001</v>
      </c>
      <c r="EH104" s="24" t="n">
        <f aca="false">EH$21*(0-Planner!$C$43)</f>
        <v>-1.2705</v>
      </c>
      <c r="EI104" s="24" t="n">
        <f aca="false">EI$21*(0-Planner!$C$43)</f>
        <v>-0.2765</v>
      </c>
      <c r="EJ104" s="24" t="n">
        <f aca="false">EJ$21*(0-Planner!$C$43)</f>
        <v>-0.308</v>
      </c>
      <c r="EK104" s="24" t="n">
        <f aca="false">EK$21*(0-Planner!$C$43)</f>
        <v>-0.8645</v>
      </c>
      <c r="EL104" s="24" t="n">
        <f aca="false">EL$21*(0-Planner!$C$43)</f>
        <v>-0.4235</v>
      </c>
      <c r="EM104" s="24" t="n">
        <f aca="false">EM$21*(0-Planner!$C$43)</f>
        <v>-0.2975</v>
      </c>
      <c r="EN104" s="24" t="n">
        <f aca="false">EN$21*(0-Planner!$C$43)</f>
        <v>-0</v>
      </c>
      <c r="EO104" s="24" t="n">
        <f aca="false">EO$21*(0-Planner!$C$43)</f>
        <v>-0</v>
      </c>
      <c r="EP104" s="24" t="n">
        <f aca="false">EP$21*(0-Planner!$C$43)</f>
        <v>-7.4025</v>
      </c>
      <c r="EQ104" s="24" t="n">
        <f aca="false">EQ$21*(0-Planner!$C$43)</f>
        <v>-0.686</v>
      </c>
      <c r="ER104" s="24" t="n">
        <f aca="false">ER$21*(0-Planner!$C$43)</f>
        <v>-1.785</v>
      </c>
      <c r="ES104" s="24" t="n">
        <f aca="false">ES$21*(0-Planner!$C$43)</f>
        <v>-1.9775</v>
      </c>
      <c r="ET104" s="24" t="n">
        <f aca="false">ET$21*(0-Planner!$C$43)</f>
        <v>-2.2365</v>
      </c>
      <c r="EU104" s="24" t="n">
        <f aca="false">EU$21*(0-Planner!$C$43)</f>
        <v>-1.225</v>
      </c>
    </row>
    <row r="105" customFormat="false" ht="15" hidden="false" customHeight="false" outlineLevel="0" collapsed="false">
      <c r="A105" s="4" t="s">
        <v>1045</v>
      </c>
      <c r="B105" s="75" t="s">
        <v>1017</v>
      </c>
      <c r="C105" s="78" t="n">
        <v>0</v>
      </c>
      <c r="D105" s="77" t="n">
        <v>-39.199999997333</v>
      </c>
      <c r="E105" s="75" t="str">
        <f aca="false">IF(D105&lt;=C105+0.000001*MAX(1,ABS(C105)),IF(ABS(D105-C105)&lt;=0.000001*MAX(1,ABS(C105)),"tight","ok"),"VIOLATED")</f>
        <v>ok</v>
      </c>
      <c r="F105" s="24" t="n">
        <f aca="false">F$21*(0-Planner!$C$43)</f>
        <v>-7.875</v>
      </c>
      <c r="G105" s="24" t="n">
        <f aca="false">G$21*(0-Planner!$C$43)</f>
        <v>-6.328</v>
      </c>
      <c r="H105" s="24" t="n">
        <f aca="false">H$21*(0-Planner!$C$43)</f>
        <v>-6.881</v>
      </c>
      <c r="I105" s="24" t="n">
        <f aca="false">I$21*(0-Planner!$C$43)</f>
        <v>-5.7155</v>
      </c>
      <c r="J105" s="24" t="n">
        <f aca="false">J$21*(0-Planner!$C$43)</f>
        <v>-6.5555</v>
      </c>
      <c r="K105" s="24" t="n">
        <f aca="false">K$21*(0-Planner!$C$43)</f>
        <v>-6.51</v>
      </c>
      <c r="L105" s="24" t="n">
        <f aca="false">L$21*(0-Planner!$C$43)</f>
        <v>-4.417</v>
      </c>
      <c r="M105" s="24" t="n">
        <f aca="false">M$21*(0-Planner!$C$43)</f>
        <v>-7.6125</v>
      </c>
      <c r="N105" s="24" t="n">
        <f aca="false">N$21*(0-Planner!$C$43)</f>
        <v>-6.0095</v>
      </c>
      <c r="O105" s="24" t="n">
        <f aca="false">O$21*(0-Planner!$C$43)</f>
        <v>-7.2975</v>
      </c>
      <c r="P105" s="24" t="n">
        <f aca="false">P$21*(0-Planner!$C$43)</f>
        <v>-5.81</v>
      </c>
      <c r="Q105" s="24" t="n">
        <f aca="false">Q$21*(0-Planner!$C$43)</f>
        <v>-7.399</v>
      </c>
      <c r="R105" s="24" t="n">
        <f aca="false">R$21*(0-Planner!$C$43)</f>
        <v>-7.679</v>
      </c>
      <c r="S105" s="24" t="n">
        <f aca="false">S$21*(0-Planner!$C$43)</f>
        <v>-6.972</v>
      </c>
      <c r="T105" s="24" t="n">
        <f aca="false">T$21*(0-Planner!$C$43)</f>
        <v>-6.804</v>
      </c>
      <c r="U105" s="24" t="n">
        <f aca="false">U$21*(0-Planner!$C$43)</f>
        <v>-7.147</v>
      </c>
      <c r="V105" s="24" t="n">
        <f aca="false">V$21*(0-Planner!$C$43)</f>
        <v>-4.7635</v>
      </c>
      <c r="W105" s="24" t="n">
        <f aca="false">W$21*(0-Planner!$C$43)</f>
        <v>-7.028</v>
      </c>
      <c r="X105" s="24" t="n">
        <f aca="false">X$21*(0-Planner!$C$43)</f>
        <v>-4.396</v>
      </c>
      <c r="Y105" s="24" t="n">
        <f aca="false">Y$21*(0-Planner!$C$43)</f>
        <v>-2.1105</v>
      </c>
      <c r="Z105" s="24" t="n">
        <f aca="false">Z$21*(0-Planner!$C$43)</f>
        <v>-7.56</v>
      </c>
      <c r="AA105" s="24" t="n">
        <f aca="false">AA$21*(0-Planner!$C$43)</f>
        <v>-1.659</v>
      </c>
      <c r="AB105" s="24" t="n">
        <f aca="false">AB$21*(0-Planner!$C$43)</f>
        <v>-8.232</v>
      </c>
      <c r="AC105" s="24" t="n">
        <f aca="false">AC$21*(0-Planner!$C$43)</f>
        <v>-1.722</v>
      </c>
      <c r="AD105" s="24" t="n">
        <f aca="false">AD$21*(0-Planner!$C$43)</f>
        <v>-2.5795</v>
      </c>
      <c r="AE105" s="24" t="n">
        <f aca="false">AE$21*(0-Planner!$C$43)</f>
        <v>-7.651</v>
      </c>
      <c r="AF105" s="24" t="n">
        <f aca="false">AF$21*(0-Planner!$C$43)</f>
        <v>-1.827</v>
      </c>
      <c r="AG105" s="24" t="n">
        <f aca="false">AG$21*(0-Planner!$C$43)</f>
        <v>-8.253</v>
      </c>
      <c r="AH105" s="24" t="n">
        <f aca="false">AH$21*(0-Planner!$C$43)</f>
        <v>-8.6205</v>
      </c>
      <c r="AI105" s="24" t="n">
        <f aca="false">AI$21*(0-Planner!$C$43)</f>
        <v>-7.511</v>
      </c>
      <c r="AJ105" s="24" t="n">
        <f aca="false">AJ$21*(0-Planner!$C$43)</f>
        <v>-2.6355</v>
      </c>
      <c r="AK105" s="24" t="n">
        <f aca="false">AK$21*(0-Planner!$C$43)</f>
        <v>-7.8155</v>
      </c>
      <c r="AL105" s="24" t="n">
        <f aca="false">AL$21*(0-Planner!$C$43)</f>
        <v>-7.7735</v>
      </c>
      <c r="AM105" s="24" t="n">
        <f aca="false">AM$21*(0-Planner!$C$43)</f>
        <v>-1.61</v>
      </c>
      <c r="AN105" s="24" t="n">
        <f aca="false">AN$21*(0-Planner!$C$43)</f>
        <v>-7.497</v>
      </c>
      <c r="AO105" s="24" t="n">
        <f aca="false">AO$21*(1-Planner!$C$43)</f>
        <v>6.565</v>
      </c>
      <c r="AP105" s="24" t="n">
        <f aca="false">AP$21*(0-Planner!$C$43)</f>
        <v>-1.155</v>
      </c>
      <c r="AQ105" s="24" t="n">
        <f aca="false">AQ$21*(0-Planner!$C$43)</f>
        <v>-3.5665</v>
      </c>
      <c r="AR105" s="24" t="n">
        <f aca="false">AR$21*(0-Planner!$C$43)</f>
        <v>-0.91</v>
      </c>
      <c r="AS105" s="24" t="n">
        <f aca="false">AS$21*(0-Planner!$C$43)</f>
        <v>-1.1025</v>
      </c>
      <c r="AT105" s="24" t="n">
        <f aca="false">AT$21*(0-Planner!$C$43)</f>
        <v>-6.3455</v>
      </c>
      <c r="AU105" s="24" t="n">
        <f aca="false">AU$21*(0-Planner!$C$43)</f>
        <v>-8.0045</v>
      </c>
      <c r="AV105" s="24" t="n">
        <f aca="false">AV$21*(0-Planner!$C$43)</f>
        <v>-3.6575</v>
      </c>
      <c r="AW105" s="24" t="n">
        <f aca="false">AW$21*(0-Planner!$C$43)</f>
        <v>-8.3125</v>
      </c>
      <c r="AX105" s="24" t="n">
        <f aca="false">AX$21*(0-Planner!$C$43)</f>
        <v>-3.696</v>
      </c>
      <c r="AY105" s="24" t="n">
        <f aca="false">AY$21*(0-Planner!$C$43)</f>
        <v>-2.639</v>
      </c>
      <c r="AZ105" s="24" t="n">
        <f aca="false">AZ$21*(0-Planner!$C$43)</f>
        <v>-4.2315</v>
      </c>
      <c r="BA105" s="24" t="n">
        <f aca="false">BA$21*(0-Planner!$C$43)</f>
        <v>-1.995</v>
      </c>
      <c r="BB105" s="24" t="n">
        <f aca="false">BB$21*(0-Planner!$C$43)</f>
        <v>-2.8035</v>
      </c>
      <c r="BC105" s="24" t="n">
        <f aca="false">BC$21*(0-Planner!$C$43)</f>
        <v>-4.942</v>
      </c>
      <c r="BD105" s="24" t="n">
        <f aca="false">BD$21*(0-Planner!$C$43)</f>
        <v>-4.6025</v>
      </c>
      <c r="BE105" s="24" t="n">
        <f aca="false">BE$21*(0-Planner!$C$43)</f>
        <v>-4.564</v>
      </c>
      <c r="BF105" s="24" t="n">
        <f aca="false">BF$21*(0-Planner!$C$43)</f>
        <v>-3.0975</v>
      </c>
      <c r="BG105" s="24" t="n">
        <f aca="false">BG$21*(0-Planner!$C$43)</f>
        <v>-2.4955</v>
      </c>
      <c r="BH105" s="24" t="n">
        <f aca="false">BH$21*(0-Planner!$C$43)</f>
        <v>-4.3575</v>
      </c>
      <c r="BI105" s="24" t="n">
        <f aca="false">BI$21*(0-Planner!$C$43)</f>
        <v>-4.8545</v>
      </c>
      <c r="BJ105" s="24" t="n">
        <f aca="false">BJ$21*(0-Planner!$C$43)</f>
        <v>-2.6565</v>
      </c>
      <c r="BK105" s="24" t="n">
        <f aca="false">BK$21*(0-Planner!$C$43)</f>
        <v>-0.6825</v>
      </c>
      <c r="BL105" s="24" t="n">
        <f aca="false">BL$21*(0-Planner!$C$43)</f>
        <v>-1.057</v>
      </c>
      <c r="BM105" s="24" t="n">
        <f aca="false">BM$21*(0-Planner!$C$43)</f>
        <v>-0.784</v>
      </c>
      <c r="BN105" s="24" t="n">
        <f aca="false">BN$21*(0-Planner!$C$43)</f>
        <v>-1.0535</v>
      </c>
      <c r="BO105" s="24" t="n">
        <f aca="false">BO$21*(0-Planner!$C$43)</f>
        <v>-1.827</v>
      </c>
      <c r="BP105" s="24" t="n">
        <f aca="false">BP$21*(0-Planner!$C$43)</f>
        <v>-0.7175</v>
      </c>
      <c r="BQ105" s="24" t="n">
        <f aca="false">BQ$21*(0-Planner!$C$43)</f>
        <v>-0.5495</v>
      </c>
      <c r="BR105" s="24" t="n">
        <f aca="false">BR$21*(0-Planner!$C$43)</f>
        <v>-0.091</v>
      </c>
      <c r="BS105" s="24" t="n">
        <f aca="false">BS$21*(0-Planner!$C$43)</f>
        <v>-0.0595</v>
      </c>
      <c r="BT105" s="24" t="n">
        <f aca="false">BT$21*(0-Planner!$C$43)</f>
        <v>-0.3815</v>
      </c>
      <c r="BU105" s="24" t="n">
        <f aca="false">BU$21*(0-Planner!$C$43)</f>
        <v>-0.4865</v>
      </c>
      <c r="BV105" s="24" t="n">
        <f aca="false">BV$21*(0-Planner!$C$43)</f>
        <v>-0.147</v>
      </c>
      <c r="BW105" s="24" t="n">
        <f aca="false">BW$21*(0-Planner!$C$43)</f>
        <v>-0.294</v>
      </c>
      <c r="BX105" s="24" t="n">
        <f aca="false">BX$21*(0-Planner!$C$43)</f>
        <v>-0.371</v>
      </c>
      <c r="BY105" s="24" t="n">
        <f aca="false">BY$21*(0-Planner!$C$43)</f>
        <v>-0.2975</v>
      </c>
      <c r="BZ105" s="24" t="n">
        <f aca="false">BZ$21*(0-Planner!$C$43)</f>
        <v>-0.8575</v>
      </c>
      <c r="CA105" s="24" t="n">
        <f aca="false">CA$21*(0-Planner!$C$43)</f>
        <v>-1.1865</v>
      </c>
      <c r="CB105" s="24" t="n">
        <f aca="false">CB$21*(0-Planner!$C$43)</f>
        <v>-0.0595</v>
      </c>
      <c r="CC105" s="24" t="n">
        <f aca="false">CC$21*(0-Planner!$C$43)</f>
        <v>-0.161</v>
      </c>
      <c r="CD105" s="24" t="n">
        <f aca="false">CD$21*(0-Planner!$C$43)</f>
        <v>-0.2205</v>
      </c>
      <c r="CE105" s="24" t="n">
        <f aca="false">CE$21*(0-Planner!$C$43)</f>
        <v>-0.252</v>
      </c>
      <c r="CF105" s="24" t="n">
        <f aca="false">CF$21*(0-Planner!$C$43)</f>
        <v>-0.189</v>
      </c>
      <c r="CG105" s="24" t="n">
        <f aca="false">CG$21*(0-Planner!$C$43)</f>
        <v>-0.399</v>
      </c>
      <c r="CH105" s="24" t="n">
        <f aca="false">CH$21*(0-Planner!$C$43)</f>
        <v>-0.287</v>
      </c>
      <c r="CI105" s="24" t="n">
        <f aca="false">CI$21*(0-Planner!$C$43)</f>
        <v>-0.371</v>
      </c>
      <c r="CJ105" s="24" t="n">
        <f aca="false">CJ$21*(0-Planner!$C$43)</f>
        <v>-0.238</v>
      </c>
      <c r="CK105" s="24" t="n">
        <f aca="false">CK$21*(0-Planner!$C$43)</f>
        <v>-0.3185</v>
      </c>
      <c r="CL105" s="24" t="n">
        <f aca="false">CL$21*(0-Planner!$C$43)</f>
        <v>-0.1645</v>
      </c>
      <c r="CM105" s="24" t="n">
        <f aca="false">CM$21*(0-Planner!$C$43)</f>
        <v>-0.3185</v>
      </c>
      <c r="CN105" s="24" t="n">
        <f aca="false">CN$21*(0-Planner!$C$43)</f>
        <v>-0.2205</v>
      </c>
      <c r="CO105" s="24" t="n">
        <f aca="false">CO$21*(0-Planner!$C$43)</f>
        <v>-0.126</v>
      </c>
      <c r="CP105" s="24" t="n">
        <f aca="false">CP$21*(0-Planner!$C$43)</f>
        <v>-0.119</v>
      </c>
      <c r="CQ105" s="24" t="n">
        <f aca="false">CQ$21*(0-Planner!$C$43)</f>
        <v>-0.189</v>
      </c>
      <c r="CR105" s="24" t="n">
        <f aca="false">CR$21*(0-Planner!$C$43)</f>
        <v>-0.147</v>
      </c>
      <c r="CS105" s="24" t="n">
        <f aca="false">CS$21*(0-Planner!$C$43)</f>
        <v>-0.245</v>
      </c>
      <c r="CT105" s="24" t="n">
        <f aca="false">CT$21*(0-Planner!$C$43)</f>
        <v>-0.763</v>
      </c>
      <c r="CU105" s="24" t="n">
        <f aca="false">CU$21*(0-Planner!$C$43)</f>
        <v>-1.0745</v>
      </c>
      <c r="CV105" s="24" t="n">
        <f aca="false">CV$21*(0-Planner!$C$43)</f>
        <v>-0.42</v>
      </c>
      <c r="CW105" s="24" t="n">
        <f aca="false">CW$21*(0-Planner!$C$43)</f>
        <v>-0.2345</v>
      </c>
      <c r="CX105" s="24" t="n">
        <f aca="false">CX$21*(0-Planner!$C$43)</f>
        <v>-0.1505</v>
      </c>
      <c r="CY105" s="24" t="n">
        <f aca="false">CY$21*(0-Planner!$C$43)</f>
        <v>-0.2135</v>
      </c>
      <c r="CZ105" s="24" t="n">
        <f aca="false">CZ$21*(0-Planner!$C$43)</f>
        <v>-0.28</v>
      </c>
      <c r="DA105" s="24" t="n">
        <f aca="false">DA$21*(0-Planner!$C$43)</f>
        <v>-0.77</v>
      </c>
      <c r="DB105" s="24" t="n">
        <f aca="false">DB$21*(0-Planner!$C$43)</f>
        <v>-0.224</v>
      </c>
      <c r="DC105" s="24" t="n">
        <f aca="false">DC$21*(0-Planner!$C$43)</f>
        <v>-0.2555</v>
      </c>
      <c r="DD105" s="24" t="n">
        <f aca="false">DD$21*(0-Planner!$C$43)</f>
        <v>-1.071</v>
      </c>
      <c r="DE105" s="24" t="n">
        <f aca="false">DE$21*(0-Planner!$C$43)</f>
        <v>-1.323</v>
      </c>
      <c r="DF105" s="24" t="n">
        <f aca="false">DF$21*(0-Planner!$C$43)</f>
        <v>-0.35</v>
      </c>
      <c r="DG105" s="24" t="n">
        <f aca="false">DG$21*(0-Planner!$C$43)</f>
        <v>-0.448</v>
      </c>
      <c r="DH105" s="24" t="n">
        <f aca="false">DH$21*(0-Planner!$C$43)</f>
        <v>-0.5005</v>
      </c>
      <c r="DI105" s="24" t="n">
        <f aca="false">DI$21*(0-Planner!$C$43)</f>
        <v>-0.3255</v>
      </c>
      <c r="DJ105" s="24" t="n">
        <f aca="false">DJ$21*(0-Planner!$C$43)</f>
        <v>-0.203</v>
      </c>
      <c r="DK105" s="24" t="n">
        <f aca="false">DK$21*(0-Planner!$C$43)</f>
        <v>-0.273</v>
      </c>
      <c r="DL105" s="24" t="n">
        <f aca="false">DL$21*(0-Planner!$C$43)</f>
        <v>-0.7035</v>
      </c>
      <c r="DM105" s="24" t="n">
        <f aca="false">DM$21*(0-Planner!$C$43)</f>
        <v>-0.2415</v>
      </c>
      <c r="DN105" s="24" t="n">
        <f aca="false">DN$21*(0-Planner!$C$43)</f>
        <v>-1.057</v>
      </c>
      <c r="DO105" s="24" t="n">
        <f aca="false">DO$21*(0-Planner!$C$43)</f>
        <v>-0.9415</v>
      </c>
      <c r="DP105" s="24" t="n">
        <f aca="false">DP$21*(0-Planner!$C$43)</f>
        <v>-0.2275</v>
      </c>
      <c r="DQ105" s="24" t="n">
        <f aca="false">DQ$21*(0-Planner!$C$43)</f>
        <v>-0.252</v>
      </c>
      <c r="DR105" s="24" t="n">
        <f aca="false">DR$21*(0-Planner!$C$43)</f>
        <v>-0.6265</v>
      </c>
      <c r="DS105" s="24" t="n">
        <f aca="false">DS$21*(0-Planner!$C$43)</f>
        <v>-0.301</v>
      </c>
      <c r="DT105" s="24" t="n">
        <f aca="false">DT$21*(0-Planner!$C$43)</f>
        <v>-0.315</v>
      </c>
      <c r="DU105" s="24" t="n">
        <f aca="false">DU$21*(0-Planner!$C$43)</f>
        <v>-0.931</v>
      </c>
      <c r="DV105" s="24" t="n">
        <f aca="false">DV$21*(0-Planner!$C$43)</f>
        <v>-1.1655</v>
      </c>
      <c r="DW105" s="24" t="n">
        <f aca="false">DW$21*(0-Planner!$C$43)</f>
        <v>-1.0815</v>
      </c>
      <c r="DX105" s="24" t="n">
        <f aca="false">DX$21*(0-Planner!$C$43)</f>
        <v>-0.8715</v>
      </c>
      <c r="DY105" s="24" t="n">
        <f aca="false">DY$21*(0-Planner!$C$43)</f>
        <v>-0.5915</v>
      </c>
      <c r="DZ105" s="24" t="n">
        <f aca="false">DZ$21*(0-Planner!$C$43)</f>
        <v>-0.385</v>
      </c>
      <c r="EA105" s="24" t="n">
        <f aca="false">EA$21*(0-Planner!$C$43)</f>
        <v>-0.385</v>
      </c>
      <c r="EB105" s="24" t="n">
        <f aca="false">EB$21*(0-Planner!$C$43)</f>
        <v>-0.238</v>
      </c>
      <c r="EC105" s="24" t="n">
        <f aca="false">EC$21*(0-Planner!$C$43)</f>
        <v>-0.3465</v>
      </c>
      <c r="ED105" s="24" t="n">
        <f aca="false">ED$21*(0-Planner!$C$43)</f>
        <v>-0.4305</v>
      </c>
      <c r="EE105" s="24" t="n">
        <f aca="false">EE$21*(0-Planner!$C$43)</f>
        <v>-0.3185</v>
      </c>
      <c r="EF105" s="24" t="n">
        <f aca="false">EF$21*(0-Planner!$C$43)</f>
        <v>-0.7385</v>
      </c>
      <c r="EG105" s="24" t="n">
        <f aca="false">EG$21*(0-Planner!$C$43)</f>
        <v>-1.001</v>
      </c>
      <c r="EH105" s="24" t="n">
        <f aca="false">EH$21*(0-Planner!$C$43)</f>
        <v>-1.2705</v>
      </c>
      <c r="EI105" s="24" t="n">
        <f aca="false">EI$21*(0-Planner!$C$43)</f>
        <v>-0.2765</v>
      </c>
      <c r="EJ105" s="24" t="n">
        <f aca="false">EJ$21*(0-Planner!$C$43)</f>
        <v>-0.308</v>
      </c>
      <c r="EK105" s="24" t="n">
        <f aca="false">EK$21*(0-Planner!$C$43)</f>
        <v>-0.8645</v>
      </c>
      <c r="EL105" s="24" t="n">
        <f aca="false">EL$21*(0-Planner!$C$43)</f>
        <v>-0.4235</v>
      </c>
      <c r="EM105" s="24" t="n">
        <f aca="false">EM$21*(0-Planner!$C$43)</f>
        <v>-0.2975</v>
      </c>
      <c r="EN105" s="24" t="n">
        <f aca="false">EN$21*(0-Planner!$C$43)</f>
        <v>-0</v>
      </c>
      <c r="EO105" s="24" t="n">
        <f aca="false">EO$21*(0-Planner!$C$43)</f>
        <v>-0</v>
      </c>
      <c r="EP105" s="24" t="n">
        <f aca="false">EP$21*(0-Planner!$C$43)</f>
        <v>-7.4025</v>
      </c>
      <c r="EQ105" s="24" t="n">
        <f aca="false">EQ$21*(0-Planner!$C$43)</f>
        <v>-0.686</v>
      </c>
      <c r="ER105" s="24" t="n">
        <f aca="false">ER$21*(0-Planner!$C$43)</f>
        <v>-1.785</v>
      </c>
      <c r="ES105" s="24" t="n">
        <f aca="false">ES$21*(0-Planner!$C$43)</f>
        <v>-1.9775</v>
      </c>
      <c r="ET105" s="24" t="n">
        <f aca="false">ET$21*(0-Planner!$C$43)</f>
        <v>-2.2365</v>
      </c>
      <c r="EU105" s="24" t="n">
        <f aca="false">EU$21*(0-Planner!$C$43)</f>
        <v>-1.225</v>
      </c>
    </row>
    <row r="106" customFormat="false" ht="15" hidden="false" customHeight="false" outlineLevel="0" collapsed="false">
      <c r="A106" s="4" t="s">
        <v>1046</v>
      </c>
      <c r="B106" s="75" t="s">
        <v>1017</v>
      </c>
      <c r="C106" s="78" t="n">
        <v>0</v>
      </c>
      <c r="D106" s="77" t="n">
        <v>-39.199999997333</v>
      </c>
      <c r="E106" s="75" t="str">
        <f aca="false">IF(D106&lt;=C106+0.000001*MAX(1,ABS(C106)),IF(ABS(D106-C106)&lt;=0.000001*MAX(1,ABS(C106)),"tight","ok"),"VIOLATED")</f>
        <v>ok</v>
      </c>
      <c r="F106" s="24" t="n">
        <f aca="false">F$21*(0-Planner!$C$43)</f>
        <v>-7.875</v>
      </c>
      <c r="G106" s="24" t="n">
        <f aca="false">G$21*(0-Planner!$C$43)</f>
        <v>-6.328</v>
      </c>
      <c r="H106" s="24" t="n">
        <f aca="false">H$21*(0-Planner!$C$43)</f>
        <v>-6.881</v>
      </c>
      <c r="I106" s="24" t="n">
        <f aca="false">I$21*(0-Planner!$C$43)</f>
        <v>-5.7155</v>
      </c>
      <c r="J106" s="24" t="n">
        <f aca="false">J$21*(0-Planner!$C$43)</f>
        <v>-6.5555</v>
      </c>
      <c r="K106" s="24" t="n">
        <f aca="false">K$21*(0-Planner!$C$43)</f>
        <v>-6.51</v>
      </c>
      <c r="L106" s="24" t="n">
        <f aca="false">L$21*(0-Planner!$C$43)</f>
        <v>-4.417</v>
      </c>
      <c r="M106" s="24" t="n">
        <f aca="false">M$21*(0-Planner!$C$43)</f>
        <v>-7.6125</v>
      </c>
      <c r="N106" s="24" t="n">
        <f aca="false">N$21*(0-Planner!$C$43)</f>
        <v>-6.0095</v>
      </c>
      <c r="O106" s="24" t="n">
        <f aca="false">O$21*(0-Planner!$C$43)</f>
        <v>-7.2975</v>
      </c>
      <c r="P106" s="24" t="n">
        <f aca="false">P$21*(0-Planner!$C$43)</f>
        <v>-5.81</v>
      </c>
      <c r="Q106" s="24" t="n">
        <f aca="false">Q$21*(0-Planner!$C$43)</f>
        <v>-7.399</v>
      </c>
      <c r="R106" s="24" t="n">
        <f aca="false">R$21*(0-Planner!$C$43)</f>
        <v>-7.679</v>
      </c>
      <c r="S106" s="24" t="n">
        <f aca="false">S$21*(0-Planner!$C$43)</f>
        <v>-6.972</v>
      </c>
      <c r="T106" s="24" t="n">
        <f aca="false">T$21*(0-Planner!$C$43)</f>
        <v>-6.804</v>
      </c>
      <c r="U106" s="24" t="n">
        <f aca="false">U$21*(0-Planner!$C$43)</f>
        <v>-7.147</v>
      </c>
      <c r="V106" s="24" t="n">
        <f aca="false">V$21*(0-Planner!$C$43)</f>
        <v>-4.7635</v>
      </c>
      <c r="W106" s="24" t="n">
        <f aca="false">W$21*(0-Planner!$C$43)</f>
        <v>-7.028</v>
      </c>
      <c r="X106" s="24" t="n">
        <f aca="false">X$21*(0-Planner!$C$43)</f>
        <v>-4.396</v>
      </c>
      <c r="Y106" s="24" t="n">
        <f aca="false">Y$21*(0-Planner!$C$43)</f>
        <v>-2.1105</v>
      </c>
      <c r="Z106" s="24" t="n">
        <f aca="false">Z$21*(0-Planner!$C$43)</f>
        <v>-7.56</v>
      </c>
      <c r="AA106" s="24" t="n">
        <f aca="false">AA$21*(0-Planner!$C$43)</f>
        <v>-1.659</v>
      </c>
      <c r="AB106" s="24" t="n">
        <f aca="false">AB$21*(0-Planner!$C$43)</f>
        <v>-8.232</v>
      </c>
      <c r="AC106" s="24" t="n">
        <f aca="false">AC$21*(0-Planner!$C$43)</f>
        <v>-1.722</v>
      </c>
      <c r="AD106" s="24" t="n">
        <f aca="false">AD$21*(0-Planner!$C$43)</f>
        <v>-2.5795</v>
      </c>
      <c r="AE106" s="24" t="n">
        <f aca="false">AE$21*(0-Planner!$C$43)</f>
        <v>-7.651</v>
      </c>
      <c r="AF106" s="24" t="n">
        <f aca="false">AF$21*(0-Planner!$C$43)</f>
        <v>-1.827</v>
      </c>
      <c r="AG106" s="24" t="n">
        <f aca="false">AG$21*(0-Planner!$C$43)</f>
        <v>-8.253</v>
      </c>
      <c r="AH106" s="24" t="n">
        <f aca="false">AH$21*(0-Planner!$C$43)</f>
        <v>-8.6205</v>
      </c>
      <c r="AI106" s="24" t="n">
        <f aca="false">AI$21*(0-Planner!$C$43)</f>
        <v>-7.511</v>
      </c>
      <c r="AJ106" s="24" t="n">
        <f aca="false">AJ$21*(0-Planner!$C$43)</f>
        <v>-2.6355</v>
      </c>
      <c r="AK106" s="24" t="n">
        <f aca="false">AK$21*(0-Planner!$C$43)</f>
        <v>-7.8155</v>
      </c>
      <c r="AL106" s="24" t="n">
        <f aca="false">AL$21*(0-Planner!$C$43)</f>
        <v>-7.7735</v>
      </c>
      <c r="AM106" s="24" t="n">
        <f aca="false">AM$21*(0-Planner!$C$43)</f>
        <v>-1.61</v>
      </c>
      <c r="AN106" s="24" t="n">
        <f aca="false">AN$21*(0-Planner!$C$43)</f>
        <v>-7.497</v>
      </c>
      <c r="AO106" s="24" t="n">
        <f aca="false">AO$21*(0-Planner!$C$43)</f>
        <v>-3.535</v>
      </c>
      <c r="AP106" s="24" t="n">
        <f aca="false">AP$21*(0-Planner!$C$43)</f>
        <v>-1.155</v>
      </c>
      <c r="AQ106" s="24" t="n">
        <f aca="false">AQ$21*(1-Planner!$C$43)</f>
        <v>6.6235</v>
      </c>
      <c r="AR106" s="24" t="n">
        <f aca="false">AR$21*(0-Planner!$C$43)</f>
        <v>-0.91</v>
      </c>
      <c r="AS106" s="24" t="n">
        <f aca="false">AS$21*(0-Planner!$C$43)</f>
        <v>-1.1025</v>
      </c>
      <c r="AT106" s="24" t="n">
        <f aca="false">AT$21*(0-Planner!$C$43)</f>
        <v>-6.3455</v>
      </c>
      <c r="AU106" s="24" t="n">
        <f aca="false">AU$21*(0-Planner!$C$43)</f>
        <v>-8.0045</v>
      </c>
      <c r="AV106" s="24" t="n">
        <f aca="false">AV$21*(0-Planner!$C$43)</f>
        <v>-3.6575</v>
      </c>
      <c r="AW106" s="24" t="n">
        <f aca="false">AW$21*(0-Planner!$C$43)</f>
        <v>-8.3125</v>
      </c>
      <c r="AX106" s="24" t="n">
        <f aca="false">AX$21*(0-Planner!$C$43)</f>
        <v>-3.696</v>
      </c>
      <c r="AY106" s="24" t="n">
        <f aca="false">AY$21*(0-Planner!$C$43)</f>
        <v>-2.639</v>
      </c>
      <c r="AZ106" s="24" t="n">
        <f aca="false">AZ$21*(0-Planner!$C$43)</f>
        <v>-4.2315</v>
      </c>
      <c r="BA106" s="24" t="n">
        <f aca="false">BA$21*(0-Planner!$C$43)</f>
        <v>-1.995</v>
      </c>
      <c r="BB106" s="24" t="n">
        <f aca="false">BB$21*(0-Planner!$C$43)</f>
        <v>-2.8035</v>
      </c>
      <c r="BC106" s="24" t="n">
        <f aca="false">BC$21*(0-Planner!$C$43)</f>
        <v>-4.942</v>
      </c>
      <c r="BD106" s="24" t="n">
        <f aca="false">BD$21*(0-Planner!$C$43)</f>
        <v>-4.6025</v>
      </c>
      <c r="BE106" s="24" t="n">
        <f aca="false">BE$21*(0-Planner!$C$43)</f>
        <v>-4.564</v>
      </c>
      <c r="BF106" s="24" t="n">
        <f aca="false">BF$21*(0-Planner!$C$43)</f>
        <v>-3.0975</v>
      </c>
      <c r="BG106" s="24" t="n">
        <f aca="false">BG$21*(0-Planner!$C$43)</f>
        <v>-2.4955</v>
      </c>
      <c r="BH106" s="24" t="n">
        <f aca="false">BH$21*(0-Planner!$C$43)</f>
        <v>-4.3575</v>
      </c>
      <c r="BI106" s="24" t="n">
        <f aca="false">BI$21*(0-Planner!$C$43)</f>
        <v>-4.8545</v>
      </c>
      <c r="BJ106" s="24" t="n">
        <f aca="false">BJ$21*(0-Planner!$C$43)</f>
        <v>-2.6565</v>
      </c>
      <c r="BK106" s="24" t="n">
        <f aca="false">BK$21*(0-Planner!$C$43)</f>
        <v>-0.6825</v>
      </c>
      <c r="BL106" s="24" t="n">
        <f aca="false">BL$21*(0-Planner!$C$43)</f>
        <v>-1.057</v>
      </c>
      <c r="BM106" s="24" t="n">
        <f aca="false">BM$21*(0-Planner!$C$43)</f>
        <v>-0.784</v>
      </c>
      <c r="BN106" s="24" t="n">
        <f aca="false">BN$21*(0-Planner!$C$43)</f>
        <v>-1.0535</v>
      </c>
      <c r="BO106" s="24" t="n">
        <f aca="false">BO$21*(0-Planner!$C$43)</f>
        <v>-1.827</v>
      </c>
      <c r="BP106" s="24" t="n">
        <f aca="false">BP$21*(0-Planner!$C$43)</f>
        <v>-0.7175</v>
      </c>
      <c r="BQ106" s="24" t="n">
        <f aca="false">BQ$21*(0-Planner!$C$43)</f>
        <v>-0.5495</v>
      </c>
      <c r="BR106" s="24" t="n">
        <f aca="false">BR$21*(0-Planner!$C$43)</f>
        <v>-0.091</v>
      </c>
      <c r="BS106" s="24" t="n">
        <f aca="false">BS$21*(0-Planner!$C$43)</f>
        <v>-0.0595</v>
      </c>
      <c r="BT106" s="24" t="n">
        <f aca="false">BT$21*(0-Planner!$C$43)</f>
        <v>-0.3815</v>
      </c>
      <c r="BU106" s="24" t="n">
        <f aca="false">BU$21*(0-Planner!$C$43)</f>
        <v>-0.4865</v>
      </c>
      <c r="BV106" s="24" t="n">
        <f aca="false">BV$21*(0-Planner!$C$43)</f>
        <v>-0.147</v>
      </c>
      <c r="BW106" s="24" t="n">
        <f aca="false">BW$21*(0-Planner!$C$43)</f>
        <v>-0.294</v>
      </c>
      <c r="BX106" s="24" t="n">
        <f aca="false">BX$21*(0-Planner!$C$43)</f>
        <v>-0.371</v>
      </c>
      <c r="BY106" s="24" t="n">
        <f aca="false">BY$21*(0-Planner!$C$43)</f>
        <v>-0.2975</v>
      </c>
      <c r="BZ106" s="24" t="n">
        <f aca="false">BZ$21*(0-Planner!$C$43)</f>
        <v>-0.8575</v>
      </c>
      <c r="CA106" s="24" t="n">
        <f aca="false">CA$21*(0-Planner!$C$43)</f>
        <v>-1.1865</v>
      </c>
      <c r="CB106" s="24" t="n">
        <f aca="false">CB$21*(0-Planner!$C$43)</f>
        <v>-0.0595</v>
      </c>
      <c r="CC106" s="24" t="n">
        <f aca="false">CC$21*(0-Planner!$C$43)</f>
        <v>-0.161</v>
      </c>
      <c r="CD106" s="24" t="n">
        <f aca="false">CD$21*(0-Planner!$C$43)</f>
        <v>-0.2205</v>
      </c>
      <c r="CE106" s="24" t="n">
        <f aca="false">CE$21*(0-Planner!$C$43)</f>
        <v>-0.252</v>
      </c>
      <c r="CF106" s="24" t="n">
        <f aca="false">CF$21*(0-Planner!$C$43)</f>
        <v>-0.189</v>
      </c>
      <c r="CG106" s="24" t="n">
        <f aca="false">CG$21*(0-Planner!$C$43)</f>
        <v>-0.399</v>
      </c>
      <c r="CH106" s="24" t="n">
        <f aca="false">CH$21*(0-Planner!$C$43)</f>
        <v>-0.287</v>
      </c>
      <c r="CI106" s="24" t="n">
        <f aca="false">CI$21*(0-Planner!$C$43)</f>
        <v>-0.371</v>
      </c>
      <c r="CJ106" s="24" t="n">
        <f aca="false">CJ$21*(0-Planner!$C$43)</f>
        <v>-0.238</v>
      </c>
      <c r="CK106" s="24" t="n">
        <f aca="false">CK$21*(0-Planner!$C$43)</f>
        <v>-0.3185</v>
      </c>
      <c r="CL106" s="24" t="n">
        <f aca="false">CL$21*(0-Planner!$C$43)</f>
        <v>-0.1645</v>
      </c>
      <c r="CM106" s="24" t="n">
        <f aca="false">CM$21*(0-Planner!$C$43)</f>
        <v>-0.3185</v>
      </c>
      <c r="CN106" s="24" t="n">
        <f aca="false">CN$21*(0-Planner!$C$43)</f>
        <v>-0.2205</v>
      </c>
      <c r="CO106" s="24" t="n">
        <f aca="false">CO$21*(0-Planner!$C$43)</f>
        <v>-0.126</v>
      </c>
      <c r="CP106" s="24" t="n">
        <f aca="false">CP$21*(0-Planner!$C$43)</f>
        <v>-0.119</v>
      </c>
      <c r="CQ106" s="24" t="n">
        <f aca="false">CQ$21*(0-Planner!$C$43)</f>
        <v>-0.189</v>
      </c>
      <c r="CR106" s="24" t="n">
        <f aca="false">CR$21*(0-Planner!$C$43)</f>
        <v>-0.147</v>
      </c>
      <c r="CS106" s="24" t="n">
        <f aca="false">CS$21*(0-Planner!$C$43)</f>
        <v>-0.245</v>
      </c>
      <c r="CT106" s="24" t="n">
        <f aca="false">CT$21*(0-Planner!$C$43)</f>
        <v>-0.763</v>
      </c>
      <c r="CU106" s="24" t="n">
        <f aca="false">CU$21*(0-Planner!$C$43)</f>
        <v>-1.0745</v>
      </c>
      <c r="CV106" s="24" t="n">
        <f aca="false">CV$21*(0-Planner!$C$43)</f>
        <v>-0.42</v>
      </c>
      <c r="CW106" s="24" t="n">
        <f aca="false">CW$21*(0-Planner!$C$43)</f>
        <v>-0.2345</v>
      </c>
      <c r="CX106" s="24" t="n">
        <f aca="false">CX$21*(0-Planner!$C$43)</f>
        <v>-0.1505</v>
      </c>
      <c r="CY106" s="24" t="n">
        <f aca="false">CY$21*(0-Planner!$C$43)</f>
        <v>-0.2135</v>
      </c>
      <c r="CZ106" s="24" t="n">
        <f aca="false">CZ$21*(0-Planner!$C$43)</f>
        <v>-0.28</v>
      </c>
      <c r="DA106" s="24" t="n">
        <f aca="false">DA$21*(0-Planner!$C$43)</f>
        <v>-0.77</v>
      </c>
      <c r="DB106" s="24" t="n">
        <f aca="false">DB$21*(0-Planner!$C$43)</f>
        <v>-0.224</v>
      </c>
      <c r="DC106" s="24" t="n">
        <f aca="false">DC$21*(0-Planner!$C$43)</f>
        <v>-0.2555</v>
      </c>
      <c r="DD106" s="24" t="n">
        <f aca="false">DD$21*(0-Planner!$C$43)</f>
        <v>-1.071</v>
      </c>
      <c r="DE106" s="24" t="n">
        <f aca="false">DE$21*(0-Planner!$C$43)</f>
        <v>-1.323</v>
      </c>
      <c r="DF106" s="24" t="n">
        <f aca="false">DF$21*(0-Planner!$C$43)</f>
        <v>-0.35</v>
      </c>
      <c r="DG106" s="24" t="n">
        <f aca="false">DG$21*(0-Planner!$C$43)</f>
        <v>-0.448</v>
      </c>
      <c r="DH106" s="24" t="n">
        <f aca="false">DH$21*(0-Planner!$C$43)</f>
        <v>-0.5005</v>
      </c>
      <c r="DI106" s="24" t="n">
        <f aca="false">DI$21*(0-Planner!$C$43)</f>
        <v>-0.3255</v>
      </c>
      <c r="DJ106" s="24" t="n">
        <f aca="false">DJ$21*(0-Planner!$C$43)</f>
        <v>-0.203</v>
      </c>
      <c r="DK106" s="24" t="n">
        <f aca="false">DK$21*(0-Planner!$C$43)</f>
        <v>-0.273</v>
      </c>
      <c r="DL106" s="24" t="n">
        <f aca="false">DL$21*(0-Planner!$C$43)</f>
        <v>-0.7035</v>
      </c>
      <c r="DM106" s="24" t="n">
        <f aca="false">DM$21*(0-Planner!$C$43)</f>
        <v>-0.2415</v>
      </c>
      <c r="DN106" s="24" t="n">
        <f aca="false">DN$21*(0-Planner!$C$43)</f>
        <v>-1.057</v>
      </c>
      <c r="DO106" s="24" t="n">
        <f aca="false">DO$21*(0-Planner!$C$43)</f>
        <v>-0.9415</v>
      </c>
      <c r="DP106" s="24" t="n">
        <f aca="false">DP$21*(0-Planner!$C$43)</f>
        <v>-0.2275</v>
      </c>
      <c r="DQ106" s="24" t="n">
        <f aca="false">DQ$21*(0-Planner!$C$43)</f>
        <v>-0.252</v>
      </c>
      <c r="DR106" s="24" t="n">
        <f aca="false">DR$21*(0-Planner!$C$43)</f>
        <v>-0.6265</v>
      </c>
      <c r="DS106" s="24" t="n">
        <f aca="false">DS$21*(0-Planner!$C$43)</f>
        <v>-0.301</v>
      </c>
      <c r="DT106" s="24" t="n">
        <f aca="false">DT$21*(0-Planner!$C$43)</f>
        <v>-0.315</v>
      </c>
      <c r="DU106" s="24" t="n">
        <f aca="false">DU$21*(0-Planner!$C$43)</f>
        <v>-0.931</v>
      </c>
      <c r="DV106" s="24" t="n">
        <f aca="false">DV$21*(0-Planner!$C$43)</f>
        <v>-1.1655</v>
      </c>
      <c r="DW106" s="24" t="n">
        <f aca="false">DW$21*(0-Planner!$C$43)</f>
        <v>-1.0815</v>
      </c>
      <c r="DX106" s="24" t="n">
        <f aca="false">DX$21*(0-Planner!$C$43)</f>
        <v>-0.8715</v>
      </c>
      <c r="DY106" s="24" t="n">
        <f aca="false">DY$21*(0-Planner!$C$43)</f>
        <v>-0.5915</v>
      </c>
      <c r="DZ106" s="24" t="n">
        <f aca="false">DZ$21*(0-Planner!$C$43)</f>
        <v>-0.385</v>
      </c>
      <c r="EA106" s="24" t="n">
        <f aca="false">EA$21*(0-Planner!$C$43)</f>
        <v>-0.385</v>
      </c>
      <c r="EB106" s="24" t="n">
        <f aca="false">EB$21*(0-Planner!$C$43)</f>
        <v>-0.238</v>
      </c>
      <c r="EC106" s="24" t="n">
        <f aca="false">EC$21*(0-Planner!$C$43)</f>
        <v>-0.3465</v>
      </c>
      <c r="ED106" s="24" t="n">
        <f aca="false">ED$21*(0-Planner!$C$43)</f>
        <v>-0.4305</v>
      </c>
      <c r="EE106" s="24" t="n">
        <f aca="false">EE$21*(0-Planner!$C$43)</f>
        <v>-0.3185</v>
      </c>
      <c r="EF106" s="24" t="n">
        <f aca="false">EF$21*(0-Planner!$C$43)</f>
        <v>-0.7385</v>
      </c>
      <c r="EG106" s="24" t="n">
        <f aca="false">EG$21*(0-Planner!$C$43)</f>
        <v>-1.001</v>
      </c>
      <c r="EH106" s="24" t="n">
        <f aca="false">EH$21*(0-Planner!$C$43)</f>
        <v>-1.2705</v>
      </c>
      <c r="EI106" s="24" t="n">
        <f aca="false">EI$21*(0-Planner!$C$43)</f>
        <v>-0.2765</v>
      </c>
      <c r="EJ106" s="24" t="n">
        <f aca="false">EJ$21*(0-Planner!$C$43)</f>
        <v>-0.308</v>
      </c>
      <c r="EK106" s="24" t="n">
        <f aca="false">EK$21*(0-Planner!$C$43)</f>
        <v>-0.8645</v>
      </c>
      <c r="EL106" s="24" t="n">
        <f aca="false">EL$21*(0-Planner!$C$43)</f>
        <v>-0.4235</v>
      </c>
      <c r="EM106" s="24" t="n">
        <f aca="false">EM$21*(0-Planner!$C$43)</f>
        <v>-0.2975</v>
      </c>
      <c r="EN106" s="24" t="n">
        <f aca="false">EN$21*(0-Planner!$C$43)</f>
        <v>-0</v>
      </c>
      <c r="EO106" s="24" t="n">
        <f aca="false">EO$21*(0-Planner!$C$43)</f>
        <v>-0</v>
      </c>
      <c r="EP106" s="24" t="n">
        <f aca="false">EP$21*(0-Planner!$C$43)</f>
        <v>-7.4025</v>
      </c>
      <c r="EQ106" s="24" t="n">
        <f aca="false">EQ$21*(0-Planner!$C$43)</f>
        <v>-0.686</v>
      </c>
      <c r="ER106" s="24" t="n">
        <f aca="false">ER$21*(0-Planner!$C$43)</f>
        <v>-1.785</v>
      </c>
      <c r="ES106" s="24" t="n">
        <f aca="false">ES$21*(0-Planner!$C$43)</f>
        <v>-1.9775</v>
      </c>
      <c r="ET106" s="24" t="n">
        <f aca="false">ET$21*(0-Planner!$C$43)</f>
        <v>-2.2365</v>
      </c>
      <c r="EU106" s="24" t="n">
        <f aca="false">EU$21*(0-Planner!$C$43)</f>
        <v>-1.225</v>
      </c>
    </row>
    <row r="107" customFormat="false" ht="15" hidden="false" customHeight="false" outlineLevel="0" collapsed="false">
      <c r="A107" s="4" t="s">
        <v>1047</v>
      </c>
      <c r="B107" s="75" t="s">
        <v>1017</v>
      </c>
      <c r="C107" s="78" t="n">
        <v>0</v>
      </c>
      <c r="D107" s="77" t="n">
        <v>-39.199999997333</v>
      </c>
      <c r="E107" s="75" t="str">
        <f aca="false">IF(D107&lt;=C107+0.000001*MAX(1,ABS(C107)),IF(ABS(D107-C107)&lt;=0.000001*MAX(1,ABS(C107)),"tight","ok"),"VIOLATED")</f>
        <v>ok</v>
      </c>
      <c r="F107" s="24" t="n">
        <f aca="false">F$21*(0-Planner!$C$43)</f>
        <v>-7.875</v>
      </c>
      <c r="G107" s="24" t="n">
        <f aca="false">G$21*(0-Planner!$C$43)</f>
        <v>-6.328</v>
      </c>
      <c r="H107" s="24" t="n">
        <f aca="false">H$21*(0-Planner!$C$43)</f>
        <v>-6.881</v>
      </c>
      <c r="I107" s="24" t="n">
        <f aca="false">I$21*(0-Planner!$C$43)</f>
        <v>-5.7155</v>
      </c>
      <c r="J107" s="24" t="n">
        <f aca="false">J$21*(0-Planner!$C$43)</f>
        <v>-6.5555</v>
      </c>
      <c r="K107" s="24" t="n">
        <f aca="false">K$21*(0-Planner!$C$43)</f>
        <v>-6.51</v>
      </c>
      <c r="L107" s="24" t="n">
        <f aca="false">L$21*(0-Planner!$C$43)</f>
        <v>-4.417</v>
      </c>
      <c r="M107" s="24" t="n">
        <f aca="false">M$21*(0-Planner!$C$43)</f>
        <v>-7.6125</v>
      </c>
      <c r="N107" s="24" t="n">
        <f aca="false">N$21*(0-Planner!$C$43)</f>
        <v>-6.0095</v>
      </c>
      <c r="O107" s="24" t="n">
        <f aca="false">O$21*(0-Planner!$C$43)</f>
        <v>-7.2975</v>
      </c>
      <c r="P107" s="24" t="n">
        <f aca="false">P$21*(0-Planner!$C$43)</f>
        <v>-5.81</v>
      </c>
      <c r="Q107" s="24" t="n">
        <f aca="false">Q$21*(0-Planner!$C$43)</f>
        <v>-7.399</v>
      </c>
      <c r="R107" s="24" t="n">
        <f aca="false">R$21*(0-Planner!$C$43)</f>
        <v>-7.679</v>
      </c>
      <c r="S107" s="24" t="n">
        <f aca="false">S$21*(0-Planner!$C$43)</f>
        <v>-6.972</v>
      </c>
      <c r="T107" s="24" t="n">
        <f aca="false">T$21*(0-Planner!$C$43)</f>
        <v>-6.804</v>
      </c>
      <c r="U107" s="24" t="n">
        <f aca="false">U$21*(0-Planner!$C$43)</f>
        <v>-7.147</v>
      </c>
      <c r="V107" s="24" t="n">
        <f aca="false">V$21*(0-Planner!$C$43)</f>
        <v>-4.7635</v>
      </c>
      <c r="W107" s="24" t="n">
        <f aca="false">W$21*(0-Planner!$C$43)</f>
        <v>-7.028</v>
      </c>
      <c r="X107" s="24" t="n">
        <f aca="false">X$21*(0-Planner!$C$43)</f>
        <v>-4.396</v>
      </c>
      <c r="Y107" s="24" t="n">
        <f aca="false">Y$21*(0-Planner!$C$43)</f>
        <v>-2.1105</v>
      </c>
      <c r="Z107" s="24" t="n">
        <f aca="false">Z$21*(0-Planner!$C$43)</f>
        <v>-7.56</v>
      </c>
      <c r="AA107" s="24" t="n">
        <f aca="false">AA$21*(0-Planner!$C$43)</f>
        <v>-1.659</v>
      </c>
      <c r="AB107" s="24" t="n">
        <f aca="false">AB$21*(0-Planner!$C$43)</f>
        <v>-8.232</v>
      </c>
      <c r="AC107" s="24" t="n">
        <f aca="false">AC$21*(0-Planner!$C$43)</f>
        <v>-1.722</v>
      </c>
      <c r="AD107" s="24" t="n">
        <f aca="false">AD$21*(0-Planner!$C$43)</f>
        <v>-2.5795</v>
      </c>
      <c r="AE107" s="24" t="n">
        <f aca="false">AE$21*(0-Planner!$C$43)</f>
        <v>-7.651</v>
      </c>
      <c r="AF107" s="24" t="n">
        <f aca="false">AF$21*(0-Planner!$C$43)</f>
        <v>-1.827</v>
      </c>
      <c r="AG107" s="24" t="n">
        <f aca="false">AG$21*(0-Planner!$C$43)</f>
        <v>-8.253</v>
      </c>
      <c r="AH107" s="24" t="n">
        <f aca="false">AH$21*(0-Planner!$C$43)</f>
        <v>-8.6205</v>
      </c>
      <c r="AI107" s="24" t="n">
        <f aca="false">AI$21*(0-Planner!$C$43)</f>
        <v>-7.511</v>
      </c>
      <c r="AJ107" s="24" t="n">
        <f aca="false">AJ$21*(0-Planner!$C$43)</f>
        <v>-2.6355</v>
      </c>
      <c r="AK107" s="24" t="n">
        <f aca="false">AK$21*(0-Planner!$C$43)</f>
        <v>-7.8155</v>
      </c>
      <c r="AL107" s="24" t="n">
        <f aca="false">AL$21*(0-Planner!$C$43)</f>
        <v>-7.7735</v>
      </c>
      <c r="AM107" s="24" t="n">
        <f aca="false">AM$21*(0-Planner!$C$43)</f>
        <v>-1.61</v>
      </c>
      <c r="AN107" s="24" t="n">
        <f aca="false">AN$21*(0-Planner!$C$43)</f>
        <v>-7.497</v>
      </c>
      <c r="AO107" s="24" t="n">
        <f aca="false">AO$21*(0-Planner!$C$43)</f>
        <v>-3.535</v>
      </c>
      <c r="AP107" s="24" t="n">
        <f aca="false">AP$21*(0-Planner!$C$43)</f>
        <v>-1.155</v>
      </c>
      <c r="AQ107" s="24" t="n">
        <f aca="false">AQ$21*(0-Planner!$C$43)</f>
        <v>-3.5665</v>
      </c>
      <c r="AR107" s="24" t="n">
        <f aca="false">AR$21*(0-Planner!$C$43)</f>
        <v>-0.91</v>
      </c>
      <c r="AS107" s="24" t="n">
        <f aca="false">AS$21*(0-Planner!$C$43)</f>
        <v>-1.1025</v>
      </c>
      <c r="AT107" s="24" t="n">
        <f aca="false">AT$21*(1-Planner!$C$43)</f>
        <v>11.7845</v>
      </c>
      <c r="AU107" s="24" t="n">
        <f aca="false">AU$21*(0-Planner!$C$43)</f>
        <v>-8.0045</v>
      </c>
      <c r="AV107" s="24" t="n">
        <f aca="false">AV$21*(0-Planner!$C$43)</f>
        <v>-3.6575</v>
      </c>
      <c r="AW107" s="24" t="n">
        <f aca="false">AW$21*(0-Planner!$C$43)</f>
        <v>-8.3125</v>
      </c>
      <c r="AX107" s="24" t="n">
        <f aca="false">AX$21*(0-Planner!$C$43)</f>
        <v>-3.696</v>
      </c>
      <c r="AY107" s="24" t="n">
        <f aca="false">AY$21*(0-Planner!$C$43)</f>
        <v>-2.639</v>
      </c>
      <c r="AZ107" s="24" t="n">
        <f aca="false">AZ$21*(0-Planner!$C$43)</f>
        <v>-4.2315</v>
      </c>
      <c r="BA107" s="24" t="n">
        <f aca="false">BA$21*(0-Planner!$C$43)</f>
        <v>-1.995</v>
      </c>
      <c r="BB107" s="24" t="n">
        <f aca="false">BB$21*(0-Planner!$C$43)</f>
        <v>-2.8035</v>
      </c>
      <c r="BC107" s="24" t="n">
        <f aca="false">BC$21*(0-Planner!$C$43)</f>
        <v>-4.942</v>
      </c>
      <c r="BD107" s="24" t="n">
        <f aca="false">BD$21*(0-Planner!$C$43)</f>
        <v>-4.6025</v>
      </c>
      <c r="BE107" s="24" t="n">
        <f aca="false">BE$21*(0-Planner!$C$43)</f>
        <v>-4.564</v>
      </c>
      <c r="BF107" s="24" t="n">
        <f aca="false">BF$21*(0-Planner!$C$43)</f>
        <v>-3.0975</v>
      </c>
      <c r="BG107" s="24" t="n">
        <f aca="false">BG$21*(0-Planner!$C$43)</f>
        <v>-2.4955</v>
      </c>
      <c r="BH107" s="24" t="n">
        <f aca="false">BH$21*(0-Planner!$C$43)</f>
        <v>-4.3575</v>
      </c>
      <c r="BI107" s="24" t="n">
        <f aca="false">BI$21*(0-Planner!$C$43)</f>
        <v>-4.8545</v>
      </c>
      <c r="BJ107" s="24" t="n">
        <f aca="false">BJ$21*(0-Planner!$C$43)</f>
        <v>-2.6565</v>
      </c>
      <c r="BK107" s="24" t="n">
        <f aca="false">BK$21*(0-Planner!$C$43)</f>
        <v>-0.6825</v>
      </c>
      <c r="BL107" s="24" t="n">
        <f aca="false">BL$21*(0-Planner!$C$43)</f>
        <v>-1.057</v>
      </c>
      <c r="BM107" s="24" t="n">
        <f aca="false">BM$21*(0-Planner!$C$43)</f>
        <v>-0.784</v>
      </c>
      <c r="BN107" s="24" t="n">
        <f aca="false">BN$21*(0-Planner!$C$43)</f>
        <v>-1.0535</v>
      </c>
      <c r="BO107" s="24" t="n">
        <f aca="false">BO$21*(0-Planner!$C$43)</f>
        <v>-1.827</v>
      </c>
      <c r="BP107" s="24" t="n">
        <f aca="false">BP$21*(0-Planner!$C$43)</f>
        <v>-0.7175</v>
      </c>
      <c r="BQ107" s="24" t="n">
        <f aca="false">BQ$21*(0-Planner!$C$43)</f>
        <v>-0.5495</v>
      </c>
      <c r="BR107" s="24" t="n">
        <f aca="false">BR$21*(0-Planner!$C$43)</f>
        <v>-0.091</v>
      </c>
      <c r="BS107" s="24" t="n">
        <f aca="false">BS$21*(0-Planner!$C$43)</f>
        <v>-0.0595</v>
      </c>
      <c r="BT107" s="24" t="n">
        <f aca="false">BT$21*(0-Planner!$C$43)</f>
        <v>-0.3815</v>
      </c>
      <c r="BU107" s="24" t="n">
        <f aca="false">BU$21*(0-Planner!$C$43)</f>
        <v>-0.4865</v>
      </c>
      <c r="BV107" s="24" t="n">
        <f aca="false">BV$21*(0-Planner!$C$43)</f>
        <v>-0.147</v>
      </c>
      <c r="BW107" s="24" t="n">
        <f aca="false">BW$21*(0-Planner!$C$43)</f>
        <v>-0.294</v>
      </c>
      <c r="BX107" s="24" t="n">
        <f aca="false">BX$21*(0-Planner!$C$43)</f>
        <v>-0.371</v>
      </c>
      <c r="BY107" s="24" t="n">
        <f aca="false">BY$21*(0-Planner!$C$43)</f>
        <v>-0.2975</v>
      </c>
      <c r="BZ107" s="24" t="n">
        <f aca="false">BZ$21*(0-Planner!$C$43)</f>
        <v>-0.8575</v>
      </c>
      <c r="CA107" s="24" t="n">
        <f aca="false">CA$21*(0-Planner!$C$43)</f>
        <v>-1.1865</v>
      </c>
      <c r="CB107" s="24" t="n">
        <f aca="false">CB$21*(0-Planner!$C$43)</f>
        <v>-0.0595</v>
      </c>
      <c r="CC107" s="24" t="n">
        <f aca="false">CC$21*(0-Planner!$C$43)</f>
        <v>-0.161</v>
      </c>
      <c r="CD107" s="24" t="n">
        <f aca="false">CD$21*(0-Planner!$C$43)</f>
        <v>-0.2205</v>
      </c>
      <c r="CE107" s="24" t="n">
        <f aca="false">CE$21*(0-Planner!$C$43)</f>
        <v>-0.252</v>
      </c>
      <c r="CF107" s="24" t="n">
        <f aca="false">CF$21*(0-Planner!$C$43)</f>
        <v>-0.189</v>
      </c>
      <c r="CG107" s="24" t="n">
        <f aca="false">CG$21*(0-Planner!$C$43)</f>
        <v>-0.399</v>
      </c>
      <c r="CH107" s="24" t="n">
        <f aca="false">CH$21*(0-Planner!$C$43)</f>
        <v>-0.287</v>
      </c>
      <c r="CI107" s="24" t="n">
        <f aca="false">CI$21*(0-Planner!$C$43)</f>
        <v>-0.371</v>
      </c>
      <c r="CJ107" s="24" t="n">
        <f aca="false">CJ$21*(0-Planner!$C$43)</f>
        <v>-0.238</v>
      </c>
      <c r="CK107" s="24" t="n">
        <f aca="false">CK$21*(0-Planner!$C$43)</f>
        <v>-0.3185</v>
      </c>
      <c r="CL107" s="24" t="n">
        <f aca="false">CL$21*(0-Planner!$C$43)</f>
        <v>-0.1645</v>
      </c>
      <c r="CM107" s="24" t="n">
        <f aca="false">CM$21*(0-Planner!$C$43)</f>
        <v>-0.3185</v>
      </c>
      <c r="CN107" s="24" t="n">
        <f aca="false">CN$21*(0-Planner!$C$43)</f>
        <v>-0.2205</v>
      </c>
      <c r="CO107" s="24" t="n">
        <f aca="false">CO$21*(0-Planner!$C$43)</f>
        <v>-0.126</v>
      </c>
      <c r="CP107" s="24" t="n">
        <f aca="false">CP$21*(0-Planner!$C$43)</f>
        <v>-0.119</v>
      </c>
      <c r="CQ107" s="24" t="n">
        <f aca="false">CQ$21*(0-Planner!$C$43)</f>
        <v>-0.189</v>
      </c>
      <c r="CR107" s="24" t="n">
        <f aca="false">CR$21*(0-Planner!$C$43)</f>
        <v>-0.147</v>
      </c>
      <c r="CS107" s="24" t="n">
        <f aca="false">CS$21*(0-Planner!$C$43)</f>
        <v>-0.245</v>
      </c>
      <c r="CT107" s="24" t="n">
        <f aca="false">CT$21*(0-Planner!$C$43)</f>
        <v>-0.763</v>
      </c>
      <c r="CU107" s="24" t="n">
        <f aca="false">CU$21*(0-Planner!$C$43)</f>
        <v>-1.0745</v>
      </c>
      <c r="CV107" s="24" t="n">
        <f aca="false">CV$21*(0-Planner!$C$43)</f>
        <v>-0.42</v>
      </c>
      <c r="CW107" s="24" t="n">
        <f aca="false">CW$21*(0-Planner!$C$43)</f>
        <v>-0.2345</v>
      </c>
      <c r="CX107" s="24" t="n">
        <f aca="false">CX$21*(0-Planner!$C$43)</f>
        <v>-0.1505</v>
      </c>
      <c r="CY107" s="24" t="n">
        <f aca="false">CY$21*(0-Planner!$C$43)</f>
        <v>-0.2135</v>
      </c>
      <c r="CZ107" s="24" t="n">
        <f aca="false">CZ$21*(0-Planner!$C$43)</f>
        <v>-0.28</v>
      </c>
      <c r="DA107" s="24" t="n">
        <f aca="false">DA$21*(0-Planner!$C$43)</f>
        <v>-0.77</v>
      </c>
      <c r="DB107" s="24" t="n">
        <f aca="false">DB$21*(0-Planner!$C$43)</f>
        <v>-0.224</v>
      </c>
      <c r="DC107" s="24" t="n">
        <f aca="false">DC$21*(0-Planner!$C$43)</f>
        <v>-0.2555</v>
      </c>
      <c r="DD107" s="24" t="n">
        <f aca="false">DD$21*(0-Planner!$C$43)</f>
        <v>-1.071</v>
      </c>
      <c r="DE107" s="24" t="n">
        <f aca="false">DE$21*(0-Planner!$C$43)</f>
        <v>-1.323</v>
      </c>
      <c r="DF107" s="24" t="n">
        <f aca="false">DF$21*(0-Planner!$C$43)</f>
        <v>-0.35</v>
      </c>
      <c r="DG107" s="24" t="n">
        <f aca="false">DG$21*(0-Planner!$C$43)</f>
        <v>-0.448</v>
      </c>
      <c r="DH107" s="24" t="n">
        <f aca="false">DH$21*(0-Planner!$C$43)</f>
        <v>-0.5005</v>
      </c>
      <c r="DI107" s="24" t="n">
        <f aca="false">DI$21*(0-Planner!$C$43)</f>
        <v>-0.3255</v>
      </c>
      <c r="DJ107" s="24" t="n">
        <f aca="false">DJ$21*(0-Planner!$C$43)</f>
        <v>-0.203</v>
      </c>
      <c r="DK107" s="24" t="n">
        <f aca="false">DK$21*(0-Planner!$C$43)</f>
        <v>-0.273</v>
      </c>
      <c r="DL107" s="24" t="n">
        <f aca="false">DL$21*(0-Planner!$C$43)</f>
        <v>-0.7035</v>
      </c>
      <c r="DM107" s="24" t="n">
        <f aca="false">DM$21*(0-Planner!$C$43)</f>
        <v>-0.2415</v>
      </c>
      <c r="DN107" s="24" t="n">
        <f aca="false">DN$21*(0-Planner!$C$43)</f>
        <v>-1.057</v>
      </c>
      <c r="DO107" s="24" t="n">
        <f aca="false">DO$21*(0-Planner!$C$43)</f>
        <v>-0.9415</v>
      </c>
      <c r="DP107" s="24" t="n">
        <f aca="false">DP$21*(0-Planner!$C$43)</f>
        <v>-0.2275</v>
      </c>
      <c r="DQ107" s="24" t="n">
        <f aca="false">DQ$21*(0-Planner!$C$43)</f>
        <v>-0.252</v>
      </c>
      <c r="DR107" s="24" t="n">
        <f aca="false">DR$21*(0-Planner!$C$43)</f>
        <v>-0.6265</v>
      </c>
      <c r="DS107" s="24" t="n">
        <f aca="false">DS$21*(0-Planner!$C$43)</f>
        <v>-0.301</v>
      </c>
      <c r="DT107" s="24" t="n">
        <f aca="false">DT$21*(0-Planner!$C$43)</f>
        <v>-0.315</v>
      </c>
      <c r="DU107" s="24" t="n">
        <f aca="false">DU$21*(0-Planner!$C$43)</f>
        <v>-0.931</v>
      </c>
      <c r="DV107" s="24" t="n">
        <f aca="false">DV$21*(0-Planner!$C$43)</f>
        <v>-1.1655</v>
      </c>
      <c r="DW107" s="24" t="n">
        <f aca="false">DW$21*(0-Planner!$C$43)</f>
        <v>-1.0815</v>
      </c>
      <c r="DX107" s="24" t="n">
        <f aca="false">DX$21*(0-Planner!$C$43)</f>
        <v>-0.8715</v>
      </c>
      <c r="DY107" s="24" t="n">
        <f aca="false">DY$21*(0-Planner!$C$43)</f>
        <v>-0.5915</v>
      </c>
      <c r="DZ107" s="24" t="n">
        <f aca="false">DZ$21*(0-Planner!$C$43)</f>
        <v>-0.385</v>
      </c>
      <c r="EA107" s="24" t="n">
        <f aca="false">EA$21*(0-Planner!$C$43)</f>
        <v>-0.385</v>
      </c>
      <c r="EB107" s="24" t="n">
        <f aca="false">EB$21*(0-Planner!$C$43)</f>
        <v>-0.238</v>
      </c>
      <c r="EC107" s="24" t="n">
        <f aca="false">EC$21*(0-Planner!$C$43)</f>
        <v>-0.3465</v>
      </c>
      <c r="ED107" s="24" t="n">
        <f aca="false">ED$21*(0-Planner!$C$43)</f>
        <v>-0.4305</v>
      </c>
      <c r="EE107" s="24" t="n">
        <f aca="false">EE$21*(0-Planner!$C$43)</f>
        <v>-0.3185</v>
      </c>
      <c r="EF107" s="24" t="n">
        <f aca="false">EF$21*(0-Planner!$C$43)</f>
        <v>-0.7385</v>
      </c>
      <c r="EG107" s="24" t="n">
        <f aca="false">EG$21*(0-Planner!$C$43)</f>
        <v>-1.001</v>
      </c>
      <c r="EH107" s="24" t="n">
        <f aca="false">EH$21*(0-Planner!$C$43)</f>
        <v>-1.2705</v>
      </c>
      <c r="EI107" s="24" t="n">
        <f aca="false">EI$21*(0-Planner!$C$43)</f>
        <v>-0.2765</v>
      </c>
      <c r="EJ107" s="24" t="n">
        <f aca="false">EJ$21*(0-Planner!$C$43)</f>
        <v>-0.308</v>
      </c>
      <c r="EK107" s="24" t="n">
        <f aca="false">EK$21*(0-Planner!$C$43)</f>
        <v>-0.8645</v>
      </c>
      <c r="EL107" s="24" t="n">
        <f aca="false">EL$21*(0-Planner!$C$43)</f>
        <v>-0.4235</v>
      </c>
      <c r="EM107" s="24" t="n">
        <f aca="false">EM$21*(0-Planner!$C$43)</f>
        <v>-0.2975</v>
      </c>
      <c r="EN107" s="24" t="n">
        <f aca="false">EN$21*(0-Planner!$C$43)</f>
        <v>-0</v>
      </c>
      <c r="EO107" s="24" t="n">
        <f aca="false">EO$21*(0-Planner!$C$43)</f>
        <v>-0</v>
      </c>
      <c r="EP107" s="24" t="n">
        <f aca="false">EP$21*(0-Planner!$C$43)</f>
        <v>-7.4025</v>
      </c>
      <c r="EQ107" s="24" t="n">
        <f aca="false">EQ$21*(0-Planner!$C$43)</f>
        <v>-0.686</v>
      </c>
      <c r="ER107" s="24" t="n">
        <f aca="false">ER$21*(0-Planner!$C$43)</f>
        <v>-1.785</v>
      </c>
      <c r="ES107" s="24" t="n">
        <f aca="false">ES$21*(0-Planner!$C$43)</f>
        <v>-1.9775</v>
      </c>
      <c r="ET107" s="24" t="n">
        <f aca="false">ET$21*(0-Planner!$C$43)</f>
        <v>-2.2365</v>
      </c>
      <c r="EU107" s="24" t="n">
        <f aca="false">EU$21*(0-Planner!$C$43)</f>
        <v>-1.225</v>
      </c>
    </row>
    <row r="108" customFormat="false" ht="15" hidden="false" customHeight="false" outlineLevel="0" collapsed="false">
      <c r="A108" s="4" t="s">
        <v>1048</v>
      </c>
      <c r="B108" s="75" t="s">
        <v>1017</v>
      </c>
      <c r="C108" s="78" t="n">
        <v>0</v>
      </c>
      <c r="D108" s="77" t="n">
        <v>-39.199999997333</v>
      </c>
      <c r="E108" s="75" t="str">
        <f aca="false">IF(D108&lt;=C108+0.000001*MAX(1,ABS(C108)),IF(ABS(D108-C108)&lt;=0.000001*MAX(1,ABS(C108)),"tight","ok"),"VIOLATED")</f>
        <v>ok</v>
      </c>
      <c r="F108" s="24" t="n">
        <f aca="false">F$21*(0-Planner!$C$43)</f>
        <v>-7.875</v>
      </c>
      <c r="G108" s="24" t="n">
        <f aca="false">G$21*(0-Planner!$C$43)</f>
        <v>-6.328</v>
      </c>
      <c r="H108" s="24" t="n">
        <f aca="false">H$21*(0-Planner!$C$43)</f>
        <v>-6.881</v>
      </c>
      <c r="I108" s="24" t="n">
        <f aca="false">I$21*(0-Planner!$C$43)</f>
        <v>-5.7155</v>
      </c>
      <c r="J108" s="24" t="n">
        <f aca="false">J$21*(0-Planner!$C$43)</f>
        <v>-6.5555</v>
      </c>
      <c r="K108" s="24" t="n">
        <f aca="false">K$21*(0-Planner!$C$43)</f>
        <v>-6.51</v>
      </c>
      <c r="L108" s="24" t="n">
        <f aca="false">L$21*(0-Planner!$C$43)</f>
        <v>-4.417</v>
      </c>
      <c r="M108" s="24" t="n">
        <f aca="false">M$21*(0-Planner!$C$43)</f>
        <v>-7.6125</v>
      </c>
      <c r="N108" s="24" t="n">
        <f aca="false">N$21*(0-Planner!$C$43)</f>
        <v>-6.0095</v>
      </c>
      <c r="O108" s="24" t="n">
        <f aca="false">O$21*(0-Planner!$C$43)</f>
        <v>-7.2975</v>
      </c>
      <c r="P108" s="24" t="n">
        <f aca="false">P$21*(0-Planner!$C$43)</f>
        <v>-5.81</v>
      </c>
      <c r="Q108" s="24" t="n">
        <f aca="false">Q$21*(0-Planner!$C$43)</f>
        <v>-7.399</v>
      </c>
      <c r="R108" s="24" t="n">
        <f aca="false">R$21*(0-Planner!$C$43)</f>
        <v>-7.679</v>
      </c>
      <c r="S108" s="24" t="n">
        <f aca="false">S$21*(0-Planner!$C$43)</f>
        <v>-6.972</v>
      </c>
      <c r="T108" s="24" t="n">
        <f aca="false">T$21*(0-Planner!$C$43)</f>
        <v>-6.804</v>
      </c>
      <c r="U108" s="24" t="n">
        <f aca="false">U$21*(0-Planner!$C$43)</f>
        <v>-7.147</v>
      </c>
      <c r="V108" s="24" t="n">
        <f aca="false">V$21*(0-Planner!$C$43)</f>
        <v>-4.7635</v>
      </c>
      <c r="W108" s="24" t="n">
        <f aca="false">W$21*(0-Planner!$C$43)</f>
        <v>-7.028</v>
      </c>
      <c r="X108" s="24" t="n">
        <f aca="false">X$21*(0-Planner!$C$43)</f>
        <v>-4.396</v>
      </c>
      <c r="Y108" s="24" t="n">
        <f aca="false">Y$21*(0-Planner!$C$43)</f>
        <v>-2.1105</v>
      </c>
      <c r="Z108" s="24" t="n">
        <f aca="false">Z$21*(0-Planner!$C$43)</f>
        <v>-7.56</v>
      </c>
      <c r="AA108" s="24" t="n">
        <f aca="false">AA$21*(0-Planner!$C$43)</f>
        <v>-1.659</v>
      </c>
      <c r="AB108" s="24" t="n">
        <f aca="false">AB$21*(0-Planner!$C$43)</f>
        <v>-8.232</v>
      </c>
      <c r="AC108" s="24" t="n">
        <f aca="false">AC$21*(0-Planner!$C$43)</f>
        <v>-1.722</v>
      </c>
      <c r="AD108" s="24" t="n">
        <f aca="false">AD$21*(0-Planner!$C$43)</f>
        <v>-2.5795</v>
      </c>
      <c r="AE108" s="24" t="n">
        <f aca="false">AE$21*(0-Planner!$C$43)</f>
        <v>-7.651</v>
      </c>
      <c r="AF108" s="24" t="n">
        <f aca="false">AF$21*(0-Planner!$C$43)</f>
        <v>-1.827</v>
      </c>
      <c r="AG108" s="24" t="n">
        <f aca="false">AG$21*(0-Planner!$C$43)</f>
        <v>-8.253</v>
      </c>
      <c r="AH108" s="24" t="n">
        <f aca="false">AH$21*(0-Planner!$C$43)</f>
        <v>-8.6205</v>
      </c>
      <c r="AI108" s="24" t="n">
        <f aca="false">AI$21*(0-Planner!$C$43)</f>
        <v>-7.511</v>
      </c>
      <c r="AJ108" s="24" t="n">
        <f aca="false">AJ$21*(0-Planner!$C$43)</f>
        <v>-2.6355</v>
      </c>
      <c r="AK108" s="24" t="n">
        <f aca="false">AK$21*(0-Planner!$C$43)</f>
        <v>-7.8155</v>
      </c>
      <c r="AL108" s="24" t="n">
        <f aca="false">AL$21*(0-Planner!$C$43)</f>
        <v>-7.7735</v>
      </c>
      <c r="AM108" s="24" t="n">
        <f aca="false">AM$21*(0-Planner!$C$43)</f>
        <v>-1.61</v>
      </c>
      <c r="AN108" s="24" t="n">
        <f aca="false">AN$21*(0-Planner!$C$43)</f>
        <v>-7.497</v>
      </c>
      <c r="AO108" s="24" t="n">
        <f aca="false">AO$21*(0-Planner!$C$43)</f>
        <v>-3.535</v>
      </c>
      <c r="AP108" s="24" t="n">
        <f aca="false">AP$21*(0-Planner!$C$43)</f>
        <v>-1.155</v>
      </c>
      <c r="AQ108" s="24" t="n">
        <f aca="false">AQ$21*(0-Planner!$C$43)</f>
        <v>-3.5665</v>
      </c>
      <c r="AR108" s="24" t="n">
        <f aca="false">AR$21*(0-Planner!$C$43)</f>
        <v>-0.91</v>
      </c>
      <c r="AS108" s="24" t="n">
        <f aca="false">AS$21*(0-Planner!$C$43)</f>
        <v>-1.1025</v>
      </c>
      <c r="AT108" s="24" t="n">
        <f aca="false">AT$21*(0-Planner!$C$43)</f>
        <v>-6.3455</v>
      </c>
      <c r="AU108" s="24" t="n">
        <f aca="false">AU$21*(1-Planner!$C$43)</f>
        <v>14.8655</v>
      </c>
      <c r="AV108" s="24" t="n">
        <f aca="false">AV$21*(0-Planner!$C$43)</f>
        <v>-3.6575</v>
      </c>
      <c r="AW108" s="24" t="n">
        <f aca="false">AW$21*(0-Planner!$C$43)</f>
        <v>-8.3125</v>
      </c>
      <c r="AX108" s="24" t="n">
        <f aca="false">AX$21*(0-Planner!$C$43)</f>
        <v>-3.696</v>
      </c>
      <c r="AY108" s="24" t="n">
        <f aca="false">AY$21*(0-Planner!$C$43)</f>
        <v>-2.639</v>
      </c>
      <c r="AZ108" s="24" t="n">
        <f aca="false">AZ$21*(0-Planner!$C$43)</f>
        <v>-4.2315</v>
      </c>
      <c r="BA108" s="24" t="n">
        <f aca="false">BA$21*(0-Planner!$C$43)</f>
        <v>-1.995</v>
      </c>
      <c r="BB108" s="24" t="n">
        <f aca="false">BB$21*(0-Planner!$C$43)</f>
        <v>-2.8035</v>
      </c>
      <c r="BC108" s="24" t="n">
        <f aca="false">BC$21*(0-Planner!$C$43)</f>
        <v>-4.942</v>
      </c>
      <c r="BD108" s="24" t="n">
        <f aca="false">BD$21*(0-Planner!$C$43)</f>
        <v>-4.6025</v>
      </c>
      <c r="BE108" s="24" t="n">
        <f aca="false">BE$21*(0-Planner!$C$43)</f>
        <v>-4.564</v>
      </c>
      <c r="BF108" s="24" t="n">
        <f aca="false">BF$21*(0-Planner!$C$43)</f>
        <v>-3.0975</v>
      </c>
      <c r="BG108" s="24" t="n">
        <f aca="false">BG$21*(0-Planner!$C$43)</f>
        <v>-2.4955</v>
      </c>
      <c r="BH108" s="24" t="n">
        <f aca="false">BH$21*(0-Planner!$C$43)</f>
        <v>-4.3575</v>
      </c>
      <c r="BI108" s="24" t="n">
        <f aca="false">BI$21*(0-Planner!$C$43)</f>
        <v>-4.8545</v>
      </c>
      <c r="BJ108" s="24" t="n">
        <f aca="false">BJ$21*(0-Planner!$C$43)</f>
        <v>-2.6565</v>
      </c>
      <c r="BK108" s="24" t="n">
        <f aca="false">BK$21*(0-Planner!$C$43)</f>
        <v>-0.6825</v>
      </c>
      <c r="BL108" s="24" t="n">
        <f aca="false">BL$21*(0-Planner!$C$43)</f>
        <v>-1.057</v>
      </c>
      <c r="BM108" s="24" t="n">
        <f aca="false">BM$21*(0-Planner!$C$43)</f>
        <v>-0.784</v>
      </c>
      <c r="BN108" s="24" t="n">
        <f aca="false">BN$21*(0-Planner!$C$43)</f>
        <v>-1.0535</v>
      </c>
      <c r="BO108" s="24" t="n">
        <f aca="false">BO$21*(0-Planner!$C$43)</f>
        <v>-1.827</v>
      </c>
      <c r="BP108" s="24" t="n">
        <f aca="false">BP$21*(0-Planner!$C$43)</f>
        <v>-0.7175</v>
      </c>
      <c r="BQ108" s="24" t="n">
        <f aca="false">BQ$21*(0-Planner!$C$43)</f>
        <v>-0.5495</v>
      </c>
      <c r="BR108" s="24" t="n">
        <f aca="false">BR$21*(0-Planner!$C$43)</f>
        <v>-0.091</v>
      </c>
      <c r="BS108" s="24" t="n">
        <f aca="false">BS$21*(0-Planner!$C$43)</f>
        <v>-0.0595</v>
      </c>
      <c r="BT108" s="24" t="n">
        <f aca="false">BT$21*(0-Planner!$C$43)</f>
        <v>-0.3815</v>
      </c>
      <c r="BU108" s="24" t="n">
        <f aca="false">BU$21*(0-Planner!$C$43)</f>
        <v>-0.4865</v>
      </c>
      <c r="BV108" s="24" t="n">
        <f aca="false">BV$21*(0-Planner!$C$43)</f>
        <v>-0.147</v>
      </c>
      <c r="BW108" s="24" t="n">
        <f aca="false">BW$21*(0-Planner!$C$43)</f>
        <v>-0.294</v>
      </c>
      <c r="BX108" s="24" t="n">
        <f aca="false">BX$21*(0-Planner!$C$43)</f>
        <v>-0.371</v>
      </c>
      <c r="BY108" s="24" t="n">
        <f aca="false">BY$21*(0-Planner!$C$43)</f>
        <v>-0.2975</v>
      </c>
      <c r="BZ108" s="24" t="n">
        <f aca="false">BZ$21*(0-Planner!$C$43)</f>
        <v>-0.8575</v>
      </c>
      <c r="CA108" s="24" t="n">
        <f aca="false">CA$21*(0-Planner!$C$43)</f>
        <v>-1.1865</v>
      </c>
      <c r="CB108" s="24" t="n">
        <f aca="false">CB$21*(0-Planner!$C$43)</f>
        <v>-0.0595</v>
      </c>
      <c r="CC108" s="24" t="n">
        <f aca="false">CC$21*(0-Planner!$C$43)</f>
        <v>-0.161</v>
      </c>
      <c r="CD108" s="24" t="n">
        <f aca="false">CD$21*(0-Planner!$C$43)</f>
        <v>-0.2205</v>
      </c>
      <c r="CE108" s="24" t="n">
        <f aca="false">CE$21*(0-Planner!$C$43)</f>
        <v>-0.252</v>
      </c>
      <c r="CF108" s="24" t="n">
        <f aca="false">CF$21*(0-Planner!$C$43)</f>
        <v>-0.189</v>
      </c>
      <c r="CG108" s="24" t="n">
        <f aca="false">CG$21*(0-Planner!$C$43)</f>
        <v>-0.399</v>
      </c>
      <c r="CH108" s="24" t="n">
        <f aca="false">CH$21*(0-Planner!$C$43)</f>
        <v>-0.287</v>
      </c>
      <c r="CI108" s="24" t="n">
        <f aca="false">CI$21*(0-Planner!$C$43)</f>
        <v>-0.371</v>
      </c>
      <c r="CJ108" s="24" t="n">
        <f aca="false">CJ$21*(0-Planner!$C$43)</f>
        <v>-0.238</v>
      </c>
      <c r="CK108" s="24" t="n">
        <f aca="false">CK$21*(0-Planner!$C$43)</f>
        <v>-0.3185</v>
      </c>
      <c r="CL108" s="24" t="n">
        <f aca="false">CL$21*(0-Planner!$C$43)</f>
        <v>-0.1645</v>
      </c>
      <c r="CM108" s="24" t="n">
        <f aca="false">CM$21*(0-Planner!$C$43)</f>
        <v>-0.3185</v>
      </c>
      <c r="CN108" s="24" t="n">
        <f aca="false">CN$21*(0-Planner!$C$43)</f>
        <v>-0.2205</v>
      </c>
      <c r="CO108" s="24" t="n">
        <f aca="false">CO$21*(0-Planner!$C$43)</f>
        <v>-0.126</v>
      </c>
      <c r="CP108" s="24" t="n">
        <f aca="false">CP$21*(0-Planner!$C$43)</f>
        <v>-0.119</v>
      </c>
      <c r="CQ108" s="24" t="n">
        <f aca="false">CQ$21*(0-Planner!$C$43)</f>
        <v>-0.189</v>
      </c>
      <c r="CR108" s="24" t="n">
        <f aca="false">CR$21*(0-Planner!$C$43)</f>
        <v>-0.147</v>
      </c>
      <c r="CS108" s="24" t="n">
        <f aca="false">CS$21*(0-Planner!$C$43)</f>
        <v>-0.245</v>
      </c>
      <c r="CT108" s="24" t="n">
        <f aca="false">CT$21*(0-Planner!$C$43)</f>
        <v>-0.763</v>
      </c>
      <c r="CU108" s="24" t="n">
        <f aca="false">CU$21*(0-Planner!$C$43)</f>
        <v>-1.0745</v>
      </c>
      <c r="CV108" s="24" t="n">
        <f aca="false">CV$21*(0-Planner!$C$43)</f>
        <v>-0.42</v>
      </c>
      <c r="CW108" s="24" t="n">
        <f aca="false">CW$21*(0-Planner!$C$43)</f>
        <v>-0.2345</v>
      </c>
      <c r="CX108" s="24" t="n">
        <f aca="false">CX$21*(0-Planner!$C$43)</f>
        <v>-0.1505</v>
      </c>
      <c r="CY108" s="24" t="n">
        <f aca="false">CY$21*(0-Planner!$C$43)</f>
        <v>-0.2135</v>
      </c>
      <c r="CZ108" s="24" t="n">
        <f aca="false">CZ$21*(0-Planner!$C$43)</f>
        <v>-0.28</v>
      </c>
      <c r="DA108" s="24" t="n">
        <f aca="false">DA$21*(0-Planner!$C$43)</f>
        <v>-0.77</v>
      </c>
      <c r="DB108" s="24" t="n">
        <f aca="false">DB$21*(0-Planner!$C$43)</f>
        <v>-0.224</v>
      </c>
      <c r="DC108" s="24" t="n">
        <f aca="false">DC$21*(0-Planner!$C$43)</f>
        <v>-0.2555</v>
      </c>
      <c r="DD108" s="24" t="n">
        <f aca="false">DD$21*(0-Planner!$C$43)</f>
        <v>-1.071</v>
      </c>
      <c r="DE108" s="24" t="n">
        <f aca="false">DE$21*(0-Planner!$C$43)</f>
        <v>-1.323</v>
      </c>
      <c r="DF108" s="24" t="n">
        <f aca="false">DF$21*(0-Planner!$C$43)</f>
        <v>-0.35</v>
      </c>
      <c r="DG108" s="24" t="n">
        <f aca="false">DG$21*(0-Planner!$C$43)</f>
        <v>-0.448</v>
      </c>
      <c r="DH108" s="24" t="n">
        <f aca="false">DH$21*(0-Planner!$C$43)</f>
        <v>-0.5005</v>
      </c>
      <c r="DI108" s="24" t="n">
        <f aca="false">DI$21*(0-Planner!$C$43)</f>
        <v>-0.3255</v>
      </c>
      <c r="DJ108" s="24" t="n">
        <f aca="false">DJ$21*(0-Planner!$C$43)</f>
        <v>-0.203</v>
      </c>
      <c r="DK108" s="24" t="n">
        <f aca="false">DK$21*(0-Planner!$C$43)</f>
        <v>-0.273</v>
      </c>
      <c r="DL108" s="24" t="n">
        <f aca="false">DL$21*(0-Planner!$C$43)</f>
        <v>-0.7035</v>
      </c>
      <c r="DM108" s="24" t="n">
        <f aca="false">DM$21*(0-Planner!$C$43)</f>
        <v>-0.2415</v>
      </c>
      <c r="DN108" s="24" t="n">
        <f aca="false">DN$21*(0-Planner!$C$43)</f>
        <v>-1.057</v>
      </c>
      <c r="DO108" s="24" t="n">
        <f aca="false">DO$21*(0-Planner!$C$43)</f>
        <v>-0.9415</v>
      </c>
      <c r="DP108" s="24" t="n">
        <f aca="false">DP$21*(0-Planner!$C$43)</f>
        <v>-0.2275</v>
      </c>
      <c r="DQ108" s="24" t="n">
        <f aca="false">DQ$21*(0-Planner!$C$43)</f>
        <v>-0.252</v>
      </c>
      <c r="DR108" s="24" t="n">
        <f aca="false">DR$21*(0-Planner!$C$43)</f>
        <v>-0.6265</v>
      </c>
      <c r="DS108" s="24" t="n">
        <f aca="false">DS$21*(0-Planner!$C$43)</f>
        <v>-0.301</v>
      </c>
      <c r="DT108" s="24" t="n">
        <f aca="false">DT$21*(0-Planner!$C$43)</f>
        <v>-0.315</v>
      </c>
      <c r="DU108" s="24" t="n">
        <f aca="false">DU$21*(0-Planner!$C$43)</f>
        <v>-0.931</v>
      </c>
      <c r="DV108" s="24" t="n">
        <f aca="false">DV$21*(0-Planner!$C$43)</f>
        <v>-1.1655</v>
      </c>
      <c r="DW108" s="24" t="n">
        <f aca="false">DW$21*(0-Planner!$C$43)</f>
        <v>-1.0815</v>
      </c>
      <c r="DX108" s="24" t="n">
        <f aca="false">DX$21*(0-Planner!$C$43)</f>
        <v>-0.8715</v>
      </c>
      <c r="DY108" s="24" t="n">
        <f aca="false">DY$21*(0-Planner!$C$43)</f>
        <v>-0.5915</v>
      </c>
      <c r="DZ108" s="24" t="n">
        <f aca="false">DZ$21*(0-Planner!$C$43)</f>
        <v>-0.385</v>
      </c>
      <c r="EA108" s="24" t="n">
        <f aca="false">EA$21*(0-Planner!$C$43)</f>
        <v>-0.385</v>
      </c>
      <c r="EB108" s="24" t="n">
        <f aca="false">EB$21*(0-Planner!$C$43)</f>
        <v>-0.238</v>
      </c>
      <c r="EC108" s="24" t="n">
        <f aca="false">EC$21*(0-Planner!$C$43)</f>
        <v>-0.3465</v>
      </c>
      <c r="ED108" s="24" t="n">
        <f aca="false">ED$21*(0-Planner!$C$43)</f>
        <v>-0.4305</v>
      </c>
      <c r="EE108" s="24" t="n">
        <f aca="false">EE$21*(0-Planner!$C$43)</f>
        <v>-0.3185</v>
      </c>
      <c r="EF108" s="24" t="n">
        <f aca="false">EF$21*(0-Planner!$C$43)</f>
        <v>-0.7385</v>
      </c>
      <c r="EG108" s="24" t="n">
        <f aca="false">EG$21*(0-Planner!$C$43)</f>
        <v>-1.001</v>
      </c>
      <c r="EH108" s="24" t="n">
        <f aca="false">EH$21*(0-Planner!$C$43)</f>
        <v>-1.2705</v>
      </c>
      <c r="EI108" s="24" t="n">
        <f aca="false">EI$21*(0-Planner!$C$43)</f>
        <v>-0.2765</v>
      </c>
      <c r="EJ108" s="24" t="n">
        <f aca="false">EJ$21*(0-Planner!$C$43)</f>
        <v>-0.308</v>
      </c>
      <c r="EK108" s="24" t="n">
        <f aca="false">EK$21*(0-Planner!$C$43)</f>
        <v>-0.8645</v>
      </c>
      <c r="EL108" s="24" t="n">
        <f aca="false">EL$21*(0-Planner!$C$43)</f>
        <v>-0.4235</v>
      </c>
      <c r="EM108" s="24" t="n">
        <f aca="false">EM$21*(0-Planner!$C$43)</f>
        <v>-0.2975</v>
      </c>
      <c r="EN108" s="24" t="n">
        <f aca="false">EN$21*(0-Planner!$C$43)</f>
        <v>-0</v>
      </c>
      <c r="EO108" s="24" t="n">
        <f aca="false">EO$21*(0-Planner!$C$43)</f>
        <v>-0</v>
      </c>
      <c r="EP108" s="24" t="n">
        <f aca="false">EP$21*(0-Planner!$C$43)</f>
        <v>-7.4025</v>
      </c>
      <c r="EQ108" s="24" t="n">
        <f aca="false">EQ$21*(0-Planner!$C$43)</f>
        <v>-0.686</v>
      </c>
      <c r="ER108" s="24" t="n">
        <f aca="false">ER$21*(0-Planner!$C$43)</f>
        <v>-1.785</v>
      </c>
      <c r="ES108" s="24" t="n">
        <f aca="false">ES$21*(0-Planner!$C$43)</f>
        <v>-1.9775</v>
      </c>
      <c r="ET108" s="24" t="n">
        <f aca="false">ET$21*(0-Planner!$C$43)</f>
        <v>-2.2365</v>
      </c>
      <c r="EU108" s="24" t="n">
        <f aca="false">EU$21*(0-Planner!$C$43)</f>
        <v>-1.225</v>
      </c>
    </row>
    <row r="109" customFormat="false" ht="15" hidden="false" customHeight="false" outlineLevel="0" collapsed="false">
      <c r="A109" s="4" t="s">
        <v>1049</v>
      </c>
      <c r="B109" s="75" t="s">
        <v>1017</v>
      </c>
      <c r="C109" s="78" t="n">
        <v>0</v>
      </c>
      <c r="D109" s="77" t="n">
        <v>-39.199999997333</v>
      </c>
      <c r="E109" s="75" t="str">
        <f aca="false">IF(D109&lt;=C109+0.000001*MAX(1,ABS(C109)),IF(ABS(D109-C109)&lt;=0.000001*MAX(1,ABS(C109)),"tight","ok"),"VIOLATED")</f>
        <v>ok</v>
      </c>
      <c r="F109" s="24" t="n">
        <f aca="false">F$21*(0-Planner!$C$43)</f>
        <v>-7.875</v>
      </c>
      <c r="G109" s="24" t="n">
        <f aca="false">G$21*(0-Planner!$C$43)</f>
        <v>-6.328</v>
      </c>
      <c r="H109" s="24" t="n">
        <f aca="false">H$21*(0-Planner!$C$43)</f>
        <v>-6.881</v>
      </c>
      <c r="I109" s="24" t="n">
        <f aca="false">I$21*(0-Planner!$C$43)</f>
        <v>-5.7155</v>
      </c>
      <c r="J109" s="24" t="n">
        <f aca="false">J$21*(0-Planner!$C$43)</f>
        <v>-6.5555</v>
      </c>
      <c r="K109" s="24" t="n">
        <f aca="false">K$21*(0-Planner!$C$43)</f>
        <v>-6.51</v>
      </c>
      <c r="L109" s="24" t="n">
        <f aca="false">L$21*(0-Planner!$C$43)</f>
        <v>-4.417</v>
      </c>
      <c r="M109" s="24" t="n">
        <f aca="false">M$21*(0-Planner!$C$43)</f>
        <v>-7.6125</v>
      </c>
      <c r="N109" s="24" t="n">
        <f aca="false">N$21*(0-Planner!$C$43)</f>
        <v>-6.0095</v>
      </c>
      <c r="O109" s="24" t="n">
        <f aca="false">O$21*(0-Planner!$C$43)</f>
        <v>-7.2975</v>
      </c>
      <c r="P109" s="24" t="n">
        <f aca="false">P$21*(0-Planner!$C$43)</f>
        <v>-5.81</v>
      </c>
      <c r="Q109" s="24" t="n">
        <f aca="false">Q$21*(0-Planner!$C$43)</f>
        <v>-7.399</v>
      </c>
      <c r="R109" s="24" t="n">
        <f aca="false">R$21*(0-Planner!$C$43)</f>
        <v>-7.679</v>
      </c>
      <c r="S109" s="24" t="n">
        <f aca="false">S$21*(0-Planner!$C$43)</f>
        <v>-6.972</v>
      </c>
      <c r="T109" s="24" t="n">
        <f aca="false">T$21*(0-Planner!$C$43)</f>
        <v>-6.804</v>
      </c>
      <c r="U109" s="24" t="n">
        <f aca="false">U$21*(0-Planner!$C$43)</f>
        <v>-7.147</v>
      </c>
      <c r="V109" s="24" t="n">
        <f aca="false">V$21*(0-Planner!$C$43)</f>
        <v>-4.7635</v>
      </c>
      <c r="W109" s="24" t="n">
        <f aca="false">W$21*(0-Planner!$C$43)</f>
        <v>-7.028</v>
      </c>
      <c r="X109" s="24" t="n">
        <f aca="false">X$21*(0-Planner!$C$43)</f>
        <v>-4.396</v>
      </c>
      <c r="Y109" s="24" t="n">
        <f aca="false">Y$21*(0-Planner!$C$43)</f>
        <v>-2.1105</v>
      </c>
      <c r="Z109" s="24" t="n">
        <f aca="false">Z$21*(0-Planner!$C$43)</f>
        <v>-7.56</v>
      </c>
      <c r="AA109" s="24" t="n">
        <f aca="false">AA$21*(0-Planner!$C$43)</f>
        <v>-1.659</v>
      </c>
      <c r="AB109" s="24" t="n">
        <f aca="false">AB$21*(0-Planner!$C$43)</f>
        <v>-8.232</v>
      </c>
      <c r="AC109" s="24" t="n">
        <f aca="false">AC$21*(0-Planner!$C$43)</f>
        <v>-1.722</v>
      </c>
      <c r="AD109" s="24" t="n">
        <f aca="false">AD$21*(0-Planner!$C$43)</f>
        <v>-2.5795</v>
      </c>
      <c r="AE109" s="24" t="n">
        <f aca="false">AE$21*(0-Planner!$C$43)</f>
        <v>-7.651</v>
      </c>
      <c r="AF109" s="24" t="n">
        <f aca="false">AF$21*(0-Planner!$C$43)</f>
        <v>-1.827</v>
      </c>
      <c r="AG109" s="24" t="n">
        <f aca="false">AG$21*(0-Planner!$C$43)</f>
        <v>-8.253</v>
      </c>
      <c r="AH109" s="24" t="n">
        <f aca="false">AH$21*(0-Planner!$C$43)</f>
        <v>-8.6205</v>
      </c>
      <c r="AI109" s="24" t="n">
        <f aca="false">AI$21*(0-Planner!$C$43)</f>
        <v>-7.511</v>
      </c>
      <c r="AJ109" s="24" t="n">
        <f aca="false">AJ$21*(0-Planner!$C$43)</f>
        <v>-2.6355</v>
      </c>
      <c r="AK109" s="24" t="n">
        <f aca="false">AK$21*(0-Planner!$C$43)</f>
        <v>-7.8155</v>
      </c>
      <c r="AL109" s="24" t="n">
        <f aca="false">AL$21*(0-Planner!$C$43)</f>
        <v>-7.7735</v>
      </c>
      <c r="AM109" s="24" t="n">
        <f aca="false">AM$21*(0-Planner!$C$43)</f>
        <v>-1.61</v>
      </c>
      <c r="AN109" s="24" t="n">
        <f aca="false">AN$21*(0-Planner!$C$43)</f>
        <v>-7.497</v>
      </c>
      <c r="AO109" s="24" t="n">
        <f aca="false">AO$21*(0-Planner!$C$43)</f>
        <v>-3.535</v>
      </c>
      <c r="AP109" s="24" t="n">
        <f aca="false">AP$21*(0-Planner!$C$43)</f>
        <v>-1.155</v>
      </c>
      <c r="AQ109" s="24" t="n">
        <f aca="false">AQ$21*(0-Planner!$C$43)</f>
        <v>-3.5665</v>
      </c>
      <c r="AR109" s="24" t="n">
        <f aca="false">AR$21*(0-Planner!$C$43)</f>
        <v>-0.91</v>
      </c>
      <c r="AS109" s="24" t="n">
        <f aca="false">AS$21*(0-Planner!$C$43)</f>
        <v>-1.1025</v>
      </c>
      <c r="AT109" s="24" t="n">
        <f aca="false">AT$21*(0-Planner!$C$43)</f>
        <v>-6.3455</v>
      </c>
      <c r="AU109" s="24" t="n">
        <f aca="false">AU$21*(0-Planner!$C$43)</f>
        <v>-8.0045</v>
      </c>
      <c r="AV109" s="24" t="n">
        <f aca="false">AV$21*(1-Planner!$C$43)</f>
        <v>6.7925</v>
      </c>
      <c r="AW109" s="24" t="n">
        <f aca="false">AW$21*(0-Planner!$C$43)</f>
        <v>-8.3125</v>
      </c>
      <c r="AX109" s="24" t="n">
        <f aca="false">AX$21*(0-Planner!$C$43)</f>
        <v>-3.696</v>
      </c>
      <c r="AY109" s="24" t="n">
        <f aca="false">AY$21*(0-Planner!$C$43)</f>
        <v>-2.639</v>
      </c>
      <c r="AZ109" s="24" t="n">
        <f aca="false">AZ$21*(0-Planner!$C$43)</f>
        <v>-4.2315</v>
      </c>
      <c r="BA109" s="24" t="n">
        <f aca="false">BA$21*(0-Planner!$C$43)</f>
        <v>-1.995</v>
      </c>
      <c r="BB109" s="24" t="n">
        <f aca="false">BB$21*(0-Planner!$C$43)</f>
        <v>-2.8035</v>
      </c>
      <c r="BC109" s="24" t="n">
        <f aca="false">BC$21*(0-Planner!$C$43)</f>
        <v>-4.942</v>
      </c>
      <c r="BD109" s="24" t="n">
        <f aca="false">BD$21*(0-Planner!$C$43)</f>
        <v>-4.6025</v>
      </c>
      <c r="BE109" s="24" t="n">
        <f aca="false">BE$21*(0-Planner!$C$43)</f>
        <v>-4.564</v>
      </c>
      <c r="BF109" s="24" t="n">
        <f aca="false">BF$21*(0-Planner!$C$43)</f>
        <v>-3.0975</v>
      </c>
      <c r="BG109" s="24" t="n">
        <f aca="false">BG$21*(0-Planner!$C$43)</f>
        <v>-2.4955</v>
      </c>
      <c r="BH109" s="24" t="n">
        <f aca="false">BH$21*(0-Planner!$C$43)</f>
        <v>-4.3575</v>
      </c>
      <c r="BI109" s="24" t="n">
        <f aca="false">BI$21*(0-Planner!$C$43)</f>
        <v>-4.8545</v>
      </c>
      <c r="BJ109" s="24" t="n">
        <f aca="false">BJ$21*(0-Planner!$C$43)</f>
        <v>-2.6565</v>
      </c>
      <c r="BK109" s="24" t="n">
        <f aca="false">BK$21*(0-Planner!$C$43)</f>
        <v>-0.6825</v>
      </c>
      <c r="BL109" s="24" t="n">
        <f aca="false">BL$21*(0-Planner!$C$43)</f>
        <v>-1.057</v>
      </c>
      <c r="BM109" s="24" t="n">
        <f aca="false">BM$21*(0-Planner!$C$43)</f>
        <v>-0.784</v>
      </c>
      <c r="BN109" s="24" t="n">
        <f aca="false">BN$21*(0-Planner!$C$43)</f>
        <v>-1.0535</v>
      </c>
      <c r="BO109" s="24" t="n">
        <f aca="false">BO$21*(0-Planner!$C$43)</f>
        <v>-1.827</v>
      </c>
      <c r="BP109" s="24" t="n">
        <f aca="false">BP$21*(0-Planner!$C$43)</f>
        <v>-0.7175</v>
      </c>
      <c r="BQ109" s="24" t="n">
        <f aca="false">BQ$21*(0-Planner!$C$43)</f>
        <v>-0.5495</v>
      </c>
      <c r="BR109" s="24" t="n">
        <f aca="false">BR$21*(0-Planner!$C$43)</f>
        <v>-0.091</v>
      </c>
      <c r="BS109" s="24" t="n">
        <f aca="false">BS$21*(0-Planner!$C$43)</f>
        <v>-0.0595</v>
      </c>
      <c r="BT109" s="24" t="n">
        <f aca="false">BT$21*(0-Planner!$C$43)</f>
        <v>-0.3815</v>
      </c>
      <c r="BU109" s="24" t="n">
        <f aca="false">BU$21*(0-Planner!$C$43)</f>
        <v>-0.4865</v>
      </c>
      <c r="BV109" s="24" t="n">
        <f aca="false">BV$21*(0-Planner!$C$43)</f>
        <v>-0.147</v>
      </c>
      <c r="BW109" s="24" t="n">
        <f aca="false">BW$21*(0-Planner!$C$43)</f>
        <v>-0.294</v>
      </c>
      <c r="BX109" s="24" t="n">
        <f aca="false">BX$21*(0-Planner!$C$43)</f>
        <v>-0.371</v>
      </c>
      <c r="BY109" s="24" t="n">
        <f aca="false">BY$21*(0-Planner!$C$43)</f>
        <v>-0.2975</v>
      </c>
      <c r="BZ109" s="24" t="n">
        <f aca="false">BZ$21*(0-Planner!$C$43)</f>
        <v>-0.8575</v>
      </c>
      <c r="CA109" s="24" t="n">
        <f aca="false">CA$21*(0-Planner!$C$43)</f>
        <v>-1.1865</v>
      </c>
      <c r="CB109" s="24" t="n">
        <f aca="false">CB$21*(0-Planner!$C$43)</f>
        <v>-0.0595</v>
      </c>
      <c r="CC109" s="24" t="n">
        <f aca="false">CC$21*(0-Planner!$C$43)</f>
        <v>-0.161</v>
      </c>
      <c r="CD109" s="24" t="n">
        <f aca="false">CD$21*(0-Planner!$C$43)</f>
        <v>-0.2205</v>
      </c>
      <c r="CE109" s="24" t="n">
        <f aca="false">CE$21*(0-Planner!$C$43)</f>
        <v>-0.252</v>
      </c>
      <c r="CF109" s="24" t="n">
        <f aca="false">CF$21*(0-Planner!$C$43)</f>
        <v>-0.189</v>
      </c>
      <c r="CG109" s="24" t="n">
        <f aca="false">CG$21*(0-Planner!$C$43)</f>
        <v>-0.399</v>
      </c>
      <c r="CH109" s="24" t="n">
        <f aca="false">CH$21*(0-Planner!$C$43)</f>
        <v>-0.287</v>
      </c>
      <c r="CI109" s="24" t="n">
        <f aca="false">CI$21*(0-Planner!$C$43)</f>
        <v>-0.371</v>
      </c>
      <c r="CJ109" s="24" t="n">
        <f aca="false">CJ$21*(0-Planner!$C$43)</f>
        <v>-0.238</v>
      </c>
      <c r="CK109" s="24" t="n">
        <f aca="false">CK$21*(0-Planner!$C$43)</f>
        <v>-0.3185</v>
      </c>
      <c r="CL109" s="24" t="n">
        <f aca="false">CL$21*(0-Planner!$C$43)</f>
        <v>-0.1645</v>
      </c>
      <c r="CM109" s="24" t="n">
        <f aca="false">CM$21*(0-Planner!$C$43)</f>
        <v>-0.3185</v>
      </c>
      <c r="CN109" s="24" t="n">
        <f aca="false">CN$21*(0-Planner!$C$43)</f>
        <v>-0.2205</v>
      </c>
      <c r="CO109" s="24" t="n">
        <f aca="false">CO$21*(0-Planner!$C$43)</f>
        <v>-0.126</v>
      </c>
      <c r="CP109" s="24" t="n">
        <f aca="false">CP$21*(0-Planner!$C$43)</f>
        <v>-0.119</v>
      </c>
      <c r="CQ109" s="24" t="n">
        <f aca="false">CQ$21*(0-Planner!$C$43)</f>
        <v>-0.189</v>
      </c>
      <c r="CR109" s="24" t="n">
        <f aca="false">CR$21*(0-Planner!$C$43)</f>
        <v>-0.147</v>
      </c>
      <c r="CS109" s="24" t="n">
        <f aca="false">CS$21*(0-Planner!$C$43)</f>
        <v>-0.245</v>
      </c>
      <c r="CT109" s="24" t="n">
        <f aca="false">CT$21*(0-Planner!$C$43)</f>
        <v>-0.763</v>
      </c>
      <c r="CU109" s="24" t="n">
        <f aca="false">CU$21*(0-Planner!$C$43)</f>
        <v>-1.0745</v>
      </c>
      <c r="CV109" s="24" t="n">
        <f aca="false">CV$21*(0-Planner!$C$43)</f>
        <v>-0.42</v>
      </c>
      <c r="CW109" s="24" t="n">
        <f aca="false">CW$21*(0-Planner!$C$43)</f>
        <v>-0.2345</v>
      </c>
      <c r="CX109" s="24" t="n">
        <f aca="false">CX$21*(0-Planner!$C$43)</f>
        <v>-0.1505</v>
      </c>
      <c r="CY109" s="24" t="n">
        <f aca="false">CY$21*(0-Planner!$C$43)</f>
        <v>-0.2135</v>
      </c>
      <c r="CZ109" s="24" t="n">
        <f aca="false">CZ$21*(0-Planner!$C$43)</f>
        <v>-0.28</v>
      </c>
      <c r="DA109" s="24" t="n">
        <f aca="false">DA$21*(0-Planner!$C$43)</f>
        <v>-0.77</v>
      </c>
      <c r="DB109" s="24" t="n">
        <f aca="false">DB$21*(0-Planner!$C$43)</f>
        <v>-0.224</v>
      </c>
      <c r="DC109" s="24" t="n">
        <f aca="false">DC$21*(0-Planner!$C$43)</f>
        <v>-0.2555</v>
      </c>
      <c r="DD109" s="24" t="n">
        <f aca="false">DD$21*(0-Planner!$C$43)</f>
        <v>-1.071</v>
      </c>
      <c r="DE109" s="24" t="n">
        <f aca="false">DE$21*(0-Planner!$C$43)</f>
        <v>-1.323</v>
      </c>
      <c r="DF109" s="24" t="n">
        <f aca="false">DF$21*(0-Planner!$C$43)</f>
        <v>-0.35</v>
      </c>
      <c r="DG109" s="24" t="n">
        <f aca="false">DG$21*(0-Planner!$C$43)</f>
        <v>-0.448</v>
      </c>
      <c r="DH109" s="24" t="n">
        <f aca="false">DH$21*(0-Planner!$C$43)</f>
        <v>-0.5005</v>
      </c>
      <c r="DI109" s="24" t="n">
        <f aca="false">DI$21*(0-Planner!$C$43)</f>
        <v>-0.3255</v>
      </c>
      <c r="DJ109" s="24" t="n">
        <f aca="false">DJ$21*(0-Planner!$C$43)</f>
        <v>-0.203</v>
      </c>
      <c r="DK109" s="24" t="n">
        <f aca="false">DK$21*(0-Planner!$C$43)</f>
        <v>-0.273</v>
      </c>
      <c r="DL109" s="24" t="n">
        <f aca="false">DL$21*(0-Planner!$C$43)</f>
        <v>-0.7035</v>
      </c>
      <c r="DM109" s="24" t="n">
        <f aca="false">DM$21*(0-Planner!$C$43)</f>
        <v>-0.2415</v>
      </c>
      <c r="DN109" s="24" t="n">
        <f aca="false">DN$21*(0-Planner!$C$43)</f>
        <v>-1.057</v>
      </c>
      <c r="DO109" s="24" t="n">
        <f aca="false">DO$21*(0-Planner!$C$43)</f>
        <v>-0.9415</v>
      </c>
      <c r="DP109" s="24" t="n">
        <f aca="false">DP$21*(0-Planner!$C$43)</f>
        <v>-0.2275</v>
      </c>
      <c r="DQ109" s="24" t="n">
        <f aca="false">DQ$21*(0-Planner!$C$43)</f>
        <v>-0.252</v>
      </c>
      <c r="DR109" s="24" t="n">
        <f aca="false">DR$21*(0-Planner!$C$43)</f>
        <v>-0.6265</v>
      </c>
      <c r="DS109" s="24" t="n">
        <f aca="false">DS$21*(0-Planner!$C$43)</f>
        <v>-0.301</v>
      </c>
      <c r="DT109" s="24" t="n">
        <f aca="false">DT$21*(0-Planner!$C$43)</f>
        <v>-0.315</v>
      </c>
      <c r="DU109" s="24" t="n">
        <f aca="false">DU$21*(0-Planner!$C$43)</f>
        <v>-0.931</v>
      </c>
      <c r="DV109" s="24" t="n">
        <f aca="false">DV$21*(0-Planner!$C$43)</f>
        <v>-1.1655</v>
      </c>
      <c r="DW109" s="24" t="n">
        <f aca="false">DW$21*(0-Planner!$C$43)</f>
        <v>-1.0815</v>
      </c>
      <c r="DX109" s="24" t="n">
        <f aca="false">DX$21*(0-Planner!$C$43)</f>
        <v>-0.8715</v>
      </c>
      <c r="DY109" s="24" t="n">
        <f aca="false">DY$21*(0-Planner!$C$43)</f>
        <v>-0.5915</v>
      </c>
      <c r="DZ109" s="24" t="n">
        <f aca="false">DZ$21*(0-Planner!$C$43)</f>
        <v>-0.385</v>
      </c>
      <c r="EA109" s="24" t="n">
        <f aca="false">EA$21*(0-Planner!$C$43)</f>
        <v>-0.385</v>
      </c>
      <c r="EB109" s="24" t="n">
        <f aca="false">EB$21*(0-Planner!$C$43)</f>
        <v>-0.238</v>
      </c>
      <c r="EC109" s="24" t="n">
        <f aca="false">EC$21*(0-Planner!$C$43)</f>
        <v>-0.3465</v>
      </c>
      <c r="ED109" s="24" t="n">
        <f aca="false">ED$21*(0-Planner!$C$43)</f>
        <v>-0.4305</v>
      </c>
      <c r="EE109" s="24" t="n">
        <f aca="false">EE$21*(0-Planner!$C$43)</f>
        <v>-0.3185</v>
      </c>
      <c r="EF109" s="24" t="n">
        <f aca="false">EF$21*(0-Planner!$C$43)</f>
        <v>-0.7385</v>
      </c>
      <c r="EG109" s="24" t="n">
        <f aca="false">EG$21*(0-Planner!$C$43)</f>
        <v>-1.001</v>
      </c>
      <c r="EH109" s="24" t="n">
        <f aca="false">EH$21*(0-Planner!$C$43)</f>
        <v>-1.2705</v>
      </c>
      <c r="EI109" s="24" t="n">
        <f aca="false">EI$21*(0-Planner!$C$43)</f>
        <v>-0.2765</v>
      </c>
      <c r="EJ109" s="24" t="n">
        <f aca="false">EJ$21*(0-Planner!$C$43)</f>
        <v>-0.308</v>
      </c>
      <c r="EK109" s="24" t="n">
        <f aca="false">EK$21*(0-Planner!$C$43)</f>
        <v>-0.8645</v>
      </c>
      <c r="EL109" s="24" t="n">
        <f aca="false">EL$21*(0-Planner!$C$43)</f>
        <v>-0.4235</v>
      </c>
      <c r="EM109" s="24" t="n">
        <f aca="false">EM$21*(0-Planner!$C$43)</f>
        <v>-0.2975</v>
      </c>
      <c r="EN109" s="24" t="n">
        <f aca="false">EN$21*(0-Planner!$C$43)</f>
        <v>-0</v>
      </c>
      <c r="EO109" s="24" t="n">
        <f aca="false">EO$21*(0-Planner!$C$43)</f>
        <v>-0</v>
      </c>
      <c r="EP109" s="24" t="n">
        <f aca="false">EP$21*(0-Planner!$C$43)</f>
        <v>-7.4025</v>
      </c>
      <c r="EQ109" s="24" t="n">
        <f aca="false">EQ$21*(0-Planner!$C$43)</f>
        <v>-0.686</v>
      </c>
      <c r="ER109" s="24" t="n">
        <f aca="false">ER$21*(0-Planner!$C$43)</f>
        <v>-1.785</v>
      </c>
      <c r="ES109" s="24" t="n">
        <f aca="false">ES$21*(0-Planner!$C$43)</f>
        <v>-1.9775</v>
      </c>
      <c r="ET109" s="24" t="n">
        <f aca="false">ET$21*(0-Planner!$C$43)</f>
        <v>-2.2365</v>
      </c>
      <c r="EU109" s="24" t="n">
        <f aca="false">EU$21*(0-Planner!$C$43)</f>
        <v>-1.225</v>
      </c>
    </row>
    <row r="110" customFormat="false" ht="15" hidden="false" customHeight="false" outlineLevel="0" collapsed="false">
      <c r="A110" s="4" t="s">
        <v>1050</v>
      </c>
      <c r="B110" s="75" t="s">
        <v>1017</v>
      </c>
      <c r="C110" s="78" t="n">
        <v>0</v>
      </c>
      <c r="D110" s="77" t="n">
        <v>-39.199999997333</v>
      </c>
      <c r="E110" s="75" t="str">
        <f aca="false">IF(D110&lt;=C110+0.000001*MAX(1,ABS(C110)),IF(ABS(D110-C110)&lt;=0.000001*MAX(1,ABS(C110)),"tight","ok"),"VIOLATED")</f>
        <v>ok</v>
      </c>
      <c r="F110" s="24" t="n">
        <f aca="false">F$21*(0-Planner!$C$43)</f>
        <v>-7.875</v>
      </c>
      <c r="G110" s="24" t="n">
        <f aca="false">G$21*(0-Planner!$C$43)</f>
        <v>-6.328</v>
      </c>
      <c r="H110" s="24" t="n">
        <f aca="false">H$21*(0-Planner!$C$43)</f>
        <v>-6.881</v>
      </c>
      <c r="I110" s="24" t="n">
        <f aca="false">I$21*(0-Planner!$C$43)</f>
        <v>-5.7155</v>
      </c>
      <c r="J110" s="24" t="n">
        <f aca="false">J$21*(0-Planner!$C$43)</f>
        <v>-6.5555</v>
      </c>
      <c r="K110" s="24" t="n">
        <f aca="false">K$21*(0-Planner!$C$43)</f>
        <v>-6.51</v>
      </c>
      <c r="L110" s="24" t="n">
        <f aca="false">L$21*(0-Planner!$C$43)</f>
        <v>-4.417</v>
      </c>
      <c r="M110" s="24" t="n">
        <f aca="false">M$21*(0-Planner!$C$43)</f>
        <v>-7.6125</v>
      </c>
      <c r="N110" s="24" t="n">
        <f aca="false">N$21*(0-Planner!$C$43)</f>
        <v>-6.0095</v>
      </c>
      <c r="O110" s="24" t="n">
        <f aca="false">O$21*(0-Planner!$C$43)</f>
        <v>-7.2975</v>
      </c>
      <c r="P110" s="24" t="n">
        <f aca="false">P$21*(0-Planner!$C$43)</f>
        <v>-5.81</v>
      </c>
      <c r="Q110" s="24" t="n">
        <f aca="false">Q$21*(0-Planner!$C$43)</f>
        <v>-7.399</v>
      </c>
      <c r="R110" s="24" t="n">
        <f aca="false">R$21*(0-Planner!$C$43)</f>
        <v>-7.679</v>
      </c>
      <c r="S110" s="24" t="n">
        <f aca="false">S$21*(0-Planner!$C$43)</f>
        <v>-6.972</v>
      </c>
      <c r="T110" s="24" t="n">
        <f aca="false">T$21*(0-Planner!$C$43)</f>
        <v>-6.804</v>
      </c>
      <c r="U110" s="24" t="n">
        <f aca="false">U$21*(0-Planner!$C$43)</f>
        <v>-7.147</v>
      </c>
      <c r="V110" s="24" t="n">
        <f aca="false">V$21*(0-Planner!$C$43)</f>
        <v>-4.7635</v>
      </c>
      <c r="W110" s="24" t="n">
        <f aca="false">W$21*(0-Planner!$C$43)</f>
        <v>-7.028</v>
      </c>
      <c r="X110" s="24" t="n">
        <f aca="false">X$21*(0-Planner!$C$43)</f>
        <v>-4.396</v>
      </c>
      <c r="Y110" s="24" t="n">
        <f aca="false">Y$21*(0-Planner!$C$43)</f>
        <v>-2.1105</v>
      </c>
      <c r="Z110" s="24" t="n">
        <f aca="false">Z$21*(0-Planner!$C$43)</f>
        <v>-7.56</v>
      </c>
      <c r="AA110" s="24" t="n">
        <f aca="false">AA$21*(0-Planner!$C$43)</f>
        <v>-1.659</v>
      </c>
      <c r="AB110" s="24" t="n">
        <f aca="false">AB$21*(0-Planner!$C$43)</f>
        <v>-8.232</v>
      </c>
      <c r="AC110" s="24" t="n">
        <f aca="false">AC$21*(0-Planner!$C$43)</f>
        <v>-1.722</v>
      </c>
      <c r="AD110" s="24" t="n">
        <f aca="false">AD$21*(0-Planner!$C$43)</f>
        <v>-2.5795</v>
      </c>
      <c r="AE110" s="24" t="n">
        <f aca="false">AE$21*(0-Planner!$C$43)</f>
        <v>-7.651</v>
      </c>
      <c r="AF110" s="24" t="n">
        <f aca="false">AF$21*(0-Planner!$C$43)</f>
        <v>-1.827</v>
      </c>
      <c r="AG110" s="24" t="n">
        <f aca="false">AG$21*(0-Planner!$C$43)</f>
        <v>-8.253</v>
      </c>
      <c r="AH110" s="24" t="n">
        <f aca="false">AH$21*(0-Planner!$C$43)</f>
        <v>-8.6205</v>
      </c>
      <c r="AI110" s="24" t="n">
        <f aca="false">AI$21*(0-Planner!$C$43)</f>
        <v>-7.511</v>
      </c>
      <c r="AJ110" s="24" t="n">
        <f aca="false">AJ$21*(0-Planner!$C$43)</f>
        <v>-2.6355</v>
      </c>
      <c r="AK110" s="24" t="n">
        <f aca="false">AK$21*(0-Planner!$C$43)</f>
        <v>-7.8155</v>
      </c>
      <c r="AL110" s="24" t="n">
        <f aca="false">AL$21*(0-Planner!$C$43)</f>
        <v>-7.7735</v>
      </c>
      <c r="AM110" s="24" t="n">
        <f aca="false">AM$21*(0-Planner!$C$43)</f>
        <v>-1.61</v>
      </c>
      <c r="AN110" s="24" t="n">
        <f aca="false">AN$21*(0-Planner!$C$43)</f>
        <v>-7.497</v>
      </c>
      <c r="AO110" s="24" t="n">
        <f aca="false">AO$21*(0-Planner!$C$43)</f>
        <v>-3.535</v>
      </c>
      <c r="AP110" s="24" t="n">
        <f aca="false">AP$21*(0-Planner!$C$43)</f>
        <v>-1.155</v>
      </c>
      <c r="AQ110" s="24" t="n">
        <f aca="false">AQ$21*(0-Planner!$C$43)</f>
        <v>-3.5665</v>
      </c>
      <c r="AR110" s="24" t="n">
        <f aca="false">AR$21*(0-Planner!$C$43)</f>
        <v>-0.91</v>
      </c>
      <c r="AS110" s="24" t="n">
        <f aca="false">AS$21*(0-Planner!$C$43)</f>
        <v>-1.1025</v>
      </c>
      <c r="AT110" s="24" t="n">
        <f aca="false">AT$21*(0-Planner!$C$43)</f>
        <v>-6.3455</v>
      </c>
      <c r="AU110" s="24" t="n">
        <f aca="false">AU$21*(0-Planner!$C$43)</f>
        <v>-8.0045</v>
      </c>
      <c r="AV110" s="24" t="n">
        <f aca="false">AV$21*(0-Planner!$C$43)</f>
        <v>-3.6575</v>
      </c>
      <c r="AW110" s="24" t="n">
        <f aca="false">AW$21*(1-Planner!$C$43)</f>
        <v>15.4375</v>
      </c>
      <c r="AX110" s="24" t="n">
        <f aca="false">AX$21*(0-Planner!$C$43)</f>
        <v>-3.696</v>
      </c>
      <c r="AY110" s="24" t="n">
        <f aca="false">AY$21*(0-Planner!$C$43)</f>
        <v>-2.639</v>
      </c>
      <c r="AZ110" s="24" t="n">
        <f aca="false">AZ$21*(0-Planner!$C$43)</f>
        <v>-4.2315</v>
      </c>
      <c r="BA110" s="24" t="n">
        <f aca="false">BA$21*(0-Planner!$C$43)</f>
        <v>-1.995</v>
      </c>
      <c r="BB110" s="24" t="n">
        <f aca="false">BB$21*(0-Planner!$C$43)</f>
        <v>-2.8035</v>
      </c>
      <c r="BC110" s="24" t="n">
        <f aca="false">BC$21*(0-Planner!$C$43)</f>
        <v>-4.942</v>
      </c>
      <c r="BD110" s="24" t="n">
        <f aca="false">BD$21*(0-Planner!$C$43)</f>
        <v>-4.6025</v>
      </c>
      <c r="BE110" s="24" t="n">
        <f aca="false">BE$21*(0-Planner!$C$43)</f>
        <v>-4.564</v>
      </c>
      <c r="BF110" s="24" t="n">
        <f aca="false">BF$21*(0-Planner!$C$43)</f>
        <v>-3.0975</v>
      </c>
      <c r="BG110" s="24" t="n">
        <f aca="false">BG$21*(0-Planner!$C$43)</f>
        <v>-2.4955</v>
      </c>
      <c r="BH110" s="24" t="n">
        <f aca="false">BH$21*(0-Planner!$C$43)</f>
        <v>-4.3575</v>
      </c>
      <c r="BI110" s="24" t="n">
        <f aca="false">BI$21*(0-Planner!$C$43)</f>
        <v>-4.8545</v>
      </c>
      <c r="BJ110" s="24" t="n">
        <f aca="false">BJ$21*(0-Planner!$C$43)</f>
        <v>-2.6565</v>
      </c>
      <c r="BK110" s="24" t="n">
        <f aca="false">BK$21*(0-Planner!$C$43)</f>
        <v>-0.6825</v>
      </c>
      <c r="BL110" s="24" t="n">
        <f aca="false">BL$21*(0-Planner!$C$43)</f>
        <v>-1.057</v>
      </c>
      <c r="BM110" s="24" t="n">
        <f aca="false">BM$21*(0-Planner!$C$43)</f>
        <v>-0.784</v>
      </c>
      <c r="BN110" s="24" t="n">
        <f aca="false">BN$21*(0-Planner!$C$43)</f>
        <v>-1.0535</v>
      </c>
      <c r="BO110" s="24" t="n">
        <f aca="false">BO$21*(0-Planner!$C$43)</f>
        <v>-1.827</v>
      </c>
      <c r="BP110" s="24" t="n">
        <f aca="false">BP$21*(0-Planner!$C$43)</f>
        <v>-0.7175</v>
      </c>
      <c r="BQ110" s="24" t="n">
        <f aca="false">BQ$21*(0-Planner!$C$43)</f>
        <v>-0.5495</v>
      </c>
      <c r="BR110" s="24" t="n">
        <f aca="false">BR$21*(0-Planner!$C$43)</f>
        <v>-0.091</v>
      </c>
      <c r="BS110" s="24" t="n">
        <f aca="false">BS$21*(0-Planner!$C$43)</f>
        <v>-0.0595</v>
      </c>
      <c r="BT110" s="24" t="n">
        <f aca="false">BT$21*(0-Planner!$C$43)</f>
        <v>-0.3815</v>
      </c>
      <c r="BU110" s="24" t="n">
        <f aca="false">BU$21*(0-Planner!$C$43)</f>
        <v>-0.4865</v>
      </c>
      <c r="BV110" s="24" t="n">
        <f aca="false">BV$21*(0-Planner!$C$43)</f>
        <v>-0.147</v>
      </c>
      <c r="BW110" s="24" t="n">
        <f aca="false">BW$21*(0-Planner!$C$43)</f>
        <v>-0.294</v>
      </c>
      <c r="BX110" s="24" t="n">
        <f aca="false">BX$21*(0-Planner!$C$43)</f>
        <v>-0.371</v>
      </c>
      <c r="BY110" s="24" t="n">
        <f aca="false">BY$21*(0-Planner!$C$43)</f>
        <v>-0.2975</v>
      </c>
      <c r="BZ110" s="24" t="n">
        <f aca="false">BZ$21*(0-Planner!$C$43)</f>
        <v>-0.8575</v>
      </c>
      <c r="CA110" s="24" t="n">
        <f aca="false">CA$21*(0-Planner!$C$43)</f>
        <v>-1.1865</v>
      </c>
      <c r="CB110" s="24" t="n">
        <f aca="false">CB$21*(0-Planner!$C$43)</f>
        <v>-0.0595</v>
      </c>
      <c r="CC110" s="24" t="n">
        <f aca="false">CC$21*(0-Planner!$C$43)</f>
        <v>-0.161</v>
      </c>
      <c r="CD110" s="24" t="n">
        <f aca="false">CD$21*(0-Planner!$C$43)</f>
        <v>-0.2205</v>
      </c>
      <c r="CE110" s="24" t="n">
        <f aca="false">CE$21*(0-Planner!$C$43)</f>
        <v>-0.252</v>
      </c>
      <c r="CF110" s="24" t="n">
        <f aca="false">CF$21*(0-Planner!$C$43)</f>
        <v>-0.189</v>
      </c>
      <c r="CG110" s="24" t="n">
        <f aca="false">CG$21*(0-Planner!$C$43)</f>
        <v>-0.399</v>
      </c>
      <c r="CH110" s="24" t="n">
        <f aca="false">CH$21*(0-Planner!$C$43)</f>
        <v>-0.287</v>
      </c>
      <c r="CI110" s="24" t="n">
        <f aca="false">CI$21*(0-Planner!$C$43)</f>
        <v>-0.371</v>
      </c>
      <c r="CJ110" s="24" t="n">
        <f aca="false">CJ$21*(0-Planner!$C$43)</f>
        <v>-0.238</v>
      </c>
      <c r="CK110" s="24" t="n">
        <f aca="false">CK$21*(0-Planner!$C$43)</f>
        <v>-0.3185</v>
      </c>
      <c r="CL110" s="24" t="n">
        <f aca="false">CL$21*(0-Planner!$C$43)</f>
        <v>-0.1645</v>
      </c>
      <c r="CM110" s="24" t="n">
        <f aca="false">CM$21*(0-Planner!$C$43)</f>
        <v>-0.3185</v>
      </c>
      <c r="CN110" s="24" t="n">
        <f aca="false">CN$21*(0-Planner!$C$43)</f>
        <v>-0.2205</v>
      </c>
      <c r="CO110" s="24" t="n">
        <f aca="false">CO$21*(0-Planner!$C$43)</f>
        <v>-0.126</v>
      </c>
      <c r="CP110" s="24" t="n">
        <f aca="false">CP$21*(0-Planner!$C$43)</f>
        <v>-0.119</v>
      </c>
      <c r="CQ110" s="24" t="n">
        <f aca="false">CQ$21*(0-Planner!$C$43)</f>
        <v>-0.189</v>
      </c>
      <c r="CR110" s="24" t="n">
        <f aca="false">CR$21*(0-Planner!$C$43)</f>
        <v>-0.147</v>
      </c>
      <c r="CS110" s="24" t="n">
        <f aca="false">CS$21*(0-Planner!$C$43)</f>
        <v>-0.245</v>
      </c>
      <c r="CT110" s="24" t="n">
        <f aca="false">CT$21*(0-Planner!$C$43)</f>
        <v>-0.763</v>
      </c>
      <c r="CU110" s="24" t="n">
        <f aca="false">CU$21*(0-Planner!$C$43)</f>
        <v>-1.0745</v>
      </c>
      <c r="CV110" s="24" t="n">
        <f aca="false">CV$21*(0-Planner!$C$43)</f>
        <v>-0.42</v>
      </c>
      <c r="CW110" s="24" t="n">
        <f aca="false">CW$21*(0-Planner!$C$43)</f>
        <v>-0.2345</v>
      </c>
      <c r="CX110" s="24" t="n">
        <f aca="false">CX$21*(0-Planner!$C$43)</f>
        <v>-0.1505</v>
      </c>
      <c r="CY110" s="24" t="n">
        <f aca="false">CY$21*(0-Planner!$C$43)</f>
        <v>-0.2135</v>
      </c>
      <c r="CZ110" s="24" t="n">
        <f aca="false">CZ$21*(0-Planner!$C$43)</f>
        <v>-0.28</v>
      </c>
      <c r="DA110" s="24" t="n">
        <f aca="false">DA$21*(0-Planner!$C$43)</f>
        <v>-0.77</v>
      </c>
      <c r="DB110" s="24" t="n">
        <f aca="false">DB$21*(0-Planner!$C$43)</f>
        <v>-0.224</v>
      </c>
      <c r="DC110" s="24" t="n">
        <f aca="false">DC$21*(0-Planner!$C$43)</f>
        <v>-0.2555</v>
      </c>
      <c r="DD110" s="24" t="n">
        <f aca="false">DD$21*(0-Planner!$C$43)</f>
        <v>-1.071</v>
      </c>
      <c r="DE110" s="24" t="n">
        <f aca="false">DE$21*(0-Planner!$C$43)</f>
        <v>-1.323</v>
      </c>
      <c r="DF110" s="24" t="n">
        <f aca="false">DF$21*(0-Planner!$C$43)</f>
        <v>-0.35</v>
      </c>
      <c r="DG110" s="24" t="n">
        <f aca="false">DG$21*(0-Planner!$C$43)</f>
        <v>-0.448</v>
      </c>
      <c r="DH110" s="24" t="n">
        <f aca="false">DH$21*(0-Planner!$C$43)</f>
        <v>-0.5005</v>
      </c>
      <c r="DI110" s="24" t="n">
        <f aca="false">DI$21*(0-Planner!$C$43)</f>
        <v>-0.3255</v>
      </c>
      <c r="DJ110" s="24" t="n">
        <f aca="false">DJ$21*(0-Planner!$C$43)</f>
        <v>-0.203</v>
      </c>
      <c r="DK110" s="24" t="n">
        <f aca="false">DK$21*(0-Planner!$C$43)</f>
        <v>-0.273</v>
      </c>
      <c r="DL110" s="24" t="n">
        <f aca="false">DL$21*(0-Planner!$C$43)</f>
        <v>-0.7035</v>
      </c>
      <c r="DM110" s="24" t="n">
        <f aca="false">DM$21*(0-Planner!$C$43)</f>
        <v>-0.2415</v>
      </c>
      <c r="DN110" s="24" t="n">
        <f aca="false">DN$21*(0-Planner!$C$43)</f>
        <v>-1.057</v>
      </c>
      <c r="DO110" s="24" t="n">
        <f aca="false">DO$21*(0-Planner!$C$43)</f>
        <v>-0.9415</v>
      </c>
      <c r="DP110" s="24" t="n">
        <f aca="false">DP$21*(0-Planner!$C$43)</f>
        <v>-0.2275</v>
      </c>
      <c r="DQ110" s="24" t="n">
        <f aca="false">DQ$21*(0-Planner!$C$43)</f>
        <v>-0.252</v>
      </c>
      <c r="DR110" s="24" t="n">
        <f aca="false">DR$21*(0-Planner!$C$43)</f>
        <v>-0.6265</v>
      </c>
      <c r="DS110" s="24" t="n">
        <f aca="false">DS$21*(0-Planner!$C$43)</f>
        <v>-0.301</v>
      </c>
      <c r="DT110" s="24" t="n">
        <f aca="false">DT$21*(0-Planner!$C$43)</f>
        <v>-0.315</v>
      </c>
      <c r="DU110" s="24" t="n">
        <f aca="false">DU$21*(0-Planner!$C$43)</f>
        <v>-0.931</v>
      </c>
      <c r="DV110" s="24" t="n">
        <f aca="false">DV$21*(0-Planner!$C$43)</f>
        <v>-1.1655</v>
      </c>
      <c r="DW110" s="24" t="n">
        <f aca="false">DW$21*(0-Planner!$C$43)</f>
        <v>-1.0815</v>
      </c>
      <c r="DX110" s="24" t="n">
        <f aca="false">DX$21*(0-Planner!$C$43)</f>
        <v>-0.8715</v>
      </c>
      <c r="DY110" s="24" t="n">
        <f aca="false">DY$21*(0-Planner!$C$43)</f>
        <v>-0.5915</v>
      </c>
      <c r="DZ110" s="24" t="n">
        <f aca="false">DZ$21*(0-Planner!$C$43)</f>
        <v>-0.385</v>
      </c>
      <c r="EA110" s="24" t="n">
        <f aca="false">EA$21*(0-Planner!$C$43)</f>
        <v>-0.385</v>
      </c>
      <c r="EB110" s="24" t="n">
        <f aca="false">EB$21*(0-Planner!$C$43)</f>
        <v>-0.238</v>
      </c>
      <c r="EC110" s="24" t="n">
        <f aca="false">EC$21*(0-Planner!$C$43)</f>
        <v>-0.3465</v>
      </c>
      <c r="ED110" s="24" t="n">
        <f aca="false">ED$21*(0-Planner!$C$43)</f>
        <v>-0.4305</v>
      </c>
      <c r="EE110" s="24" t="n">
        <f aca="false">EE$21*(0-Planner!$C$43)</f>
        <v>-0.3185</v>
      </c>
      <c r="EF110" s="24" t="n">
        <f aca="false">EF$21*(0-Planner!$C$43)</f>
        <v>-0.7385</v>
      </c>
      <c r="EG110" s="24" t="n">
        <f aca="false">EG$21*(0-Planner!$C$43)</f>
        <v>-1.001</v>
      </c>
      <c r="EH110" s="24" t="n">
        <f aca="false">EH$21*(0-Planner!$C$43)</f>
        <v>-1.2705</v>
      </c>
      <c r="EI110" s="24" t="n">
        <f aca="false">EI$21*(0-Planner!$C$43)</f>
        <v>-0.2765</v>
      </c>
      <c r="EJ110" s="24" t="n">
        <f aca="false">EJ$21*(0-Planner!$C$43)</f>
        <v>-0.308</v>
      </c>
      <c r="EK110" s="24" t="n">
        <f aca="false">EK$21*(0-Planner!$C$43)</f>
        <v>-0.8645</v>
      </c>
      <c r="EL110" s="24" t="n">
        <f aca="false">EL$21*(0-Planner!$C$43)</f>
        <v>-0.4235</v>
      </c>
      <c r="EM110" s="24" t="n">
        <f aca="false">EM$21*(0-Planner!$C$43)</f>
        <v>-0.2975</v>
      </c>
      <c r="EN110" s="24" t="n">
        <f aca="false">EN$21*(0-Planner!$C$43)</f>
        <v>-0</v>
      </c>
      <c r="EO110" s="24" t="n">
        <f aca="false">EO$21*(0-Planner!$C$43)</f>
        <v>-0</v>
      </c>
      <c r="EP110" s="24" t="n">
        <f aca="false">EP$21*(0-Planner!$C$43)</f>
        <v>-7.4025</v>
      </c>
      <c r="EQ110" s="24" t="n">
        <f aca="false">EQ$21*(0-Planner!$C$43)</f>
        <v>-0.686</v>
      </c>
      <c r="ER110" s="24" t="n">
        <f aca="false">ER$21*(0-Planner!$C$43)</f>
        <v>-1.785</v>
      </c>
      <c r="ES110" s="24" t="n">
        <f aca="false">ES$21*(0-Planner!$C$43)</f>
        <v>-1.9775</v>
      </c>
      <c r="ET110" s="24" t="n">
        <f aca="false">ET$21*(0-Planner!$C$43)</f>
        <v>-2.2365</v>
      </c>
      <c r="EU110" s="24" t="n">
        <f aca="false">EU$21*(0-Planner!$C$43)</f>
        <v>-1.225</v>
      </c>
    </row>
    <row r="111" customFormat="false" ht="15" hidden="false" customHeight="false" outlineLevel="0" collapsed="false">
      <c r="A111" s="4" t="s">
        <v>1051</v>
      </c>
      <c r="B111" s="75" t="s">
        <v>1017</v>
      </c>
      <c r="C111" s="78" t="n">
        <v>0</v>
      </c>
      <c r="D111" s="77" t="n">
        <v>-39.199999997333</v>
      </c>
      <c r="E111" s="75" t="str">
        <f aca="false">IF(D111&lt;=C111+0.000001*MAX(1,ABS(C111)),IF(ABS(D111-C111)&lt;=0.000001*MAX(1,ABS(C111)),"tight","ok"),"VIOLATED")</f>
        <v>ok</v>
      </c>
      <c r="F111" s="24" t="n">
        <f aca="false">F$21*(0-Planner!$C$43)</f>
        <v>-7.875</v>
      </c>
      <c r="G111" s="24" t="n">
        <f aca="false">G$21*(0-Planner!$C$43)</f>
        <v>-6.328</v>
      </c>
      <c r="H111" s="24" t="n">
        <f aca="false">H$21*(0-Planner!$C$43)</f>
        <v>-6.881</v>
      </c>
      <c r="I111" s="24" t="n">
        <f aca="false">I$21*(0-Planner!$C$43)</f>
        <v>-5.7155</v>
      </c>
      <c r="J111" s="24" t="n">
        <f aca="false">J$21*(0-Planner!$C$43)</f>
        <v>-6.5555</v>
      </c>
      <c r="K111" s="24" t="n">
        <f aca="false">K$21*(0-Planner!$C$43)</f>
        <v>-6.51</v>
      </c>
      <c r="L111" s="24" t="n">
        <f aca="false">L$21*(0-Planner!$C$43)</f>
        <v>-4.417</v>
      </c>
      <c r="M111" s="24" t="n">
        <f aca="false">M$21*(0-Planner!$C$43)</f>
        <v>-7.6125</v>
      </c>
      <c r="N111" s="24" t="n">
        <f aca="false">N$21*(0-Planner!$C$43)</f>
        <v>-6.0095</v>
      </c>
      <c r="O111" s="24" t="n">
        <f aca="false">O$21*(0-Planner!$C$43)</f>
        <v>-7.2975</v>
      </c>
      <c r="P111" s="24" t="n">
        <f aca="false">P$21*(0-Planner!$C$43)</f>
        <v>-5.81</v>
      </c>
      <c r="Q111" s="24" t="n">
        <f aca="false">Q$21*(0-Planner!$C$43)</f>
        <v>-7.399</v>
      </c>
      <c r="R111" s="24" t="n">
        <f aca="false">R$21*(0-Planner!$C$43)</f>
        <v>-7.679</v>
      </c>
      <c r="S111" s="24" t="n">
        <f aca="false">S$21*(0-Planner!$C$43)</f>
        <v>-6.972</v>
      </c>
      <c r="T111" s="24" t="n">
        <f aca="false">T$21*(0-Planner!$C$43)</f>
        <v>-6.804</v>
      </c>
      <c r="U111" s="24" t="n">
        <f aca="false">U$21*(0-Planner!$C$43)</f>
        <v>-7.147</v>
      </c>
      <c r="V111" s="24" t="n">
        <f aca="false">V$21*(0-Planner!$C$43)</f>
        <v>-4.7635</v>
      </c>
      <c r="W111" s="24" t="n">
        <f aca="false">W$21*(0-Planner!$C$43)</f>
        <v>-7.028</v>
      </c>
      <c r="X111" s="24" t="n">
        <f aca="false">X$21*(0-Planner!$C$43)</f>
        <v>-4.396</v>
      </c>
      <c r="Y111" s="24" t="n">
        <f aca="false">Y$21*(0-Planner!$C$43)</f>
        <v>-2.1105</v>
      </c>
      <c r="Z111" s="24" t="n">
        <f aca="false">Z$21*(0-Planner!$C$43)</f>
        <v>-7.56</v>
      </c>
      <c r="AA111" s="24" t="n">
        <f aca="false">AA$21*(0-Planner!$C$43)</f>
        <v>-1.659</v>
      </c>
      <c r="AB111" s="24" t="n">
        <f aca="false">AB$21*(0-Planner!$C$43)</f>
        <v>-8.232</v>
      </c>
      <c r="AC111" s="24" t="n">
        <f aca="false">AC$21*(0-Planner!$C$43)</f>
        <v>-1.722</v>
      </c>
      <c r="AD111" s="24" t="n">
        <f aca="false">AD$21*(0-Planner!$C$43)</f>
        <v>-2.5795</v>
      </c>
      <c r="AE111" s="24" t="n">
        <f aca="false">AE$21*(0-Planner!$C$43)</f>
        <v>-7.651</v>
      </c>
      <c r="AF111" s="24" t="n">
        <f aca="false">AF$21*(0-Planner!$C$43)</f>
        <v>-1.827</v>
      </c>
      <c r="AG111" s="24" t="n">
        <f aca="false">AG$21*(0-Planner!$C$43)</f>
        <v>-8.253</v>
      </c>
      <c r="AH111" s="24" t="n">
        <f aca="false">AH$21*(0-Planner!$C$43)</f>
        <v>-8.6205</v>
      </c>
      <c r="AI111" s="24" t="n">
        <f aca="false">AI$21*(0-Planner!$C$43)</f>
        <v>-7.511</v>
      </c>
      <c r="AJ111" s="24" t="n">
        <f aca="false">AJ$21*(0-Planner!$C$43)</f>
        <v>-2.6355</v>
      </c>
      <c r="AK111" s="24" t="n">
        <f aca="false">AK$21*(0-Planner!$C$43)</f>
        <v>-7.8155</v>
      </c>
      <c r="AL111" s="24" t="n">
        <f aca="false">AL$21*(0-Planner!$C$43)</f>
        <v>-7.7735</v>
      </c>
      <c r="AM111" s="24" t="n">
        <f aca="false">AM$21*(0-Planner!$C$43)</f>
        <v>-1.61</v>
      </c>
      <c r="AN111" s="24" t="n">
        <f aca="false">AN$21*(0-Planner!$C$43)</f>
        <v>-7.497</v>
      </c>
      <c r="AO111" s="24" t="n">
        <f aca="false">AO$21*(0-Planner!$C$43)</f>
        <v>-3.535</v>
      </c>
      <c r="AP111" s="24" t="n">
        <f aca="false">AP$21*(0-Planner!$C$43)</f>
        <v>-1.155</v>
      </c>
      <c r="AQ111" s="24" t="n">
        <f aca="false">AQ$21*(0-Planner!$C$43)</f>
        <v>-3.5665</v>
      </c>
      <c r="AR111" s="24" t="n">
        <f aca="false">AR$21*(0-Planner!$C$43)</f>
        <v>-0.91</v>
      </c>
      <c r="AS111" s="24" t="n">
        <f aca="false">AS$21*(0-Planner!$C$43)</f>
        <v>-1.1025</v>
      </c>
      <c r="AT111" s="24" t="n">
        <f aca="false">AT$21*(0-Planner!$C$43)</f>
        <v>-6.3455</v>
      </c>
      <c r="AU111" s="24" t="n">
        <f aca="false">AU$21*(0-Planner!$C$43)</f>
        <v>-8.0045</v>
      </c>
      <c r="AV111" s="24" t="n">
        <f aca="false">AV$21*(0-Planner!$C$43)</f>
        <v>-3.6575</v>
      </c>
      <c r="AW111" s="24" t="n">
        <f aca="false">AW$21*(0-Planner!$C$43)</f>
        <v>-8.3125</v>
      </c>
      <c r="AX111" s="24" t="n">
        <f aca="false">AX$21*(1-Planner!$C$43)</f>
        <v>6.864</v>
      </c>
      <c r="AY111" s="24" t="n">
        <f aca="false">AY$21*(0-Planner!$C$43)</f>
        <v>-2.639</v>
      </c>
      <c r="AZ111" s="24" t="n">
        <f aca="false">AZ$21*(0-Planner!$C$43)</f>
        <v>-4.2315</v>
      </c>
      <c r="BA111" s="24" t="n">
        <f aca="false">BA$21*(0-Planner!$C$43)</f>
        <v>-1.995</v>
      </c>
      <c r="BB111" s="24" t="n">
        <f aca="false">BB$21*(0-Planner!$C$43)</f>
        <v>-2.8035</v>
      </c>
      <c r="BC111" s="24" t="n">
        <f aca="false">BC$21*(0-Planner!$C$43)</f>
        <v>-4.942</v>
      </c>
      <c r="BD111" s="24" t="n">
        <f aca="false">BD$21*(0-Planner!$C$43)</f>
        <v>-4.6025</v>
      </c>
      <c r="BE111" s="24" t="n">
        <f aca="false">BE$21*(0-Planner!$C$43)</f>
        <v>-4.564</v>
      </c>
      <c r="BF111" s="24" t="n">
        <f aca="false">BF$21*(0-Planner!$C$43)</f>
        <v>-3.0975</v>
      </c>
      <c r="BG111" s="24" t="n">
        <f aca="false">BG$21*(0-Planner!$C$43)</f>
        <v>-2.4955</v>
      </c>
      <c r="BH111" s="24" t="n">
        <f aca="false">BH$21*(0-Planner!$C$43)</f>
        <v>-4.3575</v>
      </c>
      <c r="BI111" s="24" t="n">
        <f aca="false">BI$21*(0-Planner!$C$43)</f>
        <v>-4.8545</v>
      </c>
      <c r="BJ111" s="24" t="n">
        <f aca="false">BJ$21*(0-Planner!$C$43)</f>
        <v>-2.6565</v>
      </c>
      <c r="BK111" s="24" t="n">
        <f aca="false">BK$21*(0-Planner!$C$43)</f>
        <v>-0.6825</v>
      </c>
      <c r="BL111" s="24" t="n">
        <f aca="false">BL$21*(0-Planner!$C$43)</f>
        <v>-1.057</v>
      </c>
      <c r="BM111" s="24" t="n">
        <f aca="false">BM$21*(0-Planner!$C$43)</f>
        <v>-0.784</v>
      </c>
      <c r="BN111" s="24" t="n">
        <f aca="false">BN$21*(0-Planner!$C$43)</f>
        <v>-1.0535</v>
      </c>
      <c r="BO111" s="24" t="n">
        <f aca="false">BO$21*(0-Planner!$C$43)</f>
        <v>-1.827</v>
      </c>
      <c r="BP111" s="24" t="n">
        <f aca="false">BP$21*(0-Planner!$C$43)</f>
        <v>-0.7175</v>
      </c>
      <c r="BQ111" s="24" t="n">
        <f aca="false">BQ$21*(0-Planner!$C$43)</f>
        <v>-0.5495</v>
      </c>
      <c r="BR111" s="24" t="n">
        <f aca="false">BR$21*(0-Planner!$C$43)</f>
        <v>-0.091</v>
      </c>
      <c r="BS111" s="24" t="n">
        <f aca="false">BS$21*(0-Planner!$C$43)</f>
        <v>-0.0595</v>
      </c>
      <c r="BT111" s="24" t="n">
        <f aca="false">BT$21*(0-Planner!$C$43)</f>
        <v>-0.3815</v>
      </c>
      <c r="BU111" s="24" t="n">
        <f aca="false">BU$21*(0-Planner!$C$43)</f>
        <v>-0.4865</v>
      </c>
      <c r="BV111" s="24" t="n">
        <f aca="false">BV$21*(0-Planner!$C$43)</f>
        <v>-0.147</v>
      </c>
      <c r="BW111" s="24" t="n">
        <f aca="false">BW$21*(0-Planner!$C$43)</f>
        <v>-0.294</v>
      </c>
      <c r="BX111" s="24" t="n">
        <f aca="false">BX$21*(0-Planner!$C$43)</f>
        <v>-0.371</v>
      </c>
      <c r="BY111" s="24" t="n">
        <f aca="false">BY$21*(0-Planner!$C$43)</f>
        <v>-0.2975</v>
      </c>
      <c r="BZ111" s="24" t="n">
        <f aca="false">BZ$21*(0-Planner!$C$43)</f>
        <v>-0.8575</v>
      </c>
      <c r="CA111" s="24" t="n">
        <f aca="false">CA$21*(0-Planner!$C$43)</f>
        <v>-1.1865</v>
      </c>
      <c r="CB111" s="24" t="n">
        <f aca="false">CB$21*(0-Planner!$C$43)</f>
        <v>-0.0595</v>
      </c>
      <c r="CC111" s="24" t="n">
        <f aca="false">CC$21*(0-Planner!$C$43)</f>
        <v>-0.161</v>
      </c>
      <c r="CD111" s="24" t="n">
        <f aca="false">CD$21*(0-Planner!$C$43)</f>
        <v>-0.2205</v>
      </c>
      <c r="CE111" s="24" t="n">
        <f aca="false">CE$21*(0-Planner!$C$43)</f>
        <v>-0.252</v>
      </c>
      <c r="CF111" s="24" t="n">
        <f aca="false">CF$21*(0-Planner!$C$43)</f>
        <v>-0.189</v>
      </c>
      <c r="CG111" s="24" t="n">
        <f aca="false">CG$21*(0-Planner!$C$43)</f>
        <v>-0.399</v>
      </c>
      <c r="CH111" s="24" t="n">
        <f aca="false">CH$21*(0-Planner!$C$43)</f>
        <v>-0.287</v>
      </c>
      <c r="CI111" s="24" t="n">
        <f aca="false">CI$21*(0-Planner!$C$43)</f>
        <v>-0.371</v>
      </c>
      <c r="CJ111" s="24" t="n">
        <f aca="false">CJ$21*(0-Planner!$C$43)</f>
        <v>-0.238</v>
      </c>
      <c r="CK111" s="24" t="n">
        <f aca="false">CK$21*(0-Planner!$C$43)</f>
        <v>-0.3185</v>
      </c>
      <c r="CL111" s="24" t="n">
        <f aca="false">CL$21*(0-Planner!$C$43)</f>
        <v>-0.1645</v>
      </c>
      <c r="CM111" s="24" t="n">
        <f aca="false">CM$21*(0-Planner!$C$43)</f>
        <v>-0.3185</v>
      </c>
      <c r="CN111" s="24" t="n">
        <f aca="false">CN$21*(0-Planner!$C$43)</f>
        <v>-0.2205</v>
      </c>
      <c r="CO111" s="24" t="n">
        <f aca="false">CO$21*(0-Planner!$C$43)</f>
        <v>-0.126</v>
      </c>
      <c r="CP111" s="24" t="n">
        <f aca="false">CP$21*(0-Planner!$C$43)</f>
        <v>-0.119</v>
      </c>
      <c r="CQ111" s="24" t="n">
        <f aca="false">CQ$21*(0-Planner!$C$43)</f>
        <v>-0.189</v>
      </c>
      <c r="CR111" s="24" t="n">
        <f aca="false">CR$21*(0-Planner!$C$43)</f>
        <v>-0.147</v>
      </c>
      <c r="CS111" s="24" t="n">
        <f aca="false">CS$21*(0-Planner!$C$43)</f>
        <v>-0.245</v>
      </c>
      <c r="CT111" s="24" t="n">
        <f aca="false">CT$21*(0-Planner!$C$43)</f>
        <v>-0.763</v>
      </c>
      <c r="CU111" s="24" t="n">
        <f aca="false">CU$21*(0-Planner!$C$43)</f>
        <v>-1.0745</v>
      </c>
      <c r="CV111" s="24" t="n">
        <f aca="false">CV$21*(0-Planner!$C$43)</f>
        <v>-0.42</v>
      </c>
      <c r="CW111" s="24" t="n">
        <f aca="false">CW$21*(0-Planner!$C$43)</f>
        <v>-0.2345</v>
      </c>
      <c r="CX111" s="24" t="n">
        <f aca="false">CX$21*(0-Planner!$C$43)</f>
        <v>-0.1505</v>
      </c>
      <c r="CY111" s="24" t="n">
        <f aca="false">CY$21*(0-Planner!$C$43)</f>
        <v>-0.2135</v>
      </c>
      <c r="CZ111" s="24" t="n">
        <f aca="false">CZ$21*(0-Planner!$C$43)</f>
        <v>-0.28</v>
      </c>
      <c r="DA111" s="24" t="n">
        <f aca="false">DA$21*(0-Planner!$C$43)</f>
        <v>-0.77</v>
      </c>
      <c r="DB111" s="24" t="n">
        <f aca="false">DB$21*(0-Planner!$C$43)</f>
        <v>-0.224</v>
      </c>
      <c r="DC111" s="24" t="n">
        <f aca="false">DC$21*(0-Planner!$C$43)</f>
        <v>-0.2555</v>
      </c>
      <c r="DD111" s="24" t="n">
        <f aca="false">DD$21*(0-Planner!$C$43)</f>
        <v>-1.071</v>
      </c>
      <c r="DE111" s="24" t="n">
        <f aca="false">DE$21*(0-Planner!$C$43)</f>
        <v>-1.323</v>
      </c>
      <c r="DF111" s="24" t="n">
        <f aca="false">DF$21*(0-Planner!$C$43)</f>
        <v>-0.35</v>
      </c>
      <c r="DG111" s="24" t="n">
        <f aca="false">DG$21*(0-Planner!$C$43)</f>
        <v>-0.448</v>
      </c>
      <c r="DH111" s="24" t="n">
        <f aca="false">DH$21*(0-Planner!$C$43)</f>
        <v>-0.5005</v>
      </c>
      <c r="DI111" s="24" t="n">
        <f aca="false">DI$21*(0-Planner!$C$43)</f>
        <v>-0.3255</v>
      </c>
      <c r="DJ111" s="24" t="n">
        <f aca="false">DJ$21*(0-Planner!$C$43)</f>
        <v>-0.203</v>
      </c>
      <c r="DK111" s="24" t="n">
        <f aca="false">DK$21*(0-Planner!$C$43)</f>
        <v>-0.273</v>
      </c>
      <c r="DL111" s="24" t="n">
        <f aca="false">DL$21*(0-Planner!$C$43)</f>
        <v>-0.7035</v>
      </c>
      <c r="DM111" s="24" t="n">
        <f aca="false">DM$21*(0-Planner!$C$43)</f>
        <v>-0.2415</v>
      </c>
      <c r="DN111" s="24" t="n">
        <f aca="false">DN$21*(0-Planner!$C$43)</f>
        <v>-1.057</v>
      </c>
      <c r="DO111" s="24" t="n">
        <f aca="false">DO$21*(0-Planner!$C$43)</f>
        <v>-0.9415</v>
      </c>
      <c r="DP111" s="24" t="n">
        <f aca="false">DP$21*(0-Planner!$C$43)</f>
        <v>-0.2275</v>
      </c>
      <c r="DQ111" s="24" t="n">
        <f aca="false">DQ$21*(0-Planner!$C$43)</f>
        <v>-0.252</v>
      </c>
      <c r="DR111" s="24" t="n">
        <f aca="false">DR$21*(0-Planner!$C$43)</f>
        <v>-0.6265</v>
      </c>
      <c r="DS111" s="24" t="n">
        <f aca="false">DS$21*(0-Planner!$C$43)</f>
        <v>-0.301</v>
      </c>
      <c r="DT111" s="24" t="n">
        <f aca="false">DT$21*(0-Planner!$C$43)</f>
        <v>-0.315</v>
      </c>
      <c r="DU111" s="24" t="n">
        <f aca="false">DU$21*(0-Planner!$C$43)</f>
        <v>-0.931</v>
      </c>
      <c r="DV111" s="24" t="n">
        <f aca="false">DV$21*(0-Planner!$C$43)</f>
        <v>-1.1655</v>
      </c>
      <c r="DW111" s="24" t="n">
        <f aca="false">DW$21*(0-Planner!$C$43)</f>
        <v>-1.0815</v>
      </c>
      <c r="DX111" s="24" t="n">
        <f aca="false">DX$21*(0-Planner!$C$43)</f>
        <v>-0.8715</v>
      </c>
      <c r="DY111" s="24" t="n">
        <f aca="false">DY$21*(0-Planner!$C$43)</f>
        <v>-0.5915</v>
      </c>
      <c r="DZ111" s="24" t="n">
        <f aca="false">DZ$21*(0-Planner!$C$43)</f>
        <v>-0.385</v>
      </c>
      <c r="EA111" s="24" t="n">
        <f aca="false">EA$21*(0-Planner!$C$43)</f>
        <v>-0.385</v>
      </c>
      <c r="EB111" s="24" t="n">
        <f aca="false">EB$21*(0-Planner!$C$43)</f>
        <v>-0.238</v>
      </c>
      <c r="EC111" s="24" t="n">
        <f aca="false">EC$21*(0-Planner!$C$43)</f>
        <v>-0.3465</v>
      </c>
      <c r="ED111" s="24" t="n">
        <f aca="false">ED$21*(0-Planner!$C$43)</f>
        <v>-0.4305</v>
      </c>
      <c r="EE111" s="24" t="n">
        <f aca="false">EE$21*(0-Planner!$C$43)</f>
        <v>-0.3185</v>
      </c>
      <c r="EF111" s="24" t="n">
        <f aca="false">EF$21*(0-Planner!$C$43)</f>
        <v>-0.7385</v>
      </c>
      <c r="EG111" s="24" t="n">
        <f aca="false">EG$21*(0-Planner!$C$43)</f>
        <v>-1.001</v>
      </c>
      <c r="EH111" s="24" t="n">
        <f aca="false">EH$21*(0-Planner!$C$43)</f>
        <v>-1.2705</v>
      </c>
      <c r="EI111" s="24" t="n">
        <f aca="false">EI$21*(0-Planner!$C$43)</f>
        <v>-0.2765</v>
      </c>
      <c r="EJ111" s="24" t="n">
        <f aca="false">EJ$21*(0-Planner!$C$43)</f>
        <v>-0.308</v>
      </c>
      <c r="EK111" s="24" t="n">
        <f aca="false">EK$21*(0-Planner!$C$43)</f>
        <v>-0.8645</v>
      </c>
      <c r="EL111" s="24" t="n">
        <f aca="false">EL$21*(0-Planner!$C$43)</f>
        <v>-0.4235</v>
      </c>
      <c r="EM111" s="24" t="n">
        <f aca="false">EM$21*(0-Planner!$C$43)</f>
        <v>-0.2975</v>
      </c>
      <c r="EN111" s="24" t="n">
        <f aca="false">EN$21*(0-Planner!$C$43)</f>
        <v>-0</v>
      </c>
      <c r="EO111" s="24" t="n">
        <f aca="false">EO$21*(0-Planner!$C$43)</f>
        <v>-0</v>
      </c>
      <c r="EP111" s="24" t="n">
        <f aca="false">EP$21*(0-Planner!$C$43)</f>
        <v>-7.4025</v>
      </c>
      <c r="EQ111" s="24" t="n">
        <f aca="false">EQ$21*(0-Planner!$C$43)</f>
        <v>-0.686</v>
      </c>
      <c r="ER111" s="24" t="n">
        <f aca="false">ER$21*(0-Planner!$C$43)</f>
        <v>-1.785</v>
      </c>
      <c r="ES111" s="24" t="n">
        <f aca="false">ES$21*(0-Planner!$C$43)</f>
        <v>-1.9775</v>
      </c>
      <c r="ET111" s="24" t="n">
        <f aca="false">ET$21*(0-Planner!$C$43)</f>
        <v>-2.2365</v>
      </c>
      <c r="EU111" s="24" t="n">
        <f aca="false">EU$21*(0-Planner!$C$43)</f>
        <v>-1.225</v>
      </c>
    </row>
    <row r="112" customFormat="false" ht="15" hidden="false" customHeight="false" outlineLevel="0" collapsed="false">
      <c r="A112" s="4" t="s">
        <v>1052</v>
      </c>
      <c r="B112" s="75" t="s">
        <v>1017</v>
      </c>
      <c r="C112" s="78" t="n">
        <v>0</v>
      </c>
      <c r="D112" s="77" t="n">
        <v>-39.199999997333</v>
      </c>
      <c r="E112" s="75" t="str">
        <f aca="false">IF(D112&lt;=C112+0.000001*MAX(1,ABS(C112)),IF(ABS(D112-C112)&lt;=0.000001*MAX(1,ABS(C112)),"tight","ok"),"VIOLATED")</f>
        <v>ok</v>
      </c>
      <c r="F112" s="24" t="n">
        <f aca="false">F$21*(0-Planner!$C$43)</f>
        <v>-7.875</v>
      </c>
      <c r="G112" s="24" t="n">
        <f aca="false">G$21*(0-Planner!$C$43)</f>
        <v>-6.328</v>
      </c>
      <c r="H112" s="24" t="n">
        <f aca="false">H$21*(0-Planner!$C$43)</f>
        <v>-6.881</v>
      </c>
      <c r="I112" s="24" t="n">
        <f aca="false">I$21*(0-Planner!$C$43)</f>
        <v>-5.7155</v>
      </c>
      <c r="J112" s="24" t="n">
        <f aca="false">J$21*(0-Planner!$C$43)</f>
        <v>-6.5555</v>
      </c>
      <c r="K112" s="24" t="n">
        <f aca="false">K$21*(0-Planner!$C$43)</f>
        <v>-6.51</v>
      </c>
      <c r="L112" s="24" t="n">
        <f aca="false">L$21*(0-Planner!$C$43)</f>
        <v>-4.417</v>
      </c>
      <c r="M112" s="24" t="n">
        <f aca="false">M$21*(0-Planner!$C$43)</f>
        <v>-7.6125</v>
      </c>
      <c r="N112" s="24" t="n">
        <f aca="false">N$21*(0-Planner!$C$43)</f>
        <v>-6.0095</v>
      </c>
      <c r="O112" s="24" t="n">
        <f aca="false">O$21*(0-Planner!$C$43)</f>
        <v>-7.2975</v>
      </c>
      <c r="P112" s="24" t="n">
        <f aca="false">P$21*(0-Planner!$C$43)</f>
        <v>-5.81</v>
      </c>
      <c r="Q112" s="24" t="n">
        <f aca="false">Q$21*(0-Planner!$C$43)</f>
        <v>-7.399</v>
      </c>
      <c r="R112" s="24" t="n">
        <f aca="false">R$21*(0-Planner!$C$43)</f>
        <v>-7.679</v>
      </c>
      <c r="S112" s="24" t="n">
        <f aca="false">S$21*(0-Planner!$C$43)</f>
        <v>-6.972</v>
      </c>
      <c r="T112" s="24" t="n">
        <f aca="false">T$21*(0-Planner!$C$43)</f>
        <v>-6.804</v>
      </c>
      <c r="U112" s="24" t="n">
        <f aca="false">U$21*(0-Planner!$C$43)</f>
        <v>-7.147</v>
      </c>
      <c r="V112" s="24" t="n">
        <f aca="false">V$21*(0-Planner!$C$43)</f>
        <v>-4.7635</v>
      </c>
      <c r="W112" s="24" t="n">
        <f aca="false">W$21*(0-Planner!$C$43)</f>
        <v>-7.028</v>
      </c>
      <c r="X112" s="24" t="n">
        <f aca="false">X$21*(0-Planner!$C$43)</f>
        <v>-4.396</v>
      </c>
      <c r="Y112" s="24" t="n">
        <f aca="false">Y$21*(0-Planner!$C$43)</f>
        <v>-2.1105</v>
      </c>
      <c r="Z112" s="24" t="n">
        <f aca="false">Z$21*(0-Planner!$C$43)</f>
        <v>-7.56</v>
      </c>
      <c r="AA112" s="24" t="n">
        <f aca="false">AA$21*(0-Planner!$C$43)</f>
        <v>-1.659</v>
      </c>
      <c r="AB112" s="24" t="n">
        <f aca="false">AB$21*(0-Planner!$C$43)</f>
        <v>-8.232</v>
      </c>
      <c r="AC112" s="24" t="n">
        <f aca="false">AC$21*(0-Planner!$C$43)</f>
        <v>-1.722</v>
      </c>
      <c r="AD112" s="24" t="n">
        <f aca="false">AD$21*(0-Planner!$C$43)</f>
        <v>-2.5795</v>
      </c>
      <c r="AE112" s="24" t="n">
        <f aca="false">AE$21*(0-Planner!$C$43)</f>
        <v>-7.651</v>
      </c>
      <c r="AF112" s="24" t="n">
        <f aca="false">AF$21*(0-Planner!$C$43)</f>
        <v>-1.827</v>
      </c>
      <c r="AG112" s="24" t="n">
        <f aca="false">AG$21*(0-Planner!$C$43)</f>
        <v>-8.253</v>
      </c>
      <c r="AH112" s="24" t="n">
        <f aca="false">AH$21*(0-Planner!$C$43)</f>
        <v>-8.6205</v>
      </c>
      <c r="AI112" s="24" t="n">
        <f aca="false">AI$21*(0-Planner!$C$43)</f>
        <v>-7.511</v>
      </c>
      <c r="AJ112" s="24" t="n">
        <f aca="false">AJ$21*(0-Planner!$C$43)</f>
        <v>-2.6355</v>
      </c>
      <c r="AK112" s="24" t="n">
        <f aca="false">AK$21*(0-Planner!$C$43)</f>
        <v>-7.8155</v>
      </c>
      <c r="AL112" s="24" t="n">
        <f aca="false">AL$21*(0-Planner!$C$43)</f>
        <v>-7.7735</v>
      </c>
      <c r="AM112" s="24" t="n">
        <f aca="false">AM$21*(0-Planner!$C$43)</f>
        <v>-1.61</v>
      </c>
      <c r="AN112" s="24" t="n">
        <f aca="false">AN$21*(0-Planner!$C$43)</f>
        <v>-7.497</v>
      </c>
      <c r="AO112" s="24" t="n">
        <f aca="false">AO$21*(0-Planner!$C$43)</f>
        <v>-3.535</v>
      </c>
      <c r="AP112" s="24" t="n">
        <f aca="false">AP$21*(0-Planner!$C$43)</f>
        <v>-1.155</v>
      </c>
      <c r="AQ112" s="24" t="n">
        <f aca="false">AQ$21*(0-Planner!$C$43)</f>
        <v>-3.5665</v>
      </c>
      <c r="AR112" s="24" t="n">
        <f aca="false">AR$21*(0-Planner!$C$43)</f>
        <v>-0.91</v>
      </c>
      <c r="AS112" s="24" t="n">
        <f aca="false">AS$21*(0-Planner!$C$43)</f>
        <v>-1.1025</v>
      </c>
      <c r="AT112" s="24" t="n">
        <f aca="false">AT$21*(0-Planner!$C$43)</f>
        <v>-6.3455</v>
      </c>
      <c r="AU112" s="24" t="n">
        <f aca="false">AU$21*(0-Planner!$C$43)</f>
        <v>-8.0045</v>
      </c>
      <c r="AV112" s="24" t="n">
        <f aca="false">AV$21*(0-Planner!$C$43)</f>
        <v>-3.6575</v>
      </c>
      <c r="AW112" s="24" t="n">
        <f aca="false">AW$21*(0-Planner!$C$43)</f>
        <v>-8.3125</v>
      </c>
      <c r="AX112" s="24" t="n">
        <f aca="false">AX$21*(0-Planner!$C$43)</f>
        <v>-3.696</v>
      </c>
      <c r="AY112" s="24" t="n">
        <f aca="false">AY$21*(0-Planner!$C$43)</f>
        <v>-2.639</v>
      </c>
      <c r="AZ112" s="24" t="n">
        <f aca="false">AZ$21*(1-Planner!$C$43)</f>
        <v>7.8585</v>
      </c>
      <c r="BA112" s="24" t="n">
        <f aca="false">BA$21*(0-Planner!$C$43)</f>
        <v>-1.995</v>
      </c>
      <c r="BB112" s="24" t="n">
        <f aca="false">BB$21*(0-Planner!$C$43)</f>
        <v>-2.8035</v>
      </c>
      <c r="BC112" s="24" t="n">
        <f aca="false">BC$21*(0-Planner!$C$43)</f>
        <v>-4.942</v>
      </c>
      <c r="BD112" s="24" t="n">
        <f aca="false">BD$21*(0-Planner!$C$43)</f>
        <v>-4.6025</v>
      </c>
      <c r="BE112" s="24" t="n">
        <f aca="false">BE$21*(0-Planner!$C$43)</f>
        <v>-4.564</v>
      </c>
      <c r="BF112" s="24" t="n">
        <f aca="false">BF$21*(0-Planner!$C$43)</f>
        <v>-3.0975</v>
      </c>
      <c r="BG112" s="24" t="n">
        <f aca="false">BG$21*(0-Planner!$C$43)</f>
        <v>-2.4955</v>
      </c>
      <c r="BH112" s="24" t="n">
        <f aca="false">BH$21*(0-Planner!$C$43)</f>
        <v>-4.3575</v>
      </c>
      <c r="BI112" s="24" t="n">
        <f aca="false">BI$21*(0-Planner!$C$43)</f>
        <v>-4.8545</v>
      </c>
      <c r="BJ112" s="24" t="n">
        <f aca="false">BJ$21*(0-Planner!$C$43)</f>
        <v>-2.6565</v>
      </c>
      <c r="BK112" s="24" t="n">
        <f aca="false">BK$21*(0-Planner!$C$43)</f>
        <v>-0.6825</v>
      </c>
      <c r="BL112" s="24" t="n">
        <f aca="false">BL$21*(0-Planner!$C$43)</f>
        <v>-1.057</v>
      </c>
      <c r="BM112" s="24" t="n">
        <f aca="false">BM$21*(0-Planner!$C$43)</f>
        <v>-0.784</v>
      </c>
      <c r="BN112" s="24" t="n">
        <f aca="false">BN$21*(0-Planner!$C$43)</f>
        <v>-1.0535</v>
      </c>
      <c r="BO112" s="24" t="n">
        <f aca="false">BO$21*(0-Planner!$C$43)</f>
        <v>-1.827</v>
      </c>
      <c r="BP112" s="24" t="n">
        <f aca="false">BP$21*(0-Planner!$C$43)</f>
        <v>-0.7175</v>
      </c>
      <c r="BQ112" s="24" t="n">
        <f aca="false">BQ$21*(0-Planner!$C$43)</f>
        <v>-0.5495</v>
      </c>
      <c r="BR112" s="24" t="n">
        <f aca="false">BR$21*(0-Planner!$C$43)</f>
        <v>-0.091</v>
      </c>
      <c r="BS112" s="24" t="n">
        <f aca="false">BS$21*(0-Planner!$C$43)</f>
        <v>-0.0595</v>
      </c>
      <c r="BT112" s="24" t="n">
        <f aca="false">BT$21*(0-Planner!$C$43)</f>
        <v>-0.3815</v>
      </c>
      <c r="BU112" s="24" t="n">
        <f aca="false">BU$21*(0-Planner!$C$43)</f>
        <v>-0.4865</v>
      </c>
      <c r="BV112" s="24" t="n">
        <f aca="false">BV$21*(0-Planner!$C$43)</f>
        <v>-0.147</v>
      </c>
      <c r="BW112" s="24" t="n">
        <f aca="false">BW$21*(0-Planner!$C$43)</f>
        <v>-0.294</v>
      </c>
      <c r="BX112" s="24" t="n">
        <f aca="false">BX$21*(0-Planner!$C$43)</f>
        <v>-0.371</v>
      </c>
      <c r="BY112" s="24" t="n">
        <f aca="false">BY$21*(0-Planner!$C$43)</f>
        <v>-0.2975</v>
      </c>
      <c r="BZ112" s="24" t="n">
        <f aca="false">BZ$21*(0-Planner!$C$43)</f>
        <v>-0.8575</v>
      </c>
      <c r="CA112" s="24" t="n">
        <f aca="false">CA$21*(0-Planner!$C$43)</f>
        <v>-1.1865</v>
      </c>
      <c r="CB112" s="24" t="n">
        <f aca="false">CB$21*(0-Planner!$C$43)</f>
        <v>-0.0595</v>
      </c>
      <c r="CC112" s="24" t="n">
        <f aca="false">CC$21*(0-Planner!$C$43)</f>
        <v>-0.161</v>
      </c>
      <c r="CD112" s="24" t="n">
        <f aca="false">CD$21*(0-Planner!$C$43)</f>
        <v>-0.2205</v>
      </c>
      <c r="CE112" s="24" t="n">
        <f aca="false">CE$21*(0-Planner!$C$43)</f>
        <v>-0.252</v>
      </c>
      <c r="CF112" s="24" t="n">
        <f aca="false">CF$21*(0-Planner!$C$43)</f>
        <v>-0.189</v>
      </c>
      <c r="CG112" s="24" t="n">
        <f aca="false">CG$21*(0-Planner!$C$43)</f>
        <v>-0.399</v>
      </c>
      <c r="CH112" s="24" t="n">
        <f aca="false">CH$21*(0-Planner!$C$43)</f>
        <v>-0.287</v>
      </c>
      <c r="CI112" s="24" t="n">
        <f aca="false">CI$21*(0-Planner!$C$43)</f>
        <v>-0.371</v>
      </c>
      <c r="CJ112" s="24" t="n">
        <f aca="false">CJ$21*(0-Planner!$C$43)</f>
        <v>-0.238</v>
      </c>
      <c r="CK112" s="24" t="n">
        <f aca="false">CK$21*(0-Planner!$C$43)</f>
        <v>-0.3185</v>
      </c>
      <c r="CL112" s="24" t="n">
        <f aca="false">CL$21*(0-Planner!$C$43)</f>
        <v>-0.1645</v>
      </c>
      <c r="CM112" s="24" t="n">
        <f aca="false">CM$21*(0-Planner!$C$43)</f>
        <v>-0.3185</v>
      </c>
      <c r="CN112" s="24" t="n">
        <f aca="false">CN$21*(0-Planner!$C$43)</f>
        <v>-0.2205</v>
      </c>
      <c r="CO112" s="24" t="n">
        <f aca="false">CO$21*(0-Planner!$C$43)</f>
        <v>-0.126</v>
      </c>
      <c r="CP112" s="24" t="n">
        <f aca="false">CP$21*(0-Planner!$C$43)</f>
        <v>-0.119</v>
      </c>
      <c r="CQ112" s="24" t="n">
        <f aca="false">CQ$21*(0-Planner!$C$43)</f>
        <v>-0.189</v>
      </c>
      <c r="CR112" s="24" t="n">
        <f aca="false">CR$21*(0-Planner!$C$43)</f>
        <v>-0.147</v>
      </c>
      <c r="CS112" s="24" t="n">
        <f aca="false">CS$21*(0-Planner!$C$43)</f>
        <v>-0.245</v>
      </c>
      <c r="CT112" s="24" t="n">
        <f aca="false">CT$21*(0-Planner!$C$43)</f>
        <v>-0.763</v>
      </c>
      <c r="CU112" s="24" t="n">
        <f aca="false">CU$21*(0-Planner!$C$43)</f>
        <v>-1.0745</v>
      </c>
      <c r="CV112" s="24" t="n">
        <f aca="false">CV$21*(0-Planner!$C$43)</f>
        <v>-0.42</v>
      </c>
      <c r="CW112" s="24" t="n">
        <f aca="false">CW$21*(0-Planner!$C$43)</f>
        <v>-0.2345</v>
      </c>
      <c r="CX112" s="24" t="n">
        <f aca="false">CX$21*(0-Planner!$C$43)</f>
        <v>-0.1505</v>
      </c>
      <c r="CY112" s="24" t="n">
        <f aca="false">CY$21*(0-Planner!$C$43)</f>
        <v>-0.2135</v>
      </c>
      <c r="CZ112" s="24" t="n">
        <f aca="false">CZ$21*(0-Planner!$C$43)</f>
        <v>-0.28</v>
      </c>
      <c r="DA112" s="24" t="n">
        <f aca="false">DA$21*(0-Planner!$C$43)</f>
        <v>-0.77</v>
      </c>
      <c r="DB112" s="24" t="n">
        <f aca="false">DB$21*(0-Planner!$C$43)</f>
        <v>-0.224</v>
      </c>
      <c r="DC112" s="24" t="n">
        <f aca="false">DC$21*(0-Planner!$C$43)</f>
        <v>-0.2555</v>
      </c>
      <c r="DD112" s="24" t="n">
        <f aca="false">DD$21*(0-Planner!$C$43)</f>
        <v>-1.071</v>
      </c>
      <c r="DE112" s="24" t="n">
        <f aca="false">DE$21*(0-Planner!$C$43)</f>
        <v>-1.323</v>
      </c>
      <c r="DF112" s="24" t="n">
        <f aca="false">DF$21*(0-Planner!$C$43)</f>
        <v>-0.35</v>
      </c>
      <c r="DG112" s="24" t="n">
        <f aca="false">DG$21*(0-Planner!$C$43)</f>
        <v>-0.448</v>
      </c>
      <c r="DH112" s="24" t="n">
        <f aca="false">DH$21*(0-Planner!$C$43)</f>
        <v>-0.5005</v>
      </c>
      <c r="DI112" s="24" t="n">
        <f aca="false">DI$21*(0-Planner!$C$43)</f>
        <v>-0.3255</v>
      </c>
      <c r="DJ112" s="24" t="n">
        <f aca="false">DJ$21*(0-Planner!$C$43)</f>
        <v>-0.203</v>
      </c>
      <c r="DK112" s="24" t="n">
        <f aca="false">DK$21*(0-Planner!$C$43)</f>
        <v>-0.273</v>
      </c>
      <c r="DL112" s="24" t="n">
        <f aca="false">DL$21*(0-Planner!$C$43)</f>
        <v>-0.7035</v>
      </c>
      <c r="DM112" s="24" t="n">
        <f aca="false">DM$21*(0-Planner!$C$43)</f>
        <v>-0.2415</v>
      </c>
      <c r="DN112" s="24" t="n">
        <f aca="false">DN$21*(0-Planner!$C$43)</f>
        <v>-1.057</v>
      </c>
      <c r="DO112" s="24" t="n">
        <f aca="false">DO$21*(0-Planner!$C$43)</f>
        <v>-0.9415</v>
      </c>
      <c r="DP112" s="24" t="n">
        <f aca="false">DP$21*(0-Planner!$C$43)</f>
        <v>-0.2275</v>
      </c>
      <c r="DQ112" s="24" t="n">
        <f aca="false">DQ$21*(0-Planner!$C$43)</f>
        <v>-0.252</v>
      </c>
      <c r="DR112" s="24" t="n">
        <f aca="false">DR$21*(0-Planner!$C$43)</f>
        <v>-0.6265</v>
      </c>
      <c r="DS112" s="24" t="n">
        <f aca="false">DS$21*(0-Planner!$C$43)</f>
        <v>-0.301</v>
      </c>
      <c r="DT112" s="24" t="n">
        <f aca="false">DT$21*(0-Planner!$C$43)</f>
        <v>-0.315</v>
      </c>
      <c r="DU112" s="24" t="n">
        <f aca="false">DU$21*(0-Planner!$C$43)</f>
        <v>-0.931</v>
      </c>
      <c r="DV112" s="24" t="n">
        <f aca="false">DV$21*(0-Planner!$C$43)</f>
        <v>-1.1655</v>
      </c>
      <c r="DW112" s="24" t="n">
        <f aca="false">DW$21*(0-Planner!$C$43)</f>
        <v>-1.0815</v>
      </c>
      <c r="DX112" s="24" t="n">
        <f aca="false">DX$21*(0-Planner!$C$43)</f>
        <v>-0.8715</v>
      </c>
      <c r="DY112" s="24" t="n">
        <f aca="false">DY$21*(0-Planner!$C$43)</f>
        <v>-0.5915</v>
      </c>
      <c r="DZ112" s="24" t="n">
        <f aca="false">DZ$21*(0-Planner!$C$43)</f>
        <v>-0.385</v>
      </c>
      <c r="EA112" s="24" t="n">
        <f aca="false">EA$21*(0-Planner!$C$43)</f>
        <v>-0.385</v>
      </c>
      <c r="EB112" s="24" t="n">
        <f aca="false">EB$21*(0-Planner!$C$43)</f>
        <v>-0.238</v>
      </c>
      <c r="EC112" s="24" t="n">
        <f aca="false">EC$21*(0-Planner!$C$43)</f>
        <v>-0.3465</v>
      </c>
      <c r="ED112" s="24" t="n">
        <f aca="false">ED$21*(0-Planner!$C$43)</f>
        <v>-0.4305</v>
      </c>
      <c r="EE112" s="24" t="n">
        <f aca="false">EE$21*(0-Planner!$C$43)</f>
        <v>-0.3185</v>
      </c>
      <c r="EF112" s="24" t="n">
        <f aca="false">EF$21*(0-Planner!$C$43)</f>
        <v>-0.7385</v>
      </c>
      <c r="EG112" s="24" t="n">
        <f aca="false">EG$21*(0-Planner!$C$43)</f>
        <v>-1.001</v>
      </c>
      <c r="EH112" s="24" t="n">
        <f aca="false">EH$21*(0-Planner!$C$43)</f>
        <v>-1.2705</v>
      </c>
      <c r="EI112" s="24" t="n">
        <f aca="false">EI$21*(0-Planner!$C$43)</f>
        <v>-0.2765</v>
      </c>
      <c r="EJ112" s="24" t="n">
        <f aca="false">EJ$21*(0-Planner!$C$43)</f>
        <v>-0.308</v>
      </c>
      <c r="EK112" s="24" t="n">
        <f aca="false">EK$21*(0-Planner!$C$43)</f>
        <v>-0.8645</v>
      </c>
      <c r="EL112" s="24" t="n">
        <f aca="false">EL$21*(0-Planner!$C$43)</f>
        <v>-0.4235</v>
      </c>
      <c r="EM112" s="24" t="n">
        <f aca="false">EM$21*(0-Planner!$C$43)</f>
        <v>-0.2975</v>
      </c>
      <c r="EN112" s="24" t="n">
        <f aca="false">EN$21*(0-Planner!$C$43)</f>
        <v>-0</v>
      </c>
      <c r="EO112" s="24" t="n">
        <f aca="false">EO$21*(0-Planner!$C$43)</f>
        <v>-0</v>
      </c>
      <c r="EP112" s="24" t="n">
        <f aca="false">EP$21*(0-Planner!$C$43)</f>
        <v>-7.4025</v>
      </c>
      <c r="EQ112" s="24" t="n">
        <f aca="false">EQ$21*(0-Planner!$C$43)</f>
        <v>-0.686</v>
      </c>
      <c r="ER112" s="24" t="n">
        <f aca="false">ER$21*(0-Planner!$C$43)</f>
        <v>-1.785</v>
      </c>
      <c r="ES112" s="24" t="n">
        <f aca="false">ES$21*(0-Planner!$C$43)</f>
        <v>-1.9775</v>
      </c>
      <c r="ET112" s="24" t="n">
        <f aca="false">ET$21*(0-Planner!$C$43)</f>
        <v>-2.2365</v>
      </c>
      <c r="EU112" s="24" t="n">
        <f aca="false">EU$21*(0-Planner!$C$43)</f>
        <v>-1.225</v>
      </c>
    </row>
    <row r="113" customFormat="false" ht="15" hidden="false" customHeight="false" outlineLevel="0" collapsed="false">
      <c r="A113" s="4" t="s">
        <v>1053</v>
      </c>
      <c r="B113" s="75" t="s">
        <v>1017</v>
      </c>
      <c r="C113" s="78" t="n">
        <v>0</v>
      </c>
      <c r="D113" s="77" t="n">
        <v>-39.199999997333</v>
      </c>
      <c r="E113" s="75" t="str">
        <f aca="false">IF(D113&lt;=C113+0.000001*MAX(1,ABS(C113)),IF(ABS(D113-C113)&lt;=0.000001*MAX(1,ABS(C113)),"tight","ok"),"VIOLATED")</f>
        <v>ok</v>
      </c>
      <c r="F113" s="24" t="n">
        <f aca="false">F$21*(0-Planner!$C$43)</f>
        <v>-7.875</v>
      </c>
      <c r="G113" s="24" t="n">
        <f aca="false">G$21*(0-Planner!$C$43)</f>
        <v>-6.328</v>
      </c>
      <c r="H113" s="24" t="n">
        <f aca="false">H$21*(0-Planner!$C$43)</f>
        <v>-6.881</v>
      </c>
      <c r="I113" s="24" t="n">
        <f aca="false">I$21*(0-Planner!$C$43)</f>
        <v>-5.7155</v>
      </c>
      <c r="J113" s="24" t="n">
        <f aca="false">J$21*(0-Planner!$C$43)</f>
        <v>-6.5555</v>
      </c>
      <c r="K113" s="24" t="n">
        <f aca="false">K$21*(0-Planner!$C$43)</f>
        <v>-6.51</v>
      </c>
      <c r="L113" s="24" t="n">
        <f aca="false">L$21*(0-Planner!$C$43)</f>
        <v>-4.417</v>
      </c>
      <c r="M113" s="24" t="n">
        <f aca="false">M$21*(0-Planner!$C$43)</f>
        <v>-7.6125</v>
      </c>
      <c r="N113" s="24" t="n">
        <f aca="false">N$21*(0-Planner!$C$43)</f>
        <v>-6.0095</v>
      </c>
      <c r="O113" s="24" t="n">
        <f aca="false">O$21*(0-Planner!$C$43)</f>
        <v>-7.2975</v>
      </c>
      <c r="P113" s="24" t="n">
        <f aca="false">P$21*(0-Planner!$C$43)</f>
        <v>-5.81</v>
      </c>
      <c r="Q113" s="24" t="n">
        <f aca="false">Q$21*(0-Planner!$C$43)</f>
        <v>-7.399</v>
      </c>
      <c r="R113" s="24" t="n">
        <f aca="false">R$21*(0-Planner!$C$43)</f>
        <v>-7.679</v>
      </c>
      <c r="S113" s="24" t="n">
        <f aca="false">S$21*(0-Planner!$C$43)</f>
        <v>-6.972</v>
      </c>
      <c r="T113" s="24" t="n">
        <f aca="false">T$21*(0-Planner!$C$43)</f>
        <v>-6.804</v>
      </c>
      <c r="U113" s="24" t="n">
        <f aca="false">U$21*(0-Planner!$C$43)</f>
        <v>-7.147</v>
      </c>
      <c r="V113" s="24" t="n">
        <f aca="false">V$21*(0-Planner!$C$43)</f>
        <v>-4.7635</v>
      </c>
      <c r="W113" s="24" t="n">
        <f aca="false">W$21*(0-Planner!$C$43)</f>
        <v>-7.028</v>
      </c>
      <c r="X113" s="24" t="n">
        <f aca="false">X$21*(0-Planner!$C$43)</f>
        <v>-4.396</v>
      </c>
      <c r="Y113" s="24" t="n">
        <f aca="false">Y$21*(0-Planner!$C$43)</f>
        <v>-2.1105</v>
      </c>
      <c r="Z113" s="24" t="n">
        <f aca="false">Z$21*(0-Planner!$C$43)</f>
        <v>-7.56</v>
      </c>
      <c r="AA113" s="24" t="n">
        <f aca="false">AA$21*(0-Planner!$C$43)</f>
        <v>-1.659</v>
      </c>
      <c r="AB113" s="24" t="n">
        <f aca="false">AB$21*(0-Planner!$C$43)</f>
        <v>-8.232</v>
      </c>
      <c r="AC113" s="24" t="n">
        <f aca="false">AC$21*(0-Planner!$C$43)</f>
        <v>-1.722</v>
      </c>
      <c r="AD113" s="24" t="n">
        <f aca="false">AD$21*(0-Planner!$C$43)</f>
        <v>-2.5795</v>
      </c>
      <c r="AE113" s="24" t="n">
        <f aca="false">AE$21*(0-Planner!$C$43)</f>
        <v>-7.651</v>
      </c>
      <c r="AF113" s="24" t="n">
        <f aca="false">AF$21*(0-Planner!$C$43)</f>
        <v>-1.827</v>
      </c>
      <c r="AG113" s="24" t="n">
        <f aca="false">AG$21*(0-Planner!$C$43)</f>
        <v>-8.253</v>
      </c>
      <c r="AH113" s="24" t="n">
        <f aca="false">AH$21*(0-Planner!$C$43)</f>
        <v>-8.6205</v>
      </c>
      <c r="AI113" s="24" t="n">
        <f aca="false">AI$21*(0-Planner!$C$43)</f>
        <v>-7.511</v>
      </c>
      <c r="AJ113" s="24" t="n">
        <f aca="false">AJ$21*(0-Planner!$C$43)</f>
        <v>-2.6355</v>
      </c>
      <c r="AK113" s="24" t="n">
        <f aca="false">AK$21*(0-Planner!$C$43)</f>
        <v>-7.8155</v>
      </c>
      <c r="AL113" s="24" t="n">
        <f aca="false">AL$21*(0-Planner!$C$43)</f>
        <v>-7.7735</v>
      </c>
      <c r="AM113" s="24" t="n">
        <f aca="false">AM$21*(0-Planner!$C$43)</f>
        <v>-1.61</v>
      </c>
      <c r="AN113" s="24" t="n">
        <f aca="false">AN$21*(0-Planner!$C$43)</f>
        <v>-7.497</v>
      </c>
      <c r="AO113" s="24" t="n">
        <f aca="false">AO$21*(0-Planner!$C$43)</f>
        <v>-3.535</v>
      </c>
      <c r="AP113" s="24" t="n">
        <f aca="false">AP$21*(0-Planner!$C$43)</f>
        <v>-1.155</v>
      </c>
      <c r="AQ113" s="24" t="n">
        <f aca="false">AQ$21*(0-Planner!$C$43)</f>
        <v>-3.5665</v>
      </c>
      <c r="AR113" s="24" t="n">
        <f aca="false">AR$21*(0-Planner!$C$43)</f>
        <v>-0.91</v>
      </c>
      <c r="AS113" s="24" t="n">
        <f aca="false">AS$21*(0-Planner!$C$43)</f>
        <v>-1.1025</v>
      </c>
      <c r="AT113" s="24" t="n">
        <f aca="false">AT$21*(0-Planner!$C$43)</f>
        <v>-6.3455</v>
      </c>
      <c r="AU113" s="24" t="n">
        <f aca="false">AU$21*(0-Planner!$C$43)</f>
        <v>-8.0045</v>
      </c>
      <c r="AV113" s="24" t="n">
        <f aca="false">AV$21*(0-Planner!$C$43)</f>
        <v>-3.6575</v>
      </c>
      <c r="AW113" s="24" t="n">
        <f aca="false">AW$21*(0-Planner!$C$43)</f>
        <v>-8.3125</v>
      </c>
      <c r="AX113" s="24" t="n">
        <f aca="false">AX$21*(0-Planner!$C$43)</f>
        <v>-3.696</v>
      </c>
      <c r="AY113" s="24" t="n">
        <f aca="false">AY$21*(0-Planner!$C$43)</f>
        <v>-2.639</v>
      </c>
      <c r="AZ113" s="24" t="n">
        <f aca="false">AZ$21*(0-Planner!$C$43)</f>
        <v>-4.2315</v>
      </c>
      <c r="BA113" s="24" t="n">
        <f aca="false">BA$21*(0-Planner!$C$43)</f>
        <v>-1.995</v>
      </c>
      <c r="BB113" s="24" t="n">
        <f aca="false">BB$21*(0-Planner!$C$43)</f>
        <v>-2.8035</v>
      </c>
      <c r="BC113" s="24" t="n">
        <f aca="false">BC$21*(1-Planner!$C$43)</f>
        <v>9.178</v>
      </c>
      <c r="BD113" s="24" t="n">
        <f aca="false">BD$21*(0-Planner!$C$43)</f>
        <v>-4.6025</v>
      </c>
      <c r="BE113" s="24" t="n">
        <f aca="false">BE$21*(0-Planner!$C$43)</f>
        <v>-4.564</v>
      </c>
      <c r="BF113" s="24" t="n">
        <f aca="false">BF$21*(0-Planner!$C$43)</f>
        <v>-3.0975</v>
      </c>
      <c r="BG113" s="24" t="n">
        <f aca="false">BG$21*(0-Planner!$C$43)</f>
        <v>-2.4955</v>
      </c>
      <c r="BH113" s="24" t="n">
        <f aca="false">BH$21*(0-Planner!$C$43)</f>
        <v>-4.3575</v>
      </c>
      <c r="BI113" s="24" t="n">
        <f aca="false">BI$21*(0-Planner!$C$43)</f>
        <v>-4.8545</v>
      </c>
      <c r="BJ113" s="24" t="n">
        <f aca="false">BJ$21*(0-Planner!$C$43)</f>
        <v>-2.6565</v>
      </c>
      <c r="BK113" s="24" t="n">
        <f aca="false">BK$21*(0-Planner!$C$43)</f>
        <v>-0.6825</v>
      </c>
      <c r="BL113" s="24" t="n">
        <f aca="false">BL$21*(0-Planner!$C$43)</f>
        <v>-1.057</v>
      </c>
      <c r="BM113" s="24" t="n">
        <f aca="false">BM$21*(0-Planner!$C$43)</f>
        <v>-0.784</v>
      </c>
      <c r="BN113" s="24" t="n">
        <f aca="false">BN$21*(0-Planner!$C$43)</f>
        <v>-1.0535</v>
      </c>
      <c r="BO113" s="24" t="n">
        <f aca="false">BO$21*(0-Planner!$C$43)</f>
        <v>-1.827</v>
      </c>
      <c r="BP113" s="24" t="n">
        <f aca="false">BP$21*(0-Planner!$C$43)</f>
        <v>-0.7175</v>
      </c>
      <c r="BQ113" s="24" t="n">
        <f aca="false">BQ$21*(0-Planner!$C$43)</f>
        <v>-0.5495</v>
      </c>
      <c r="BR113" s="24" t="n">
        <f aca="false">BR$21*(0-Planner!$C$43)</f>
        <v>-0.091</v>
      </c>
      <c r="BS113" s="24" t="n">
        <f aca="false">BS$21*(0-Planner!$C$43)</f>
        <v>-0.0595</v>
      </c>
      <c r="BT113" s="24" t="n">
        <f aca="false">BT$21*(0-Planner!$C$43)</f>
        <v>-0.3815</v>
      </c>
      <c r="BU113" s="24" t="n">
        <f aca="false">BU$21*(0-Planner!$C$43)</f>
        <v>-0.4865</v>
      </c>
      <c r="BV113" s="24" t="n">
        <f aca="false">BV$21*(0-Planner!$C$43)</f>
        <v>-0.147</v>
      </c>
      <c r="BW113" s="24" t="n">
        <f aca="false">BW$21*(0-Planner!$C$43)</f>
        <v>-0.294</v>
      </c>
      <c r="BX113" s="24" t="n">
        <f aca="false">BX$21*(0-Planner!$C$43)</f>
        <v>-0.371</v>
      </c>
      <c r="BY113" s="24" t="n">
        <f aca="false">BY$21*(0-Planner!$C$43)</f>
        <v>-0.2975</v>
      </c>
      <c r="BZ113" s="24" t="n">
        <f aca="false">BZ$21*(0-Planner!$C$43)</f>
        <v>-0.8575</v>
      </c>
      <c r="CA113" s="24" t="n">
        <f aca="false">CA$21*(0-Planner!$C$43)</f>
        <v>-1.1865</v>
      </c>
      <c r="CB113" s="24" t="n">
        <f aca="false">CB$21*(0-Planner!$C$43)</f>
        <v>-0.0595</v>
      </c>
      <c r="CC113" s="24" t="n">
        <f aca="false">CC$21*(0-Planner!$C$43)</f>
        <v>-0.161</v>
      </c>
      <c r="CD113" s="24" t="n">
        <f aca="false">CD$21*(0-Planner!$C$43)</f>
        <v>-0.2205</v>
      </c>
      <c r="CE113" s="24" t="n">
        <f aca="false">CE$21*(0-Planner!$C$43)</f>
        <v>-0.252</v>
      </c>
      <c r="CF113" s="24" t="n">
        <f aca="false">CF$21*(0-Planner!$C$43)</f>
        <v>-0.189</v>
      </c>
      <c r="CG113" s="24" t="n">
        <f aca="false">CG$21*(0-Planner!$C$43)</f>
        <v>-0.399</v>
      </c>
      <c r="CH113" s="24" t="n">
        <f aca="false">CH$21*(0-Planner!$C$43)</f>
        <v>-0.287</v>
      </c>
      <c r="CI113" s="24" t="n">
        <f aca="false">CI$21*(0-Planner!$C$43)</f>
        <v>-0.371</v>
      </c>
      <c r="CJ113" s="24" t="n">
        <f aca="false">CJ$21*(0-Planner!$C$43)</f>
        <v>-0.238</v>
      </c>
      <c r="CK113" s="24" t="n">
        <f aca="false">CK$21*(0-Planner!$C$43)</f>
        <v>-0.3185</v>
      </c>
      <c r="CL113" s="24" t="n">
        <f aca="false">CL$21*(0-Planner!$C$43)</f>
        <v>-0.1645</v>
      </c>
      <c r="CM113" s="24" t="n">
        <f aca="false">CM$21*(0-Planner!$C$43)</f>
        <v>-0.3185</v>
      </c>
      <c r="CN113" s="24" t="n">
        <f aca="false">CN$21*(0-Planner!$C$43)</f>
        <v>-0.2205</v>
      </c>
      <c r="CO113" s="24" t="n">
        <f aca="false">CO$21*(0-Planner!$C$43)</f>
        <v>-0.126</v>
      </c>
      <c r="CP113" s="24" t="n">
        <f aca="false">CP$21*(0-Planner!$C$43)</f>
        <v>-0.119</v>
      </c>
      <c r="CQ113" s="24" t="n">
        <f aca="false">CQ$21*(0-Planner!$C$43)</f>
        <v>-0.189</v>
      </c>
      <c r="CR113" s="24" t="n">
        <f aca="false">CR$21*(0-Planner!$C$43)</f>
        <v>-0.147</v>
      </c>
      <c r="CS113" s="24" t="n">
        <f aca="false">CS$21*(0-Planner!$C$43)</f>
        <v>-0.245</v>
      </c>
      <c r="CT113" s="24" t="n">
        <f aca="false">CT$21*(0-Planner!$C$43)</f>
        <v>-0.763</v>
      </c>
      <c r="CU113" s="24" t="n">
        <f aca="false">CU$21*(0-Planner!$C$43)</f>
        <v>-1.0745</v>
      </c>
      <c r="CV113" s="24" t="n">
        <f aca="false">CV$21*(0-Planner!$C$43)</f>
        <v>-0.42</v>
      </c>
      <c r="CW113" s="24" t="n">
        <f aca="false">CW$21*(0-Planner!$C$43)</f>
        <v>-0.2345</v>
      </c>
      <c r="CX113" s="24" t="n">
        <f aca="false">CX$21*(0-Planner!$C$43)</f>
        <v>-0.1505</v>
      </c>
      <c r="CY113" s="24" t="n">
        <f aca="false">CY$21*(0-Planner!$C$43)</f>
        <v>-0.2135</v>
      </c>
      <c r="CZ113" s="24" t="n">
        <f aca="false">CZ$21*(0-Planner!$C$43)</f>
        <v>-0.28</v>
      </c>
      <c r="DA113" s="24" t="n">
        <f aca="false">DA$21*(0-Planner!$C$43)</f>
        <v>-0.77</v>
      </c>
      <c r="DB113" s="24" t="n">
        <f aca="false">DB$21*(0-Planner!$C$43)</f>
        <v>-0.224</v>
      </c>
      <c r="DC113" s="24" t="n">
        <f aca="false">DC$21*(0-Planner!$C$43)</f>
        <v>-0.2555</v>
      </c>
      <c r="DD113" s="24" t="n">
        <f aca="false">DD$21*(0-Planner!$C$43)</f>
        <v>-1.071</v>
      </c>
      <c r="DE113" s="24" t="n">
        <f aca="false">DE$21*(0-Planner!$C$43)</f>
        <v>-1.323</v>
      </c>
      <c r="DF113" s="24" t="n">
        <f aca="false">DF$21*(0-Planner!$C$43)</f>
        <v>-0.35</v>
      </c>
      <c r="DG113" s="24" t="n">
        <f aca="false">DG$21*(0-Planner!$C$43)</f>
        <v>-0.448</v>
      </c>
      <c r="DH113" s="24" t="n">
        <f aca="false">DH$21*(0-Planner!$C$43)</f>
        <v>-0.5005</v>
      </c>
      <c r="DI113" s="24" t="n">
        <f aca="false">DI$21*(0-Planner!$C$43)</f>
        <v>-0.3255</v>
      </c>
      <c r="DJ113" s="24" t="n">
        <f aca="false">DJ$21*(0-Planner!$C$43)</f>
        <v>-0.203</v>
      </c>
      <c r="DK113" s="24" t="n">
        <f aca="false">DK$21*(0-Planner!$C$43)</f>
        <v>-0.273</v>
      </c>
      <c r="DL113" s="24" t="n">
        <f aca="false">DL$21*(0-Planner!$C$43)</f>
        <v>-0.7035</v>
      </c>
      <c r="DM113" s="24" t="n">
        <f aca="false">DM$21*(0-Planner!$C$43)</f>
        <v>-0.2415</v>
      </c>
      <c r="DN113" s="24" t="n">
        <f aca="false">DN$21*(0-Planner!$C$43)</f>
        <v>-1.057</v>
      </c>
      <c r="DO113" s="24" t="n">
        <f aca="false">DO$21*(0-Planner!$C$43)</f>
        <v>-0.9415</v>
      </c>
      <c r="DP113" s="24" t="n">
        <f aca="false">DP$21*(0-Planner!$C$43)</f>
        <v>-0.2275</v>
      </c>
      <c r="DQ113" s="24" t="n">
        <f aca="false">DQ$21*(0-Planner!$C$43)</f>
        <v>-0.252</v>
      </c>
      <c r="DR113" s="24" t="n">
        <f aca="false">DR$21*(0-Planner!$C$43)</f>
        <v>-0.6265</v>
      </c>
      <c r="DS113" s="24" t="n">
        <f aca="false">DS$21*(0-Planner!$C$43)</f>
        <v>-0.301</v>
      </c>
      <c r="DT113" s="24" t="n">
        <f aca="false">DT$21*(0-Planner!$C$43)</f>
        <v>-0.315</v>
      </c>
      <c r="DU113" s="24" t="n">
        <f aca="false">DU$21*(0-Planner!$C$43)</f>
        <v>-0.931</v>
      </c>
      <c r="DV113" s="24" t="n">
        <f aca="false">DV$21*(0-Planner!$C$43)</f>
        <v>-1.1655</v>
      </c>
      <c r="DW113" s="24" t="n">
        <f aca="false">DW$21*(0-Planner!$C$43)</f>
        <v>-1.0815</v>
      </c>
      <c r="DX113" s="24" t="n">
        <f aca="false">DX$21*(0-Planner!$C$43)</f>
        <v>-0.8715</v>
      </c>
      <c r="DY113" s="24" t="n">
        <f aca="false">DY$21*(0-Planner!$C$43)</f>
        <v>-0.5915</v>
      </c>
      <c r="DZ113" s="24" t="n">
        <f aca="false">DZ$21*(0-Planner!$C$43)</f>
        <v>-0.385</v>
      </c>
      <c r="EA113" s="24" t="n">
        <f aca="false">EA$21*(0-Planner!$C$43)</f>
        <v>-0.385</v>
      </c>
      <c r="EB113" s="24" t="n">
        <f aca="false">EB$21*(0-Planner!$C$43)</f>
        <v>-0.238</v>
      </c>
      <c r="EC113" s="24" t="n">
        <f aca="false">EC$21*(0-Planner!$C$43)</f>
        <v>-0.3465</v>
      </c>
      <c r="ED113" s="24" t="n">
        <f aca="false">ED$21*(0-Planner!$C$43)</f>
        <v>-0.4305</v>
      </c>
      <c r="EE113" s="24" t="n">
        <f aca="false">EE$21*(0-Planner!$C$43)</f>
        <v>-0.3185</v>
      </c>
      <c r="EF113" s="24" t="n">
        <f aca="false">EF$21*(0-Planner!$C$43)</f>
        <v>-0.7385</v>
      </c>
      <c r="EG113" s="24" t="n">
        <f aca="false">EG$21*(0-Planner!$C$43)</f>
        <v>-1.001</v>
      </c>
      <c r="EH113" s="24" t="n">
        <f aca="false">EH$21*(0-Planner!$C$43)</f>
        <v>-1.2705</v>
      </c>
      <c r="EI113" s="24" t="n">
        <f aca="false">EI$21*(0-Planner!$C$43)</f>
        <v>-0.2765</v>
      </c>
      <c r="EJ113" s="24" t="n">
        <f aca="false">EJ$21*(0-Planner!$C$43)</f>
        <v>-0.308</v>
      </c>
      <c r="EK113" s="24" t="n">
        <f aca="false">EK$21*(0-Planner!$C$43)</f>
        <v>-0.8645</v>
      </c>
      <c r="EL113" s="24" t="n">
        <f aca="false">EL$21*(0-Planner!$C$43)</f>
        <v>-0.4235</v>
      </c>
      <c r="EM113" s="24" t="n">
        <f aca="false">EM$21*(0-Planner!$C$43)</f>
        <v>-0.2975</v>
      </c>
      <c r="EN113" s="24" t="n">
        <f aca="false">EN$21*(0-Planner!$C$43)</f>
        <v>-0</v>
      </c>
      <c r="EO113" s="24" t="n">
        <f aca="false">EO$21*(0-Planner!$C$43)</f>
        <v>-0</v>
      </c>
      <c r="EP113" s="24" t="n">
        <f aca="false">EP$21*(0-Planner!$C$43)</f>
        <v>-7.4025</v>
      </c>
      <c r="EQ113" s="24" t="n">
        <f aca="false">EQ$21*(0-Planner!$C$43)</f>
        <v>-0.686</v>
      </c>
      <c r="ER113" s="24" t="n">
        <f aca="false">ER$21*(0-Planner!$C$43)</f>
        <v>-1.785</v>
      </c>
      <c r="ES113" s="24" t="n">
        <f aca="false">ES$21*(0-Planner!$C$43)</f>
        <v>-1.9775</v>
      </c>
      <c r="ET113" s="24" t="n">
        <f aca="false">ET$21*(0-Planner!$C$43)</f>
        <v>-2.2365</v>
      </c>
      <c r="EU113" s="24" t="n">
        <f aca="false">EU$21*(0-Planner!$C$43)</f>
        <v>-1.225</v>
      </c>
    </row>
    <row r="114" customFormat="false" ht="15" hidden="false" customHeight="false" outlineLevel="0" collapsed="false">
      <c r="A114" s="4" t="s">
        <v>1054</v>
      </c>
      <c r="B114" s="75" t="s">
        <v>1017</v>
      </c>
      <c r="C114" s="78" t="n">
        <v>0</v>
      </c>
      <c r="D114" s="77" t="n">
        <v>-39.199999997333</v>
      </c>
      <c r="E114" s="75" t="str">
        <f aca="false">IF(D114&lt;=C114+0.000001*MAX(1,ABS(C114)),IF(ABS(D114-C114)&lt;=0.000001*MAX(1,ABS(C114)),"tight","ok"),"VIOLATED")</f>
        <v>ok</v>
      </c>
      <c r="F114" s="24" t="n">
        <f aca="false">F$21*(0-Planner!$C$43)</f>
        <v>-7.875</v>
      </c>
      <c r="G114" s="24" t="n">
        <f aca="false">G$21*(0-Planner!$C$43)</f>
        <v>-6.328</v>
      </c>
      <c r="H114" s="24" t="n">
        <f aca="false">H$21*(0-Planner!$C$43)</f>
        <v>-6.881</v>
      </c>
      <c r="I114" s="24" t="n">
        <f aca="false">I$21*(0-Planner!$C$43)</f>
        <v>-5.7155</v>
      </c>
      <c r="J114" s="24" t="n">
        <f aca="false">J$21*(0-Planner!$C$43)</f>
        <v>-6.5555</v>
      </c>
      <c r="K114" s="24" t="n">
        <f aca="false">K$21*(0-Planner!$C$43)</f>
        <v>-6.51</v>
      </c>
      <c r="L114" s="24" t="n">
        <f aca="false">L$21*(0-Planner!$C$43)</f>
        <v>-4.417</v>
      </c>
      <c r="M114" s="24" t="n">
        <f aca="false">M$21*(0-Planner!$C$43)</f>
        <v>-7.6125</v>
      </c>
      <c r="N114" s="24" t="n">
        <f aca="false">N$21*(0-Planner!$C$43)</f>
        <v>-6.0095</v>
      </c>
      <c r="O114" s="24" t="n">
        <f aca="false">O$21*(0-Planner!$C$43)</f>
        <v>-7.2975</v>
      </c>
      <c r="P114" s="24" t="n">
        <f aca="false">P$21*(0-Planner!$C$43)</f>
        <v>-5.81</v>
      </c>
      <c r="Q114" s="24" t="n">
        <f aca="false">Q$21*(0-Planner!$C$43)</f>
        <v>-7.399</v>
      </c>
      <c r="R114" s="24" t="n">
        <f aca="false">R$21*(0-Planner!$C$43)</f>
        <v>-7.679</v>
      </c>
      <c r="S114" s="24" t="n">
        <f aca="false">S$21*(0-Planner!$C$43)</f>
        <v>-6.972</v>
      </c>
      <c r="T114" s="24" t="n">
        <f aca="false">T$21*(0-Planner!$C$43)</f>
        <v>-6.804</v>
      </c>
      <c r="U114" s="24" t="n">
        <f aca="false">U$21*(0-Planner!$C$43)</f>
        <v>-7.147</v>
      </c>
      <c r="V114" s="24" t="n">
        <f aca="false">V$21*(0-Planner!$C$43)</f>
        <v>-4.7635</v>
      </c>
      <c r="W114" s="24" t="n">
        <f aca="false">W$21*(0-Planner!$C$43)</f>
        <v>-7.028</v>
      </c>
      <c r="X114" s="24" t="n">
        <f aca="false">X$21*(0-Planner!$C$43)</f>
        <v>-4.396</v>
      </c>
      <c r="Y114" s="24" t="n">
        <f aca="false">Y$21*(0-Planner!$C$43)</f>
        <v>-2.1105</v>
      </c>
      <c r="Z114" s="24" t="n">
        <f aca="false">Z$21*(0-Planner!$C$43)</f>
        <v>-7.56</v>
      </c>
      <c r="AA114" s="24" t="n">
        <f aca="false">AA$21*(0-Planner!$C$43)</f>
        <v>-1.659</v>
      </c>
      <c r="AB114" s="24" t="n">
        <f aca="false">AB$21*(0-Planner!$C$43)</f>
        <v>-8.232</v>
      </c>
      <c r="AC114" s="24" t="n">
        <f aca="false">AC$21*(0-Planner!$C$43)</f>
        <v>-1.722</v>
      </c>
      <c r="AD114" s="24" t="n">
        <f aca="false">AD$21*(0-Planner!$C$43)</f>
        <v>-2.5795</v>
      </c>
      <c r="AE114" s="24" t="n">
        <f aca="false">AE$21*(0-Planner!$C$43)</f>
        <v>-7.651</v>
      </c>
      <c r="AF114" s="24" t="n">
        <f aca="false">AF$21*(0-Planner!$C$43)</f>
        <v>-1.827</v>
      </c>
      <c r="AG114" s="24" t="n">
        <f aca="false">AG$21*(0-Planner!$C$43)</f>
        <v>-8.253</v>
      </c>
      <c r="AH114" s="24" t="n">
        <f aca="false">AH$21*(0-Planner!$C$43)</f>
        <v>-8.6205</v>
      </c>
      <c r="AI114" s="24" t="n">
        <f aca="false">AI$21*(0-Planner!$C$43)</f>
        <v>-7.511</v>
      </c>
      <c r="AJ114" s="24" t="n">
        <f aca="false">AJ$21*(0-Planner!$C$43)</f>
        <v>-2.6355</v>
      </c>
      <c r="AK114" s="24" t="n">
        <f aca="false">AK$21*(0-Planner!$C$43)</f>
        <v>-7.8155</v>
      </c>
      <c r="AL114" s="24" t="n">
        <f aca="false">AL$21*(0-Planner!$C$43)</f>
        <v>-7.7735</v>
      </c>
      <c r="AM114" s="24" t="n">
        <f aca="false">AM$21*(0-Planner!$C$43)</f>
        <v>-1.61</v>
      </c>
      <c r="AN114" s="24" t="n">
        <f aca="false">AN$21*(0-Planner!$C$43)</f>
        <v>-7.497</v>
      </c>
      <c r="AO114" s="24" t="n">
        <f aca="false">AO$21*(0-Planner!$C$43)</f>
        <v>-3.535</v>
      </c>
      <c r="AP114" s="24" t="n">
        <f aca="false">AP$21*(0-Planner!$C$43)</f>
        <v>-1.155</v>
      </c>
      <c r="AQ114" s="24" t="n">
        <f aca="false">AQ$21*(0-Planner!$C$43)</f>
        <v>-3.5665</v>
      </c>
      <c r="AR114" s="24" t="n">
        <f aca="false">AR$21*(0-Planner!$C$43)</f>
        <v>-0.91</v>
      </c>
      <c r="AS114" s="24" t="n">
        <f aca="false">AS$21*(0-Planner!$C$43)</f>
        <v>-1.1025</v>
      </c>
      <c r="AT114" s="24" t="n">
        <f aca="false">AT$21*(0-Planner!$C$43)</f>
        <v>-6.3455</v>
      </c>
      <c r="AU114" s="24" t="n">
        <f aca="false">AU$21*(0-Planner!$C$43)</f>
        <v>-8.0045</v>
      </c>
      <c r="AV114" s="24" t="n">
        <f aca="false">AV$21*(0-Planner!$C$43)</f>
        <v>-3.6575</v>
      </c>
      <c r="AW114" s="24" t="n">
        <f aca="false">AW$21*(0-Planner!$C$43)</f>
        <v>-8.3125</v>
      </c>
      <c r="AX114" s="24" t="n">
        <f aca="false">AX$21*(0-Planner!$C$43)</f>
        <v>-3.696</v>
      </c>
      <c r="AY114" s="24" t="n">
        <f aca="false">AY$21*(0-Planner!$C$43)</f>
        <v>-2.639</v>
      </c>
      <c r="AZ114" s="24" t="n">
        <f aca="false">AZ$21*(0-Planner!$C$43)</f>
        <v>-4.2315</v>
      </c>
      <c r="BA114" s="24" t="n">
        <f aca="false">BA$21*(0-Planner!$C$43)</f>
        <v>-1.995</v>
      </c>
      <c r="BB114" s="24" t="n">
        <f aca="false">BB$21*(0-Planner!$C$43)</f>
        <v>-2.8035</v>
      </c>
      <c r="BC114" s="24" t="n">
        <f aca="false">BC$21*(0-Planner!$C$43)</f>
        <v>-4.942</v>
      </c>
      <c r="BD114" s="24" t="n">
        <f aca="false">BD$21*(1-Planner!$C$43)</f>
        <v>8.5475</v>
      </c>
      <c r="BE114" s="24" t="n">
        <f aca="false">BE$21*(0-Planner!$C$43)</f>
        <v>-4.564</v>
      </c>
      <c r="BF114" s="24" t="n">
        <f aca="false">BF$21*(0-Planner!$C$43)</f>
        <v>-3.0975</v>
      </c>
      <c r="BG114" s="24" t="n">
        <f aca="false">BG$21*(0-Planner!$C$43)</f>
        <v>-2.4955</v>
      </c>
      <c r="BH114" s="24" t="n">
        <f aca="false">BH$21*(0-Planner!$C$43)</f>
        <v>-4.3575</v>
      </c>
      <c r="BI114" s="24" t="n">
        <f aca="false">BI$21*(0-Planner!$C$43)</f>
        <v>-4.8545</v>
      </c>
      <c r="BJ114" s="24" t="n">
        <f aca="false">BJ$21*(0-Planner!$C$43)</f>
        <v>-2.6565</v>
      </c>
      <c r="BK114" s="24" t="n">
        <f aca="false">BK$21*(0-Planner!$C$43)</f>
        <v>-0.6825</v>
      </c>
      <c r="BL114" s="24" t="n">
        <f aca="false">BL$21*(0-Planner!$C$43)</f>
        <v>-1.057</v>
      </c>
      <c r="BM114" s="24" t="n">
        <f aca="false">BM$21*(0-Planner!$C$43)</f>
        <v>-0.784</v>
      </c>
      <c r="BN114" s="24" t="n">
        <f aca="false">BN$21*(0-Planner!$C$43)</f>
        <v>-1.0535</v>
      </c>
      <c r="BO114" s="24" t="n">
        <f aca="false">BO$21*(0-Planner!$C$43)</f>
        <v>-1.827</v>
      </c>
      <c r="BP114" s="24" t="n">
        <f aca="false">BP$21*(0-Planner!$C$43)</f>
        <v>-0.7175</v>
      </c>
      <c r="BQ114" s="24" t="n">
        <f aca="false">BQ$21*(0-Planner!$C$43)</f>
        <v>-0.5495</v>
      </c>
      <c r="BR114" s="24" t="n">
        <f aca="false">BR$21*(0-Planner!$C$43)</f>
        <v>-0.091</v>
      </c>
      <c r="BS114" s="24" t="n">
        <f aca="false">BS$21*(0-Planner!$C$43)</f>
        <v>-0.0595</v>
      </c>
      <c r="BT114" s="24" t="n">
        <f aca="false">BT$21*(0-Planner!$C$43)</f>
        <v>-0.3815</v>
      </c>
      <c r="BU114" s="24" t="n">
        <f aca="false">BU$21*(0-Planner!$C$43)</f>
        <v>-0.4865</v>
      </c>
      <c r="BV114" s="24" t="n">
        <f aca="false">BV$21*(0-Planner!$C$43)</f>
        <v>-0.147</v>
      </c>
      <c r="BW114" s="24" t="n">
        <f aca="false">BW$21*(0-Planner!$C$43)</f>
        <v>-0.294</v>
      </c>
      <c r="BX114" s="24" t="n">
        <f aca="false">BX$21*(0-Planner!$C$43)</f>
        <v>-0.371</v>
      </c>
      <c r="BY114" s="24" t="n">
        <f aca="false">BY$21*(0-Planner!$C$43)</f>
        <v>-0.2975</v>
      </c>
      <c r="BZ114" s="24" t="n">
        <f aca="false">BZ$21*(0-Planner!$C$43)</f>
        <v>-0.8575</v>
      </c>
      <c r="CA114" s="24" t="n">
        <f aca="false">CA$21*(0-Planner!$C$43)</f>
        <v>-1.1865</v>
      </c>
      <c r="CB114" s="24" t="n">
        <f aca="false">CB$21*(0-Planner!$C$43)</f>
        <v>-0.0595</v>
      </c>
      <c r="CC114" s="24" t="n">
        <f aca="false">CC$21*(0-Planner!$C$43)</f>
        <v>-0.161</v>
      </c>
      <c r="CD114" s="24" t="n">
        <f aca="false">CD$21*(0-Planner!$C$43)</f>
        <v>-0.2205</v>
      </c>
      <c r="CE114" s="24" t="n">
        <f aca="false">CE$21*(0-Planner!$C$43)</f>
        <v>-0.252</v>
      </c>
      <c r="CF114" s="24" t="n">
        <f aca="false">CF$21*(0-Planner!$C$43)</f>
        <v>-0.189</v>
      </c>
      <c r="CG114" s="24" t="n">
        <f aca="false">CG$21*(0-Planner!$C$43)</f>
        <v>-0.399</v>
      </c>
      <c r="CH114" s="24" t="n">
        <f aca="false">CH$21*(0-Planner!$C$43)</f>
        <v>-0.287</v>
      </c>
      <c r="CI114" s="24" t="n">
        <f aca="false">CI$21*(0-Planner!$C$43)</f>
        <v>-0.371</v>
      </c>
      <c r="CJ114" s="24" t="n">
        <f aca="false">CJ$21*(0-Planner!$C$43)</f>
        <v>-0.238</v>
      </c>
      <c r="CK114" s="24" t="n">
        <f aca="false">CK$21*(0-Planner!$C$43)</f>
        <v>-0.3185</v>
      </c>
      <c r="CL114" s="24" t="n">
        <f aca="false">CL$21*(0-Planner!$C$43)</f>
        <v>-0.1645</v>
      </c>
      <c r="CM114" s="24" t="n">
        <f aca="false">CM$21*(0-Planner!$C$43)</f>
        <v>-0.3185</v>
      </c>
      <c r="CN114" s="24" t="n">
        <f aca="false">CN$21*(0-Planner!$C$43)</f>
        <v>-0.2205</v>
      </c>
      <c r="CO114" s="24" t="n">
        <f aca="false">CO$21*(0-Planner!$C$43)</f>
        <v>-0.126</v>
      </c>
      <c r="CP114" s="24" t="n">
        <f aca="false">CP$21*(0-Planner!$C$43)</f>
        <v>-0.119</v>
      </c>
      <c r="CQ114" s="24" t="n">
        <f aca="false">CQ$21*(0-Planner!$C$43)</f>
        <v>-0.189</v>
      </c>
      <c r="CR114" s="24" t="n">
        <f aca="false">CR$21*(0-Planner!$C$43)</f>
        <v>-0.147</v>
      </c>
      <c r="CS114" s="24" t="n">
        <f aca="false">CS$21*(0-Planner!$C$43)</f>
        <v>-0.245</v>
      </c>
      <c r="CT114" s="24" t="n">
        <f aca="false">CT$21*(0-Planner!$C$43)</f>
        <v>-0.763</v>
      </c>
      <c r="CU114" s="24" t="n">
        <f aca="false">CU$21*(0-Planner!$C$43)</f>
        <v>-1.0745</v>
      </c>
      <c r="CV114" s="24" t="n">
        <f aca="false">CV$21*(0-Planner!$C$43)</f>
        <v>-0.42</v>
      </c>
      <c r="CW114" s="24" t="n">
        <f aca="false">CW$21*(0-Planner!$C$43)</f>
        <v>-0.2345</v>
      </c>
      <c r="CX114" s="24" t="n">
        <f aca="false">CX$21*(0-Planner!$C$43)</f>
        <v>-0.1505</v>
      </c>
      <c r="CY114" s="24" t="n">
        <f aca="false">CY$21*(0-Planner!$C$43)</f>
        <v>-0.2135</v>
      </c>
      <c r="CZ114" s="24" t="n">
        <f aca="false">CZ$21*(0-Planner!$C$43)</f>
        <v>-0.28</v>
      </c>
      <c r="DA114" s="24" t="n">
        <f aca="false">DA$21*(0-Planner!$C$43)</f>
        <v>-0.77</v>
      </c>
      <c r="DB114" s="24" t="n">
        <f aca="false">DB$21*(0-Planner!$C$43)</f>
        <v>-0.224</v>
      </c>
      <c r="DC114" s="24" t="n">
        <f aca="false">DC$21*(0-Planner!$C$43)</f>
        <v>-0.2555</v>
      </c>
      <c r="DD114" s="24" t="n">
        <f aca="false">DD$21*(0-Planner!$C$43)</f>
        <v>-1.071</v>
      </c>
      <c r="DE114" s="24" t="n">
        <f aca="false">DE$21*(0-Planner!$C$43)</f>
        <v>-1.323</v>
      </c>
      <c r="DF114" s="24" t="n">
        <f aca="false">DF$21*(0-Planner!$C$43)</f>
        <v>-0.35</v>
      </c>
      <c r="DG114" s="24" t="n">
        <f aca="false">DG$21*(0-Planner!$C$43)</f>
        <v>-0.448</v>
      </c>
      <c r="DH114" s="24" t="n">
        <f aca="false">DH$21*(0-Planner!$C$43)</f>
        <v>-0.5005</v>
      </c>
      <c r="DI114" s="24" t="n">
        <f aca="false">DI$21*(0-Planner!$C$43)</f>
        <v>-0.3255</v>
      </c>
      <c r="DJ114" s="24" t="n">
        <f aca="false">DJ$21*(0-Planner!$C$43)</f>
        <v>-0.203</v>
      </c>
      <c r="DK114" s="24" t="n">
        <f aca="false">DK$21*(0-Planner!$C$43)</f>
        <v>-0.273</v>
      </c>
      <c r="DL114" s="24" t="n">
        <f aca="false">DL$21*(0-Planner!$C$43)</f>
        <v>-0.7035</v>
      </c>
      <c r="DM114" s="24" t="n">
        <f aca="false">DM$21*(0-Planner!$C$43)</f>
        <v>-0.2415</v>
      </c>
      <c r="DN114" s="24" t="n">
        <f aca="false">DN$21*(0-Planner!$C$43)</f>
        <v>-1.057</v>
      </c>
      <c r="DO114" s="24" t="n">
        <f aca="false">DO$21*(0-Planner!$C$43)</f>
        <v>-0.9415</v>
      </c>
      <c r="DP114" s="24" t="n">
        <f aca="false">DP$21*(0-Planner!$C$43)</f>
        <v>-0.2275</v>
      </c>
      <c r="DQ114" s="24" t="n">
        <f aca="false">DQ$21*(0-Planner!$C$43)</f>
        <v>-0.252</v>
      </c>
      <c r="DR114" s="24" t="n">
        <f aca="false">DR$21*(0-Planner!$C$43)</f>
        <v>-0.6265</v>
      </c>
      <c r="DS114" s="24" t="n">
        <f aca="false">DS$21*(0-Planner!$C$43)</f>
        <v>-0.301</v>
      </c>
      <c r="DT114" s="24" t="n">
        <f aca="false">DT$21*(0-Planner!$C$43)</f>
        <v>-0.315</v>
      </c>
      <c r="DU114" s="24" t="n">
        <f aca="false">DU$21*(0-Planner!$C$43)</f>
        <v>-0.931</v>
      </c>
      <c r="DV114" s="24" t="n">
        <f aca="false">DV$21*(0-Planner!$C$43)</f>
        <v>-1.1655</v>
      </c>
      <c r="DW114" s="24" t="n">
        <f aca="false">DW$21*(0-Planner!$C$43)</f>
        <v>-1.0815</v>
      </c>
      <c r="DX114" s="24" t="n">
        <f aca="false">DX$21*(0-Planner!$C$43)</f>
        <v>-0.8715</v>
      </c>
      <c r="DY114" s="24" t="n">
        <f aca="false">DY$21*(0-Planner!$C$43)</f>
        <v>-0.5915</v>
      </c>
      <c r="DZ114" s="24" t="n">
        <f aca="false">DZ$21*(0-Planner!$C$43)</f>
        <v>-0.385</v>
      </c>
      <c r="EA114" s="24" t="n">
        <f aca="false">EA$21*(0-Planner!$C$43)</f>
        <v>-0.385</v>
      </c>
      <c r="EB114" s="24" t="n">
        <f aca="false">EB$21*(0-Planner!$C$43)</f>
        <v>-0.238</v>
      </c>
      <c r="EC114" s="24" t="n">
        <f aca="false">EC$21*(0-Planner!$C$43)</f>
        <v>-0.3465</v>
      </c>
      <c r="ED114" s="24" t="n">
        <f aca="false">ED$21*(0-Planner!$C$43)</f>
        <v>-0.4305</v>
      </c>
      <c r="EE114" s="24" t="n">
        <f aca="false">EE$21*(0-Planner!$C$43)</f>
        <v>-0.3185</v>
      </c>
      <c r="EF114" s="24" t="n">
        <f aca="false">EF$21*(0-Planner!$C$43)</f>
        <v>-0.7385</v>
      </c>
      <c r="EG114" s="24" t="n">
        <f aca="false">EG$21*(0-Planner!$C$43)</f>
        <v>-1.001</v>
      </c>
      <c r="EH114" s="24" t="n">
        <f aca="false">EH$21*(0-Planner!$C$43)</f>
        <v>-1.2705</v>
      </c>
      <c r="EI114" s="24" t="n">
        <f aca="false">EI$21*(0-Planner!$C$43)</f>
        <v>-0.2765</v>
      </c>
      <c r="EJ114" s="24" t="n">
        <f aca="false">EJ$21*(0-Planner!$C$43)</f>
        <v>-0.308</v>
      </c>
      <c r="EK114" s="24" t="n">
        <f aca="false">EK$21*(0-Planner!$C$43)</f>
        <v>-0.8645</v>
      </c>
      <c r="EL114" s="24" t="n">
        <f aca="false">EL$21*(0-Planner!$C$43)</f>
        <v>-0.4235</v>
      </c>
      <c r="EM114" s="24" t="n">
        <f aca="false">EM$21*(0-Planner!$C$43)</f>
        <v>-0.2975</v>
      </c>
      <c r="EN114" s="24" t="n">
        <f aca="false">EN$21*(0-Planner!$C$43)</f>
        <v>-0</v>
      </c>
      <c r="EO114" s="24" t="n">
        <f aca="false">EO$21*(0-Planner!$C$43)</f>
        <v>-0</v>
      </c>
      <c r="EP114" s="24" t="n">
        <f aca="false">EP$21*(0-Planner!$C$43)</f>
        <v>-7.4025</v>
      </c>
      <c r="EQ114" s="24" t="n">
        <f aca="false">EQ$21*(0-Planner!$C$43)</f>
        <v>-0.686</v>
      </c>
      <c r="ER114" s="24" t="n">
        <f aca="false">ER$21*(0-Planner!$C$43)</f>
        <v>-1.785</v>
      </c>
      <c r="ES114" s="24" t="n">
        <f aca="false">ES$21*(0-Planner!$C$43)</f>
        <v>-1.9775</v>
      </c>
      <c r="ET114" s="24" t="n">
        <f aca="false">ET$21*(0-Planner!$C$43)</f>
        <v>-2.2365</v>
      </c>
      <c r="EU114" s="24" t="n">
        <f aca="false">EU$21*(0-Planner!$C$43)</f>
        <v>-1.225</v>
      </c>
    </row>
    <row r="115" customFormat="false" ht="15" hidden="false" customHeight="false" outlineLevel="0" collapsed="false">
      <c r="A115" s="4" t="s">
        <v>1055</v>
      </c>
      <c r="B115" s="75" t="s">
        <v>1017</v>
      </c>
      <c r="C115" s="78" t="n">
        <v>0</v>
      </c>
      <c r="D115" s="77" t="n">
        <v>-37.234165881333</v>
      </c>
      <c r="E115" s="75" t="str">
        <f aca="false">IF(D115&lt;=C115+0.000001*MAX(1,ABS(C115)),IF(ABS(D115-C115)&lt;=0.000001*MAX(1,ABS(C115)),"tight","ok"),"VIOLATED")</f>
        <v>ok</v>
      </c>
      <c r="F115" s="24" t="n">
        <f aca="false">F$21*(0-Planner!$C$43)</f>
        <v>-7.875</v>
      </c>
      <c r="G115" s="24" t="n">
        <f aca="false">G$21*(0-Planner!$C$43)</f>
        <v>-6.328</v>
      </c>
      <c r="H115" s="24" t="n">
        <f aca="false">H$21*(0-Planner!$C$43)</f>
        <v>-6.881</v>
      </c>
      <c r="I115" s="24" t="n">
        <f aca="false">I$21*(0-Planner!$C$43)</f>
        <v>-5.7155</v>
      </c>
      <c r="J115" s="24" t="n">
        <f aca="false">J$21*(0-Planner!$C$43)</f>
        <v>-6.5555</v>
      </c>
      <c r="K115" s="24" t="n">
        <f aca="false">K$21*(0-Planner!$C$43)</f>
        <v>-6.51</v>
      </c>
      <c r="L115" s="24" t="n">
        <f aca="false">L$21*(0-Planner!$C$43)</f>
        <v>-4.417</v>
      </c>
      <c r="M115" s="24" t="n">
        <f aca="false">M$21*(0-Planner!$C$43)</f>
        <v>-7.6125</v>
      </c>
      <c r="N115" s="24" t="n">
        <f aca="false">N$21*(0-Planner!$C$43)</f>
        <v>-6.0095</v>
      </c>
      <c r="O115" s="24" t="n">
        <f aca="false">O$21*(0-Planner!$C$43)</f>
        <v>-7.2975</v>
      </c>
      <c r="P115" s="24" t="n">
        <f aca="false">P$21*(0-Planner!$C$43)</f>
        <v>-5.81</v>
      </c>
      <c r="Q115" s="24" t="n">
        <f aca="false">Q$21*(0-Planner!$C$43)</f>
        <v>-7.399</v>
      </c>
      <c r="R115" s="24" t="n">
        <f aca="false">R$21*(0-Planner!$C$43)</f>
        <v>-7.679</v>
      </c>
      <c r="S115" s="24" t="n">
        <f aca="false">S$21*(0-Planner!$C$43)</f>
        <v>-6.972</v>
      </c>
      <c r="T115" s="24" t="n">
        <f aca="false">T$21*(0-Planner!$C$43)</f>
        <v>-6.804</v>
      </c>
      <c r="U115" s="24" t="n">
        <f aca="false">U$21*(0-Planner!$C$43)</f>
        <v>-7.147</v>
      </c>
      <c r="V115" s="24" t="n">
        <f aca="false">V$21*(0-Planner!$C$43)</f>
        <v>-4.7635</v>
      </c>
      <c r="W115" s="24" t="n">
        <f aca="false">W$21*(0-Planner!$C$43)</f>
        <v>-7.028</v>
      </c>
      <c r="X115" s="24" t="n">
        <f aca="false">X$21*(0-Planner!$C$43)</f>
        <v>-4.396</v>
      </c>
      <c r="Y115" s="24" t="n">
        <f aca="false">Y$21*(0-Planner!$C$43)</f>
        <v>-2.1105</v>
      </c>
      <c r="Z115" s="24" t="n">
        <f aca="false">Z$21*(0-Planner!$C$43)</f>
        <v>-7.56</v>
      </c>
      <c r="AA115" s="24" t="n">
        <f aca="false">AA$21*(0-Planner!$C$43)</f>
        <v>-1.659</v>
      </c>
      <c r="AB115" s="24" t="n">
        <f aca="false">AB$21*(0-Planner!$C$43)</f>
        <v>-8.232</v>
      </c>
      <c r="AC115" s="24" t="n">
        <f aca="false">AC$21*(0-Planner!$C$43)</f>
        <v>-1.722</v>
      </c>
      <c r="AD115" s="24" t="n">
        <f aca="false">AD$21*(0-Planner!$C$43)</f>
        <v>-2.5795</v>
      </c>
      <c r="AE115" s="24" t="n">
        <f aca="false">AE$21*(0-Planner!$C$43)</f>
        <v>-7.651</v>
      </c>
      <c r="AF115" s="24" t="n">
        <f aca="false">AF$21*(0-Planner!$C$43)</f>
        <v>-1.827</v>
      </c>
      <c r="AG115" s="24" t="n">
        <f aca="false">AG$21*(0-Planner!$C$43)</f>
        <v>-8.253</v>
      </c>
      <c r="AH115" s="24" t="n">
        <f aca="false">AH$21*(0-Planner!$C$43)</f>
        <v>-8.6205</v>
      </c>
      <c r="AI115" s="24" t="n">
        <f aca="false">AI$21*(0-Planner!$C$43)</f>
        <v>-7.511</v>
      </c>
      <c r="AJ115" s="24" t="n">
        <f aca="false">AJ$21*(0-Planner!$C$43)</f>
        <v>-2.6355</v>
      </c>
      <c r="AK115" s="24" t="n">
        <f aca="false">AK$21*(0-Planner!$C$43)</f>
        <v>-7.8155</v>
      </c>
      <c r="AL115" s="24" t="n">
        <f aca="false">AL$21*(0-Planner!$C$43)</f>
        <v>-7.7735</v>
      </c>
      <c r="AM115" s="24" t="n">
        <f aca="false">AM$21*(0-Planner!$C$43)</f>
        <v>-1.61</v>
      </c>
      <c r="AN115" s="24" t="n">
        <f aca="false">AN$21*(0-Planner!$C$43)</f>
        <v>-7.497</v>
      </c>
      <c r="AO115" s="24" t="n">
        <f aca="false">AO$21*(0-Planner!$C$43)</f>
        <v>-3.535</v>
      </c>
      <c r="AP115" s="24" t="n">
        <f aca="false">AP$21*(0-Planner!$C$43)</f>
        <v>-1.155</v>
      </c>
      <c r="AQ115" s="24" t="n">
        <f aca="false">AQ$21*(0-Planner!$C$43)</f>
        <v>-3.5665</v>
      </c>
      <c r="AR115" s="24" t="n">
        <f aca="false">AR$21*(0-Planner!$C$43)</f>
        <v>-0.91</v>
      </c>
      <c r="AS115" s="24" t="n">
        <f aca="false">AS$21*(0-Planner!$C$43)</f>
        <v>-1.1025</v>
      </c>
      <c r="AT115" s="24" t="n">
        <f aca="false">AT$21*(0-Planner!$C$43)</f>
        <v>-6.3455</v>
      </c>
      <c r="AU115" s="24" t="n">
        <f aca="false">AU$21*(0-Planner!$C$43)</f>
        <v>-8.0045</v>
      </c>
      <c r="AV115" s="24" t="n">
        <f aca="false">AV$21*(0-Planner!$C$43)</f>
        <v>-3.6575</v>
      </c>
      <c r="AW115" s="24" t="n">
        <f aca="false">AW$21*(0-Planner!$C$43)</f>
        <v>-8.3125</v>
      </c>
      <c r="AX115" s="24" t="n">
        <f aca="false">AX$21*(0-Planner!$C$43)</f>
        <v>-3.696</v>
      </c>
      <c r="AY115" s="24" t="n">
        <f aca="false">AY$21*(0-Planner!$C$43)</f>
        <v>-2.639</v>
      </c>
      <c r="AZ115" s="24" t="n">
        <f aca="false">AZ$21*(0-Planner!$C$43)</f>
        <v>-4.2315</v>
      </c>
      <c r="BA115" s="24" t="n">
        <f aca="false">BA$21*(0-Planner!$C$43)</f>
        <v>-1.995</v>
      </c>
      <c r="BB115" s="24" t="n">
        <f aca="false">BB$21*(0-Planner!$C$43)</f>
        <v>-2.8035</v>
      </c>
      <c r="BC115" s="24" t="n">
        <f aca="false">BC$21*(0-Planner!$C$43)</f>
        <v>-4.942</v>
      </c>
      <c r="BD115" s="24" t="n">
        <f aca="false">BD$21*(0-Planner!$C$43)</f>
        <v>-4.6025</v>
      </c>
      <c r="BE115" s="24" t="n">
        <f aca="false">BE$21*(1-Planner!$C$43)</f>
        <v>8.476</v>
      </c>
      <c r="BF115" s="24" t="n">
        <f aca="false">BF$21*(0-Planner!$C$43)</f>
        <v>-3.0975</v>
      </c>
      <c r="BG115" s="24" t="n">
        <f aca="false">BG$21*(0-Planner!$C$43)</f>
        <v>-2.4955</v>
      </c>
      <c r="BH115" s="24" t="n">
        <f aca="false">BH$21*(0-Planner!$C$43)</f>
        <v>-4.3575</v>
      </c>
      <c r="BI115" s="24" t="n">
        <f aca="false">BI$21*(0-Planner!$C$43)</f>
        <v>-4.8545</v>
      </c>
      <c r="BJ115" s="24" t="n">
        <f aca="false">BJ$21*(0-Planner!$C$43)</f>
        <v>-2.6565</v>
      </c>
      <c r="BK115" s="24" t="n">
        <f aca="false">BK$21*(0-Planner!$C$43)</f>
        <v>-0.6825</v>
      </c>
      <c r="BL115" s="24" t="n">
        <f aca="false">BL$21*(0-Planner!$C$43)</f>
        <v>-1.057</v>
      </c>
      <c r="BM115" s="24" t="n">
        <f aca="false">BM$21*(0-Planner!$C$43)</f>
        <v>-0.784</v>
      </c>
      <c r="BN115" s="24" t="n">
        <f aca="false">BN$21*(0-Planner!$C$43)</f>
        <v>-1.0535</v>
      </c>
      <c r="BO115" s="24" t="n">
        <f aca="false">BO$21*(0-Planner!$C$43)</f>
        <v>-1.827</v>
      </c>
      <c r="BP115" s="24" t="n">
        <f aca="false">BP$21*(0-Planner!$C$43)</f>
        <v>-0.7175</v>
      </c>
      <c r="BQ115" s="24" t="n">
        <f aca="false">BQ$21*(0-Planner!$C$43)</f>
        <v>-0.5495</v>
      </c>
      <c r="BR115" s="24" t="n">
        <f aca="false">BR$21*(0-Planner!$C$43)</f>
        <v>-0.091</v>
      </c>
      <c r="BS115" s="24" t="n">
        <f aca="false">BS$21*(0-Planner!$C$43)</f>
        <v>-0.0595</v>
      </c>
      <c r="BT115" s="24" t="n">
        <f aca="false">BT$21*(0-Planner!$C$43)</f>
        <v>-0.3815</v>
      </c>
      <c r="BU115" s="24" t="n">
        <f aca="false">BU$21*(0-Planner!$C$43)</f>
        <v>-0.4865</v>
      </c>
      <c r="BV115" s="24" t="n">
        <f aca="false">BV$21*(0-Planner!$C$43)</f>
        <v>-0.147</v>
      </c>
      <c r="BW115" s="24" t="n">
        <f aca="false">BW$21*(0-Planner!$C$43)</f>
        <v>-0.294</v>
      </c>
      <c r="BX115" s="24" t="n">
        <f aca="false">BX$21*(0-Planner!$C$43)</f>
        <v>-0.371</v>
      </c>
      <c r="BY115" s="24" t="n">
        <f aca="false">BY$21*(0-Planner!$C$43)</f>
        <v>-0.2975</v>
      </c>
      <c r="BZ115" s="24" t="n">
        <f aca="false">BZ$21*(0-Planner!$C$43)</f>
        <v>-0.8575</v>
      </c>
      <c r="CA115" s="24" t="n">
        <f aca="false">CA$21*(0-Planner!$C$43)</f>
        <v>-1.1865</v>
      </c>
      <c r="CB115" s="24" t="n">
        <f aca="false">CB$21*(0-Planner!$C$43)</f>
        <v>-0.0595</v>
      </c>
      <c r="CC115" s="24" t="n">
        <f aca="false">CC$21*(0-Planner!$C$43)</f>
        <v>-0.161</v>
      </c>
      <c r="CD115" s="24" t="n">
        <f aca="false">CD$21*(0-Planner!$C$43)</f>
        <v>-0.2205</v>
      </c>
      <c r="CE115" s="24" t="n">
        <f aca="false">CE$21*(0-Planner!$C$43)</f>
        <v>-0.252</v>
      </c>
      <c r="CF115" s="24" t="n">
        <f aca="false">CF$21*(0-Planner!$C$43)</f>
        <v>-0.189</v>
      </c>
      <c r="CG115" s="24" t="n">
        <f aca="false">CG$21*(0-Planner!$C$43)</f>
        <v>-0.399</v>
      </c>
      <c r="CH115" s="24" t="n">
        <f aca="false">CH$21*(0-Planner!$C$43)</f>
        <v>-0.287</v>
      </c>
      <c r="CI115" s="24" t="n">
        <f aca="false">CI$21*(0-Planner!$C$43)</f>
        <v>-0.371</v>
      </c>
      <c r="CJ115" s="24" t="n">
        <f aca="false">CJ$21*(0-Planner!$C$43)</f>
        <v>-0.238</v>
      </c>
      <c r="CK115" s="24" t="n">
        <f aca="false">CK$21*(0-Planner!$C$43)</f>
        <v>-0.3185</v>
      </c>
      <c r="CL115" s="24" t="n">
        <f aca="false">CL$21*(0-Planner!$C$43)</f>
        <v>-0.1645</v>
      </c>
      <c r="CM115" s="24" t="n">
        <f aca="false">CM$21*(0-Planner!$C$43)</f>
        <v>-0.3185</v>
      </c>
      <c r="CN115" s="24" t="n">
        <f aca="false">CN$21*(0-Planner!$C$43)</f>
        <v>-0.2205</v>
      </c>
      <c r="CO115" s="24" t="n">
        <f aca="false">CO$21*(0-Planner!$C$43)</f>
        <v>-0.126</v>
      </c>
      <c r="CP115" s="24" t="n">
        <f aca="false">CP$21*(0-Planner!$C$43)</f>
        <v>-0.119</v>
      </c>
      <c r="CQ115" s="24" t="n">
        <f aca="false">CQ$21*(0-Planner!$C$43)</f>
        <v>-0.189</v>
      </c>
      <c r="CR115" s="24" t="n">
        <f aca="false">CR$21*(0-Planner!$C$43)</f>
        <v>-0.147</v>
      </c>
      <c r="CS115" s="24" t="n">
        <f aca="false">CS$21*(0-Planner!$C$43)</f>
        <v>-0.245</v>
      </c>
      <c r="CT115" s="24" t="n">
        <f aca="false">CT$21*(0-Planner!$C$43)</f>
        <v>-0.763</v>
      </c>
      <c r="CU115" s="24" t="n">
        <f aca="false">CU$21*(0-Planner!$C$43)</f>
        <v>-1.0745</v>
      </c>
      <c r="CV115" s="24" t="n">
        <f aca="false">CV$21*(0-Planner!$C$43)</f>
        <v>-0.42</v>
      </c>
      <c r="CW115" s="24" t="n">
        <f aca="false">CW$21*(0-Planner!$C$43)</f>
        <v>-0.2345</v>
      </c>
      <c r="CX115" s="24" t="n">
        <f aca="false">CX$21*(0-Planner!$C$43)</f>
        <v>-0.1505</v>
      </c>
      <c r="CY115" s="24" t="n">
        <f aca="false">CY$21*(0-Planner!$C$43)</f>
        <v>-0.2135</v>
      </c>
      <c r="CZ115" s="24" t="n">
        <f aca="false">CZ$21*(0-Planner!$C$43)</f>
        <v>-0.28</v>
      </c>
      <c r="DA115" s="24" t="n">
        <f aca="false">DA$21*(0-Planner!$C$43)</f>
        <v>-0.77</v>
      </c>
      <c r="DB115" s="24" t="n">
        <f aca="false">DB$21*(0-Planner!$C$43)</f>
        <v>-0.224</v>
      </c>
      <c r="DC115" s="24" t="n">
        <f aca="false">DC$21*(0-Planner!$C$43)</f>
        <v>-0.2555</v>
      </c>
      <c r="DD115" s="24" t="n">
        <f aca="false">DD$21*(0-Planner!$C$43)</f>
        <v>-1.071</v>
      </c>
      <c r="DE115" s="24" t="n">
        <f aca="false">DE$21*(0-Planner!$C$43)</f>
        <v>-1.323</v>
      </c>
      <c r="DF115" s="24" t="n">
        <f aca="false">DF$21*(0-Planner!$C$43)</f>
        <v>-0.35</v>
      </c>
      <c r="DG115" s="24" t="n">
        <f aca="false">DG$21*(0-Planner!$C$43)</f>
        <v>-0.448</v>
      </c>
      <c r="DH115" s="24" t="n">
        <f aca="false">DH$21*(0-Planner!$C$43)</f>
        <v>-0.5005</v>
      </c>
      <c r="DI115" s="24" t="n">
        <f aca="false">DI$21*(0-Planner!$C$43)</f>
        <v>-0.3255</v>
      </c>
      <c r="DJ115" s="24" t="n">
        <f aca="false">DJ$21*(0-Planner!$C$43)</f>
        <v>-0.203</v>
      </c>
      <c r="DK115" s="24" t="n">
        <f aca="false">DK$21*(0-Planner!$C$43)</f>
        <v>-0.273</v>
      </c>
      <c r="DL115" s="24" t="n">
        <f aca="false">DL$21*(0-Planner!$C$43)</f>
        <v>-0.7035</v>
      </c>
      <c r="DM115" s="24" t="n">
        <f aca="false">DM$21*(0-Planner!$C$43)</f>
        <v>-0.2415</v>
      </c>
      <c r="DN115" s="24" t="n">
        <f aca="false">DN$21*(0-Planner!$C$43)</f>
        <v>-1.057</v>
      </c>
      <c r="DO115" s="24" t="n">
        <f aca="false">DO$21*(0-Planner!$C$43)</f>
        <v>-0.9415</v>
      </c>
      <c r="DP115" s="24" t="n">
        <f aca="false">DP$21*(0-Planner!$C$43)</f>
        <v>-0.2275</v>
      </c>
      <c r="DQ115" s="24" t="n">
        <f aca="false">DQ$21*(0-Planner!$C$43)</f>
        <v>-0.252</v>
      </c>
      <c r="DR115" s="24" t="n">
        <f aca="false">DR$21*(0-Planner!$C$43)</f>
        <v>-0.6265</v>
      </c>
      <c r="DS115" s="24" t="n">
        <f aca="false">DS$21*(0-Planner!$C$43)</f>
        <v>-0.301</v>
      </c>
      <c r="DT115" s="24" t="n">
        <f aca="false">DT$21*(0-Planner!$C$43)</f>
        <v>-0.315</v>
      </c>
      <c r="DU115" s="24" t="n">
        <f aca="false">DU$21*(0-Planner!$C$43)</f>
        <v>-0.931</v>
      </c>
      <c r="DV115" s="24" t="n">
        <f aca="false">DV$21*(0-Planner!$C$43)</f>
        <v>-1.1655</v>
      </c>
      <c r="DW115" s="24" t="n">
        <f aca="false">DW$21*(0-Planner!$C$43)</f>
        <v>-1.0815</v>
      </c>
      <c r="DX115" s="24" t="n">
        <f aca="false">DX$21*(0-Planner!$C$43)</f>
        <v>-0.8715</v>
      </c>
      <c r="DY115" s="24" t="n">
        <f aca="false">DY$21*(0-Planner!$C$43)</f>
        <v>-0.5915</v>
      </c>
      <c r="DZ115" s="24" t="n">
        <f aca="false">DZ$21*(0-Planner!$C$43)</f>
        <v>-0.385</v>
      </c>
      <c r="EA115" s="24" t="n">
        <f aca="false">EA$21*(0-Planner!$C$43)</f>
        <v>-0.385</v>
      </c>
      <c r="EB115" s="24" t="n">
        <f aca="false">EB$21*(0-Planner!$C$43)</f>
        <v>-0.238</v>
      </c>
      <c r="EC115" s="24" t="n">
        <f aca="false">EC$21*(0-Planner!$C$43)</f>
        <v>-0.3465</v>
      </c>
      <c r="ED115" s="24" t="n">
        <f aca="false">ED$21*(0-Planner!$C$43)</f>
        <v>-0.4305</v>
      </c>
      <c r="EE115" s="24" t="n">
        <f aca="false">EE$21*(0-Planner!$C$43)</f>
        <v>-0.3185</v>
      </c>
      <c r="EF115" s="24" t="n">
        <f aca="false">EF$21*(0-Planner!$C$43)</f>
        <v>-0.7385</v>
      </c>
      <c r="EG115" s="24" t="n">
        <f aca="false">EG$21*(0-Planner!$C$43)</f>
        <v>-1.001</v>
      </c>
      <c r="EH115" s="24" t="n">
        <f aca="false">EH$21*(0-Planner!$C$43)</f>
        <v>-1.2705</v>
      </c>
      <c r="EI115" s="24" t="n">
        <f aca="false">EI$21*(0-Planner!$C$43)</f>
        <v>-0.2765</v>
      </c>
      <c r="EJ115" s="24" t="n">
        <f aca="false">EJ$21*(0-Planner!$C$43)</f>
        <v>-0.308</v>
      </c>
      <c r="EK115" s="24" t="n">
        <f aca="false">EK$21*(0-Planner!$C$43)</f>
        <v>-0.8645</v>
      </c>
      <c r="EL115" s="24" t="n">
        <f aca="false">EL$21*(0-Planner!$C$43)</f>
        <v>-0.4235</v>
      </c>
      <c r="EM115" s="24" t="n">
        <f aca="false">EM$21*(0-Planner!$C$43)</f>
        <v>-0.2975</v>
      </c>
      <c r="EN115" s="24" t="n">
        <f aca="false">EN$21*(0-Planner!$C$43)</f>
        <v>-0</v>
      </c>
      <c r="EO115" s="24" t="n">
        <f aca="false">EO$21*(0-Planner!$C$43)</f>
        <v>-0</v>
      </c>
      <c r="EP115" s="24" t="n">
        <f aca="false">EP$21*(0-Planner!$C$43)</f>
        <v>-7.4025</v>
      </c>
      <c r="EQ115" s="24" t="n">
        <f aca="false">EQ$21*(0-Planner!$C$43)</f>
        <v>-0.686</v>
      </c>
      <c r="ER115" s="24" t="n">
        <f aca="false">ER$21*(0-Planner!$C$43)</f>
        <v>-1.785</v>
      </c>
      <c r="ES115" s="24" t="n">
        <f aca="false">ES$21*(0-Planner!$C$43)</f>
        <v>-1.9775</v>
      </c>
      <c r="ET115" s="24" t="n">
        <f aca="false">ET$21*(0-Planner!$C$43)</f>
        <v>-2.2365</v>
      </c>
      <c r="EU115" s="24" t="n">
        <f aca="false">EU$21*(0-Planner!$C$43)</f>
        <v>-1.225</v>
      </c>
    </row>
    <row r="116" customFormat="false" ht="15" hidden="false" customHeight="false" outlineLevel="0" collapsed="false">
      <c r="A116" s="4" t="s">
        <v>1056</v>
      </c>
      <c r="B116" s="75" t="s">
        <v>1017</v>
      </c>
      <c r="C116" s="78" t="n">
        <v>0</v>
      </c>
      <c r="D116" s="77" t="n">
        <v>-39.199999997333</v>
      </c>
      <c r="E116" s="75" t="str">
        <f aca="false">IF(D116&lt;=C116+0.000001*MAX(1,ABS(C116)),IF(ABS(D116-C116)&lt;=0.000001*MAX(1,ABS(C116)),"tight","ok"),"VIOLATED")</f>
        <v>ok</v>
      </c>
      <c r="F116" s="24" t="n">
        <f aca="false">F$21*(0-Planner!$C$43)</f>
        <v>-7.875</v>
      </c>
      <c r="G116" s="24" t="n">
        <f aca="false">G$21*(0-Planner!$C$43)</f>
        <v>-6.328</v>
      </c>
      <c r="H116" s="24" t="n">
        <f aca="false">H$21*(0-Planner!$C$43)</f>
        <v>-6.881</v>
      </c>
      <c r="I116" s="24" t="n">
        <f aca="false">I$21*(0-Planner!$C$43)</f>
        <v>-5.7155</v>
      </c>
      <c r="J116" s="24" t="n">
        <f aca="false">J$21*(0-Planner!$C$43)</f>
        <v>-6.5555</v>
      </c>
      <c r="K116" s="24" t="n">
        <f aca="false">K$21*(0-Planner!$C$43)</f>
        <v>-6.51</v>
      </c>
      <c r="L116" s="24" t="n">
        <f aca="false">L$21*(0-Planner!$C$43)</f>
        <v>-4.417</v>
      </c>
      <c r="M116" s="24" t="n">
        <f aca="false">M$21*(0-Planner!$C$43)</f>
        <v>-7.6125</v>
      </c>
      <c r="N116" s="24" t="n">
        <f aca="false">N$21*(0-Planner!$C$43)</f>
        <v>-6.0095</v>
      </c>
      <c r="O116" s="24" t="n">
        <f aca="false">O$21*(0-Planner!$C$43)</f>
        <v>-7.2975</v>
      </c>
      <c r="P116" s="24" t="n">
        <f aca="false">P$21*(0-Planner!$C$43)</f>
        <v>-5.81</v>
      </c>
      <c r="Q116" s="24" t="n">
        <f aca="false">Q$21*(0-Planner!$C$43)</f>
        <v>-7.399</v>
      </c>
      <c r="R116" s="24" t="n">
        <f aca="false">R$21*(0-Planner!$C$43)</f>
        <v>-7.679</v>
      </c>
      <c r="S116" s="24" t="n">
        <f aca="false">S$21*(0-Planner!$C$43)</f>
        <v>-6.972</v>
      </c>
      <c r="T116" s="24" t="n">
        <f aca="false">T$21*(0-Planner!$C$43)</f>
        <v>-6.804</v>
      </c>
      <c r="U116" s="24" t="n">
        <f aca="false">U$21*(0-Planner!$C$43)</f>
        <v>-7.147</v>
      </c>
      <c r="V116" s="24" t="n">
        <f aca="false">V$21*(0-Planner!$C$43)</f>
        <v>-4.7635</v>
      </c>
      <c r="W116" s="24" t="n">
        <f aca="false">W$21*(0-Planner!$C$43)</f>
        <v>-7.028</v>
      </c>
      <c r="X116" s="24" t="n">
        <f aca="false">X$21*(0-Planner!$C$43)</f>
        <v>-4.396</v>
      </c>
      <c r="Y116" s="24" t="n">
        <f aca="false">Y$21*(0-Planner!$C$43)</f>
        <v>-2.1105</v>
      </c>
      <c r="Z116" s="24" t="n">
        <f aca="false">Z$21*(0-Planner!$C$43)</f>
        <v>-7.56</v>
      </c>
      <c r="AA116" s="24" t="n">
        <f aca="false">AA$21*(0-Planner!$C$43)</f>
        <v>-1.659</v>
      </c>
      <c r="AB116" s="24" t="n">
        <f aca="false">AB$21*(0-Planner!$C$43)</f>
        <v>-8.232</v>
      </c>
      <c r="AC116" s="24" t="n">
        <f aca="false">AC$21*(0-Planner!$C$43)</f>
        <v>-1.722</v>
      </c>
      <c r="AD116" s="24" t="n">
        <f aca="false">AD$21*(0-Planner!$C$43)</f>
        <v>-2.5795</v>
      </c>
      <c r="AE116" s="24" t="n">
        <f aca="false">AE$21*(0-Planner!$C$43)</f>
        <v>-7.651</v>
      </c>
      <c r="AF116" s="24" t="n">
        <f aca="false">AF$21*(0-Planner!$C$43)</f>
        <v>-1.827</v>
      </c>
      <c r="AG116" s="24" t="n">
        <f aca="false">AG$21*(0-Planner!$C$43)</f>
        <v>-8.253</v>
      </c>
      <c r="AH116" s="24" t="n">
        <f aca="false">AH$21*(0-Planner!$C$43)</f>
        <v>-8.6205</v>
      </c>
      <c r="AI116" s="24" t="n">
        <f aca="false">AI$21*(0-Planner!$C$43)</f>
        <v>-7.511</v>
      </c>
      <c r="AJ116" s="24" t="n">
        <f aca="false">AJ$21*(0-Planner!$C$43)</f>
        <v>-2.6355</v>
      </c>
      <c r="AK116" s="24" t="n">
        <f aca="false">AK$21*(0-Planner!$C$43)</f>
        <v>-7.8155</v>
      </c>
      <c r="AL116" s="24" t="n">
        <f aca="false">AL$21*(0-Planner!$C$43)</f>
        <v>-7.7735</v>
      </c>
      <c r="AM116" s="24" t="n">
        <f aca="false">AM$21*(0-Planner!$C$43)</f>
        <v>-1.61</v>
      </c>
      <c r="AN116" s="24" t="n">
        <f aca="false">AN$21*(0-Planner!$C$43)</f>
        <v>-7.497</v>
      </c>
      <c r="AO116" s="24" t="n">
        <f aca="false">AO$21*(0-Planner!$C$43)</f>
        <v>-3.535</v>
      </c>
      <c r="AP116" s="24" t="n">
        <f aca="false">AP$21*(0-Planner!$C$43)</f>
        <v>-1.155</v>
      </c>
      <c r="AQ116" s="24" t="n">
        <f aca="false">AQ$21*(0-Planner!$C$43)</f>
        <v>-3.5665</v>
      </c>
      <c r="AR116" s="24" t="n">
        <f aca="false">AR$21*(0-Planner!$C$43)</f>
        <v>-0.91</v>
      </c>
      <c r="AS116" s="24" t="n">
        <f aca="false">AS$21*(0-Planner!$C$43)</f>
        <v>-1.1025</v>
      </c>
      <c r="AT116" s="24" t="n">
        <f aca="false">AT$21*(0-Planner!$C$43)</f>
        <v>-6.3455</v>
      </c>
      <c r="AU116" s="24" t="n">
        <f aca="false">AU$21*(0-Planner!$C$43)</f>
        <v>-8.0045</v>
      </c>
      <c r="AV116" s="24" t="n">
        <f aca="false">AV$21*(0-Planner!$C$43)</f>
        <v>-3.6575</v>
      </c>
      <c r="AW116" s="24" t="n">
        <f aca="false">AW$21*(0-Planner!$C$43)</f>
        <v>-8.3125</v>
      </c>
      <c r="AX116" s="24" t="n">
        <f aca="false">AX$21*(0-Planner!$C$43)</f>
        <v>-3.696</v>
      </c>
      <c r="AY116" s="24" t="n">
        <f aca="false">AY$21*(0-Planner!$C$43)</f>
        <v>-2.639</v>
      </c>
      <c r="AZ116" s="24" t="n">
        <f aca="false">AZ$21*(0-Planner!$C$43)</f>
        <v>-4.2315</v>
      </c>
      <c r="BA116" s="24" t="n">
        <f aca="false">BA$21*(0-Planner!$C$43)</f>
        <v>-1.995</v>
      </c>
      <c r="BB116" s="24" t="n">
        <f aca="false">BB$21*(0-Planner!$C$43)</f>
        <v>-2.8035</v>
      </c>
      <c r="BC116" s="24" t="n">
        <f aca="false">BC$21*(0-Planner!$C$43)</f>
        <v>-4.942</v>
      </c>
      <c r="BD116" s="24" t="n">
        <f aca="false">BD$21*(0-Planner!$C$43)</f>
        <v>-4.6025</v>
      </c>
      <c r="BE116" s="24" t="n">
        <f aca="false">BE$21*(0-Planner!$C$43)</f>
        <v>-4.564</v>
      </c>
      <c r="BF116" s="24" t="n">
        <f aca="false">BF$21*(0-Planner!$C$43)</f>
        <v>-3.0975</v>
      </c>
      <c r="BG116" s="24" t="n">
        <f aca="false">BG$21*(0-Planner!$C$43)</f>
        <v>-2.4955</v>
      </c>
      <c r="BH116" s="24" t="n">
        <f aca="false">BH$21*(1-Planner!$C$43)</f>
        <v>8.0925</v>
      </c>
      <c r="BI116" s="24" t="n">
        <f aca="false">BI$21*(0-Planner!$C$43)</f>
        <v>-4.8545</v>
      </c>
      <c r="BJ116" s="24" t="n">
        <f aca="false">BJ$21*(0-Planner!$C$43)</f>
        <v>-2.6565</v>
      </c>
      <c r="BK116" s="24" t="n">
        <f aca="false">BK$21*(0-Planner!$C$43)</f>
        <v>-0.6825</v>
      </c>
      <c r="BL116" s="24" t="n">
        <f aca="false">BL$21*(0-Planner!$C$43)</f>
        <v>-1.057</v>
      </c>
      <c r="BM116" s="24" t="n">
        <f aca="false">BM$21*(0-Planner!$C$43)</f>
        <v>-0.784</v>
      </c>
      <c r="BN116" s="24" t="n">
        <f aca="false">BN$21*(0-Planner!$C$43)</f>
        <v>-1.0535</v>
      </c>
      <c r="BO116" s="24" t="n">
        <f aca="false">BO$21*(0-Planner!$C$43)</f>
        <v>-1.827</v>
      </c>
      <c r="BP116" s="24" t="n">
        <f aca="false">BP$21*(0-Planner!$C$43)</f>
        <v>-0.7175</v>
      </c>
      <c r="BQ116" s="24" t="n">
        <f aca="false">BQ$21*(0-Planner!$C$43)</f>
        <v>-0.5495</v>
      </c>
      <c r="BR116" s="24" t="n">
        <f aca="false">BR$21*(0-Planner!$C$43)</f>
        <v>-0.091</v>
      </c>
      <c r="BS116" s="24" t="n">
        <f aca="false">BS$21*(0-Planner!$C$43)</f>
        <v>-0.0595</v>
      </c>
      <c r="BT116" s="24" t="n">
        <f aca="false">BT$21*(0-Planner!$C$43)</f>
        <v>-0.3815</v>
      </c>
      <c r="BU116" s="24" t="n">
        <f aca="false">BU$21*(0-Planner!$C$43)</f>
        <v>-0.4865</v>
      </c>
      <c r="BV116" s="24" t="n">
        <f aca="false">BV$21*(0-Planner!$C$43)</f>
        <v>-0.147</v>
      </c>
      <c r="BW116" s="24" t="n">
        <f aca="false">BW$21*(0-Planner!$C$43)</f>
        <v>-0.294</v>
      </c>
      <c r="BX116" s="24" t="n">
        <f aca="false">BX$21*(0-Planner!$C$43)</f>
        <v>-0.371</v>
      </c>
      <c r="BY116" s="24" t="n">
        <f aca="false">BY$21*(0-Planner!$C$43)</f>
        <v>-0.2975</v>
      </c>
      <c r="BZ116" s="24" t="n">
        <f aca="false">BZ$21*(0-Planner!$C$43)</f>
        <v>-0.8575</v>
      </c>
      <c r="CA116" s="24" t="n">
        <f aca="false">CA$21*(0-Planner!$C$43)</f>
        <v>-1.1865</v>
      </c>
      <c r="CB116" s="24" t="n">
        <f aca="false">CB$21*(0-Planner!$C$43)</f>
        <v>-0.0595</v>
      </c>
      <c r="CC116" s="24" t="n">
        <f aca="false">CC$21*(0-Planner!$C$43)</f>
        <v>-0.161</v>
      </c>
      <c r="CD116" s="24" t="n">
        <f aca="false">CD$21*(0-Planner!$C$43)</f>
        <v>-0.2205</v>
      </c>
      <c r="CE116" s="24" t="n">
        <f aca="false">CE$21*(0-Planner!$C$43)</f>
        <v>-0.252</v>
      </c>
      <c r="CF116" s="24" t="n">
        <f aca="false">CF$21*(0-Planner!$C$43)</f>
        <v>-0.189</v>
      </c>
      <c r="CG116" s="24" t="n">
        <f aca="false">CG$21*(0-Planner!$C$43)</f>
        <v>-0.399</v>
      </c>
      <c r="CH116" s="24" t="n">
        <f aca="false">CH$21*(0-Planner!$C$43)</f>
        <v>-0.287</v>
      </c>
      <c r="CI116" s="24" t="n">
        <f aca="false">CI$21*(0-Planner!$C$43)</f>
        <v>-0.371</v>
      </c>
      <c r="CJ116" s="24" t="n">
        <f aca="false">CJ$21*(0-Planner!$C$43)</f>
        <v>-0.238</v>
      </c>
      <c r="CK116" s="24" t="n">
        <f aca="false">CK$21*(0-Planner!$C$43)</f>
        <v>-0.3185</v>
      </c>
      <c r="CL116" s="24" t="n">
        <f aca="false">CL$21*(0-Planner!$C$43)</f>
        <v>-0.1645</v>
      </c>
      <c r="CM116" s="24" t="n">
        <f aca="false">CM$21*(0-Planner!$C$43)</f>
        <v>-0.3185</v>
      </c>
      <c r="CN116" s="24" t="n">
        <f aca="false">CN$21*(0-Planner!$C$43)</f>
        <v>-0.2205</v>
      </c>
      <c r="CO116" s="24" t="n">
        <f aca="false">CO$21*(0-Planner!$C$43)</f>
        <v>-0.126</v>
      </c>
      <c r="CP116" s="24" t="n">
        <f aca="false">CP$21*(0-Planner!$C$43)</f>
        <v>-0.119</v>
      </c>
      <c r="CQ116" s="24" t="n">
        <f aca="false">CQ$21*(0-Planner!$C$43)</f>
        <v>-0.189</v>
      </c>
      <c r="CR116" s="24" t="n">
        <f aca="false">CR$21*(0-Planner!$C$43)</f>
        <v>-0.147</v>
      </c>
      <c r="CS116" s="24" t="n">
        <f aca="false">CS$21*(0-Planner!$C$43)</f>
        <v>-0.245</v>
      </c>
      <c r="CT116" s="24" t="n">
        <f aca="false">CT$21*(0-Planner!$C$43)</f>
        <v>-0.763</v>
      </c>
      <c r="CU116" s="24" t="n">
        <f aca="false">CU$21*(0-Planner!$C$43)</f>
        <v>-1.0745</v>
      </c>
      <c r="CV116" s="24" t="n">
        <f aca="false">CV$21*(0-Planner!$C$43)</f>
        <v>-0.42</v>
      </c>
      <c r="CW116" s="24" t="n">
        <f aca="false">CW$21*(0-Planner!$C$43)</f>
        <v>-0.2345</v>
      </c>
      <c r="CX116" s="24" t="n">
        <f aca="false">CX$21*(0-Planner!$C$43)</f>
        <v>-0.1505</v>
      </c>
      <c r="CY116" s="24" t="n">
        <f aca="false">CY$21*(0-Planner!$C$43)</f>
        <v>-0.2135</v>
      </c>
      <c r="CZ116" s="24" t="n">
        <f aca="false">CZ$21*(0-Planner!$C$43)</f>
        <v>-0.28</v>
      </c>
      <c r="DA116" s="24" t="n">
        <f aca="false">DA$21*(0-Planner!$C$43)</f>
        <v>-0.77</v>
      </c>
      <c r="DB116" s="24" t="n">
        <f aca="false">DB$21*(0-Planner!$C$43)</f>
        <v>-0.224</v>
      </c>
      <c r="DC116" s="24" t="n">
        <f aca="false">DC$21*(0-Planner!$C$43)</f>
        <v>-0.2555</v>
      </c>
      <c r="DD116" s="24" t="n">
        <f aca="false">DD$21*(0-Planner!$C$43)</f>
        <v>-1.071</v>
      </c>
      <c r="DE116" s="24" t="n">
        <f aca="false">DE$21*(0-Planner!$C$43)</f>
        <v>-1.323</v>
      </c>
      <c r="DF116" s="24" t="n">
        <f aca="false">DF$21*(0-Planner!$C$43)</f>
        <v>-0.35</v>
      </c>
      <c r="DG116" s="24" t="n">
        <f aca="false">DG$21*(0-Planner!$C$43)</f>
        <v>-0.448</v>
      </c>
      <c r="DH116" s="24" t="n">
        <f aca="false">DH$21*(0-Planner!$C$43)</f>
        <v>-0.5005</v>
      </c>
      <c r="DI116" s="24" t="n">
        <f aca="false">DI$21*(0-Planner!$C$43)</f>
        <v>-0.3255</v>
      </c>
      <c r="DJ116" s="24" t="n">
        <f aca="false">DJ$21*(0-Planner!$C$43)</f>
        <v>-0.203</v>
      </c>
      <c r="DK116" s="24" t="n">
        <f aca="false">DK$21*(0-Planner!$C$43)</f>
        <v>-0.273</v>
      </c>
      <c r="DL116" s="24" t="n">
        <f aca="false">DL$21*(0-Planner!$C$43)</f>
        <v>-0.7035</v>
      </c>
      <c r="DM116" s="24" t="n">
        <f aca="false">DM$21*(0-Planner!$C$43)</f>
        <v>-0.2415</v>
      </c>
      <c r="DN116" s="24" t="n">
        <f aca="false">DN$21*(0-Planner!$C$43)</f>
        <v>-1.057</v>
      </c>
      <c r="DO116" s="24" t="n">
        <f aca="false">DO$21*(0-Planner!$C$43)</f>
        <v>-0.9415</v>
      </c>
      <c r="DP116" s="24" t="n">
        <f aca="false">DP$21*(0-Planner!$C$43)</f>
        <v>-0.2275</v>
      </c>
      <c r="DQ116" s="24" t="n">
        <f aca="false">DQ$21*(0-Planner!$C$43)</f>
        <v>-0.252</v>
      </c>
      <c r="DR116" s="24" t="n">
        <f aca="false">DR$21*(0-Planner!$C$43)</f>
        <v>-0.6265</v>
      </c>
      <c r="DS116" s="24" t="n">
        <f aca="false">DS$21*(0-Planner!$C$43)</f>
        <v>-0.301</v>
      </c>
      <c r="DT116" s="24" t="n">
        <f aca="false">DT$21*(0-Planner!$C$43)</f>
        <v>-0.315</v>
      </c>
      <c r="DU116" s="24" t="n">
        <f aca="false">DU$21*(0-Planner!$C$43)</f>
        <v>-0.931</v>
      </c>
      <c r="DV116" s="24" t="n">
        <f aca="false">DV$21*(0-Planner!$C$43)</f>
        <v>-1.1655</v>
      </c>
      <c r="DW116" s="24" t="n">
        <f aca="false">DW$21*(0-Planner!$C$43)</f>
        <v>-1.0815</v>
      </c>
      <c r="DX116" s="24" t="n">
        <f aca="false">DX$21*(0-Planner!$C$43)</f>
        <v>-0.8715</v>
      </c>
      <c r="DY116" s="24" t="n">
        <f aca="false">DY$21*(0-Planner!$C$43)</f>
        <v>-0.5915</v>
      </c>
      <c r="DZ116" s="24" t="n">
        <f aca="false">DZ$21*(0-Planner!$C$43)</f>
        <v>-0.385</v>
      </c>
      <c r="EA116" s="24" t="n">
        <f aca="false">EA$21*(0-Planner!$C$43)</f>
        <v>-0.385</v>
      </c>
      <c r="EB116" s="24" t="n">
        <f aca="false">EB$21*(0-Planner!$C$43)</f>
        <v>-0.238</v>
      </c>
      <c r="EC116" s="24" t="n">
        <f aca="false">EC$21*(0-Planner!$C$43)</f>
        <v>-0.3465</v>
      </c>
      <c r="ED116" s="24" t="n">
        <f aca="false">ED$21*(0-Planner!$C$43)</f>
        <v>-0.4305</v>
      </c>
      <c r="EE116" s="24" t="n">
        <f aca="false">EE$21*(0-Planner!$C$43)</f>
        <v>-0.3185</v>
      </c>
      <c r="EF116" s="24" t="n">
        <f aca="false">EF$21*(0-Planner!$C$43)</f>
        <v>-0.7385</v>
      </c>
      <c r="EG116" s="24" t="n">
        <f aca="false">EG$21*(0-Planner!$C$43)</f>
        <v>-1.001</v>
      </c>
      <c r="EH116" s="24" t="n">
        <f aca="false">EH$21*(0-Planner!$C$43)</f>
        <v>-1.2705</v>
      </c>
      <c r="EI116" s="24" t="n">
        <f aca="false">EI$21*(0-Planner!$C$43)</f>
        <v>-0.2765</v>
      </c>
      <c r="EJ116" s="24" t="n">
        <f aca="false">EJ$21*(0-Planner!$C$43)</f>
        <v>-0.308</v>
      </c>
      <c r="EK116" s="24" t="n">
        <f aca="false">EK$21*(0-Planner!$C$43)</f>
        <v>-0.8645</v>
      </c>
      <c r="EL116" s="24" t="n">
        <f aca="false">EL$21*(0-Planner!$C$43)</f>
        <v>-0.4235</v>
      </c>
      <c r="EM116" s="24" t="n">
        <f aca="false">EM$21*(0-Planner!$C$43)</f>
        <v>-0.2975</v>
      </c>
      <c r="EN116" s="24" t="n">
        <f aca="false">EN$21*(0-Planner!$C$43)</f>
        <v>-0</v>
      </c>
      <c r="EO116" s="24" t="n">
        <f aca="false">EO$21*(0-Planner!$C$43)</f>
        <v>-0</v>
      </c>
      <c r="EP116" s="24" t="n">
        <f aca="false">EP$21*(0-Planner!$C$43)</f>
        <v>-7.4025</v>
      </c>
      <c r="EQ116" s="24" t="n">
        <f aca="false">EQ$21*(0-Planner!$C$43)</f>
        <v>-0.686</v>
      </c>
      <c r="ER116" s="24" t="n">
        <f aca="false">ER$21*(0-Planner!$C$43)</f>
        <v>-1.785</v>
      </c>
      <c r="ES116" s="24" t="n">
        <f aca="false">ES$21*(0-Planner!$C$43)</f>
        <v>-1.9775</v>
      </c>
      <c r="ET116" s="24" t="n">
        <f aca="false">ET$21*(0-Planner!$C$43)</f>
        <v>-2.2365</v>
      </c>
      <c r="EU116" s="24" t="n">
        <f aca="false">EU$21*(0-Planner!$C$43)</f>
        <v>-1.225</v>
      </c>
    </row>
    <row r="117" customFormat="false" ht="15" hidden="false" customHeight="false" outlineLevel="0" collapsed="false">
      <c r="A117" s="4" t="s">
        <v>1057</v>
      </c>
      <c r="B117" s="75" t="s">
        <v>1017</v>
      </c>
      <c r="C117" s="78" t="n">
        <v>0</v>
      </c>
      <c r="D117" s="77" t="n">
        <v>-39.199999997333</v>
      </c>
      <c r="E117" s="75" t="str">
        <f aca="false">IF(D117&lt;=C117+0.000001*MAX(1,ABS(C117)),IF(ABS(D117-C117)&lt;=0.000001*MAX(1,ABS(C117)),"tight","ok"),"VIOLATED")</f>
        <v>ok</v>
      </c>
      <c r="F117" s="24" t="n">
        <f aca="false">F$21*(0-Planner!$C$43)</f>
        <v>-7.875</v>
      </c>
      <c r="G117" s="24" t="n">
        <f aca="false">G$21*(0-Planner!$C$43)</f>
        <v>-6.328</v>
      </c>
      <c r="H117" s="24" t="n">
        <f aca="false">H$21*(0-Planner!$C$43)</f>
        <v>-6.881</v>
      </c>
      <c r="I117" s="24" t="n">
        <f aca="false">I$21*(0-Planner!$C$43)</f>
        <v>-5.7155</v>
      </c>
      <c r="J117" s="24" t="n">
        <f aca="false">J$21*(0-Planner!$C$43)</f>
        <v>-6.5555</v>
      </c>
      <c r="K117" s="24" t="n">
        <f aca="false">K$21*(0-Planner!$C$43)</f>
        <v>-6.51</v>
      </c>
      <c r="L117" s="24" t="n">
        <f aca="false">L$21*(0-Planner!$C$43)</f>
        <v>-4.417</v>
      </c>
      <c r="M117" s="24" t="n">
        <f aca="false">M$21*(0-Planner!$C$43)</f>
        <v>-7.6125</v>
      </c>
      <c r="N117" s="24" t="n">
        <f aca="false">N$21*(0-Planner!$C$43)</f>
        <v>-6.0095</v>
      </c>
      <c r="O117" s="24" t="n">
        <f aca="false">O$21*(0-Planner!$C$43)</f>
        <v>-7.2975</v>
      </c>
      <c r="P117" s="24" t="n">
        <f aca="false">P$21*(0-Planner!$C$43)</f>
        <v>-5.81</v>
      </c>
      <c r="Q117" s="24" t="n">
        <f aca="false">Q$21*(0-Planner!$C$43)</f>
        <v>-7.399</v>
      </c>
      <c r="R117" s="24" t="n">
        <f aca="false">R$21*(0-Planner!$C$43)</f>
        <v>-7.679</v>
      </c>
      <c r="S117" s="24" t="n">
        <f aca="false">S$21*(0-Planner!$C$43)</f>
        <v>-6.972</v>
      </c>
      <c r="T117" s="24" t="n">
        <f aca="false">T$21*(0-Planner!$C$43)</f>
        <v>-6.804</v>
      </c>
      <c r="U117" s="24" t="n">
        <f aca="false">U$21*(0-Planner!$C$43)</f>
        <v>-7.147</v>
      </c>
      <c r="V117" s="24" t="n">
        <f aca="false">V$21*(0-Planner!$C$43)</f>
        <v>-4.7635</v>
      </c>
      <c r="W117" s="24" t="n">
        <f aca="false">W$21*(0-Planner!$C$43)</f>
        <v>-7.028</v>
      </c>
      <c r="X117" s="24" t="n">
        <f aca="false">X$21*(0-Planner!$C$43)</f>
        <v>-4.396</v>
      </c>
      <c r="Y117" s="24" t="n">
        <f aca="false">Y$21*(0-Planner!$C$43)</f>
        <v>-2.1105</v>
      </c>
      <c r="Z117" s="24" t="n">
        <f aca="false">Z$21*(0-Planner!$C$43)</f>
        <v>-7.56</v>
      </c>
      <c r="AA117" s="24" t="n">
        <f aca="false">AA$21*(0-Planner!$C$43)</f>
        <v>-1.659</v>
      </c>
      <c r="AB117" s="24" t="n">
        <f aca="false">AB$21*(0-Planner!$C$43)</f>
        <v>-8.232</v>
      </c>
      <c r="AC117" s="24" t="n">
        <f aca="false">AC$21*(0-Planner!$C$43)</f>
        <v>-1.722</v>
      </c>
      <c r="AD117" s="24" t="n">
        <f aca="false">AD$21*(0-Planner!$C$43)</f>
        <v>-2.5795</v>
      </c>
      <c r="AE117" s="24" t="n">
        <f aca="false">AE$21*(0-Planner!$C$43)</f>
        <v>-7.651</v>
      </c>
      <c r="AF117" s="24" t="n">
        <f aca="false">AF$21*(0-Planner!$C$43)</f>
        <v>-1.827</v>
      </c>
      <c r="AG117" s="24" t="n">
        <f aca="false">AG$21*(0-Planner!$C$43)</f>
        <v>-8.253</v>
      </c>
      <c r="AH117" s="24" t="n">
        <f aca="false">AH$21*(0-Planner!$C$43)</f>
        <v>-8.6205</v>
      </c>
      <c r="AI117" s="24" t="n">
        <f aca="false">AI$21*(0-Planner!$C$43)</f>
        <v>-7.511</v>
      </c>
      <c r="AJ117" s="24" t="n">
        <f aca="false">AJ$21*(0-Planner!$C$43)</f>
        <v>-2.6355</v>
      </c>
      <c r="AK117" s="24" t="n">
        <f aca="false">AK$21*(0-Planner!$C$43)</f>
        <v>-7.8155</v>
      </c>
      <c r="AL117" s="24" t="n">
        <f aca="false">AL$21*(0-Planner!$C$43)</f>
        <v>-7.7735</v>
      </c>
      <c r="AM117" s="24" t="n">
        <f aca="false">AM$21*(0-Planner!$C$43)</f>
        <v>-1.61</v>
      </c>
      <c r="AN117" s="24" t="n">
        <f aca="false">AN$21*(0-Planner!$C$43)</f>
        <v>-7.497</v>
      </c>
      <c r="AO117" s="24" t="n">
        <f aca="false">AO$21*(0-Planner!$C$43)</f>
        <v>-3.535</v>
      </c>
      <c r="AP117" s="24" t="n">
        <f aca="false">AP$21*(0-Planner!$C$43)</f>
        <v>-1.155</v>
      </c>
      <c r="AQ117" s="24" t="n">
        <f aca="false">AQ$21*(0-Planner!$C$43)</f>
        <v>-3.5665</v>
      </c>
      <c r="AR117" s="24" t="n">
        <f aca="false">AR$21*(0-Planner!$C$43)</f>
        <v>-0.91</v>
      </c>
      <c r="AS117" s="24" t="n">
        <f aca="false">AS$21*(0-Planner!$C$43)</f>
        <v>-1.1025</v>
      </c>
      <c r="AT117" s="24" t="n">
        <f aca="false">AT$21*(0-Planner!$C$43)</f>
        <v>-6.3455</v>
      </c>
      <c r="AU117" s="24" t="n">
        <f aca="false">AU$21*(0-Planner!$C$43)</f>
        <v>-8.0045</v>
      </c>
      <c r="AV117" s="24" t="n">
        <f aca="false">AV$21*(0-Planner!$C$43)</f>
        <v>-3.6575</v>
      </c>
      <c r="AW117" s="24" t="n">
        <f aca="false">AW$21*(0-Planner!$C$43)</f>
        <v>-8.3125</v>
      </c>
      <c r="AX117" s="24" t="n">
        <f aca="false">AX$21*(0-Planner!$C$43)</f>
        <v>-3.696</v>
      </c>
      <c r="AY117" s="24" t="n">
        <f aca="false">AY$21*(0-Planner!$C$43)</f>
        <v>-2.639</v>
      </c>
      <c r="AZ117" s="24" t="n">
        <f aca="false">AZ$21*(0-Planner!$C$43)</f>
        <v>-4.2315</v>
      </c>
      <c r="BA117" s="24" t="n">
        <f aca="false">BA$21*(0-Planner!$C$43)</f>
        <v>-1.995</v>
      </c>
      <c r="BB117" s="24" t="n">
        <f aca="false">BB$21*(0-Planner!$C$43)</f>
        <v>-2.8035</v>
      </c>
      <c r="BC117" s="24" t="n">
        <f aca="false">BC$21*(0-Planner!$C$43)</f>
        <v>-4.942</v>
      </c>
      <c r="BD117" s="24" t="n">
        <f aca="false">BD$21*(0-Planner!$C$43)</f>
        <v>-4.6025</v>
      </c>
      <c r="BE117" s="24" t="n">
        <f aca="false">BE$21*(0-Planner!$C$43)</f>
        <v>-4.564</v>
      </c>
      <c r="BF117" s="24" t="n">
        <f aca="false">BF$21*(0-Planner!$C$43)</f>
        <v>-3.0975</v>
      </c>
      <c r="BG117" s="24" t="n">
        <f aca="false">BG$21*(0-Planner!$C$43)</f>
        <v>-2.4955</v>
      </c>
      <c r="BH117" s="24" t="n">
        <f aca="false">BH$21*(0-Planner!$C$43)</f>
        <v>-4.3575</v>
      </c>
      <c r="BI117" s="24" t="n">
        <f aca="false">BI$21*(1-Planner!$C$43)</f>
        <v>9.0155</v>
      </c>
      <c r="BJ117" s="24" t="n">
        <f aca="false">BJ$21*(0-Planner!$C$43)</f>
        <v>-2.6565</v>
      </c>
      <c r="BK117" s="24" t="n">
        <f aca="false">BK$21*(0-Planner!$C$43)</f>
        <v>-0.6825</v>
      </c>
      <c r="BL117" s="24" t="n">
        <f aca="false">BL$21*(0-Planner!$C$43)</f>
        <v>-1.057</v>
      </c>
      <c r="BM117" s="24" t="n">
        <f aca="false">BM$21*(0-Planner!$C$43)</f>
        <v>-0.784</v>
      </c>
      <c r="BN117" s="24" t="n">
        <f aca="false">BN$21*(0-Planner!$C$43)</f>
        <v>-1.0535</v>
      </c>
      <c r="BO117" s="24" t="n">
        <f aca="false">BO$21*(0-Planner!$C$43)</f>
        <v>-1.827</v>
      </c>
      <c r="BP117" s="24" t="n">
        <f aca="false">BP$21*(0-Planner!$C$43)</f>
        <v>-0.7175</v>
      </c>
      <c r="BQ117" s="24" t="n">
        <f aca="false">BQ$21*(0-Planner!$C$43)</f>
        <v>-0.5495</v>
      </c>
      <c r="BR117" s="24" t="n">
        <f aca="false">BR$21*(0-Planner!$C$43)</f>
        <v>-0.091</v>
      </c>
      <c r="BS117" s="24" t="n">
        <f aca="false">BS$21*(0-Planner!$C$43)</f>
        <v>-0.0595</v>
      </c>
      <c r="BT117" s="24" t="n">
        <f aca="false">BT$21*(0-Planner!$C$43)</f>
        <v>-0.3815</v>
      </c>
      <c r="BU117" s="24" t="n">
        <f aca="false">BU$21*(0-Planner!$C$43)</f>
        <v>-0.4865</v>
      </c>
      <c r="BV117" s="24" t="n">
        <f aca="false">BV$21*(0-Planner!$C$43)</f>
        <v>-0.147</v>
      </c>
      <c r="BW117" s="24" t="n">
        <f aca="false">BW$21*(0-Planner!$C$43)</f>
        <v>-0.294</v>
      </c>
      <c r="BX117" s="24" t="n">
        <f aca="false">BX$21*(0-Planner!$C$43)</f>
        <v>-0.371</v>
      </c>
      <c r="BY117" s="24" t="n">
        <f aca="false">BY$21*(0-Planner!$C$43)</f>
        <v>-0.2975</v>
      </c>
      <c r="BZ117" s="24" t="n">
        <f aca="false">BZ$21*(0-Planner!$C$43)</f>
        <v>-0.8575</v>
      </c>
      <c r="CA117" s="24" t="n">
        <f aca="false">CA$21*(0-Planner!$C$43)</f>
        <v>-1.1865</v>
      </c>
      <c r="CB117" s="24" t="n">
        <f aca="false">CB$21*(0-Planner!$C$43)</f>
        <v>-0.0595</v>
      </c>
      <c r="CC117" s="24" t="n">
        <f aca="false">CC$21*(0-Planner!$C$43)</f>
        <v>-0.161</v>
      </c>
      <c r="CD117" s="24" t="n">
        <f aca="false">CD$21*(0-Planner!$C$43)</f>
        <v>-0.2205</v>
      </c>
      <c r="CE117" s="24" t="n">
        <f aca="false">CE$21*(0-Planner!$C$43)</f>
        <v>-0.252</v>
      </c>
      <c r="CF117" s="24" t="n">
        <f aca="false">CF$21*(0-Planner!$C$43)</f>
        <v>-0.189</v>
      </c>
      <c r="CG117" s="24" t="n">
        <f aca="false">CG$21*(0-Planner!$C$43)</f>
        <v>-0.399</v>
      </c>
      <c r="CH117" s="24" t="n">
        <f aca="false">CH$21*(0-Planner!$C$43)</f>
        <v>-0.287</v>
      </c>
      <c r="CI117" s="24" t="n">
        <f aca="false">CI$21*(0-Planner!$C$43)</f>
        <v>-0.371</v>
      </c>
      <c r="CJ117" s="24" t="n">
        <f aca="false">CJ$21*(0-Planner!$C$43)</f>
        <v>-0.238</v>
      </c>
      <c r="CK117" s="24" t="n">
        <f aca="false">CK$21*(0-Planner!$C$43)</f>
        <v>-0.3185</v>
      </c>
      <c r="CL117" s="24" t="n">
        <f aca="false">CL$21*(0-Planner!$C$43)</f>
        <v>-0.1645</v>
      </c>
      <c r="CM117" s="24" t="n">
        <f aca="false">CM$21*(0-Planner!$C$43)</f>
        <v>-0.3185</v>
      </c>
      <c r="CN117" s="24" t="n">
        <f aca="false">CN$21*(0-Planner!$C$43)</f>
        <v>-0.2205</v>
      </c>
      <c r="CO117" s="24" t="n">
        <f aca="false">CO$21*(0-Planner!$C$43)</f>
        <v>-0.126</v>
      </c>
      <c r="CP117" s="24" t="n">
        <f aca="false">CP$21*(0-Planner!$C$43)</f>
        <v>-0.119</v>
      </c>
      <c r="CQ117" s="24" t="n">
        <f aca="false">CQ$21*(0-Planner!$C$43)</f>
        <v>-0.189</v>
      </c>
      <c r="CR117" s="24" t="n">
        <f aca="false">CR$21*(0-Planner!$C$43)</f>
        <v>-0.147</v>
      </c>
      <c r="CS117" s="24" t="n">
        <f aca="false">CS$21*(0-Planner!$C$43)</f>
        <v>-0.245</v>
      </c>
      <c r="CT117" s="24" t="n">
        <f aca="false">CT$21*(0-Planner!$C$43)</f>
        <v>-0.763</v>
      </c>
      <c r="CU117" s="24" t="n">
        <f aca="false">CU$21*(0-Planner!$C$43)</f>
        <v>-1.0745</v>
      </c>
      <c r="CV117" s="24" t="n">
        <f aca="false">CV$21*(0-Planner!$C$43)</f>
        <v>-0.42</v>
      </c>
      <c r="CW117" s="24" t="n">
        <f aca="false">CW$21*(0-Planner!$C$43)</f>
        <v>-0.2345</v>
      </c>
      <c r="CX117" s="24" t="n">
        <f aca="false">CX$21*(0-Planner!$C$43)</f>
        <v>-0.1505</v>
      </c>
      <c r="CY117" s="24" t="n">
        <f aca="false">CY$21*(0-Planner!$C$43)</f>
        <v>-0.2135</v>
      </c>
      <c r="CZ117" s="24" t="n">
        <f aca="false">CZ$21*(0-Planner!$C$43)</f>
        <v>-0.28</v>
      </c>
      <c r="DA117" s="24" t="n">
        <f aca="false">DA$21*(0-Planner!$C$43)</f>
        <v>-0.77</v>
      </c>
      <c r="DB117" s="24" t="n">
        <f aca="false">DB$21*(0-Planner!$C$43)</f>
        <v>-0.224</v>
      </c>
      <c r="DC117" s="24" t="n">
        <f aca="false">DC$21*(0-Planner!$C$43)</f>
        <v>-0.2555</v>
      </c>
      <c r="DD117" s="24" t="n">
        <f aca="false">DD$21*(0-Planner!$C$43)</f>
        <v>-1.071</v>
      </c>
      <c r="DE117" s="24" t="n">
        <f aca="false">DE$21*(0-Planner!$C$43)</f>
        <v>-1.323</v>
      </c>
      <c r="DF117" s="24" t="n">
        <f aca="false">DF$21*(0-Planner!$C$43)</f>
        <v>-0.35</v>
      </c>
      <c r="DG117" s="24" t="n">
        <f aca="false">DG$21*(0-Planner!$C$43)</f>
        <v>-0.448</v>
      </c>
      <c r="DH117" s="24" t="n">
        <f aca="false">DH$21*(0-Planner!$C$43)</f>
        <v>-0.5005</v>
      </c>
      <c r="DI117" s="24" t="n">
        <f aca="false">DI$21*(0-Planner!$C$43)</f>
        <v>-0.3255</v>
      </c>
      <c r="DJ117" s="24" t="n">
        <f aca="false">DJ$21*(0-Planner!$C$43)</f>
        <v>-0.203</v>
      </c>
      <c r="DK117" s="24" t="n">
        <f aca="false">DK$21*(0-Planner!$C$43)</f>
        <v>-0.273</v>
      </c>
      <c r="DL117" s="24" t="n">
        <f aca="false">DL$21*(0-Planner!$C$43)</f>
        <v>-0.7035</v>
      </c>
      <c r="DM117" s="24" t="n">
        <f aca="false">DM$21*(0-Planner!$C$43)</f>
        <v>-0.2415</v>
      </c>
      <c r="DN117" s="24" t="n">
        <f aca="false">DN$21*(0-Planner!$C$43)</f>
        <v>-1.057</v>
      </c>
      <c r="DO117" s="24" t="n">
        <f aca="false">DO$21*(0-Planner!$C$43)</f>
        <v>-0.9415</v>
      </c>
      <c r="DP117" s="24" t="n">
        <f aca="false">DP$21*(0-Planner!$C$43)</f>
        <v>-0.2275</v>
      </c>
      <c r="DQ117" s="24" t="n">
        <f aca="false">DQ$21*(0-Planner!$C$43)</f>
        <v>-0.252</v>
      </c>
      <c r="DR117" s="24" t="n">
        <f aca="false">DR$21*(0-Planner!$C$43)</f>
        <v>-0.6265</v>
      </c>
      <c r="DS117" s="24" t="n">
        <f aca="false">DS$21*(0-Planner!$C$43)</f>
        <v>-0.301</v>
      </c>
      <c r="DT117" s="24" t="n">
        <f aca="false">DT$21*(0-Planner!$C$43)</f>
        <v>-0.315</v>
      </c>
      <c r="DU117" s="24" t="n">
        <f aca="false">DU$21*(0-Planner!$C$43)</f>
        <v>-0.931</v>
      </c>
      <c r="DV117" s="24" t="n">
        <f aca="false">DV$21*(0-Planner!$C$43)</f>
        <v>-1.1655</v>
      </c>
      <c r="DW117" s="24" t="n">
        <f aca="false">DW$21*(0-Planner!$C$43)</f>
        <v>-1.0815</v>
      </c>
      <c r="DX117" s="24" t="n">
        <f aca="false">DX$21*(0-Planner!$C$43)</f>
        <v>-0.8715</v>
      </c>
      <c r="DY117" s="24" t="n">
        <f aca="false">DY$21*(0-Planner!$C$43)</f>
        <v>-0.5915</v>
      </c>
      <c r="DZ117" s="24" t="n">
        <f aca="false">DZ$21*(0-Planner!$C$43)</f>
        <v>-0.385</v>
      </c>
      <c r="EA117" s="24" t="n">
        <f aca="false">EA$21*(0-Planner!$C$43)</f>
        <v>-0.385</v>
      </c>
      <c r="EB117" s="24" t="n">
        <f aca="false">EB$21*(0-Planner!$C$43)</f>
        <v>-0.238</v>
      </c>
      <c r="EC117" s="24" t="n">
        <f aca="false">EC$21*(0-Planner!$C$43)</f>
        <v>-0.3465</v>
      </c>
      <c r="ED117" s="24" t="n">
        <f aca="false">ED$21*(0-Planner!$C$43)</f>
        <v>-0.4305</v>
      </c>
      <c r="EE117" s="24" t="n">
        <f aca="false">EE$21*(0-Planner!$C$43)</f>
        <v>-0.3185</v>
      </c>
      <c r="EF117" s="24" t="n">
        <f aca="false">EF$21*(0-Planner!$C$43)</f>
        <v>-0.7385</v>
      </c>
      <c r="EG117" s="24" t="n">
        <f aca="false">EG$21*(0-Planner!$C$43)</f>
        <v>-1.001</v>
      </c>
      <c r="EH117" s="24" t="n">
        <f aca="false">EH$21*(0-Planner!$C$43)</f>
        <v>-1.2705</v>
      </c>
      <c r="EI117" s="24" t="n">
        <f aca="false">EI$21*(0-Planner!$C$43)</f>
        <v>-0.2765</v>
      </c>
      <c r="EJ117" s="24" t="n">
        <f aca="false">EJ$21*(0-Planner!$C$43)</f>
        <v>-0.308</v>
      </c>
      <c r="EK117" s="24" t="n">
        <f aca="false">EK$21*(0-Planner!$C$43)</f>
        <v>-0.8645</v>
      </c>
      <c r="EL117" s="24" t="n">
        <f aca="false">EL$21*(0-Planner!$C$43)</f>
        <v>-0.4235</v>
      </c>
      <c r="EM117" s="24" t="n">
        <f aca="false">EM$21*(0-Planner!$C$43)</f>
        <v>-0.2975</v>
      </c>
      <c r="EN117" s="24" t="n">
        <f aca="false">EN$21*(0-Planner!$C$43)</f>
        <v>-0</v>
      </c>
      <c r="EO117" s="24" t="n">
        <f aca="false">EO$21*(0-Planner!$C$43)</f>
        <v>-0</v>
      </c>
      <c r="EP117" s="24" t="n">
        <f aca="false">EP$21*(0-Planner!$C$43)</f>
        <v>-7.4025</v>
      </c>
      <c r="EQ117" s="24" t="n">
        <f aca="false">EQ$21*(0-Planner!$C$43)</f>
        <v>-0.686</v>
      </c>
      <c r="ER117" s="24" t="n">
        <f aca="false">ER$21*(0-Planner!$C$43)</f>
        <v>-1.785</v>
      </c>
      <c r="ES117" s="24" t="n">
        <f aca="false">ES$21*(0-Planner!$C$43)</f>
        <v>-1.9775</v>
      </c>
      <c r="ET117" s="24" t="n">
        <f aca="false">ET$21*(0-Planner!$C$43)</f>
        <v>-2.2365</v>
      </c>
      <c r="EU117" s="24" t="n">
        <f aca="false">EU$21*(0-Planner!$C$43)</f>
        <v>-1.225</v>
      </c>
    </row>
    <row r="118" customFormat="false" ht="15" hidden="false" customHeight="false" outlineLevel="0" collapsed="false">
      <c r="A118" s="4" t="s">
        <v>1058</v>
      </c>
      <c r="B118" s="75" t="s">
        <v>1017</v>
      </c>
      <c r="C118" s="78" t="n">
        <v>0</v>
      </c>
      <c r="D118" s="77" t="n">
        <v>-39.199999997333</v>
      </c>
      <c r="E118" s="75" t="str">
        <f aca="false">IF(D118&lt;=C118+0.000001*MAX(1,ABS(C118)),IF(ABS(D118-C118)&lt;=0.000001*MAX(1,ABS(C118)),"tight","ok"),"VIOLATED")</f>
        <v>ok</v>
      </c>
      <c r="F118" s="24" t="n">
        <f aca="false">F$21*(0-Planner!$C$43)</f>
        <v>-7.875</v>
      </c>
      <c r="G118" s="24" t="n">
        <f aca="false">G$21*(0-Planner!$C$43)</f>
        <v>-6.328</v>
      </c>
      <c r="H118" s="24" t="n">
        <f aca="false">H$21*(0-Planner!$C$43)</f>
        <v>-6.881</v>
      </c>
      <c r="I118" s="24" t="n">
        <f aca="false">I$21*(0-Planner!$C$43)</f>
        <v>-5.7155</v>
      </c>
      <c r="J118" s="24" t="n">
        <f aca="false">J$21*(0-Planner!$C$43)</f>
        <v>-6.5555</v>
      </c>
      <c r="K118" s="24" t="n">
        <f aca="false">K$21*(0-Planner!$C$43)</f>
        <v>-6.51</v>
      </c>
      <c r="L118" s="24" t="n">
        <f aca="false">L$21*(0-Planner!$C$43)</f>
        <v>-4.417</v>
      </c>
      <c r="M118" s="24" t="n">
        <f aca="false">M$21*(0-Planner!$C$43)</f>
        <v>-7.6125</v>
      </c>
      <c r="N118" s="24" t="n">
        <f aca="false">N$21*(0-Planner!$C$43)</f>
        <v>-6.0095</v>
      </c>
      <c r="O118" s="24" t="n">
        <f aca="false">O$21*(0-Planner!$C$43)</f>
        <v>-7.2975</v>
      </c>
      <c r="P118" s="24" t="n">
        <f aca="false">P$21*(0-Planner!$C$43)</f>
        <v>-5.81</v>
      </c>
      <c r="Q118" s="24" t="n">
        <f aca="false">Q$21*(0-Planner!$C$43)</f>
        <v>-7.399</v>
      </c>
      <c r="R118" s="24" t="n">
        <f aca="false">R$21*(0-Planner!$C$43)</f>
        <v>-7.679</v>
      </c>
      <c r="S118" s="24" t="n">
        <f aca="false">S$21*(0-Planner!$C$43)</f>
        <v>-6.972</v>
      </c>
      <c r="T118" s="24" t="n">
        <f aca="false">T$21*(0-Planner!$C$43)</f>
        <v>-6.804</v>
      </c>
      <c r="U118" s="24" t="n">
        <f aca="false">U$21*(0-Planner!$C$43)</f>
        <v>-7.147</v>
      </c>
      <c r="V118" s="24" t="n">
        <f aca="false">V$21*(0-Planner!$C$43)</f>
        <v>-4.7635</v>
      </c>
      <c r="W118" s="24" t="n">
        <f aca="false">W$21*(0-Planner!$C$43)</f>
        <v>-7.028</v>
      </c>
      <c r="X118" s="24" t="n">
        <f aca="false">X$21*(0-Planner!$C$43)</f>
        <v>-4.396</v>
      </c>
      <c r="Y118" s="24" t="n">
        <f aca="false">Y$21*(0-Planner!$C$43)</f>
        <v>-2.1105</v>
      </c>
      <c r="Z118" s="24" t="n">
        <f aca="false">Z$21*(0-Planner!$C$43)</f>
        <v>-7.56</v>
      </c>
      <c r="AA118" s="24" t="n">
        <f aca="false">AA$21*(0-Planner!$C$43)</f>
        <v>-1.659</v>
      </c>
      <c r="AB118" s="24" t="n">
        <f aca="false">AB$21*(0-Planner!$C$43)</f>
        <v>-8.232</v>
      </c>
      <c r="AC118" s="24" t="n">
        <f aca="false">AC$21*(0-Planner!$C$43)</f>
        <v>-1.722</v>
      </c>
      <c r="AD118" s="24" t="n">
        <f aca="false">AD$21*(0-Planner!$C$43)</f>
        <v>-2.5795</v>
      </c>
      <c r="AE118" s="24" t="n">
        <f aca="false">AE$21*(0-Planner!$C$43)</f>
        <v>-7.651</v>
      </c>
      <c r="AF118" s="24" t="n">
        <f aca="false">AF$21*(0-Planner!$C$43)</f>
        <v>-1.827</v>
      </c>
      <c r="AG118" s="24" t="n">
        <f aca="false">AG$21*(0-Planner!$C$43)</f>
        <v>-8.253</v>
      </c>
      <c r="AH118" s="24" t="n">
        <f aca="false">AH$21*(0-Planner!$C$43)</f>
        <v>-8.6205</v>
      </c>
      <c r="AI118" s="24" t="n">
        <f aca="false">AI$21*(0-Planner!$C$43)</f>
        <v>-7.511</v>
      </c>
      <c r="AJ118" s="24" t="n">
        <f aca="false">AJ$21*(0-Planner!$C$43)</f>
        <v>-2.6355</v>
      </c>
      <c r="AK118" s="24" t="n">
        <f aca="false">AK$21*(0-Planner!$C$43)</f>
        <v>-7.8155</v>
      </c>
      <c r="AL118" s="24" t="n">
        <f aca="false">AL$21*(0-Planner!$C$43)</f>
        <v>-7.7735</v>
      </c>
      <c r="AM118" s="24" t="n">
        <f aca="false">AM$21*(0-Planner!$C$43)</f>
        <v>-1.61</v>
      </c>
      <c r="AN118" s="24" t="n">
        <f aca="false">AN$21*(0-Planner!$C$43)</f>
        <v>-7.497</v>
      </c>
      <c r="AO118" s="24" t="n">
        <f aca="false">AO$21*(0-Planner!$C$43)</f>
        <v>-3.535</v>
      </c>
      <c r="AP118" s="24" t="n">
        <f aca="false">AP$21*(0-Planner!$C$43)</f>
        <v>-1.155</v>
      </c>
      <c r="AQ118" s="24" t="n">
        <f aca="false">AQ$21*(0-Planner!$C$43)</f>
        <v>-3.5665</v>
      </c>
      <c r="AR118" s="24" t="n">
        <f aca="false">AR$21*(0-Planner!$C$43)</f>
        <v>-0.91</v>
      </c>
      <c r="AS118" s="24" t="n">
        <f aca="false">AS$21*(0-Planner!$C$43)</f>
        <v>-1.1025</v>
      </c>
      <c r="AT118" s="24" t="n">
        <f aca="false">AT$21*(0-Planner!$C$43)</f>
        <v>-6.3455</v>
      </c>
      <c r="AU118" s="24" t="n">
        <f aca="false">AU$21*(0-Planner!$C$43)</f>
        <v>-8.0045</v>
      </c>
      <c r="AV118" s="24" t="n">
        <f aca="false">AV$21*(0-Planner!$C$43)</f>
        <v>-3.6575</v>
      </c>
      <c r="AW118" s="24" t="n">
        <f aca="false">AW$21*(0-Planner!$C$43)</f>
        <v>-8.3125</v>
      </c>
      <c r="AX118" s="24" t="n">
        <f aca="false">AX$21*(0-Planner!$C$43)</f>
        <v>-3.696</v>
      </c>
      <c r="AY118" s="24" t="n">
        <f aca="false">AY$21*(0-Planner!$C$43)</f>
        <v>-2.639</v>
      </c>
      <c r="AZ118" s="24" t="n">
        <f aca="false">AZ$21*(0-Planner!$C$43)</f>
        <v>-4.2315</v>
      </c>
      <c r="BA118" s="24" t="n">
        <f aca="false">BA$21*(0-Planner!$C$43)</f>
        <v>-1.995</v>
      </c>
      <c r="BB118" s="24" t="n">
        <f aca="false">BB$21*(0-Planner!$C$43)</f>
        <v>-2.8035</v>
      </c>
      <c r="BC118" s="24" t="n">
        <f aca="false">BC$21*(0-Planner!$C$43)</f>
        <v>-4.942</v>
      </c>
      <c r="BD118" s="24" t="n">
        <f aca="false">BD$21*(0-Planner!$C$43)</f>
        <v>-4.6025</v>
      </c>
      <c r="BE118" s="24" t="n">
        <f aca="false">BE$21*(0-Planner!$C$43)</f>
        <v>-4.564</v>
      </c>
      <c r="BF118" s="24" t="n">
        <f aca="false">BF$21*(0-Planner!$C$43)</f>
        <v>-3.0975</v>
      </c>
      <c r="BG118" s="24" t="n">
        <f aca="false">BG$21*(0-Planner!$C$43)</f>
        <v>-2.4955</v>
      </c>
      <c r="BH118" s="24" t="n">
        <f aca="false">BH$21*(0-Planner!$C$43)</f>
        <v>-4.3575</v>
      </c>
      <c r="BI118" s="24" t="n">
        <f aca="false">BI$21*(0-Planner!$C$43)</f>
        <v>-4.8545</v>
      </c>
      <c r="BJ118" s="24" t="n">
        <f aca="false">BJ$21*(0-Planner!$C$43)</f>
        <v>-2.6565</v>
      </c>
      <c r="BK118" s="24" t="n">
        <f aca="false">BK$21*(0-Planner!$C$43)</f>
        <v>-0.6825</v>
      </c>
      <c r="BL118" s="24" t="n">
        <f aca="false">BL$21*(0-Planner!$C$43)</f>
        <v>-1.057</v>
      </c>
      <c r="BM118" s="24" t="n">
        <f aca="false">BM$21*(0-Planner!$C$43)</f>
        <v>-0.784</v>
      </c>
      <c r="BN118" s="24" t="n">
        <f aca="false">BN$21*(0-Planner!$C$43)</f>
        <v>-1.0535</v>
      </c>
      <c r="BO118" s="24" t="n">
        <f aca="false">BO$21*(0-Planner!$C$43)</f>
        <v>-1.827</v>
      </c>
      <c r="BP118" s="24" t="n">
        <f aca="false">BP$21*(0-Planner!$C$43)</f>
        <v>-0.7175</v>
      </c>
      <c r="BQ118" s="24" t="n">
        <f aca="false">BQ$21*(0-Planner!$C$43)</f>
        <v>-0.5495</v>
      </c>
      <c r="BR118" s="24" t="n">
        <f aca="false">BR$21*(0-Planner!$C$43)</f>
        <v>-0.091</v>
      </c>
      <c r="BS118" s="24" t="n">
        <f aca="false">BS$21*(0-Planner!$C$43)</f>
        <v>-0.0595</v>
      </c>
      <c r="BT118" s="24" t="n">
        <f aca="false">BT$21*(0-Planner!$C$43)</f>
        <v>-0.3815</v>
      </c>
      <c r="BU118" s="24" t="n">
        <f aca="false">BU$21*(0-Planner!$C$43)</f>
        <v>-0.4865</v>
      </c>
      <c r="BV118" s="24" t="n">
        <f aca="false">BV$21*(0-Planner!$C$43)</f>
        <v>-0.147</v>
      </c>
      <c r="BW118" s="24" t="n">
        <f aca="false">BW$21*(0-Planner!$C$43)</f>
        <v>-0.294</v>
      </c>
      <c r="BX118" s="24" t="n">
        <f aca="false">BX$21*(0-Planner!$C$43)</f>
        <v>-0.371</v>
      </c>
      <c r="BY118" s="24" t="n">
        <f aca="false">BY$21*(0-Planner!$C$43)</f>
        <v>-0.2975</v>
      </c>
      <c r="BZ118" s="24" t="n">
        <f aca="false">BZ$21*(0-Planner!$C$43)</f>
        <v>-0.8575</v>
      </c>
      <c r="CA118" s="24" t="n">
        <f aca="false">CA$21*(0-Planner!$C$43)</f>
        <v>-1.1865</v>
      </c>
      <c r="CB118" s="24" t="n">
        <f aca="false">CB$21*(0-Planner!$C$43)</f>
        <v>-0.0595</v>
      </c>
      <c r="CC118" s="24" t="n">
        <f aca="false">CC$21*(0-Planner!$C$43)</f>
        <v>-0.161</v>
      </c>
      <c r="CD118" s="24" t="n">
        <f aca="false">CD$21*(0-Planner!$C$43)</f>
        <v>-0.2205</v>
      </c>
      <c r="CE118" s="24" t="n">
        <f aca="false">CE$21*(0-Planner!$C$43)</f>
        <v>-0.252</v>
      </c>
      <c r="CF118" s="24" t="n">
        <f aca="false">CF$21*(0-Planner!$C$43)</f>
        <v>-0.189</v>
      </c>
      <c r="CG118" s="24" t="n">
        <f aca="false">CG$21*(0-Planner!$C$43)</f>
        <v>-0.399</v>
      </c>
      <c r="CH118" s="24" t="n">
        <f aca="false">CH$21*(0-Planner!$C$43)</f>
        <v>-0.287</v>
      </c>
      <c r="CI118" s="24" t="n">
        <f aca="false">CI$21*(0-Planner!$C$43)</f>
        <v>-0.371</v>
      </c>
      <c r="CJ118" s="24" t="n">
        <f aca="false">CJ$21*(0-Planner!$C$43)</f>
        <v>-0.238</v>
      </c>
      <c r="CK118" s="24" t="n">
        <f aca="false">CK$21*(0-Planner!$C$43)</f>
        <v>-0.3185</v>
      </c>
      <c r="CL118" s="24" t="n">
        <f aca="false">CL$21*(0-Planner!$C$43)</f>
        <v>-0.1645</v>
      </c>
      <c r="CM118" s="24" t="n">
        <f aca="false">CM$21*(0-Planner!$C$43)</f>
        <v>-0.3185</v>
      </c>
      <c r="CN118" s="24" t="n">
        <f aca="false">CN$21*(0-Planner!$C$43)</f>
        <v>-0.2205</v>
      </c>
      <c r="CO118" s="24" t="n">
        <f aca="false">CO$21*(0-Planner!$C$43)</f>
        <v>-0.126</v>
      </c>
      <c r="CP118" s="24" t="n">
        <f aca="false">CP$21*(0-Planner!$C$43)</f>
        <v>-0.119</v>
      </c>
      <c r="CQ118" s="24" t="n">
        <f aca="false">CQ$21*(0-Planner!$C$43)</f>
        <v>-0.189</v>
      </c>
      <c r="CR118" s="24" t="n">
        <f aca="false">CR$21*(0-Planner!$C$43)</f>
        <v>-0.147</v>
      </c>
      <c r="CS118" s="24" t="n">
        <f aca="false">CS$21*(0-Planner!$C$43)</f>
        <v>-0.245</v>
      </c>
      <c r="CT118" s="24" t="n">
        <f aca="false">CT$21*(0-Planner!$C$43)</f>
        <v>-0.763</v>
      </c>
      <c r="CU118" s="24" t="n">
        <f aca="false">CU$21*(0-Planner!$C$43)</f>
        <v>-1.0745</v>
      </c>
      <c r="CV118" s="24" t="n">
        <f aca="false">CV$21*(0-Planner!$C$43)</f>
        <v>-0.42</v>
      </c>
      <c r="CW118" s="24" t="n">
        <f aca="false">CW$21*(0-Planner!$C$43)</f>
        <v>-0.2345</v>
      </c>
      <c r="CX118" s="24" t="n">
        <f aca="false">CX$21*(0-Planner!$C$43)</f>
        <v>-0.1505</v>
      </c>
      <c r="CY118" s="24" t="n">
        <f aca="false">CY$21*(0-Planner!$C$43)</f>
        <v>-0.2135</v>
      </c>
      <c r="CZ118" s="24" t="n">
        <f aca="false">CZ$21*(0-Planner!$C$43)</f>
        <v>-0.28</v>
      </c>
      <c r="DA118" s="24" t="n">
        <f aca="false">DA$21*(0-Planner!$C$43)</f>
        <v>-0.77</v>
      </c>
      <c r="DB118" s="24" t="n">
        <f aca="false">DB$21*(0-Planner!$C$43)</f>
        <v>-0.224</v>
      </c>
      <c r="DC118" s="24" t="n">
        <f aca="false">DC$21*(0-Planner!$C$43)</f>
        <v>-0.2555</v>
      </c>
      <c r="DD118" s="24" t="n">
        <f aca="false">DD$21*(0-Planner!$C$43)</f>
        <v>-1.071</v>
      </c>
      <c r="DE118" s="24" t="n">
        <f aca="false">DE$21*(0-Planner!$C$43)</f>
        <v>-1.323</v>
      </c>
      <c r="DF118" s="24" t="n">
        <f aca="false">DF$21*(0-Planner!$C$43)</f>
        <v>-0.35</v>
      </c>
      <c r="DG118" s="24" t="n">
        <f aca="false">DG$21*(0-Planner!$C$43)</f>
        <v>-0.448</v>
      </c>
      <c r="DH118" s="24" t="n">
        <f aca="false">DH$21*(0-Planner!$C$43)</f>
        <v>-0.5005</v>
      </c>
      <c r="DI118" s="24" t="n">
        <f aca="false">DI$21*(0-Planner!$C$43)</f>
        <v>-0.3255</v>
      </c>
      <c r="DJ118" s="24" t="n">
        <f aca="false">DJ$21*(0-Planner!$C$43)</f>
        <v>-0.203</v>
      </c>
      <c r="DK118" s="24" t="n">
        <f aca="false">DK$21*(0-Planner!$C$43)</f>
        <v>-0.273</v>
      </c>
      <c r="DL118" s="24" t="n">
        <f aca="false">DL$21*(0-Planner!$C$43)</f>
        <v>-0.7035</v>
      </c>
      <c r="DM118" s="24" t="n">
        <f aca="false">DM$21*(0-Planner!$C$43)</f>
        <v>-0.2415</v>
      </c>
      <c r="DN118" s="24" t="n">
        <f aca="false">DN$21*(0-Planner!$C$43)</f>
        <v>-1.057</v>
      </c>
      <c r="DO118" s="24" t="n">
        <f aca="false">DO$21*(0-Planner!$C$43)</f>
        <v>-0.9415</v>
      </c>
      <c r="DP118" s="24" t="n">
        <f aca="false">DP$21*(0-Planner!$C$43)</f>
        <v>-0.2275</v>
      </c>
      <c r="DQ118" s="24" t="n">
        <f aca="false">DQ$21*(0-Planner!$C$43)</f>
        <v>-0.252</v>
      </c>
      <c r="DR118" s="24" t="n">
        <f aca="false">DR$21*(0-Planner!$C$43)</f>
        <v>-0.6265</v>
      </c>
      <c r="DS118" s="24" t="n">
        <f aca="false">DS$21*(0-Planner!$C$43)</f>
        <v>-0.301</v>
      </c>
      <c r="DT118" s="24" t="n">
        <f aca="false">DT$21*(0-Planner!$C$43)</f>
        <v>-0.315</v>
      </c>
      <c r="DU118" s="24" t="n">
        <f aca="false">DU$21*(0-Planner!$C$43)</f>
        <v>-0.931</v>
      </c>
      <c r="DV118" s="24" t="n">
        <f aca="false">DV$21*(0-Planner!$C$43)</f>
        <v>-1.1655</v>
      </c>
      <c r="DW118" s="24" t="n">
        <f aca="false">DW$21*(0-Planner!$C$43)</f>
        <v>-1.0815</v>
      </c>
      <c r="DX118" s="24" t="n">
        <f aca="false">DX$21*(0-Planner!$C$43)</f>
        <v>-0.8715</v>
      </c>
      <c r="DY118" s="24" t="n">
        <f aca="false">DY$21*(0-Planner!$C$43)</f>
        <v>-0.5915</v>
      </c>
      <c r="DZ118" s="24" t="n">
        <f aca="false">DZ$21*(0-Planner!$C$43)</f>
        <v>-0.385</v>
      </c>
      <c r="EA118" s="24" t="n">
        <f aca="false">EA$21*(0-Planner!$C$43)</f>
        <v>-0.385</v>
      </c>
      <c r="EB118" s="24" t="n">
        <f aca="false">EB$21*(0-Planner!$C$43)</f>
        <v>-0.238</v>
      </c>
      <c r="EC118" s="24" t="n">
        <f aca="false">EC$21*(0-Planner!$C$43)</f>
        <v>-0.3465</v>
      </c>
      <c r="ED118" s="24" t="n">
        <f aca="false">ED$21*(0-Planner!$C$43)</f>
        <v>-0.4305</v>
      </c>
      <c r="EE118" s="24" t="n">
        <f aca="false">EE$21*(0-Planner!$C$43)</f>
        <v>-0.3185</v>
      </c>
      <c r="EF118" s="24" t="n">
        <f aca="false">EF$21*(0-Planner!$C$43)</f>
        <v>-0.7385</v>
      </c>
      <c r="EG118" s="24" t="n">
        <f aca="false">EG$21*(0-Planner!$C$43)</f>
        <v>-1.001</v>
      </c>
      <c r="EH118" s="24" t="n">
        <f aca="false">EH$21*(0-Planner!$C$43)</f>
        <v>-1.2705</v>
      </c>
      <c r="EI118" s="24" t="n">
        <f aca="false">EI$21*(0-Planner!$C$43)</f>
        <v>-0.2765</v>
      </c>
      <c r="EJ118" s="24" t="n">
        <f aca="false">EJ$21*(0-Planner!$C$43)</f>
        <v>-0.308</v>
      </c>
      <c r="EK118" s="24" t="n">
        <f aca="false">EK$21*(0-Planner!$C$43)</f>
        <v>-0.8645</v>
      </c>
      <c r="EL118" s="24" t="n">
        <f aca="false">EL$21*(0-Planner!$C$43)</f>
        <v>-0.4235</v>
      </c>
      <c r="EM118" s="24" t="n">
        <f aca="false">EM$21*(0-Planner!$C$43)</f>
        <v>-0.2975</v>
      </c>
      <c r="EN118" s="24" t="n">
        <f aca="false">EN$21*(0-Planner!$C$43)</f>
        <v>-0</v>
      </c>
      <c r="EO118" s="24" t="n">
        <f aca="false">EO$21*(0-Planner!$C$43)</f>
        <v>-0</v>
      </c>
      <c r="EP118" s="24" t="n">
        <f aca="false">EP$21*(1-Planner!$C$43)</f>
        <v>13.7475</v>
      </c>
      <c r="EQ118" s="24" t="n">
        <f aca="false">EQ$21*(0-Planner!$C$43)</f>
        <v>-0.686</v>
      </c>
      <c r="ER118" s="24" t="n">
        <f aca="false">ER$21*(0-Planner!$C$43)</f>
        <v>-1.785</v>
      </c>
      <c r="ES118" s="24" t="n">
        <f aca="false">ES$21*(0-Planner!$C$43)</f>
        <v>-1.9775</v>
      </c>
      <c r="ET118" s="24" t="n">
        <f aca="false">ET$21*(0-Planner!$C$43)</f>
        <v>-2.2365</v>
      </c>
      <c r="EU118" s="24" t="n">
        <f aca="false">EU$21*(0-Planner!$C$43)</f>
        <v>-1.225</v>
      </c>
    </row>
    <row r="120" customFormat="false" ht="15" hidden="false" customHeight="false" outlineLevel="0" collapsed="false">
      <c r="A120" s="3" t="s">
        <v>1059</v>
      </c>
    </row>
    <row r="122" customFormat="false" ht="39.75" hidden="false" customHeight="true" outlineLevel="0" collapsed="false">
      <c r="A122" s="16" t="s">
        <v>159</v>
      </c>
      <c r="B122" s="16" t="s">
        <v>161</v>
      </c>
      <c r="C122" s="16" t="s">
        <v>1060</v>
      </c>
      <c r="D122" s="16" t="s">
        <v>1061</v>
      </c>
      <c r="E122" s="16" t="s">
        <v>1062</v>
      </c>
      <c r="F122" s="16" t="s">
        <v>1063</v>
      </c>
      <c r="G122" s="16" t="s">
        <v>70</v>
      </c>
      <c r="H122" s="16" t="s">
        <v>1064</v>
      </c>
      <c r="I122" s="16" t="s">
        <v>1065</v>
      </c>
      <c r="J122" s="16" t="s">
        <v>1066</v>
      </c>
      <c r="K122" s="16" t="s">
        <v>1067</v>
      </c>
      <c r="L122" s="16" t="s">
        <v>1068</v>
      </c>
      <c r="M122" s="16" t="s">
        <v>1069</v>
      </c>
      <c r="N122" s="16" t="s">
        <v>1070</v>
      </c>
      <c r="O122" s="16" t="s">
        <v>1071</v>
      </c>
      <c r="P122" s="16" t="s">
        <v>1072</v>
      </c>
      <c r="Q122" s="16" t="s">
        <v>1073</v>
      </c>
    </row>
    <row r="123" customFormat="false" ht="15" hidden="false" customHeight="false" outlineLevel="0" collapsed="false">
      <c r="A123" s="4" t="n">
        <v>1</v>
      </c>
      <c r="B123" s="79" t="str">
        <f aca="false">F$13</f>
        <v>Chicken breast (boneless, skinless)</v>
      </c>
      <c r="C123" s="80" t="n">
        <v>0</v>
      </c>
      <c r="D123" s="71" t="n">
        <f aca="false">INDEX($F$15:$EU$15,1,A123)</f>
        <v>2.26</v>
      </c>
      <c r="E123" s="71" t="n">
        <f aca="false">INDEX($F$16:$EU$16,1,A123)</f>
        <v>0</v>
      </c>
      <c r="F123" s="21" t="n">
        <f aca="false">C123*100</f>
        <v>0</v>
      </c>
      <c r="G123" s="24" t="n">
        <f aca="false">F123/'Food Data'!N6</f>
        <v>0</v>
      </c>
      <c r="H123" s="81" t="n">
        <f aca="false">C123*INDEX($F$14:$EU$14,1,A123)</f>
        <v>0</v>
      </c>
      <c r="I123" s="75" t="str">
        <f aca="false">IF(AND(D123&gt;0,C123&gt;=D123-0.00001),"at cap","")</f>
        <v/>
      </c>
      <c r="J123" s="21" t="n">
        <f aca="false">F123*INDEX($F$34:$EU$34,1,A123)</f>
        <v>0</v>
      </c>
      <c r="K123" s="21" t="n">
        <f aca="false">F123*INDEX($F$35:$EU$35,1,A123)</f>
        <v>0</v>
      </c>
      <c r="L123" s="21" t="n">
        <f aca="false">F123*INDEX($F$36:$EU$36,1,A123)</f>
        <v>0</v>
      </c>
      <c r="M123" s="21" t="n">
        <f aca="false">F123*INDEX($F$37:$EU$37,1,A123)</f>
        <v>0</v>
      </c>
      <c r="N123" s="21" t="str">
        <f aca="false">IF(J123&gt;=0.5,COUNTIF(J$123:J123,"&gt;=0.5"),"")</f>
        <v/>
      </c>
      <c r="O123" s="21" t="str">
        <f aca="false">IF(K123&gt;=0.5,COUNTIF(K$123:K123,"&gt;=0.5"),"")</f>
        <v/>
      </c>
      <c r="P123" s="21" t="str">
        <f aca="false">IF(L123&gt;=0.5,COUNTIF(L$123:L123,"&gt;=0.5"),"")</f>
        <v/>
      </c>
      <c r="Q123" s="21" t="str">
        <f aca="false">IF(M123&gt;=0.5,COUNTIF(M$123:M123,"&gt;=0.5"),"")</f>
        <v/>
      </c>
    </row>
    <row r="124" customFormat="false" ht="15" hidden="false" customHeight="false" outlineLevel="0" collapsed="false">
      <c r="A124" s="4" t="n">
        <v>2</v>
      </c>
      <c r="B124" s="79" t="str">
        <f aca="false">G$13</f>
        <v>Chicken drumsticks (bone-in)</v>
      </c>
      <c r="C124" s="80" t="n">
        <v>0.011160812</v>
      </c>
      <c r="D124" s="71" t="n">
        <f aca="false">INDEX($F$15:$EU$15,1,A124)</f>
        <v>2</v>
      </c>
      <c r="E124" s="71" t="n">
        <f aca="false">INDEX($F$16:$EU$16,1,A124)</f>
        <v>0</v>
      </c>
      <c r="F124" s="21" t="n">
        <f aca="false">C124*100</f>
        <v>1.1160812</v>
      </c>
      <c r="G124" s="24" t="n">
        <f aca="false">F124/'Food Data'!N7</f>
        <v>0.011160812</v>
      </c>
      <c r="H124" s="81" t="n">
        <f aca="false">C124*INDEX($F$14:$EU$14,1,A124)</f>
        <v>0.00443440222498618</v>
      </c>
      <c r="I124" s="75" t="str">
        <f aca="false">IF(AND(D124&gt;0,C124&gt;=D124-0.00001),"at cap","")</f>
        <v/>
      </c>
      <c r="J124" s="21" t="n">
        <f aca="false">F124*INDEX($F$34:$EU$34,1,A124)</f>
        <v>0</v>
      </c>
      <c r="K124" s="21" t="n">
        <f aca="false">F124*INDEX($F$35:$EU$35,1,A124)</f>
        <v>0.5580406</v>
      </c>
      <c r="L124" s="21" t="n">
        <f aca="false">F124*INDEX($F$36:$EU$36,1,A124)</f>
        <v>0.5580406</v>
      </c>
      <c r="M124" s="21" t="n">
        <f aca="false">F124*INDEX($F$37:$EU$37,1,A124)</f>
        <v>0</v>
      </c>
      <c r="N124" s="21" t="str">
        <f aca="false">IF(J124&gt;=0.5,COUNTIF(J$123:J124,"&gt;=0.5"),"")</f>
        <v/>
      </c>
      <c r="O124" s="21" t="n">
        <f aca="false">IF(K124&gt;=0.5,COUNTIF(K$123:K124,"&gt;=0.5"),"")</f>
        <v>1</v>
      </c>
      <c r="P124" s="21" t="n">
        <f aca="false">IF(L124&gt;=0.5,COUNTIF(L$123:L124,"&gt;=0.5"),"")</f>
        <v>1</v>
      </c>
      <c r="Q124" s="21" t="str">
        <f aca="false">IF(M124&gt;=0.5,COUNTIF(M$123:M124,"&gt;=0.5"),"")</f>
        <v/>
      </c>
    </row>
    <row r="125" customFormat="false" ht="15" hidden="false" customHeight="false" outlineLevel="0" collapsed="false">
      <c r="A125" s="4" t="n">
        <v>3</v>
      </c>
      <c r="B125" s="79" t="str">
        <f aca="false">H$13</f>
        <v>Chicken thighs (boneless, skinless)</v>
      </c>
      <c r="C125" s="80" t="n">
        <v>0</v>
      </c>
      <c r="D125" s="71" t="n">
        <f aca="false">INDEX($F$15:$EU$15,1,A125)</f>
        <v>2.26</v>
      </c>
      <c r="E125" s="71" t="n">
        <f aca="false">INDEX($F$16:$EU$16,1,A125)</f>
        <v>0</v>
      </c>
      <c r="F125" s="21" t="n">
        <f aca="false">C125*100</f>
        <v>0</v>
      </c>
      <c r="G125" s="24" t="n">
        <f aca="false">F125/'Food Data'!N8</f>
        <v>0</v>
      </c>
      <c r="H125" s="81" t="n">
        <f aca="false">C125*INDEX($F$14:$EU$14,1,A125)</f>
        <v>0</v>
      </c>
      <c r="I125" s="75" t="str">
        <f aca="false">IF(AND(D125&gt;0,C125&gt;=D125-0.00001),"at cap","")</f>
        <v/>
      </c>
      <c r="J125" s="21" t="n">
        <f aca="false">F125*INDEX($F$34:$EU$34,1,A125)</f>
        <v>0</v>
      </c>
      <c r="K125" s="21" t="n">
        <f aca="false">F125*INDEX($F$35:$EU$35,1,A125)</f>
        <v>0</v>
      </c>
      <c r="L125" s="21" t="n">
        <f aca="false">F125*INDEX($F$36:$EU$36,1,A125)</f>
        <v>0</v>
      </c>
      <c r="M125" s="21" t="n">
        <f aca="false">F125*INDEX($F$37:$EU$37,1,A125)</f>
        <v>0</v>
      </c>
      <c r="N125" s="21" t="str">
        <f aca="false">IF(J125&gt;=0.5,COUNTIF(J$123:J125,"&gt;=0.5"),"")</f>
        <v/>
      </c>
      <c r="O125" s="21" t="str">
        <f aca="false">IF(K125&gt;=0.5,COUNTIF(K$123:K125,"&gt;=0.5"),"")</f>
        <v/>
      </c>
      <c r="P125" s="21" t="str">
        <f aca="false">IF(L125&gt;=0.5,COUNTIF(L$123:L125,"&gt;=0.5"),"")</f>
        <v/>
      </c>
      <c r="Q125" s="21" t="str">
        <f aca="false">IF(M125&gt;=0.5,COUNTIF(M$123:M125,"&gt;=0.5"),"")</f>
        <v/>
      </c>
    </row>
    <row r="126" customFormat="false" ht="15" hidden="false" customHeight="false" outlineLevel="0" collapsed="false">
      <c r="A126" s="4" t="n">
        <v>4</v>
      </c>
      <c r="B126" s="79" t="str">
        <f aca="false">I$13</f>
        <v>Deli turkey breast (sliced)</v>
      </c>
      <c r="C126" s="80" t="n">
        <v>0</v>
      </c>
      <c r="D126" s="71" t="n">
        <f aca="false">INDEX($F$15:$EU$15,1,A126)</f>
        <v>1.12</v>
      </c>
      <c r="E126" s="71" t="n">
        <f aca="false">INDEX($F$16:$EU$16,1,A126)</f>
        <v>0</v>
      </c>
      <c r="F126" s="21" t="n">
        <f aca="false">C126*100</f>
        <v>0</v>
      </c>
      <c r="G126" s="24" t="n">
        <f aca="false">F126/'Food Data'!N9</f>
        <v>0</v>
      </c>
      <c r="H126" s="81" t="n">
        <f aca="false">C126*INDEX($F$14:$EU$14,1,A126)</f>
        <v>0</v>
      </c>
      <c r="I126" s="75" t="str">
        <f aca="false">IF(AND(D126&gt;0,C126&gt;=D126-0.00001),"at cap","")</f>
        <v/>
      </c>
      <c r="J126" s="21" t="n">
        <f aca="false">F126*INDEX($F$34:$EU$34,1,A126)</f>
        <v>0</v>
      </c>
      <c r="K126" s="21" t="n">
        <f aca="false">F126*INDEX($F$35:$EU$35,1,A126)</f>
        <v>0</v>
      </c>
      <c r="L126" s="21" t="n">
        <f aca="false">F126*INDEX($F$36:$EU$36,1,A126)</f>
        <v>0</v>
      </c>
      <c r="M126" s="21" t="n">
        <f aca="false">F126*INDEX($F$37:$EU$37,1,A126)</f>
        <v>0</v>
      </c>
      <c r="N126" s="21" t="str">
        <f aca="false">IF(J126&gt;=0.5,COUNTIF(J$123:J126,"&gt;=0.5"),"")</f>
        <v/>
      </c>
      <c r="O126" s="21" t="str">
        <f aca="false">IF(K126&gt;=0.5,COUNTIF(K$123:K126,"&gt;=0.5"),"")</f>
        <v/>
      </c>
      <c r="P126" s="21" t="str">
        <f aca="false">IF(L126&gt;=0.5,COUNTIF(L$123:L126,"&gt;=0.5"),"")</f>
        <v/>
      </c>
      <c r="Q126" s="21" t="str">
        <f aca="false">IF(M126&gt;=0.5,COUNTIF(M$123:M126,"&gt;=0.5"),"")</f>
        <v/>
      </c>
    </row>
    <row r="127" customFormat="false" ht="15" hidden="false" customHeight="false" outlineLevel="0" collapsed="false">
      <c r="A127" s="4" t="n">
        <v>5</v>
      </c>
      <c r="B127" s="79" t="str">
        <f aca="false">J$13</f>
        <v>Ground turkey 93/7</v>
      </c>
      <c r="C127" s="80" t="n">
        <v>0</v>
      </c>
      <c r="D127" s="71" t="n">
        <f aca="false">INDEX($F$15:$EU$15,1,A127)</f>
        <v>2.26</v>
      </c>
      <c r="E127" s="71" t="n">
        <f aca="false">INDEX($F$16:$EU$16,1,A127)</f>
        <v>0</v>
      </c>
      <c r="F127" s="21" t="n">
        <f aca="false">C127*100</f>
        <v>0</v>
      </c>
      <c r="G127" s="24" t="n">
        <f aca="false">F127/'Food Data'!N10</f>
        <v>0</v>
      </c>
      <c r="H127" s="81" t="n">
        <f aca="false">C127*INDEX($F$14:$EU$14,1,A127)</f>
        <v>0</v>
      </c>
      <c r="I127" s="75" t="str">
        <f aca="false">IF(AND(D127&gt;0,C127&gt;=D127-0.00001),"at cap","")</f>
        <v/>
      </c>
      <c r="J127" s="21" t="n">
        <f aca="false">F127*INDEX($F$34:$EU$34,1,A127)</f>
        <v>0</v>
      </c>
      <c r="K127" s="21" t="n">
        <f aca="false">F127*INDEX($F$35:$EU$35,1,A127)</f>
        <v>0</v>
      </c>
      <c r="L127" s="21" t="n">
        <f aca="false">F127*INDEX($F$36:$EU$36,1,A127)</f>
        <v>0</v>
      </c>
      <c r="M127" s="21" t="n">
        <f aca="false">F127*INDEX($F$37:$EU$37,1,A127)</f>
        <v>0</v>
      </c>
      <c r="N127" s="21" t="str">
        <f aca="false">IF(J127&gt;=0.5,COUNTIF(J$123:J127,"&gt;=0.5"),"")</f>
        <v/>
      </c>
      <c r="O127" s="21" t="str">
        <f aca="false">IF(K127&gt;=0.5,COUNTIF(K$123:K127,"&gt;=0.5"),"")</f>
        <v/>
      </c>
      <c r="P127" s="21" t="str">
        <f aca="false">IF(L127&gt;=0.5,COUNTIF(L$123:L127,"&gt;=0.5"),"")</f>
        <v/>
      </c>
      <c r="Q127" s="21" t="str">
        <f aca="false">IF(M127&gt;=0.5,COUNTIF(M$123:M127,"&gt;=0.5"),"")</f>
        <v/>
      </c>
    </row>
    <row r="128" customFormat="false" ht="15" hidden="false" customHeight="false" outlineLevel="0" collapsed="false">
      <c r="A128" s="4" t="n">
        <v>6</v>
      </c>
      <c r="B128" s="79" t="str">
        <f aca="false">K$13</f>
        <v>Whole chicken</v>
      </c>
      <c r="C128" s="80" t="n">
        <v>0</v>
      </c>
      <c r="D128" s="71" t="n">
        <f aca="false">INDEX($F$15:$EU$15,1,A128)</f>
        <v>2.26</v>
      </c>
      <c r="E128" s="71" t="n">
        <f aca="false">INDEX($F$16:$EU$16,1,A128)</f>
        <v>0</v>
      </c>
      <c r="F128" s="21" t="n">
        <f aca="false">C128*100</f>
        <v>0</v>
      </c>
      <c r="G128" s="24" t="n">
        <f aca="false">F128/'Food Data'!N11</f>
        <v>0</v>
      </c>
      <c r="H128" s="81" t="n">
        <f aca="false">C128*INDEX($F$14:$EU$14,1,A128)</f>
        <v>0</v>
      </c>
      <c r="I128" s="75" t="str">
        <f aca="false">IF(AND(D128&gt;0,C128&gt;=D128-0.00001),"at cap","")</f>
        <v/>
      </c>
      <c r="J128" s="21" t="n">
        <f aca="false">F128*INDEX($F$34:$EU$34,1,A128)</f>
        <v>0</v>
      </c>
      <c r="K128" s="21" t="n">
        <f aca="false">F128*INDEX($F$35:$EU$35,1,A128)</f>
        <v>0</v>
      </c>
      <c r="L128" s="21" t="n">
        <f aca="false">F128*INDEX($F$36:$EU$36,1,A128)</f>
        <v>0</v>
      </c>
      <c r="M128" s="21" t="n">
        <f aca="false">F128*INDEX($F$37:$EU$37,1,A128)</f>
        <v>0</v>
      </c>
      <c r="N128" s="21" t="str">
        <f aca="false">IF(J128&gt;=0.5,COUNTIF(J$123:J128,"&gt;=0.5"),"")</f>
        <v/>
      </c>
      <c r="O128" s="21" t="str">
        <f aca="false">IF(K128&gt;=0.5,COUNTIF(K$123:K128,"&gt;=0.5"),"")</f>
        <v/>
      </c>
      <c r="P128" s="21" t="str">
        <f aca="false">IF(L128&gt;=0.5,COUNTIF(L$123:L128,"&gt;=0.5"),"")</f>
        <v/>
      </c>
      <c r="Q128" s="21" t="str">
        <f aca="false">IF(M128&gt;=0.5,COUNTIF(M$123:M128,"&gt;=0.5"),"")</f>
        <v/>
      </c>
    </row>
    <row r="129" customFormat="false" ht="15" hidden="false" customHeight="false" outlineLevel="0" collapsed="false">
      <c r="A129" s="4" t="n">
        <v>7</v>
      </c>
      <c r="B129" s="79" t="str">
        <f aca="false">L$13</f>
        <v>Bacon</v>
      </c>
      <c r="C129" s="80" t="n">
        <v>0</v>
      </c>
      <c r="D129" s="71" t="n">
        <f aca="false">INDEX($F$15:$EU$15,1,A129)</f>
        <v>0.84</v>
      </c>
      <c r="E129" s="71" t="n">
        <f aca="false">INDEX($F$16:$EU$16,1,A129)</f>
        <v>0</v>
      </c>
      <c r="F129" s="21" t="n">
        <f aca="false">C129*100</f>
        <v>0</v>
      </c>
      <c r="G129" s="24" t="n">
        <f aca="false">F129/'Food Data'!N12</f>
        <v>0</v>
      </c>
      <c r="H129" s="81" t="n">
        <f aca="false">C129*INDEX($F$14:$EU$14,1,A129)</f>
        <v>0</v>
      </c>
      <c r="I129" s="75" t="str">
        <f aca="false">IF(AND(D129&gt;0,C129&gt;=D129-0.00001),"at cap","")</f>
        <v/>
      </c>
      <c r="J129" s="21" t="n">
        <f aca="false">F129*INDEX($F$34:$EU$34,1,A129)</f>
        <v>0</v>
      </c>
      <c r="K129" s="21" t="n">
        <f aca="false">F129*INDEX($F$35:$EU$35,1,A129)</f>
        <v>0</v>
      </c>
      <c r="L129" s="21" t="n">
        <f aca="false">F129*INDEX($F$36:$EU$36,1,A129)</f>
        <v>0</v>
      </c>
      <c r="M129" s="21" t="n">
        <f aca="false">F129*INDEX($F$37:$EU$37,1,A129)</f>
        <v>0</v>
      </c>
      <c r="N129" s="21" t="str">
        <f aca="false">IF(J129&gt;=0.5,COUNTIF(J$123:J129,"&gt;=0.5"),"")</f>
        <v/>
      </c>
      <c r="O129" s="21" t="str">
        <f aca="false">IF(K129&gt;=0.5,COUNTIF(K$123:K129,"&gt;=0.5"),"")</f>
        <v/>
      </c>
      <c r="P129" s="21" t="str">
        <f aca="false">IF(L129&gt;=0.5,COUNTIF(L$123:L129,"&gt;=0.5"),"")</f>
        <v/>
      </c>
      <c r="Q129" s="21" t="str">
        <f aca="false">IF(M129&gt;=0.5,COUNTIF(M$123:M129,"&gt;=0.5"),"")</f>
        <v/>
      </c>
    </row>
    <row r="130" customFormat="false" ht="15" hidden="false" customHeight="false" outlineLevel="0" collapsed="false">
      <c r="A130" s="4" t="n">
        <v>8</v>
      </c>
      <c r="B130" s="79" t="str">
        <f aca="false">M$13</f>
        <v>Beef for stew (boneless)</v>
      </c>
      <c r="C130" s="80" t="n">
        <v>0</v>
      </c>
      <c r="D130" s="71" t="n">
        <f aca="false">INDEX($F$15:$EU$15,1,A130)</f>
        <v>2.26</v>
      </c>
      <c r="E130" s="71" t="n">
        <f aca="false">INDEX($F$16:$EU$16,1,A130)</f>
        <v>0</v>
      </c>
      <c r="F130" s="21" t="n">
        <f aca="false">C130*100</f>
        <v>0</v>
      </c>
      <c r="G130" s="24" t="n">
        <f aca="false">F130/'Food Data'!N13</f>
        <v>0</v>
      </c>
      <c r="H130" s="81" t="n">
        <f aca="false">C130*INDEX($F$14:$EU$14,1,A130)</f>
        <v>0</v>
      </c>
      <c r="I130" s="75" t="str">
        <f aca="false">IF(AND(D130&gt;0,C130&gt;=D130-0.00001),"at cap","")</f>
        <v/>
      </c>
      <c r="J130" s="21" t="n">
        <f aca="false">F130*INDEX($F$34:$EU$34,1,A130)</f>
        <v>0</v>
      </c>
      <c r="K130" s="21" t="n">
        <f aca="false">F130*INDEX($F$35:$EU$35,1,A130)</f>
        <v>0</v>
      </c>
      <c r="L130" s="21" t="n">
        <f aca="false">F130*INDEX($F$36:$EU$36,1,A130)</f>
        <v>0</v>
      </c>
      <c r="M130" s="21" t="n">
        <f aca="false">F130*INDEX($F$37:$EU$37,1,A130)</f>
        <v>0</v>
      </c>
      <c r="N130" s="21" t="str">
        <f aca="false">IF(J130&gt;=0.5,COUNTIF(J$123:J130,"&gt;=0.5"),"")</f>
        <v/>
      </c>
      <c r="O130" s="21" t="str">
        <f aca="false">IF(K130&gt;=0.5,COUNTIF(K$123:K130,"&gt;=0.5"),"")</f>
        <v/>
      </c>
      <c r="P130" s="21" t="str">
        <f aca="false">IF(L130&gt;=0.5,COUNTIF(L$123:L130,"&gt;=0.5"),"")</f>
        <v/>
      </c>
      <c r="Q130" s="21" t="str">
        <f aca="false">IF(M130&gt;=0.5,COUNTIF(M$123:M130,"&gt;=0.5"),"")</f>
        <v/>
      </c>
    </row>
    <row r="131" customFormat="false" ht="15" hidden="false" customHeight="false" outlineLevel="0" collapsed="false">
      <c r="A131" s="4" t="n">
        <v>9</v>
      </c>
      <c r="B131" s="79" t="str">
        <f aca="false">N$13</f>
        <v>Ground beef 80/20</v>
      </c>
      <c r="C131" s="80" t="n">
        <v>0</v>
      </c>
      <c r="D131" s="71" t="n">
        <f aca="false">INDEX($F$15:$EU$15,1,A131)</f>
        <v>2.26</v>
      </c>
      <c r="E131" s="71" t="n">
        <f aca="false">INDEX($F$16:$EU$16,1,A131)</f>
        <v>0</v>
      </c>
      <c r="F131" s="21" t="n">
        <f aca="false">C131*100</f>
        <v>0</v>
      </c>
      <c r="G131" s="24" t="n">
        <f aca="false">F131/'Food Data'!N14</f>
        <v>0</v>
      </c>
      <c r="H131" s="81" t="n">
        <f aca="false">C131*INDEX($F$14:$EU$14,1,A131)</f>
        <v>0</v>
      </c>
      <c r="I131" s="75" t="str">
        <f aca="false">IF(AND(D131&gt;0,C131&gt;=D131-0.00001),"at cap","")</f>
        <v/>
      </c>
      <c r="J131" s="21" t="n">
        <f aca="false">F131*INDEX($F$34:$EU$34,1,A131)</f>
        <v>0</v>
      </c>
      <c r="K131" s="21" t="n">
        <f aca="false">F131*INDEX($F$35:$EU$35,1,A131)</f>
        <v>0</v>
      </c>
      <c r="L131" s="21" t="n">
        <f aca="false">F131*INDEX($F$36:$EU$36,1,A131)</f>
        <v>0</v>
      </c>
      <c r="M131" s="21" t="n">
        <f aca="false">F131*INDEX($F$37:$EU$37,1,A131)</f>
        <v>0</v>
      </c>
      <c r="N131" s="21" t="str">
        <f aca="false">IF(J131&gt;=0.5,COUNTIF(J$123:J131,"&gt;=0.5"),"")</f>
        <v/>
      </c>
      <c r="O131" s="21" t="str">
        <f aca="false">IF(K131&gt;=0.5,COUNTIF(K$123:K131,"&gt;=0.5"),"")</f>
        <v/>
      </c>
      <c r="P131" s="21" t="str">
        <f aca="false">IF(L131&gt;=0.5,COUNTIF(L$123:L131,"&gt;=0.5"),"")</f>
        <v/>
      </c>
      <c r="Q131" s="21" t="str">
        <f aca="false">IF(M131&gt;=0.5,COUNTIF(M$123:M131,"&gt;=0.5"),"")</f>
        <v/>
      </c>
    </row>
    <row r="132" customFormat="false" ht="15" hidden="false" customHeight="false" outlineLevel="0" collapsed="false">
      <c r="A132" s="4" t="n">
        <v>10</v>
      </c>
      <c r="B132" s="79" t="str">
        <f aca="false">O$13</f>
        <v>Ground beef 93/7 (lean)</v>
      </c>
      <c r="C132" s="80" t="n">
        <v>0</v>
      </c>
      <c r="D132" s="71" t="n">
        <f aca="false">INDEX($F$15:$EU$15,1,A132)</f>
        <v>2.26</v>
      </c>
      <c r="E132" s="71" t="n">
        <f aca="false">INDEX($F$16:$EU$16,1,A132)</f>
        <v>0</v>
      </c>
      <c r="F132" s="21" t="n">
        <f aca="false">C132*100</f>
        <v>0</v>
      </c>
      <c r="G132" s="24" t="n">
        <f aca="false">F132/'Food Data'!N15</f>
        <v>0</v>
      </c>
      <c r="H132" s="81" t="n">
        <f aca="false">C132*INDEX($F$14:$EU$14,1,A132)</f>
        <v>0</v>
      </c>
      <c r="I132" s="75" t="str">
        <f aca="false">IF(AND(D132&gt;0,C132&gt;=D132-0.00001),"at cap","")</f>
        <v/>
      </c>
      <c r="J132" s="21" t="n">
        <f aca="false">F132*INDEX($F$34:$EU$34,1,A132)</f>
        <v>0</v>
      </c>
      <c r="K132" s="21" t="n">
        <f aca="false">F132*INDEX($F$35:$EU$35,1,A132)</f>
        <v>0</v>
      </c>
      <c r="L132" s="21" t="n">
        <f aca="false">F132*INDEX($F$36:$EU$36,1,A132)</f>
        <v>0</v>
      </c>
      <c r="M132" s="21" t="n">
        <f aca="false">F132*INDEX($F$37:$EU$37,1,A132)</f>
        <v>0</v>
      </c>
      <c r="N132" s="21" t="str">
        <f aca="false">IF(J132&gt;=0.5,COUNTIF(J$123:J132,"&gt;=0.5"),"")</f>
        <v/>
      </c>
      <c r="O132" s="21" t="str">
        <f aca="false">IF(K132&gt;=0.5,COUNTIF(K$123:K132,"&gt;=0.5"),"")</f>
        <v/>
      </c>
      <c r="P132" s="21" t="str">
        <f aca="false">IF(L132&gt;=0.5,COUNTIF(L$123:L132,"&gt;=0.5"),"")</f>
        <v/>
      </c>
      <c r="Q132" s="21" t="str">
        <f aca="false">IF(M132&gt;=0.5,COUNTIF(M$123:M132,"&gt;=0.5"),"")</f>
        <v/>
      </c>
    </row>
    <row r="133" customFormat="false" ht="15" hidden="false" customHeight="false" outlineLevel="0" collapsed="false">
      <c r="A133" s="4" t="n">
        <v>11</v>
      </c>
      <c r="B133" s="79" t="str">
        <f aca="false">P$13</f>
        <v>Ham (sliced, cooked)</v>
      </c>
      <c r="C133" s="80" t="n">
        <v>0</v>
      </c>
      <c r="D133" s="71" t="n">
        <f aca="false">INDEX($F$15:$EU$15,1,A133)</f>
        <v>1.12</v>
      </c>
      <c r="E133" s="71" t="n">
        <f aca="false">INDEX($F$16:$EU$16,1,A133)</f>
        <v>0</v>
      </c>
      <c r="F133" s="21" t="n">
        <f aca="false">C133*100</f>
        <v>0</v>
      </c>
      <c r="G133" s="24" t="n">
        <f aca="false">F133/'Food Data'!N16</f>
        <v>0</v>
      </c>
      <c r="H133" s="81" t="n">
        <f aca="false">C133*INDEX($F$14:$EU$14,1,A133)</f>
        <v>0</v>
      </c>
      <c r="I133" s="75" t="str">
        <f aca="false">IF(AND(D133&gt;0,C133&gt;=D133-0.00001),"at cap","")</f>
        <v/>
      </c>
      <c r="J133" s="21" t="n">
        <f aca="false">F133*INDEX($F$34:$EU$34,1,A133)</f>
        <v>0</v>
      </c>
      <c r="K133" s="21" t="n">
        <f aca="false">F133*INDEX($F$35:$EU$35,1,A133)</f>
        <v>0</v>
      </c>
      <c r="L133" s="21" t="n">
        <f aca="false">F133*INDEX($F$36:$EU$36,1,A133)</f>
        <v>0</v>
      </c>
      <c r="M133" s="21" t="n">
        <f aca="false">F133*INDEX($F$37:$EU$37,1,A133)</f>
        <v>0</v>
      </c>
      <c r="N133" s="21" t="str">
        <f aca="false">IF(J133&gt;=0.5,COUNTIF(J$123:J133,"&gt;=0.5"),"")</f>
        <v/>
      </c>
      <c r="O133" s="21" t="str">
        <f aca="false">IF(K133&gt;=0.5,COUNTIF(K$123:K133,"&gt;=0.5"),"")</f>
        <v/>
      </c>
      <c r="P133" s="21" t="str">
        <f aca="false">IF(L133&gt;=0.5,COUNTIF(L$123:L133,"&gt;=0.5"),"")</f>
        <v/>
      </c>
      <c r="Q133" s="21" t="str">
        <f aca="false">IF(M133&gt;=0.5,COUNTIF(M$123:M133,"&gt;=0.5"),"")</f>
        <v/>
      </c>
    </row>
    <row r="134" customFormat="false" ht="15" hidden="false" customHeight="false" outlineLevel="0" collapsed="false">
      <c r="A134" s="4" t="n">
        <v>12</v>
      </c>
      <c r="B134" s="79" t="str">
        <f aca="false">Q$13</f>
        <v>Pork loin chops (boneless)</v>
      </c>
      <c r="C134" s="80" t="n">
        <v>0</v>
      </c>
      <c r="D134" s="71" t="n">
        <f aca="false">INDEX($F$15:$EU$15,1,A134)</f>
        <v>2.26</v>
      </c>
      <c r="E134" s="71" t="n">
        <f aca="false">INDEX($F$16:$EU$16,1,A134)</f>
        <v>0</v>
      </c>
      <c r="F134" s="21" t="n">
        <f aca="false">C134*100</f>
        <v>0</v>
      </c>
      <c r="G134" s="24" t="n">
        <f aca="false">F134/'Food Data'!N17</f>
        <v>0</v>
      </c>
      <c r="H134" s="81" t="n">
        <f aca="false">C134*INDEX($F$14:$EU$14,1,A134)</f>
        <v>0</v>
      </c>
      <c r="I134" s="75" t="str">
        <f aca="false">IF(AND(D134&gt;0,C134&gt;=D134-0.00001),"at cap","")</f>
        <v/>
      </c>
      <c r="J134" s="21" t="n">
        <f aca="false">F134*INDEX($F$34:$EU$34,1,A134)</f>
        <v>0</v>
      </c>
      <c r="K134" s="21" t="n">
        <f aca="false">F134*INDEX($F$35:$EU$35,1,A134)</f>
        <v>0</v>
      </c>
      <c r="L134" s="21" t="n">
        <f aca="false">F134*INDEX($F$36:$EU$36,1,A134)</f>
        <v>0</v>
      </c>
      <c r="M134" s="21" t="n">
        <f aca="false">F134*INDEX($F$37:$EU$37,1,A134)</f>
        <v>0</v>
      </c>
      <c r="N134" s="21" t="str">
        <f aca="false">IF(J134&gt;=0.5,COUNTIF(J$123:J134,"&gt;=0.5"),"")</f>
        <v/>
      </c>
      <c r="O134" s="21" t="str">
        <f aca="false">IF(K134&gt;=0.5,COUNTIF(K$123:K134,"&gt;=0.5"),"")</f>
        <v/>
      </c>
      <c r="P134" s="21" t="str">
        <f aca="false">IF(L134&gt;=0.5,COUNTIF(L$123:L134,"&gt;=0.5"),"")</f>
        <v/>
      </c>
      <c r="Q134" s="21" t="str">
        <f aca="false">IF(M134&gt;=0.5,COUNTIF(M$123:M134,"&gt;=0.5"),"")</f>
        <v/>
      </c>
    </row>
    <row r="135" customFormat="false" ht="15" hidden="false" customHeight="false" outlineLevel="0" collapsed="false">
      <c r="A135" s="4" t="n">
        <v>13</v>
      </c>
      <c r="B135" s="79" t="str">
        <f aca="false">R$13</f>
        <v>Round steak (boneless)</v>
      </c>
      <c r="C135" s="80" t="n">
        <v>0</v>
      </c>
      <c r="D135" s="71" t="n">
        <f aca="false">INDEX($F$15:$EU$15,1,A135)</f>
        <v>2.26</v>
      </c>
      <c r="E135" s="71" t="n">
        <f aca="false">INDEX($F$16:$EU$16,1,A135)</f>
        <v>0</v>
      </c>
      <c r="F135" s="21" t="n">
        <f aca="false">C135*100</f>
        <v>0</v>
      </c>
      <c r="G135" s="24" t="n">
        <f aca="false">F135/'Food Data'!N18</f>
        <v>0</v>
      </c>
      <c r="H135" s="81" t="n">
        <f aca="false">C135*INDEX($F$14:$EU$14,1,A135)</f>
        <v>0</v>
      </c>
      <c r="I135" s="75" t="str">
        <f aca="false">IF(AND(D135&gt;0,C135&gt;=D135-0.00001),"at cap","")</f>
        <v/>
      </c>
      <c r="J135" s="21" t="n">
        <f aca="false">F135*INDEX($F$34:$EU$34,1,A135)</f>
        <v>0</v>
      </c>
      <c r="K135" s="21" t="n">
        <f aca="false">F135*INDEX($F$35:$EU$35,1,A135)</f>
        <v>0</v>
      </c>
      <c r="L135" s="21" t="n">
        <f aca="false">F135*INDEX($F$36:$EU$36,1,A135)</f>
        <v>0</v>
      </c>
      <c r="M135" s="21" t="n">
        <f aca="false">F135*INDEX($F$37:$EU$37,1,A135)</f>
        <v>0</v>
      </c>
      <c r="N135" s="21" t="str">
        <f aca="false">IF(J135&gt;=0.5,COUNTIF(J$123:J135,"&gt;=0.5"),"")</f>
        <v/>
      </c>
      <c r="O135" s="21" t="str">
        <f aca="false">IF(K135&gt;=0.5,COUNTIF(K$123:K135,"&gt;=0.5"),"")</f>
        <v/>
      </c>
      <c r="P135" s="21" t="str">
        <f aca="false">IF(L135&gt;=0.5,COUNTIF(L$123:L135,"&gt;=0.5"),"")</f>
        <v/>
      </c>
      <c r="Q135" s="21" t="str">
        <f aca="false">IF(M135&gt;=0.5,COUNTIF(M$123:M135,"&gt;=0.5"),"")</f>
        <v/>
      </c>
    </row>
    <row r="136" customFormat="false" ht="15" hidden="false" customHeight="false" outlineLevel="0" collapsed="false">
      <c r="A136" s="4" t="n">
        <v>14</v>
      </c>
      <c r="B136" s="79" t="str">
        <f aca="false">S$13</f>
        <v>Top sirloin steak</v>
      </c>
      <c r="C136" s="80" t="n">
        <v>0</v>
      </c>
      <c r="D136" s="71" t="n">
        <f aca="false">INDEX($F$15:$EU$15,1,A136)</f>
        <v>2.26</v>
      </c>
      <c r="E136" s="71" t="n">
        <f aca="false">INDEX($F$16:$EU$16,1,A136)</f>
        <v>0</v>
      </c>
      <c r="F136" s="21" t="n">
        <f aca="false">C136*100</f>
        <v>0</v>
      </c>
      <c r="G136" s="24" t="n">
        <f aca="false">F136/'Food Data'!N19</f>
        <v>0</v>
      </c>
      <c r="H136" s="81" t="n">
        <f aca="false">C136*INDEX($F$14:$EU$14,1,A136)</f>
        <v>0</v>
      </c>
      <c r="I136" s="75" t="str">
        <f aca="false">IF(AND(D136&gt;0,C136&gt;=D136-0.00001),"at cap","")</f>
        <v/>
      </c>
      <c r="J136" s="21" t="n">
        <f aca="false">F136*INDEX($F$34:$EU$34,1,A136)</f>
        <v>0</v>
      </c>
      <c r="K136" s="21" t="n">
        <f aca="false">F136*INDEX($F$35:$EU$35,1,A136)</f>
        <v>0</v>
      </c>
      <c r="L136" s="21" t="n">
        <f aca="false">F136*INDEX($F$36:$EU$36,1,A136)</f>
        <v>0</v>
      </c>
      <c r="M136" s="21" t="n">
        <f aca="false">F136*INDEX($F$37:$EU$37,1,A136)</f>
        <v>0</v>
      </c>
      <c r="N136" s="21" t="str">
        <f aca="false">IF(J136&gt;=0.5,COUNTIF(J$123:J136,"&gt;=0.5"),"")</f>
        <v/>
      </c>
      <c r="O136" s="21" t="str">
        <f aca="false">IF(K136&gt;=0.5,COUNTIF(K$123:K136,"&gt;=0.5"),"")</f>
        <v/>
      </c>
      <c r="P136" s="21" t="str">
        <f aca="false">IF(L136&gt;=0.5,COUNTIF(L$123:L136,"&gt;=0.5"),"")</f>
        <v/>
      </c>
      <c r="Q136" s="21" t="str">
        <f aca="false">IF(M136&gt;=0.5,COUNTIF(M$123:M136,"&gt;=0.5"),"")</f>
        <v/>
      </c>
    </row>
    <row r="137" customFormat="false" ht="15" hidden="false" customHeight="false" outlineLevel="0" collapsed="false">
      <c r="A137" s="4" t="n">
        <v>15</v>
      </c>
      <c r="B137" s="79" t="str">
        <f aca="false">T$13</f>
        <v>Canned light tuna (in water)</v>
      </c>
      <c r="C137" s="80" t="n">
        <v>0</v>
      </c>
      <c r="D137" s="71" t="n">
        <f aca="false">INDEX($F$15:$EU$15,1,A137)</f>
        <v>1.7</v>
      </c>
      <c r="E137" s="71" t="n">
        <f aca="false">INDEX($F$16:$EU$16,1,A137)</f>
        <v>0</v>
      </c>
      <c r="F137" s="21" t="n">
        <f aca="false">C137*100</f>
        <v>0</v>
      </c>
      <c r="G137" s="24" t="n">
        <f aca="false">F137/'Food Data'!N20</f>
        <v>0</v>
      </c>
      <c r="H137" s="81" t="n">
        <f aca="false">C137*INDEX($F$14:$EU$14,1,A137)</f>
        <v>0</v>
      </c>
      <c r="I137" s="75" t="str">
        <f aca="false">IF(AND(D137&gt;0,C137&gt;=D137-0.00001),"at cap","")</f>
        <v/>
      </c>
      <c r="J137" s="21" t="n">
        <f aca="false">F137*INDEX($F$34:$EU$34,1,A137)</f>
        <v>0</v>
      </c>
      <c r="K137" s="21" t="n">
        <f aca="false">F137*INDEX($F$35:$EU$35,1,A137)</f>
        <v>0</v>
      </c>
      <c r="L137" s="21" t="n">
        <f aca="false">F137*INDEX($F$36:$EU$36,1,A137)</f>
        <v>0</v>
      </c>
      <c r="M137" s="21" t="n">
        <f aca="false">F137*INDEX($F$37:$EU$37,1,A137)</f>
        <v>0</v>
      </c>
      <c r="N137" s="21" t="str">
        <f aca="false">IF(J137&gt;=0.5,COUNTIF(J$123:J137,"&gt;=0.5"),"")</f>
        <v/>
      </c>
      <c r="O137" s="21" t="str">
        <f aca="false">IF(K137&gt;=0.5,COUNTIF(K$123:K137,"&gt;=0.5"),"")</f>
        <v/>
      </c>
      <c r="P137" s="21" t="str">
        <f aca="false">IF(L137&gt;=0.5,COUNTIF(L$123:L137,"&gt;=0.5"),"")</f>
        <v/>
      </c>
      <c r="Q137" s="21" t="str">
        <f aca="false">IF(M137&gt;=0.5,COUNTIF(M$123:M137,"&gt;=0.5"),"")</f>
        <v/>
      </c>
    </row>
    <row r="138" customFormat="false" ht="15" hidden="false" customHeight="false" outlineLevel="0" collapsed="false">
      <c r="A138" s="4" t="n">
        <v>16</v>
      </c>
      <c r="B138" s="79" t="str">
        <f aca="false">U$13</f>
        <v>Salmon (Atlantic, fillet)</v>
      </c>
      <c r="C138" s="80" t="n">
        <v>0</v>
      </c>
      <c r="D138" s="71" t="n">
        <f aca="false">INDEX($F$15:$EU$15,1,A138)</f>
        <v>2.26</v>
      </c>
      <c r="E138" s="71" t="n">
        <f aca="false">INDEX($F$16:$EU$16,1,A138)</f>
        <v>0</v>
      </c>
      <c r="F138" s="21" t="n">
        <f aca="false">C138*100</f>
        <v>0</v>
      </c>
      <c r="G138" s="24" t="n">
        <f aca="false">F138/'Food Data'!N21</f>
        <v>0</v>
      </c>
      <c r="H138" s="81" t="n">
        <f aca="false">C138*INDEX($F$14:$EU$14,1,A138)</f>
        <v>0</v>
      </c>
      <c r="I138" s="75" t="str">
        <f aca="false">IF(AND(D138&gt;0,C138&gt;=D138-0.00001),"at cap","")</f>
        <v/>
      </c>
      <c r="J138" s="21" t="n">
        <f aca="false">F138*INDEX($F$34:$EU$34,1,A138)</f>
        <v>0</v>
      </c>
      <c r="K138" s="21" t="n">
        <f aca="false">F138*INDEX($F$35:$EU$35,1,A138)</f>
        <v>0</v>
      </c>
      <c r="L138" s="21" t="n">
        <f aca="false">F138*INDEX($F$36:$EU$36,1,A138)</f>
        <v>0</v>
      </c>
      <c r="M138" s="21" t="n">
        <f aca="false">F138*INDEX($F$37:$EU$37,1,A138)</f>
        <v>0</v>
      </c>
      <c r="N138" s="21" t="str">
        <f aca="false">IF(J138&gt;=0.5,COUNTIF(J$123:J138,"&gt;=0.5"),"")</f>
        <v/>
      </c>
      <c r="O138" s="21" t="str">
        <f aca="false">IF(K138&gt;=0.5,COUNTIF(K$123:K138,"&gt;=0.5"),"")</f>
        <v/>
      </c>
      <c r="P138" s="21" t="str">
        <f aca="false">IF(L138&gt;=0.5,COUNTIF(L$123:L138,"&gt;=0.5"),"")</f>
        <v/>
      </c>
      <c r="Q138" s="21" t="str">
        <f aca="false">IF(M138&gt;=0.5,COUNTIF(M$123:M138,"&gt;=0.5"),"")</f>
        <v/>
      </c>
    </row>
    <row r="139" customFormat="false" ht="15" hidden="false" customHeight="false" outlineLevel="0" collapsed="false">
      <c r="A139" s="4" t="n">
        <v>17</v>
      </c>
      <c r="B139" s="79" t="str">
        <f aca="false">V$13</f>
        <v>Shrimp (raw, peeled)</v>
      </c>
      <c r="C139" s="80" t="n">
        <v>0</v>
      </c>
      <c r="D139" s="71" t="n">
        <f aca="false">INDEX($F$15:$EU$15,1,A139)</f>
        <v>2.26</v>
      </c>
      <c r="E139" s="71" t="n">
        <f aca="false">INDEX($F$16:$EU$16,1,A139)</f>
        <v>0</v>
      </c>
      <c r="F139" s="21" t="n">
        <f aca="false">C139*100</f>
        <v>0</v>
      </c>
      <c r="G139" s="24" t="n">
        <f aca="false">F139/'Food Data'!N22</f>
        <v>0</v>
      </c>
      <c r="H139" s="81" t="n">
        <f aca="false">C139*INDEX($F$14:$EU$14,1,A139)</f>
        <v>0</v>
      </c>
      <c r="I139" s="75" t="str">
        <f aca="false">IF(AND(D139&gt;0,C139&gt;=D139-0.00001),"at cap","")</f>
        <v/>
      </c>
      <c r="J139" s="21" t="n">
        <f aca="false">F139*INDEX($F$34:$EU$34,1,A139)</f>
        <v>0</v>
      </c>
      <c r="K139" s="21" t="n">
        <f aca="false">F139*INDEX($F$35:$EU$35,1,A139)</f>
        <v>0</v>
      </c>
      <c r="L139" s="21" t="n">
        <f aca="false">F139*INDEX($F$36:$EU$36,1,A139)</f>
        <v>0</v>
      </c>
      <c r="M139" s="21" t="n">
        <f aca="false">F139*INDEX($F$37:$EU$37,1,A139)</f>
        <v>0</v>
      </c>
      <c r="N139" s="21" t="str">
        <f aca="false">IF(J139&gt;=0.5,COUNTIF(J$123:J139,"&gt;=0.5"),"")</f>
        <v/>
      </c>
      <c r="O139" s="21" t="str">
        <f aca="false">IF(K139&gt;=0.5,COUNTIF(K$123:K139,"&gt;=0.5"),"")</f>
        <v/>
      </c>
      <c r="P139" s="21" t="str">
        <f aca="false">IF(L139&gt;=0.5,COUNTIF(L$123:L139,"&gt;=0.5"),"")</f>
        <v/>
      </c>
      <c r="Q139" s="21" t="str">
        <f aca="false">IF(M139&gt;=0.5,COUNTIF(M$123:M139,"&gt;=0.5"),"")</f>
        <v/>
      </c>
    </row>
    <row r="140" customFormat="false" ht="15" hidden="false" customHeight="false" outlineLevel="0" collapsed="false">
      <c r="A140" s="4" t="n">
        <v>18</v>
      </c>
      <c r="B140" s="79" t="str">
        <f aca="false">W$13</f>
        <v>Tilapia (fillet)</v>
      </c>
      <c r="C140" s="80" t="n">
        <v>0</v>
      </c>
      <c r="D140" s="71" t="n">
        <f aca="false">INDEX($F$15:$EU$15,1,A140)</f>
        <v>2.26</v>
      </c>
      <c r="E140" s="71" t="n">
        <f aca="false">INDEX($F$16:$EU$16,1,A140)</f>
        <v>0</v>
      </c>
      <c r="F140" s="21" t="n">
        <f aca="false">C140*100</f>
        <v>0</v>
      </c>
      <c r="G140" s="24" t="n">
        <f aca="false">F140/'Food Data'!N23</f>
        <v>0</v>
      </c>
      <c r="H140" s="81" t="n">
        <f aca="false">C140*INDEX($F$14:$EU$14,1,A140)</f>
        <v>0</v>
      </c>
      <c r="I140" s="75" t="str">
        <f aca="false">IF(AND(D140&gt;0,C140&gt;=D140-0.00001),"at cap","")</f>
        <v/>
      </c>
      <c r="J140" s="21" t="n">
        <f aca="false">F140*INDEX($F$34:$EU$34,1,A140)</f>
        <v>0</v>
      </c>
      <c r="K140" s="21" t="n">
        <f aca="false">F140*INDEX($F$35:$EU$35,1,A140)</f>
        <v>0</v>
      </c>
      <c r="L140" s="21" t="n">
        <f aca="false">F140*INDEX($F$36:$EU$36,1,A140)</f>
        <v>0</v>
      </c>
      <c r="M140" s="21" t="n">
        <f aca="false">F140*INDEX($F$37:$EU$37,1,A140)</f>
        <v>0</v>
      </c>
      <c r="N140" s="21" t="str">
        <f aca="false">IF(J140&gt;=0.5,COUNTIF(J$123:J140,"&gt;=0.5"),"")</f>
        <v/>
      </c>
      <c r="O140" s="21" t="str">
        <f aca="false">IF(K140&gt;=0.5,COUNTIF(K$123:K140,"&gt;=0.5"),"")</f>
        <v/>
      </c>
      <c r="P140" s="21" t="str">
        <f aca="false">IF(L140&gt;=0.5,COUNTIF(L$123:L140,"&gt;=0.5"),"")</f>
        <v/>
      </c>
      <c r="Q140" s="21" t="str">
        <f aca="false">IF(M140&gt;=0.5,COUNTIF(M$123:M140,"&gt;=0.5"),"")</f>
        <v/>
      </c>
    </row>
    <row r="141" customFormat="false" ht="15" hidden="false" customHeight="false" outlineLevel="0" collapsed="false">
      <c r="A141" s="4" t="n">
        <v>19</v>
      </c>
      <c r="B141" s="79" t="str">
        <f aca="false">X$13</f>
        <v>Eggs (large)</v>
      </c>
      <c r="C141" s="80" t="n">
        <v>1.5</v>
      </c>
      <c r="D141" s="71" t="n">
        <f aca="false">INDEX($F$15:$EU$15,1,A141)</f>
        <v>1.5</v>
      </c>
      <c r="E141" s="71" t="n">
        <f aca="false">INDEX($F$16:$EU$16,1,A141)</f>
        <v>0</v>
      </c>
      <c r="F141" s="21" t="n">
        <f aca="false">C141*100</f>
        <v>150</v>
      </c>
      <c r="G141" s="24" t="n">
        <f aca="false">F141/'Food Data'!N24</f>
        <v>3</v>
      </c>
      <c r="H141" s="81" t="n">
        <f aca="false">C141*INDEX($F$14:$EU$14,1,A141)</f>
        <v>0.41751113363023</v>
      </c>
      <c r="I141" s="75" t="str">
        <f aca="false">IF(AND(D141&gt;0,C141&gt;=D141-0.00001),"at cap","")</f>
        <v>at cap</v>
      </c>
      <c r="J141" s="21" t="n">
        <f aca="false">F141*INDEX($F$34:$EU$34,1,A141)</f>
        <v>150</v>
      </c>
      <c r="K141" s="21" t="n">
        <f aca="false">F141*INDEX($F$35:$EU$35,1,A141)</f>
        <v>0</v>
      </c>
      <c r="L141" s="21" t="n">
        <f aca="false">F141*INDEX($F$36:$EU$36,1,A141)</f>
        <v>0</v>
      </c>
      <c r="M141" s="21" t="n">
        <f aca="false">F141*INDEX($F$37:$EU$37,1,A141)</f>
        <v>0</v>
      </c>
      <c r="N141" s="21" t="n">
        <f aca="false">IF(J141&gt;=0.5,COUNTIF(J$123:J141,"&gt;=0.5"),"")</f>
        <v>1</v>
      </c>
      <c r="O141" s="21" t="str">
        <f aca="false">IF(K141&gt;=0.5,COUNTIF(K$123:K141,"&gt;=0.5"),"")</f>
        <v/>
      </c>
      <c r="P141" s="21" t="str">
        <f aca="false">IF(L141&gt;=0.5,COUNTIF(L$123:L141,"&gt;=0.5"),"")</f>
        <v/>
      </c>
      <c r="Q141" s="21" t="str">
        <f aca="false">IF(M141&gt;=0.5,COUNTIF(M$123:M141,"&gt;=0.5"),"")</f>
        <v/>
      </c>
    </row>
    <row r="142" customFormat="false" ht="15" hidden="false" customHeight="false" outlineLevel="0" collapsed="false">
      <c r="A142" s="4" t="n">
        <v>20</v>
      </c>
      <c r="B142" s="79" t="str">
        <f aca="false">Y$13</f>
        <v>Black beans (canned)</v>
      </c>
      <c r="C142" s="80" t="n">
        <v>0</v>
      </c>
      <c r="D142" s="71" t="n">
        <f aca="false">INDEX($F$15:$EU$15,1,A142)</f>
        <v>3.6</v>
      </c>
      <c r="E142" s="71" t="n">
        <f aca="false">INDEX($F$16:$EU$16,1,A142)</f>
        <v>0</v>
      </c>
      <c r="F142" s="21" t="n">
        <f aca="false">C142*100</f>
        <v>0</v>
      </c>
      <c r="G142" s="24" t="n">
        <f aca="false">F142/'Food Data'!N25</f>
        <v>0</v>
      </c>
      <c r="H142" s="81" t="n">
        <f aca="false">C142*INDEX($F$14:$EU$14,1,A142)</f>
        <v>0</v>
      </c>
      <c r="I142" s="75" t="str">
        <f aca="false">IF(AND(D142&gt;0,C142&gt;=D142-0.00001),"at cap","")</f>
        <v/>
      </c>
      <c r="J142" s="21" t="n">
        <f aca="false">F142*INDEX($F$34:$EU$34,1,A142)</f>
        <v>0</v>
      </c>
      <c r="K142" s="21" t="n">
        <f aca="false">F142*INDEX($F$35:$EU$35,1,A142)</f>
        <v>0</v>
      </c>
      <c r="L142" s="21" t="n">
        <f aca="false">F142*INDEX($F$36:$EU$36,1,A142)</f>
        <v>0</v>
      </c>
      <c r="M142" s="21" t="n">
        <f aca="false">F142*INDEX($F$37:$EU$37,1,A142)</f>
        <v>0</v>
      </c>
      <c r="N142" s="21" t="str">
        <f aca="false">IF(J142&gt;=0.5,COUNTIF(J$123:J142,"&gt;=0.5"),"")</f>
        <v/>
      </c>
      <c r="O142" s="21" t="str">
        <f aca="false">IF(K142&gt;=0.5,COUNTIF(K$123:K142,"&gt;=0.5"),"")</f>
        <v/>
      </c>
      <c r="P142" s="21" t="str">
        <f aca="false">IF(L142&gt;=0.5,COUNTIF(L$123:L142,"&gt;=0.5"),"")</f>
        <v/>
      </c>
      <c r="Q142" s="21" t="str">
        <f aca="false">IF(M142&gt;=0.5,COUNTIF(M$123:M142,"&gt;=0.5"),"")</f>
        <v/>
      </c>
    </row>
    <row r="143" customFormat="false" ht="15" hidden="false" customHeight="false" outlineLevel="0" collapsed="false">
      <c r="A143" s="4" t="n">
        <v>21</v>
      </c>
      <c r="B143" s="79" t="str">
        <f aca="false">Z$13</f>
        <v>Black beans (dry)</v>
      </c>
      <c r="C143" s="80" t="n">
        <v>0</v>
      </c>
      <c r="D143" s="71" t="n">
        <f aca="false">INDEX($F$15:$EU$15,1,A143)</f>
        <v>1.44</v>
      </c>
      <c r="E143" s="71" t="n">
        <f aca="false">INDEX($F$16:$EU$16,1,A143)</f>
        <v>0</v>
      </c>
      <c r="F143" s="21" t="n">
        <f aca="false">C143*100</f>
        <v>0</v>
      </c>
      <c r="G143" s="24" t="n">
        <f aca="false">F143/'Food Data'!N26</f>
        <v>0</v>
      </c>
      <c r="H143" s="81" t="n">
        <f aca="false">C143*INDEX($F$14:$EU$14,1,A143)</f>
        <v>0</v>
      </c>
      <c r="I143" s="75" t="str">
        <f aca="false">IF(AND(D143&gt;0,C143&gt;=D143-0.00001),"at cap","")</f>
        <v/>
      </c>
      <c r="J143" s="21" t="n">
        <f aca="false">F143*INDEX($F$34:$EU$34,1,A143)</f>
        <v>0</v>
      </c>
      <c r="K143" s="21" t="n">
        <f aca="false">F143*INDEX($F$35:$EU$35,1,A143)</f>
        <v>0</v>
      </c>
      <c r="L143" s="21" t="n">
        <f aca="false">F143*INDEX($F$36:$EU$36,1,A143)</f>
        <v>0</v>
      </c>
      <c r="M143" s="21" t="n">
        <f aca="false">F143*INDEX($F$37:$EU$37,1,A143)</f>
        <v>0</v>
      </c>
      <c r="N143" s="21" t="str">
        <f aca="false">IF(J143&gt;=0.5,COUNTIF(J$123:J143,"&gt;=0.5"),"")</f>
        <v/>
      </c>
      <c r="O143" s="21" t="str">
        <f aca="false">IF(K143&gt;=0.5,COUNTIF(K$123:K143,"&gt;=0.5"),"")</f>
        <v/>
      </c>
      <c r="P143" s="21" t="str">
        <f aca="false">IF(L143&gt;=0.5,COUNTIF(L$123:L143,"&gt;=0.5"),"")</f>
        <v/>
      </c>
      <c r="Q143" s="21" t="str">
        <f aca="false">IF(M143&gt;=0.5,COUNTIF(M$123:M143,"&gt;=0.5"),"")</f>
        <v/>
      </c>
    </row>
    <row r="144" customFormat="false" ht="15" hidden="false" customHeight="false" outlineLevel="0" collapsed="false">
      <c r="A144" s="4" t="n">
        <v>22</v>
      </c>
      <c r="B144" s="79" t="str">
        <f aca="false">AA$13</f>
        <v>Black-eyed peas (canned)</v>
      </c>
      <c r="C144" s="80" t="n">
        <v>0</v>
      </c>
      <c r="D144" s="71" t="n">
        <f aca="false">INDEX($F$15:$EU$15,1,A144)</f>
        <v>3.6</v>
      </c>
      <c r="E144" s="71" t="n">
        <f aca="false">INDEX($F$16:$EU$16,1,A144)</f>
        <v>0</v>
      </c>
      <c r="F144" s="21" t="n">
        <f aca="false">C144*100</f>
        <v>0</v>
      </c>
      <c r="G144" s="24" t="n">
        <f aca="false">F144/'Food Data'!N27</f>
        <v>0</v>
      </c>
      <c r="H144" s="81" t="n">
        <f aca="false">C144*INDEX($F$14:$EU$14,1,A144)</f>
        <v>0</v>
      </c>
      <c r="I144" s="75" t="str">
        <f aca="false">IF(AND(D144&gt;0,C144&gt;=D144-0.00001),"at cap","")</f>
        <v/>
      </c>
      <c r="J144" s="21" t="n">
        <f aca="false">F144*INDEX($F$34:$EU$34,1,A144)</f>
        <v>0</v>
      </c>
      <c r="K144" s="21" t="n">
        <f aca="false">F144*INDEX($F$35:$EU$35,1,A144)</f>
        <v>0</v>
      </c>
      <c r="L144" s="21" t="n">
        <f aca="false">F144*INDEX($F$36:$EU$36,1,A144)</f>
        <v>0</v>
      </c>
      <c r="M144" s="21" t="n">
        <f aca="false">F144*INDEX($F$37:$EU$37,1,A144)</f>
        <v>0</v>
      </c>
      <c r="N144" s="21" t="str">
        <f aca="false">IF(J144&gt;=0.5,COUNTIF(J$123:J144,"&gt;=0.5"),"")</f>
        <v/>
      </c>
      <c r="O144" s="21" t="str">
        <f aca="false">IF(K144&gt;=0.5,COUNTIF(K$123:K144,"&gt;=0.5"),"")</f>
        <v/>
      </c>
      <c r="P144" s="21" t="str">
        <f aca="false">IF(L144&gt;=0.5,COUNTIF(L$123:L144,"&gt;=0.5"),"")</f>
        <v/>
      </c>
      <c r="Q144" s="21" t="str">
        <f aca="false">IF(M144&gt;=0.5,COUNTIF(M$123:M144,"&gt;=0.5"),"")</f>
        <v/>
      </c>
    </row>
    <row r="145" customFormat="false" ht="15" hidden="false" customHeight="false" outlineLevel="0" collapsed="false">
      <c r="A145" s="4" t="n">
        <v>23</v>
      </c>
      <c r="B145" s="79" t="str">
        <f aca="false">AB$13</f>
        <v>Black-eyed peas (dry)</v>
      </c>
      <c r="C145" s="80" t="n">
        <v>0</v>
      </c>
      <c r="D145" s="71" t="n">
        <f aca="false">INDEX($F$15:$EU$15,1,A145)</f>
        <v>1.44</v>
      </c>
      <c r="E145" s="71" t="n">
        <f aca="false">INDEX($F$16:$EU$16,1,A145)</f>
        <v>0</v>
      </c>
      <c r="F145" s="21" t="n">
        <f aca="false">C145*100</f>
        <v>0</v>
      </c>
      <c r="G145" s="24" t="n">
        <f aca="false">F145/'Food Data'!N28</f>
        <v>0</v>
      </c>
      <c r="H145" s="81" t="n">
        <f aca="false">C145*INDEX($F$14:$EU$14,1,A145)</f>
        <v>0</v>
      </c>
      <c r="I145" s="75" t="str">
        <f aca="false">IF(AND(D145&gt;0,C145&gt;=D145-0.00001),"at cap","")</f>
        <v/>
      </c>
      <c r="J145" s="21" t="n">
        <f aca="false">F145*INDEX($F$34:$EU$34,1,A145)</f>
        <v>0</v>
      </c>
      <c r="K145" s="21" t="n">
        <f aca="false">F145*INDEX($F$35:$EU$35,1,A145)</f>
        <v>0</v>
      </c>
      <c r="L145" s="21" t="n">
        <f aca="false">F145*INDEX($F$36:$EU$36,1,A145)</f>
        <v>0</v>
      </c>
      <c r="M145" s="21" t="n">
        <f aca="false">F145*INDEX($F$37:$EU$37,1,A145)</f>
        <v>0</v>
      </c>
      <c r="N145" s="21" t="str">
        <f aca="false">IF(J145&gt;=0.5,COUNTIF(J$123:J145,"&gt;=0.5"),"")</f>
        <v/>
      </c>
      <c r="O145" s="21" t="str">
        <f aca="false">IF(K145&gt;=0.5,COUNTIF(K$123:K145,"&gt;=0.5"),"")</f>
        <v/>
      </c>
      <c r="P145" s="21" t="str">
        <f aca="false">IF(L145&gt;=0.5,COUNTIF(L$123:L145,"&gt;=0.5"),"")</f>
        <v/>
      </c>
      <c r="Q145" s="21" t="str">
        <f aca="false">IF(M145&gt;=0.5,COUNTIF(M$123:M145,"&gt;=0.5"),"")</f>
        <v/>
      </c>
    </row>
    <row r="146" customFormat="false" ht="15" hidden="false" customHeight="false" outlineLevel="0" collapsed="false">
      <c r="A146" s="4" t="n">
        <v>24</v>
      </c>
      <c r="B146" s="79" t="str">
        <f aca="false">AC$13</f>
        <v>Chickpeas (canned)</v>
      </c>
      <c r="C146" s="80" t="n">
        <v>0</v>
      </c>
      <c r="D146" s="71" t="n">
        <f aca="false">INDEX($F$15:$EU$15,1,A146)</f>
        <v>3.6</v>
      </c>
      <c r="E146" s="71" t="n">
        <f aca="false">INDEX($F$16:$EU$16,1,A146)</f>
        <v>0</v>
      </c>
      <c r="F146" s="21" t="n">
        <f aca="false">C146*100</f>
        <v>0</v>
      </c>
      <c r="G146" s="24" t="n">
        <f aca="false">F146/'Food Data'!N29</f>
        <v>0</v>
      </c>
      <c r="H146" s="81" t="n">
        <f aca="false">C146*INDEX($F$14:$EU$14,1,A146)</f>
        <v>0</v>
      </c>
      <c r="I146" s="75" t="str">
        <f aca="false">IF(AND(D146&gt;0,C146&gt;=D146-0.00001),"at cap","")</f>
        <v/>
      </c>
      <c r="J146" s="21" t="n">
        <f aca="false">F146*INDEX($F$34:$EU$34,1,A146)</f>
        <v>0</v>
      </c>
      <c r="K146" s="21" t="n">
        <f aca="false">F146*INDEX($F$35:$EU$35,1,A146)</f>
        <v>0</v>
      </c>
      <c r="L146" s="21" t="n">
        <f aca="false">F146*INDEX($F$36:$EU$36,1,A146)</f>
        <v>0</v>
      </c>
      <c r="M146" s="21" t="n">
        <f aca="false">F146*INDEX($F$37:$EU$37,1,A146)</f>
        <v>0</v>
      </c>
      <c r="N146" s="21" t="str">
        <f aca="false">IF(J146&gt;=0.5,COUNTIF(J$123:J146,"&gt;=0.5"),"")</f>
        <v/>
      </c>
      <c r="O146" s="21" t="str">
        <f aca="false">IF(K146&gt;=0.5,COUNTIF(K$123:K146,"&gt;=0.5"),"")</f>
        <v/>
      </c>
      <c r="P146" s="21" t="str">
        <f aca="false">IF(L146&gt;=0.5,COUNTIF(L$123:L146,"&gt;=0.5"),"")</f>
        <v/>
      </c>
      <c r="Q146" s="21" t="str">
        <f aca="false">IF(M146&gt;=0.5,COUNTIF(M$123:M146,"&gt;=0.5"),"")</f>
        <v/>
      </c>
    </row>
    <row r="147" customFormat="false" ht="15" hidden="false" customHeight="false" outlineLevel="0" collapsed="false">
      <c r="A147" s="4" t="n">
        <v>25</v>
      </c>
      <c r="B147" s="79" t="str">
        <f aca="false">AD$13</f>
        <v>Great northern beans (canned)</v>
      </c>
      <c r="C147" s="80" t="n">
        <v>0</v>
      </c>
      <c r="D147" s="71" t="n">
        <f aca="false">INDEX($F$15:$EU$15,1,A147)</f>
        <v>3.6</v>
      </c>
      <c r="E147" s="71" t="n">
        <f aca="false">INDEX($F$16:$EU$16,1,A147)</f>
        <v>0</v>
      </c>
      <c r="F147" s="21" t="n">
        <f aca="false">C147*100</f>
        <v>0</v>
      </c>
      <c r="G147" s="24" t="n">
        <f aca="false">F147/'Food Data'!N30</f>
        <v>0</v>
      </c>
      <c r="H147" s="81" t="n">
        <f aca="false">C147*INDEX($F$14:$EU$14,1,A147)</f>
        <v>0</v>
      </c>
      <c r="I147" s="75" t="str">
        <f aca="false">IF(AND(D147&gt;0,C147&gt;=D147-0.00001),"at cap","")</f>
        <v/>
      </c>
      <c r="J147" s="21" t="n">
        <f aca="false">F147*INDEX($F$34:$EU$34,1,A147)</f>
        <v>0</v>
      </c>
      <c r="K147" s="21" t="n">
        <f aca="false">F147*INDEX($F$35:$EU$35,1,A147)</f>
        <v>0</v>
      </c>
      <c r="L147" s="21" t="n">
        <f aca="false">F147*INDEX($F$36:$EU$36,1,A147)</f>
        <v>0</v>
      </c>
      <c r="M147" s="21" t="n">
        <f aca="false">F147*INDEX($F$37:$EU$37,1,A147)</f>
        <v>0</v>
      </c>
      <c r="N147" s="21" t="str">
        <f aca="false">IF(J147&gt;=0.5,COUNTIF(J$123:J147,"&gt;=0.5"),"")</f>
        <v/>
      </c>
      <c r="O147" s="21" t="str">
        <f aca="false">IF(K147&gt;=0.5,COUNTIF(K$123:K147,"&gt;=0.5"),"")</f>
        <v/>
      </c>
      <c r="P147" s="21" t="str">
        <f aca="false">IF(L147&gt;=0.5,COUNTIF(L$123:L147,"&gt;=0.5"),"")</f>
        <v/>
      </c>
      <c r="Q147" s="21" t="str">
        <f aca="false">IF(M147&gt;=0.5,COUNTIF(M$123:M147,"&gt;=0.5"),"")</f>
        <v/>
      </c>
    </row>
    <row r="148" customFormat="false" ht="15" hidden="false" customHeight="false" outlineLevel="0" collapsed="false">
      <c r="A148" s="4" t="n">
        <v>26</v>
      </c>
      <c r="B148" s="79" t="str">
        <f aca="false">AE$13</f>
        <v>Great northern beans (dry)</v>
      </c>
      <c r="C148" s="80" t="n">
        <v>0</v>
      </c>
      <c r="D148" s="71" t="n">
        <f aca="false">INDEX($F$15:$EU$15,1,A148)</f>
        <v>1.44</v>
      </c>
      <c r="E148" s="71" t="n">
        <f aca="false">INDEX($F$16:$EU$16,1,A148)</f>
        <v>0</v>
      </c>
      <c r="F148" s="21" t="n">
        <f aca="false">C148*100</f>
        <v>0</v>
      </c>
      <c r="G148" s="24" t="n">
        <f aca="false">F148/'Food Data'!N31</f>
        <v>0</v>
      </c>
      <c r="H148" s="81" t="n">
        <f aca="false">C148*INDEX($F$14:$EU$14,1,A148)</f>
        <v>0</v>
      </c>
      <c r="I148" s="75" t="str">
        <f aca="false">IF(AND(D148&gt;0,C148&gt;=D148-0.00001),"at cap","")</f>
        <v/>
      </c>
      <c r="J148" s="21" t="n">
        <f aca="false">F148*INDEX($F$34:$EU$34,1,A148)</f>
        <v>0</v>
      </c>
      <c r="K148" s="21" t="n">
        <f aca="false">F148*INDEX($F$35:$EU$35,1,A148)</f>
        <v>0</v>
      </c>
      <c r="L148" s="21" t="n">
        <f aca="false">F148*INDEX($F$36:$EU$36,1,A148)</f>
        <v>0</v>
      </c>
      <c r="M148" s="21" t="n">
        <f aca="false">F148*INDEX($F$37:$EU$37,1,A148)</f>
        <v>0</v>
      </c>
      <c r="N148" s="21" t="str">
        <f aca="false">IF(J148&gt;=0.5,COUNTIF(J$123:J148,"&gt;=0.5"),"")</f>
        <v/>
      </c>
      <c r="O148" s="21" t="str">
        <f aca="false">IF(K148&gt;=0.5,COUNTIF(K$123:K148,"&gt;=0.5"),"")</f>
        <v/>
      </c>
      <c r="P148" s="21" t="str">
        <f aca="false">IF(L148&gt;=0.5,COUNTIF(L$123:L148,"&gt;=0.5"),"")</f>
        <v/>
      </c>
      <c r="Q148" s="21" t="str">
        <f aca="false">IF(M148&gt;=0.5,COUNTIF(M$123:M148,"&gt;=0.5"),"")</f>
        <v/>
      </c>
    </row>
    <row r="149" customFormat="false" ht="15" hidden="false" customHeight="false" outlineLevel="0" collapsed="false">
      <c r="A149" s="4" t="n">
        <v>27</v>
      </c>
      <c r="B149" s="79" t="str">
        <f aca="false">AF$13</f>
        <v>Kidney beans (canned)</v>
      </c>
      <c r="C149" s="80" t="n">
        <v>0</v>
      </c>
      <c r="D149" s="71" t="n">
        <f aca="false">INDEX($F$15:$EU$15,1,A149)</f>
        <v>3.6</v>
      </c>
      <c r="E149" s="71" t="n">
        <f aca="false">INDEX($F$16:$EU$16,1,A149)</f>
        <v>0</v>
      </c>
      <c r="F149" s="21" t="n">
        <f aca="false">C149*100</f>
        <v>0</v>
      </c>
      <c r="G149" s="24" t="n">
        <f aca="false">F149/'Food Data'!N32</f>
        <v>0</v>
      </c>
      <c r="H149" s="81" t="n">
        <f aca="false">C149*INDEX($F$14:$EU$14,1,A149)</f>
        <v>0</v>
      </c>
      <c r="I149" s="75" t="str">
        <f aca="false">IF(AND(D149&gt;0,C149&gt;=D149-0.00001),"at cap","")</f>
        <v/>
      </c>
      <c r="J149" s="21" t="n">
        <f aca="false">F149*INDEX($F$34:$EU$34,1,A149)</f>
        <v>0</v>
      </c>
      <c r="K149" s="21" t="n">
        <f aca="false">F149*INDEX($F$35:$EU$35,1,A149)</f>
        <v>0</v>
      </c>
      <c r="L149" s="21" t="n">
        <f aca="false">F149*INDEX($F$36:$EU$36,1,A149)</f>
        <v>0</v>
      </c>
      <c r="M149" s="21" t="n">
        <f aca="false">F149*INDEX($F$37:$EU$37,1,A149)</f>
        <v>0</v>
      </c>
      <c r="N149" s="21" t="str">
        <f aca="false">IF(J149&gt;=0.5,COUNTIF(J$123:J149,"&gt;=0.5"),"")</f>
        <v/>
      </c>
      <c r="O149" s="21" t="str">
        <f aca="false">IF(K149&gt;=0.5,COUNTIF(K$123:K149,"&gt;=0.5"),"")</f>
        <v/>
      </c>
      <c r="P149" s="21" t="str">
        <f aca="false">IF(L149&gt;=0.5,COUNTIF(L$123:L149,"&gt;=0.5"),"")</f>
        <v/>
      </c>
      <c r="Q149" s="21" t="str">
        <f aca="false">IF(M149&gt;=0.5,COUNTIF(M$123:M149,"&gt;=0.5"),"")</f>
        <v/>
      </c>
    </row>
    <row r="150" customFormat="false" ht="15" hidden="false" customHeight="false" outlineLevel="0" collapsed="false">
      <c r="A150" s="4" t="n">
        <v>28</v>
      </c>
      <c r="B150" s="79" t="str">
        <f aca="false">AG$13</f>
        <v>Kidney beans (dry)</v>
      </c>
      <c r="C150" s="80" t="n">
        <v>0</v>
      </c>
      <c r="D150" s="71" t="n">
        <f aca="false">INDEX($F$15:$EU$15,1,A150)</f>
        <v>1.44</v>
      </c>
      <c r="E150" s="71" t="n">
        <f aca="false">INDEX($F$16:$EU$16,1,A150)</f>
        <v>0</v>
      </c>
      <c r="F150" s="21" t="n">
        <f aca="false">C150*100</f>
        <v>0</v>
      </c>
      <c r="G150" s="24" t="n">
        <f aca="false">F150/'Food Data'!N33</f>
        <v>0</v>
      </c>
      <c r="H150" s="81" t="n">
        <f aca="false">C150*INDEX($F$14:$EU$14,1,A150)</f>
        <v>0</v>
      </c>
      <c r="I150" s="75" t="str">
        <f aca="false">IF(AND(D150&gt;0,C150&gt;=D150-0.00001),"at cap","")</f>
        <v/>
      </c>
      <c r="J150" s="21" t="n">
        <f aca="false">F150*INDEX($F$34:$EU$34,1,A150)</f>
        <v>0</v>
      </c>
      <c r="K150" s="21" t="n">
        <f aca="false">F150*INDEX($F$35:$EU$35,1,A150)</f>
        <v>0</v>
      </c>
      <c r="L150" s="21" t="n">
        <f aca="false">F150*INDEX($F$36:$EU$36,1,A150)</f>
        <v>0</v>
      </c>
      <c r="M150" s="21" t="n">
        <f aca="false">F150*INDEX($F$37:$EU$37,1,A150)</f>
        <v>0</v>
      </c>
      <c r="N150" s="21" t="str">
        <f aca="false">IF(J150&gt;=0.5,COUNTIF(J$123:J150,"&gt;=0.5"),"")</f>
        <v/>
      </c>
      <c r="O150" s="21" t="str">
        <f aca="false">IF(K150&gt;=0.5,COUNTIF(K$123:K150,"&gt;=0.5"),"")</f>
        <v/>
      </c>
      <c r="P150" s="21" t="str">
        <f aca="false">IF(L150&gt;=0.5,COUNTIF(L$123:L150,"&gt;=0.5"),"")</f>
        <v/>
      </c>
      <c r="Q150" s="21" t="str">
        <f aca="false">IF(M150&gt;=0.5,COUNTIF(M$123:M150,"&gt;=0.5"),"")</f>
        <v/>
      </c>
    </row>
    <row r="151" customFormat="false" ht="15" hidden="false" customHeight="false" outlineLevel="0" collapsed="false">
      <c r="A151" s="4" t="n">
        <v>29</v>
      </c>
      <c r="B151" s="79" t="str">
        <f aca="false">AH$13</f>
        <v>Lentils (dry)</v>
      </c>
      <c r="C151" s="80" t="n">
        <v>0</v>
      </c>
      <c r="D151" s="71" t="n">
        <f aca="false">INDEX($F$15:$EU$15,1,A151)</f>
        <v>1.44</v>
      </c>
      <c r="E151" s="71" t="n">
        <f aca="false">INDEX($F$16:$EU$16,1,A151)</f>
        <v>0</v>
      </c>
      <c r="F151" s="21" t="n">
        <f aca="false">C151*100</f>
        <v>0</v>
      </c>
      <c r="G151" s="24" t="n">
        <f aca="false">F151/'Food Data'!N34</f>
        <v>0</v>
      </c>
      <c r="H151" s="81" t="n">
        <f aca="false">C151*INDEX($F$14:$EU$14,1,A151)</f>
        <v>0</v>
      </c>
      <c r="I151" s="75" t="str">
        <f aca="false">IF(AND(D151&gt;0,C151&gt;=D151-0.00001),"at cap","")</f>
        <v/>
      </c>
      <c r="J151" s="21" t="n">
        <f aca="false">F151*INDEX($F$34:$EU$34,1,A151)</f>
        <v>0</v>
      </c>
      <c r="K151" s="21" t="n">
        <f aca="false">F151*INDEX($F$35:$EU$35,1,A151)</f>
        <v>0</v>
      </c>
      <c r="L151" s="21" t="n">
        <f aca="false">F151*INDEX($F$36:$EU$36,1,A151)</f>
        <v>0</v>
      </c>
      <c r="M151" s="21" t="n">
        <f aca="false">F151*INDEX($F$37:$EU$37,1,A151)</f>
        <v>0</v>
      </c>
      <c r="N151" s="21" t="str">
        <f aca="false">IF(J151&gt;=0.5,COUNTIF(J$123:J151,"&gt;=0.5"),"")</f>
        <v/>
      </c>
      <c r="O151" s="21" t="str">
        <f aca="false">IF(K151&gt;=0.5,COUNTIF(K$123:K151,"&gt;=0.5"),"")</f>
        <v/>
      </c>
      <c r="P151" s="21" t="str">
        <f aca="false">IF(L151&gt;=0.5,COUNTIF(L$123:L151,"&gt;=0.5"),"")</f>
        <v/>
      </c>
      <c r="Q151" s="21" t="str">
        <f aca="false">IF(M151&gt;=0.5,COUNTIF(M$123:M151,"&gt;=0.5"),"")</f>
        <v/>
      </c>
    </row>
    <row r="152" customFormat="false" ht="15" hidden="false" customHeight="false" outlineLevel="0" collapsed="false">
      <c r="A152" s="4" t="n">
        <v>30</v>
      </c>
      <c r="B152" s="79" t="str">
        <f aca="false">AI$13</f>
        <v>Lima beans (dry)</v>
      </c>
      <c r="C152" s="80" t="n">
        <v>0</v>
      </c>
      <c r="D152" s="71" t="n">
        <f aca="false">INDEX($F$15:$EU$15,1,A152)</f>
        <v>1.44</v>
      </c>
      <c r="E152" s="71" t="n">
        <f aca="false">INDEX($F$16:$EU$16,1,A152)</f>
        <v>0</v>
      </c>
      <c r="F152" s="21" t="n">
        <f aca="false">C152*100</f>
        <v>0</v>
      </c>
      <c r="G152" s="24" t="n">
        <f aca="false">F152/'Food Data'!N35</f>
        <v>0</v>
      </c>
      <c r="H152" s="81" t="n">
        <f aca="false">C152*INDEX($F$14:$EU$14,1,A152)</f>
        <v>0</v>
      </c>
      <c r="I152" s="75" t="str">
        <f aca="false">IF(AND(D152&gt;0,C152&gt;=D152-0.00001),"at cap","")</f>
        <v/>
      </c>
      <c r="J152" s="21" t="n">
        <f aca="false">F152*INDEX($F$34:$EU$34,1,A152)</f>
        <v>0</v>
      </c>
      <c r="K152" s="21" t="n">
        <f aca="false">F152*INDEX($F$35:$EU$35,1,A152)</f>
        <v>0</v>
      </c>
      <c r="L152" s="21" t="n">
        <f aca="false">F152*INDEX($F$36:$EU$36,1,A152)</f>
        <v>0</v>
      </c>
      <c r="M152" s="21" t="n">
        <f aca="false">F152*INDEX($F$37:$EU$37,1,A152)</f>
        <v>0</v>
      </c>
      <c r="N152" s="21" t="str">
        <f aca="false">IF(J152&gt;=0.5,COUNTIF(J$123:J152,"&gt;=0.5"),"")</f>
        <v/>
      </c>
      <c r="O152" s="21" t="str">
        <f aca="false">IF(K152&gt;=0.5,COUNTIF(K$123:K152,"&gt;=0.5"),"")</f>
        <v/>
      </c>
      <c r="P152" s="21" t="str">
        <f aca="false">IF(L152&gt;=0.5,COUNTIF(L$123:L152,"&gt;=0.5"),"")</f>
        <v/>
      </c>
      <c r="Q152" s="21" t="str">
        <f aca="false">IF(M152&gt;=0.5,COUNTIF(M$123:M152,"&gt;=0.5"),"")</f>
        <v/>
      </c>
    </row>
    <row r="153" customFormat="false" ht="15" hidden="false" customHeight="false" outlineLevel="0" collapsed="false">
      <c r="A153" s="4" t="n">
        <v>31</v>
      </c>
      <c r="B153" s="79" t="str">
        <f aca="false">AJ$13</f>
        <v>Navy beans (canned)</v>
      </c>
      <c r="C153" s="80" t="n">
        <v>0</v>
      </c>
      <c r="D153" s="71" t="n">
        <f aca="false">INDEX($F$15:$EU$15,1,A153)</f>
        <v>3.6</v>
      </c>
      <c r="E153" s="71" t="n">
        <f aca="false">INDEX($F$16:$EU$16,1,A153)</f>
        <v>0</v>
      </c>
      <c r="F153" s="21" t="n">
        <f aca="false">C153*100</f>
        <v>0</v>
      </c>
      <c r="G153" s="24" t="n">
        <f aca="false">F153/'Food Data'!N36</f>
        <v>0</v>
      </c>
      <c r="H153" s="81" t="n">
        <f aca="false">C153*INDEX($F$14:$EU$14,1,A153)</f>
        <v>0</v>
      </c>
      <c r="I153" s="75" t="str">
        <f aca="false">IF(AND(D153&gt;0,C153&gt;=D153-0.00001),"at cap","")</f>
        <v/>
      </c>
      <c r="J153" s="21" t="n">
        <f aca="false">F153*INDEX($F$34:$EU$34,1,A153)</f>
        <v>0</v>
      </c>
      <c r="K153" s="21" t="n">
        <f aca="false">F153*INDEX($F$35:$EU$35,1,A153)</f>
        <v>0</v>
      </c>
      <c r="L153" s="21" t="n">
        <f aca="false">F153*INDEX($F$36:$EU$36,1,A153)</f>
        <v>0</v>
      </c>
      <c r="M153" s="21" t="n">
        <f aca="false">F153*INDEX($F$37:$EU$37,1,A153)</f>
        <v>0</v>
      </c>
      <c r="N153" s="21" t="str">
        <f aca="false">IF(J153&gt;=0.5,COUNTIF(J$123:J153,"&gt;=0.5"),"")</f>
        <v/>
      </c>
      <c r="O153" s="21" t="str">
        <f aca="false">IF(K153&gt;=0.5,COUNTIF(K$123:K153,"&gt;=0.5"),"")</f>
        <v/>
      </c>
      <c r="P153" s="21" t="str">
        <f aca="false">IF(L153&gt;=0.5,COUNTIF(L$123:L153,"&gt;=0.5"),"")</f>
        <v/>
      </c>
      <c r="Q153" s="21" t="str">
        <f aca="false">IF(M153&gt;=0.5,COUNTIF(M$123:M153,"&gt;=0.5"),"")</f>
        <v/>
      </c>
    </row>
    <row r="154" customFormat="false" ht="15" hidden="false" customHeight="false" outlineLevel="0" collapsed="false">
      <c r="A154" s="4" t="n">
        <v>32</v>
      </c>
      <c r="B154" s="79" t="str">
        <f aca="false">AK$13</f>
        <v>Navy beans (dry)</v>
      </c>
      <c r="C154" s="80" t="n">
        <v>0</v>
      </c>
      <c r="D154" s="71" t="n">
        <f aca="false">INDEX($F$15:$EU$15,1,A154)</f>
        <v>1.44</v>
      </c>
      <c r="E154" s="71" t="n">
        <f aca="false">INDEX($F$16:$EU$16,1,A154)</f>
        <v>0</v>
      </c>
      <c r="F154" s="21" t="n">
        <f aca="false">C154*100</f>
        <v>0</v>
      </c>
      <c r="G154" s="24" t="n">
        <f aca="false">F154/'Food Data'!N37</f>
        <v>0</v>
      </c>
      <c r="H154" s="81" t="n">
        <f aca="false">C154*INDEX($F$14:$EU$14,1,A154)</f>
        <v>0</v>
      </c>
      <c r="I154" s="75" t="str">
        <f aca="false">IF(AND(D154&gt;0,C154&gt;=D154-0.00001),"at cap","")</f>
        <v/>
      </c>
      <c r="J154" s="21" t="n">
        <f aca="false">F154*INDEX($F$34:$EU$34,1,A154)</f>
        <v>0</v>
      </c>
      <c r="K154" s="21" t="n">
        <f aca="false">F154*INDEX($F$35:$EU$35,1,A154)</f>
        <v>0</v>
      </c>
      <c r="L154" s="21" t="n">
        <f aca="false">F154*INDEX($F$36:$EU$36,1,A154)</f>
        <v>0</v>
      </c>
      <c r="M154" s="21" t="n">
        <f aca="false">F154*INDEX($F$37:$EU$37,1,A154)</f>
        <v>0</v>
      </c>
      <c r="N154" s="21" t="str">
        <f aca="false">IF(J154&gt;=0.5,COUNTIF(J$123:J154,"&gt;=0.5"),"")</f>
        <v/>
      </c>
      <c r="O154" s="21" t="str">
        <f aca="false">IF(K154&gt;=0.5,COUNTIF(K$123:K154,"&gt;=0.5"),"")</f>
        <v/>
      </c>
      <c r="P154" s="21" t="str">
        <f aca="false">IF(L154&gt;=0.5,COUNTIF(L$123:L154,"&gt;=0.5"),"")</f>
        <v/>
      </c>
      <c r="Q154" s="21" t="str">
        <f aca="false">IF(M154&gt;=0.5,COUNTIF(M$123:M154,"&gt;=0.5"),"")</f>
        <v/>
      </c>
    </row>
    <row r="155" customFormat="false" ht="15" hidden="false" customHeight="false" outlineLevel="0" collapsed="false">
      <c r="A155" s="4" t="n">
        <v>33</v>
      </c>
      <c r="B155" s="79" t="str">
        <f aca="false">AL$13</f>
        <v>Peanut butter</v>
      </c>
      <c r="C155" s="80" t="n">
        <v>0.64</v>
      </c>
      <c r="D155" s="71" t="n">
        <f aca="false">INDEX($F$15:$EU$15,1,A155)</f>
        <v>0.64</v>
      </c>
      <c r="E155" s="71" t="n">
        <f aca="false">INDEX($F$16:$EU$16,1,A155)</f>
        <v>0</v>
      </c>
      <c r="F155" s="21" t="n">
        <f aca="false">C155*100</f>
        <v>64</v>
      </c>
      <c r="G155" s="24" t="n">
        <f aca="false">F155/'Food Data'!N38</f>
        <v>2</v>
      </c>
      <c r="H155" s="81" t="n">
        <f aca="false">C155*INDEX($F$14:$EU$14,1,A155)</f>
        <v>0.224620811287478</v>
      </c>
      <c r="I155" s="75" t="str">
        <f aca="false">IF(AND(D155&gt;0,C155&gt;=D155-0.00001),"at cap","")</f>
        <v>at cap</v>
      </c>
      <c r="J155" s="21" t="n">
        <f aca="false">F155*INDEX($F$34:$EU$34,1,A155)</f>
        <v>32</v>
      </c>
      <c r="K155" s="21" t="n">
        <f aca="false">F155*INDEX($F$35:$EU$35,1,A155)</f>
        <v>0</v>
      </c>
      <c r="L155" s="21" t="n">
        <f aca="false">F155*INDEX($F$36:$EU$36,1,A155)</f>
        <v>0</v>
      </c>
      <c r="M155" s="21" t="n">
        <f aca="false">F155*INDEX($F$37:$EU$37,1,A155)</f>
        <v>32</v>
      </c>
      <c r="N155" s="21" t="n">
        <f aca="false">IF(J155&gt;=0.5,COUNTIF(J$123:J155,"&gt;=0.5"),"")</f>
        <v>2</v>
      </c>
      <c r="O155" s="21" t="str">
        <f aca="false">IF(K155&gt;=0.5,COUNTIF(K$123:K155,"&gt;=0.5"),"")</f>
        <v/>
      </c>
      <c r="P155" s="21" t="str">
        <f aca="false">IF(L155&gt;=0.5,COUNTIF(L$123:L155,"&gt;=0.5"),"")</f>
        <v/>
      </c>
      <c r="Q155" s="21" t="n">
        <f aca="false">IF(M155&gt;=0.5,COUNTIF(M$123:M155,"&gt;=0.5"),"")</f>
        <v>1</v>
      </c>
    </row>
    <row r="156" customFormat="false" ht="15" hidden="false" customHeight="false" outlineLevel="0" collapsed="false">
      <c r="A156" s="4" t="n">
        <v>34</v>
      </c>
      <c r="B156" s="79" t="str">
        <f aca="false">AM$13</f>
        <v>Pinto beans (canned)</v>
      </c>
      <c r="C156" s="80" t="n">
        <v>0</v>
      </c>
      <c r="D156" s="71" t="n">
        <f aca="false">INDEX($F$15:$EU$15,1,A156)</f>
        <v>3.6</v>
      </c>
      <c r="E156" s="71" t="n">
        <f aca="false">INDEX($F$16:$EU$16,1,A156)</f>
        <v>0</v>
      </c>
      <c r="F156" s="21" t="n">
        <f aca="false">C156*100</f>
        <v>0</v>
      </c>
      <c r="G156" s="24" t="n">
        <f aca="false">F156/'Food Data'!N39</f>
        <v>0</v>
      </c>
      <c r="H156" s="81" t="n">
        <f aca="false">C156*INDEX($F$14:$EU$14,1,A156)</f>
        <v>0</v>
      </c>
      <c r="I156" s="75" t="str">
        <f aca="false">IF(AND(D156&gt;0,C156&gt;=D156-0.00001),"at cap","")</f>
        <v/>
      </c>
      <c r="J156" s="21" t="n">
        <f aca="false">F156*INDEX($F$34:$EU$34,1,A156)</f>
        <v>0</v>
      </c>
      <c r="K156" s="21" t="n">
        <f aca="false">F156*INDEX($F$35:$EU$35,1,A156)</f>
        <v>0</v>
      </c>
      <c r="L156" s="21" t="n">
        <f aca="false">F156*INDEX($F$36:$EU$36,1,A156)</f>
        <v>0</v>
      </c>
      <c r="M156" s="21" t="n">
        <f aca="false">F156*INDEX($F$37:$EU$37,1,A156)</f>
        <v>0</v>
      </c>
      <c r="N156" s="21" t="str">
        <f aca="false">IF(J156&gt;=0.5,COUNTIF(J$123:J156,"&gt;=0.5"),"")</f>
        <v/>
      </c>
      <c r="O156" s="21" t="str">
        <f aca="false">IF(K156&gt;=0.5,COUNTIF(K$123:K156,"&gt;=0.5"),"")</f>
        <v/>
      </c>
      <c r="P156" s="21" t="str">
        <f aca="false">IF(L156&gt;=0.5,COUNTIF(L$123:L156,"&gt;=0.5"),"")</f>
        <v/>
      </c>
      <c r="Q156" s="21" t="str">
        <f aca="false">IF(M156&gt;=0.5,COUNTIF(M$123:M156,"&gt;=0.5"),"")</f>
        <v/>
      </c>
    </row>
    <row r="157" customFormat="false" ht="15" hidden="false" customHeight="false" outlineLevel="0" collapsed="false">
      <c r="A157" s="4" t="n">
        <v>35</v>
      </c>
      <c r="B157" s="79" t="str">
        <f aca="false">AN$13</f>
        <v>Pinto beans (dry)</v>
      </c>
      <c r="C157" s="80" t="n">
        <v>1.44</v>
      </c>
      <c r="D157" s="71" t="n">
        <f aca="false">INDEX($F$15:$EU$15,1,A157)</f>
        <v>1.44</v>
      </c>
      <c r="E157" s="71" t="n">
        <f aca="false">INDEX($F$16:$EU$16,1,A157)</f>
        <v>0</v>
      </c>
      <c r="F157" s="21" t="n">
        <f aca="false">C157*100</f>
        <v>144</v>
      </c>
      <c r="G157" s="24" t="n">
        <f aca="false">F157/'Food Data'!N40</f>
        <v>3</v>
      </c>
      <c r="H157" s="81" t="n">
        <f aca="false">C157*INDEX($F$14:$EU$14,1,A157)</f>
        <v>0.314285714285714</v>
      </c>
      <c r="I157" s="75" t="str">
        <f aca="false">IF(AND(D157&gt;0,C157&gt;=D157-0.00001),"at cap","")</f>
        <v>at cap</v>
      </c>
      <c r="J157" s="21" t="n">
        <f aca="false">F157*INDEX($F$34:$EU$34,1,A157)</f>
        <v>0</v>
      </c>
      <c r="K157" s="21" t="n">
        <f aca="false">F157*INDEX($F$35:$EU$35,1,A157)</f>
        <v>72</v>
      </c>
      <c r="L157" s="21" t="n">
        <f aca="false">F157*INDEX($F$36:$EU$36,1,A157)</f>
        <v>72</v>
      </c>
      <c r="M157" s="21" t="n">
        <f aca="false">F157*INDEX($F$37:$EU$37,1,A157)</f>
        <v>0</v>
      </c>
      <c r="N157" s="21" t="str">
        <f aca="false">IF(J157&gt;=0.5,COUNTIF(J$123:J157,"&gt;=0.5"),"")</f>
        <v/>
      </c>
      <c r="O157" s="21" t="n">
        <f aca="false">IF(K157&gt;=0.5,COUNTIF(K$123:K157,"&gt;=0.5"),"")</f>
        <v>2</v>
      </c>
      <c r="P157" s="21" t="n">
        <f aca="false">IF(L157&gt;=0.5,COUNTIF(L$123:L157,"&gt;=0.5"),"")</f>
        <v>2</v>
      </c>
      <c r="Q157" s="21" t="str">
        <f aca="false">IF(M157&gt;=0.5,COUNTIF(M$123:M157,"&gt;=0.5"),"")</f>
        <v/>
      </c>
    </row>
    <row r="158" customFormat="false" ht="15" hidden="false" customHeight="false" outlineLevel="0" collapsed="false">
      <c r="A158" s="4" t="n">
        <v>36</v>
      </c>
      <c r="B158" s="79" t="str">
        <f aca="false">AO$13</f>
        <v>Tofu (extra firm)</v>
      </c>
      <c r="C158" s="80" t="n">
        <v>0</v>
      </c>
      <c r="D158" s="71" t="n">
        <f aca="false">INDEX($F$15:$EU$15,1,A158)</f>
        <v>2.55</v>
      </c>
      <c r="E158" s="71" t="n">
        <f aca="false">INDEX($F$16:$EU$16,1,A158)</f>
        <v>0</v>
      </c>
      <c r="F158" s="21" t="n">
        <f aca="false">C158*100</f>
        <v>0</v>
      </c>
      <c r="G158" s="24" t="n">
        <f aca="false">F158/'Food Data'!N41</f>
        <v>0</v>
      </c>
      <c r="H158" s="81" t="n">
        <f aca="false">C158*INDEX($F$14:$EU$14,1,A158)</f>
        <v>0</v>
      </c>
      <c r="I158" s="75" t="str">
        <f aca="false">IF(AND(D158&gt;0,C158&gt;=D158-0.00001),"at cap","")</f>
        <v/>
      </c>
      <c r="J158" s="21" t="n">
        <f aca="false">F158*INDEX($F$34:$EU$34,1,A158)</f>
        <v>0</v>
      </c>
      <c r="K158" s="21" t="n">
        <f aca="false">F158*INDEX($F$35:$EU$35,1,A158)</f>
        <v>0</v>
      </c>
      <c r="L158" s="21" t="n">
        <f aca="false">F158*INDEX($F$36:$EU$36,1,A158)</f>
        <v>0</v>
      </c>
      <c r="M158" s="21" t="n">
        <f aca="false">F158*INDEX($F$37:$EU$37,1,A158)</f>
        <v>0</v>
      </c>
      <c r="N158" s="21" t="str">
        <f aca="false">IF(J158&gt;=0.5,COUNTIF(J$123:J158,"&gt;=0.5"),"")</f>
        <v/>
      </c>
      <c r="O158" s="21" t="str">
        <f aca="false">IF(K158&gt;=0.5,COUNTIF(K$123:K158,"&gt;=0.5"),"")</f>
        <v/>
      </c>
      <c r="P158" s="21" t="str">
        <f aca="false">IF(L158&gt;=0.5,COUNTIF(L$123:L158,"&gt;=0.5"),"")</f>
        <v/>
      </c>
      <c r="Q158" s="21" t="str">
        <f aca="false">IF(M158&gt;=0.5,COUNTIF(M$123:M158,"&gt;=0.5"),"")</f>
        <v/>
      </c>
    </row>
    <row r="159" customFormat="false" ht="15" hidden="false" customHeight="false" outlineLevel="0" collapsed="false">
      <c r="A159" s="4" t="n">
        <v>37</v>
      </c>
      <c r="B159" s="79" t="str">
        <f aca="false">AP$13</f>
        <v>2% milk</v>
      </c>
      <c r="C159" s="80" t="n">
        <v>4.599080976</v>
      </c>
      <c r="D159" s="71" t="n">
        <f aca="false">INDEX($F$15:$EU$15,1,A159)</f>
        <v>7.32</v>
      </c>
      <c r="E159" s="71" t="n">
        <f aca="false">INDEX($F$16:$EU$16,1,A159)</f>
        <v>0</v>
      </c>
      <c r="F159" s="21" t="n">
        <f aca="false">C159*100</f>
        <v>459.9080976</v>
      </c>
      <c r="G159" s="24" t="n">
        <f aca="false">F159/'Food Data'!N42</f>
        <v>1.88486925245902</v>
      </c>
      <c r="H159" s="81" t="n">
        <f aca="false">C159*INDEX($F$14:$EU$14,1,A159)</f>
        <v>0.389932326602459</v>
      </c>
      <c r="I159" s="75" t="str">
        <f aca="false">IF(AND(D159&gt;0,C159&gt;=D159-0.00001),"at cap","")</f>
        <v/>
      </c>
      <c r="J159" s="21" t="n">
        <f aca="false">F159*INDEX($F$34:$EU$34,1,A159)</f>
        <v>229.9540488</v>
      </c>
      <c r="K159" s="21" t="n">
        <f aca="false">F159*INDEX($F$35:$EU$35,1,A159)</f>
        <v>0</v>
      </c>
      <c r="L159" s="21" t="n">
        <f aca="false">F159*INDEX($F$36:$EU$36,1,A159)</f>
        <v>0</v>
      </c>
      <c r="M159" s="21" t="n">
        <f aca="false">F159*INDEX($F$37:$EU$37,1,A159)</f>
        <v>229.9540488</v>
      </c>
      <c r="N159" s="21" t="n">
        <f aca="false">IF(J159&gt;=0.5,COUNTIF(J$123:J159,"&gt;=0.5"),"")</f>
        <v>3</v>
      </c>
      <c r="O159" s="21" t="str">
        <f aca="false">IF(K159&gt;=0.5,COUNTIF(K$123:K159,"&gt;=0.5"),"")</f>
        <v/>
      </c>
      <c r="P159" s="21" t="str">
        <f aca="false">IF(L159&gt;=0.5,COUNTIF(L$123:L159,"&gt;=0.5"),"")</f>
        <v/>
      </c>
      <c r="Q159" s="21" t="n">
        <f aca="false">IF(M159&gt;=0.5,COUNTIF(M$123:M159,"&gt;=0.5"),"")</f>
        <v>2</v>
      </c>
    </row>
    <row r="160" customFormat="false" ht="15" hidden="false" customHeight="false" outlineLevel="0" collapsed="false">
      <c r="A160" s="4" t="n">
        <v>38</v>
      </c>
      <c r="B160" s="79" t="str">
        <f aca="false">AQ$13</f>
        <v>Greek yogurt (plain, nonfat)</v>
      </c>
      <c r="C160" s="80" t="n">
        <v>0</v>
      </c>
      <c r="D160" s="71" t="n">
        <f aca="false">INDEX($F$15:$EU$15,1,A160)</f>
        <v>3.4</v>
      </c>
      <c r="E160" s="71" t="n">
        <f aca="false">INDEX($F$16:$EU$16,1,A160)</f>
        <v>0</v>
      </c>
      <c r="F160" s="21" t="n">
        <f aca="false">C160*100</f>
        <v>0</v>
      </c>
      <c r="G160" s="24" t="n">
        <f aca="false">F160/'Food Data'!N43</f>
        <v>0</v>
      </c>
      <c r="H160" s="81" t="n">
        <f aca="false">C160*INDEX($F$14:$EU$14,1,A160)</f>
        <v>0</v>
      </c>
      <c r="I160" s="75" t="str">
        <f aca="false">IF(AND(D160&gt;0,C160&gt;=D160-0.00001),"at cap","")</f>
        <v/>
      </c>
      <c r="J160" s="21" t="n">
        <f aca="false">F160*INDEX($F$34:$EU$34,1,A160)</f>
        <v>0</v>
      </c>
      <c r="K160" s="21" t="n">
        <f aca="false">F160*INDEX($F$35:$EU$35,1,A160)</f>
        <v>0</v>
      </c>
      <c r="L160" s="21" t="n">
        <f aca="false">F160*INDEX($F$36:$EU$36,1,A160)</f>
        <v>0</v>
      </c>
      <c r="M160" s="21" t="n">
        <f aca="false">F160*INDEX($F$37:$EU$37,1,A160)</f>
        <v>0</v>
      </c>
      <c r="N160" s="21" t="str">
        <f aca="false">IF(J160&gt;=0.5,COUNTIF(J$123:J160,"&gt;=0.5"),"")</f>
        <v/>
      </c>
      <c r="O160" s="21" t="str">
        <f aca="false">IF(K160&gt;=0.5,COUNTIF(K$123:K160,"&gt;=0.5"),"")</f>
        <v/>
      </c>
      <c r="P160" s="21" t="str">
        <f aca="false">IF(L160&gt;=0.5,COUNTIF(L$123:L160,"&gt;=0.5"),"")</f>
        <v/>
      </c>
      <c r="Q160" s="21" t="str">
        <f aca="false">IF(M160&gt;=0.5,COUNTIF(M$123:M160,"&gt;=0.5"),"")</f>
        <v/>
      </c>
    </row>
    <row r="161" customFormat="false" ht="15" hidden="false" customHeight="false" outlineLevel="0" collapsed="false">
      <c r="A161" s="4" t="n">
        <v>39</v>
      </c>
      <c r="B161" s="79" t="str">
        <f aca="false">AR$13</f>
        <v>Soy milk (calcium-fortified)</v>
      </c>
      <c r="C161" s="80" t="n">
        <v>0</v>
      </c>
      <c r="D161" s="71" t="n">
        <f aca="false">INDEX($F$15:$EU$15,1,A161)</f>
        <v>7.29</v>
      </c>
      <c r="E161" s="71" t="n">
        <f aca="false">INDEX($F$16:$EU$16,1,A161)</f>
        <v>0</v>
      </c>
      <c r="F161" s="21" t="n">
        <f aca="false">C161*100</f>
        <v>0</v>
      </c>
      <c r="G161" s="24" t="n">
        <f aca="false">F161/'Food Data'!N44</f>
        <v>0</v>
      </c>
      <c r="H161" s="81" t="n">
        <f aca="false">C161*INDEX($F$14:$EU$14,1,A161)</f>
        <v>0</v>
      </c>
      <c r="I161" s="75" t="str">
        <f aca="false">IF(AND(D161&gt;0,C161&gt;=D161-0.00001),"at cap","")</f>
        <v/>
      </c>
      <c r="J161" s="21" t="n">
        <f aca="false">F161*INDEX($F$34:$EU$34,1,A161)</f>
        <v>0</v>
      </c>
      <c r="K161" s="21" t="n">
        <f aca="false">F161*INDEX($F$35:$EU$35,1,A161)</f>
        <v>0</v>
      </c>
      <c r="L161" s="21" t="n">
        <f aca="false">F161*INDEX($F$36:$EU$36,1,A161)</f>
        <v>0</v>
      </c>
      <c r="M161" s="21" t="n">
        <f aca="false">F161*INDEX($F$37:$EU$37,1,A161)</f>
        <v>0</v>
      </c>
      <c r="N161" s="21" t="str">
        <f aca="false">IF(J161&gt;=0.5,COUNTIF(J$123:J161,"&gt;=0.5"),"")</f>
        <v/>
      </c>
      <c r="O161" s="21" t="str">
        <f aca="false">IF(K161&gt;=0.5,COUNTIF(K$123:K161,"&gt;=0.5"),"")</f>
        <v/>
      </c>
      <c r="P161" s="21" t="str">
        <f aca="false">IF(L161&gt;=0.5,COUNTIF(L$123:L161,"&gt;=0.5"),"")</f>
        <v/>
      </c>
      <c r="Q161" s="21" t="str">
        <f aca="false">IF(M161&gt;=0.5,COUNTIF(M$123:M161,"&gt;=0.5"),"")</f>
        <v/>
      </c>
    </row>
    <row r="162" customFormat="false" ht="15" hidden="false" customHeight="false" outlineLevel="0" collapsed="false">
      <c r="A162" s="4" t="n">
        <v>40</v>
      </c>
      <c r="B162" s="79" t="str">
        <f aca="false">AS$13</f>
        <v>Whole milk</v>
      </c>
      <c r="C162" s="80" t="n">
        <v>0</v>
      </c>
      <c r="D162" s="71" t="n">
        <f aca="false">INDEX($F$15:$EU$15,1,A162)</f>
        <v>7.32</v>
      </c>
      <c r="E162" s="71" t="n">
        <f aca="false">INDEX($F$16:$EU$16,1,A162)</f>
        <v>0</v>
      </c>
      <c r="F162" s="21" t="n">
        <f aca="false">C162*100</f>
        <v>0</v>
      </c>
      <c r="G162" s="24" t="n">
        <f aca="false">F162/'Food Data'!N45</f>
        <v>0</v>
      </c>
      <c r="H162" s="81" t="n">
        <f aca="false">C162*INDEX($F$14:$EU$14,1,A162)</f>
        <v>0</v>
      </c>
      <c r="I162" s="75" t="str">
        <f aca="false">IF(AND(D162&gt;0,C162&gt;=D162-0.00001),"at cap","")</f>
        <v/>
      </c>
      <c r="J162" s="21" t="n">
        <f aca="false">F162*INDEX($F$34:$EU$34,1,A162)</f>
        <v>0</v>
      </c>
      <c r="K162" s="21" t="n">
        <f aca="false">F162*INDEX($F$35:$EU$35,1,A162)</f>
        <v>0</v>
      </c>
      <c r="L162" s="21" t="n">
        <f aca="false">F162*INDEX($F$36:$EU$36,1,A162)</f>
        <v>0</v>
      </c>
      <c r="M162" s="21" t="n">
        <f aca="false">F162*INDEX($F$37:$EU$37,1,A162)</f>
        <v>0</v>
      </c>
      <c r="N162" s="21" t="str">
        <f aca="false">IF(J162&gt;=0.5,COUNTIF(J$123:J162,"&gt;=0.5"),"")</f>
        <v/>
      </c>
      <c r="O162" s="21" t="str">
        <f aca="false">IF(K162&gt;=0.5,COUNTIF(K$123:K162,"&gt;=0.5"),"")</f>
        <v/>
      </c>
      <c r="P162" s="21" t="str">
        <f aca="false">IF(L162&gt;=0.5,COUNTIF(L$123:L162,"&gt;=0.5"),"")</f>
        <v/>
      </c>
      <c r="Q162" s="21" t="str">
        <f aca="false">IF(M162&gt;=0.5,COUNTIF(M$123:M162,"&gt;=0.5"),"")</f>
        <v/>
      </c>
    </row>
    <row r="163" customFormat="false" ht="15" hidden="false" customHeight="false" outlineLevel="0" collapsed="false">
      <c r="A163" s="4" t="n">
        <v>41</v>
      </c>
      <c r="B163" s="79" t="str">
        <f aca="false">AT$13</f>
        <v>American cheese (singles)</v>
      </c>
      <c r="C163" s="80" t="n">
        <v>0</v>
      </c>
      <c r="D163" s="71" t="n">
        <f aca="false">INDEX($F$15:$EU$15,1,A163)</f>
        <v>0.57</v>
      </c>
      <c r="E163" s="71" t="n">
        <f aca="false">INDEX($F$16:$EU$16,1,A163)</f>
        <v>0</v>
      </c>
      <c r="F163" s="21" t="n">
        <f aca="false">C163*100</f>
        <v>0</v>
      </c>
      <c r="G163" s="24" t="n">
        <f aca="false">F163/'Food Data'!N46</f>
        <v>0</v>
      </c>
      <c r="H163" s="81" t="n">
        <f aca="false">C163*INDEX($F$14:$EU$14,1,A163)</f>
        <v>0</v>
      </c>
      <c r="I163" s="75" t="str">
        <f aca="false">IF(AND(D163&gt;0,C163&gt;=D163-0.00001),"at cap","")</f>
        <v/>
      </c>
      <c r="J163" s="21" t="n">
        <f aca="false">F163*INDEX($F$34:$EU$34,1,A163)</f>
        <v>0</v>
      </c>
      <c r="K163" s="21" t="n">
        <f aca="false">F163*INDEX($F$35:$EU$35,1,A163)</f>
        <v>0</v>
      </c>
      <c r="L163" s="21" t="n">
        <f aca="false">F163*INDEX($F$36:$EU$36,1,A163)</f>
        <v>0</v>
      </c>
      <c r="M163" s="21" t="n">
        <f aca="false">F163*INDEX($F$37:$EU$37,1,A163)</f>
        <v>0</v>
      </c>
      <c r="N163" s="21" t="str">
        <f aca="false">IF(J163&gt;=0.5,COUNTIF(J$123:J163,"&gt;=0.5"),"")</f>
        <v/>
      </c>
      <c r="O163" s="21" t="str">
        <f aca="false">IF(K163&gt;=0.5,COUNTIF(K$123:K163,"&gt;=0.5"),"")</f>
        <v/>
      </c>
      <c r="P163" s="21" t="str">
        <f aca="false">IF(L163&gt;=0.5,COUNTIF(L$123:L163,"&gt;=0.5"),"")</f>
        <v/>
      </c>
      <c r="Q163" s="21" t="str">
        <f aca="false">IF(M163&gt;=0.5,COUNTIF(M$123:M163,"&gt;=0.5"),"")</f>
        <v/>
      </c>
    </row>
    <row r="164" customFormat="false" ht="15" hidden="false" customHeight="false" outlineLevel="0" collapsed="false">
      <c r="A164" s="4" t="n">
        <v>42</v>
      </c>
      <c r="B164" s="79" t="str">
        <f aca="false">AU$13</f>
        <v>Cheddar cheese</v>
      </c>
      <c r="C164" s="80" t="n">
        <v>0</v>
      </c>
      <c r="D164" s="71" t="n">
        <f aca="false">INDEX($F$15:$EU$15,1,A164)</f>
        <v>0.56</v>
      </c>
      <c r="E164" s="71" t="n">
        <f aca="false">INDEX($F$16:$EU$16,1,A164)</f>
        <v>0</v>
      </c>
      <c r="F164" s="21" t="n">
        <f aca="false">C164*100</f>
        <v>0</v>
      </c>
      <c r="G164" s="24" t="n">
        <f aca="false">F164/'Food Data'!N47</f>
        <v>0</v>
      </c>
      <c r="H164" s="81" t="n">
        <f aca="false">C164*INDEX($F$14:$EU$14,1,A164)</f>
        <v>0</v>
      </c>
      <c r="I164" s="75" t="str">
        <f aca="false">IF(AND(D164&gt;0,C164&gt;=D164-0.00001),"at cap","")</f>
        <v/>
      </c>
      <c r="J164" s="21" t="n">
        <f aca="false">F164*INDEX($F$34:$EU$34,1,A164)</f>
        <v>0</v>
      </c>
      <c r="K164" s="21" t="n">
        <f aca="false">F164*INDEX($F$35:$EU$35,1,A164)</f>
        <v>0</v>
      </c>
      <c r="L164" s="21" t="n">
        <f aca="false">F164*INDEX($F$36:$EU$36,1,A164)</f>
        <v>0</v>
      </c>
      <c r="M164" s="21" t="n">
        <f aca="false">F164*INDEX($F$37:$EU$37,1,A164)</f>
        <v>0</v>
      </c>
      <c r="N164" s="21" t="str">
        <f aca="false">IF(J164&gt;=0.5,COUNTIF(J$123:J164,"&gt;=0.5"),"")</f>
        <v/>
      </c>
      <c r="O164" s="21" t="str">
        <f aca="false">IF(K164&gt;=0.5,COUNTIF(K$123:K164,"&gt;=0.5"),"")</f>
        <v/>
      </c>
      <c r="P164" s="21" t="str">
        <f aca="false">IF(L164&gt;=0.5,COUNTIF(L$123:L164,"&gt;=0.5"),"")</f>
        <v/>
      </c>
      <c r="Q164" s="21" t="str">
        <f aca="false">IF(M164&gt;=0.5,COUNTIF(M$123:M164,"&gt;=0.5"),"")</f>
        <v/>
      </c>
    </row>
    <row r="165" customFormat="false" ht="15" hidden="false" customHeight="false" outlineLevel="0" collapsed="false">
      <c r="A165" s="4" t="n">
        <v>43</v>
      </c>
      <c r="B165" s="79" t="str">
        <f aca="false">AV$13</f>
        <v>Cottage cheese (2%)</v>
      </c>
      <c r="C165" s="80" t="n">
        <v>0</v>
      </c>
      <c r="D165" s="71" t="n">
        <f aca="false">INDEX($F$15:$EU$15,1,A165)</f>
        <v>2.26</v>
      </c>
      <c r="E165" s="71" t="n">
        <f aca="false">INDEX($F$16:$EU$16,1,A165)</f>
        <v>0</v>
      </c>
      <c r="F165" s="21" t="n">
        <f aca="false">C165*100</f>
        <v>0</v>
      </c>
      <c r="G165" s="24" t="n">
        <f aca="false">F165/'Food Data'!N48</f>
        <v>0</v>
      </c>
      <c r="H165" s="81" t="n">
        <f aca="false">C165*INDEX($F$14:$EU$14,1,A165)</f>
        <v>0</v>
      </c>
      <c r="I165" s="75" t="str">
        <f aca="false">IF(AND(D165&gt;0,C165&gt;=D165-0.00001),"at cap","")</f>
        <v/>
      </c>
      <c r="J165" s="21" t="n">
        <f aca="false">F165*INDEX($F$34:$EU$34,1,A165)</f>
        <v>0</v>
      </c>
      <c r="K165" s="21" t="n">
        <f aca="false">F165*INDEX($F$35:$EU$35,1,A165)</f>
        <v>0</v>
      </c>
      <c r="L165" s="21" t="n">
        <f aca="false">F165*INDEX($F$36:$EU$36,1,A165)</f>
        <v>0</v>
      </c>
      <c r="M165" s="21" t="n">
        <f aca="false">F165*INDEX($F$37:$EU$37,1,A165)</f>
        <v>0</v>
      </c>
      <c r="N165" s="21" t="str">
        <f aca="false">IF(J165&gt;=0.5,COUNTIF(J$123:J165,"&gt;=0.5"),"")</f>
        <v/>
      </c>
      <c r="O165" s="21" t="str">
        <f aca="false">IF(K165&gt;=0.5,COUNTIF(K$123:K165,"&gt;=0.5"),"")</f>
        <v/>
      </c>
      <c r="P165" s="21" t="str">
        <f aca="false">IF(L165&gt;=0.5,COUNTIF(L$123:L165,"&gt;=0.5"),"")</f>
        <v/>
      </c>
      <c r="Q165" s="21" t="str">
        <f aca="false">IF(M165&gt;=0.5,COUNTIF(M$123:M165,"&gt;=0.5"),"")</f>
        <v/>
      </c>
    </row>
    <row r="166" customFormat="false" ht="15" hidden="false" customHeight="false" outlineLevel="0" collapsed="false">
      <c r="A166" s="4" t="n">
        <v>44</v>
      </c>
      <c r="B166" s="79" t="str">
        <f aca="false">AW$13</f>
        <v>Mozzarella string cheese</v>
      </c>
      <c r="C166" s="80" t="n">
        <v>0</v>
      </c>
      <c r="D166" s="71" t="n">
        <f aca="false">INDEX($F$15:$EU$15,1,A166)</f>
        <v>0.56</v>
      </c>
      <c r="E166" s="71" t="n">
        <f aca="false">INDEX($F$16:$EU$16,1,A166)</f>
        <v>0</v>
      </c>
      <c r="F166" s="21" t="n">
        <f aca="false">C166*100</f>
        <v>0</v>
      </c>
      <c r="G166" s="24" t="n">
        <f aca="false">F166/'Food Data'!N49</f>
        <v>0</v>
      </c>
      <c r="H166" s="81" t="n">
        <f aca="false">C166*INDEX($F$14:$EU$14,1,A166)</f>
        <v>0</v>
      </c>
      <c r="I166" s="75" t="str">
        <f aca="false">IF(AND(D166&gt;0,C166&gt;=D166-0.00001),"at cap","")</f>
        <v/>
      </c>
      <c r="J166" s="21" t="n">
        <f aca="false">F166*INDEX($F$34:$EU$34,1,A166)</f>
        <v>0</v>
      </c>
      <c r="K166" s="21" t="n">
        <f aca="false">F166*INDEX($F$35:$EU$35,1,A166)</f>
        <v>0</v>
      </c>
      <c r="L166" s="21" t="n">
        <f aca="false">F166*INDEX($F$36:$EU$36,1,A166)</f>
        <v>0</v>
      </c>
      <c r="M166" s="21" t="n">
        <f aca="false">F166*INDEX($F$37:$EU$37,1,A166)</f>
        <v>0</v>
      </c>
      <c r="N166" s="21" t="str">
        <f aca="false">IF(J166&gt;=0.5,COUNTIF(J$123:J166,"&gt;=0.5"),"")</f>
        <v/>
      </c>
      <c r="O166" s="21" t="str">
        <f aca="false">IF(K166&gt;=0.5,COUNTIF(K$123:K166,"&gt;=0.5"),"")</f>
        <v/>
      </c>
      <c r="P166" s="21" t="str">
        <f aca="false">IF(L166&gt;=0.5,COUNTIF(L$123:L166,"&gt;=0.5"),"")</f>
        <v/>
      </c>
      <c r="Q166" s="21" t="str">
        <f aca="false">IF(M166&gt;=0.5,COUNTIF(M$123:M166,"&gt;=0.5"),"")</f>
        <v/>
      </c>
    </row>
    <row r="167" customFormat="false" ht="15" hidden="false" customHeight="false" outlineLevel="0" collapsed="false">
      <c r="A167" s="4" t="n">
        <v>45</v>
      </c>
      <c r="B167" s="79" t="str">
        <f aca="false">AX$13</f>
        <v>Bagels (plain)</v>
      </c>
      <c r="C167" s="80" t="n">
        <v>0</v>
      </c>
      <c r="D167" s="71" t="n">
        <f aca="false">INDEX($F$15:$EU$15,1,A167)</f>
        <v>0.94</v>
      </c>
      <c r="E167" s="71" t="n">
        <f aca="false">INDEX($F$16:$EU$16,1,A167)</f>
        <v>0</v>
      </c>
      <c r="F167" s="21" t="n">
        <f aca="false">C167*100</f>
        <v>0</v>
      </c>
      <c r="G167" s="24" t="n">
        <f aca="false">F167/'Food Data'!N50</f>
        <v>0</v>
      </c>
      <c r="H167" s="81" t="n">
        <f aca="false">C167*INDEX($F$14:$EU$14,1,A167)</f>
        <v>0</v>
      </c>
      <c r="I167" s="75" t="str">
        <f aca="false">IF(AND(D167&gt;0,C167&gt;=D167-0.00001),"at cap","")</f>
        <v/>
      </c>
      <c r="J167" s="21" t="n">
        <f aca="false">F167*INDEX($F$34:$EU$34,1,A167)</f>
        <v>0</v>
      </c>
      <c r="K167" s="21" t="n">
        <f aca="false">F167*INDEX($F$35:$EU$35,1,A167)</f>
        <v>0</v>
      </c>
      <c r="L167" s="21" t="n">
        <f aca="false">F167*INDEX($F$36:$EU$36,1,A167)</f>
        <v>0</v>
      </c>
      <c r="M167" s="21" t="n">
        <f aca="false">F167*INDEX($F$37:$EU$37,1,A167)</f>
        <v>0</v>
      </c>
      <c r="N167" s="21" t="str">
        <f aca="false">IF(J167&gt;=0.5,COUNTIF(J$123:J167,"&gt;=0.5"),"")</f>
        <v/>
      </c>
      <c r="O167" s="21" t="str">
        <f aca="false">IF(K167&gt;=0.5,COUNTIF(K$123:K167,"&gt;=0.5"),"")</f>
        <v/>
      </c>
      <c r="P167" s="21" t="str">
        <f aca="false">IF(L167&gt;=0.5,COUNTIF(L$123:L167,"&gt;=0.5"),"")</f>
        <v/>
      </c>
      <c r="Q167" s="21" t="str">
        <f aca="false">IF(M167&gt;=0.5,COUNTIF(M$123:M167,"&gt;=0.5"),"")</f>
        <v/>
      </c>
    </row>
    <row r="168" customFormat="false" ht="15" hidden="false" customHeight="false" outlineLevel="0" collapsed="false">
      <c r="A168" s="4" t="n">
        <v>46</v>
      </c>
      <c r="B168" s="79" t="str">
        <f aca="false">AY$13</f>
        <v>Brown rice (dry)</v>
      </c>
      <c r="C168" s="80" t="n">
        <v>1.511128803</v>
      </c>
      <c r="D168" s="71" t="n">
        <f aca="false">INDEX($F$15:$EU$15,1,A168)</f>
        <v>1.84</v>
      </c>
      <c r="E168" s="71" t="n">
        <f aca="false">INDEX($F$16:$EU$16,1,A168)</f>
        <v>0</v>
      </c>
      <c r="F168" s="21" t="n">
        <f aca="false">C168*100</f>
        <v>151.1128803</v>
      </c>
      <c r="G168" s="24" t="n">
        <f aca="false">F168/'Food Data'!N51</f>
        <v>3.28506261521739</v>
      </c>
      <c r="H168" s="81" t="n">
        <f aca="false">C168*INDEX($F$14:$EU$14,1,A168)</f>
        <v>0.286501492632275</v>
      </c>
      <c r="I168" s="75" t="str">
        <f aca="false">IF(AND(D168&gt;0,C168&gt;=D168-0.00001),"at cap","")</f>
        <v/>
      </c>
      <c r="J168" s="21" t="n">
        <f aca="false">F168*INDEX($F$34:$EU$34,1,A168)</f>
        <v>0</v>
      </c>
      <c r="K168" s="21" t="n">
        <f aca="false">F168*INDEX($F$35:$EU$35,1,A168)</f>
        <v>75.55644015</v>
      </c>
      <c r="L168" s="21" t="n">
        <f aca="false">F168*INDEX($F$36:$EU$36,1,A168)</f>
        <v>75.55644015</v>
      </c>
      <c r="M168" s="21" t="n">
        <f aca="false">F168*INDEX($F$37:$EU$37,1,A168)</f>
        <v>0</v>
      </c>
      <c r="N168" s="21" t="str">
        <f aca="false">IF(J168&gt;=0.5,COUNTIF(J$123:J168,"&gt;=0.5"),"")</f>
        <v/>
      </c>
      <c r="O168" s="21" t="n">
        <f aca="false">IF(K168&gt;=0.5,COUNTIF(K$123:K168,"&gt;=0.5"),"")</f>
        <v>3</v>
      </c>
      <c r="P168" s="21" t="n">
        <f aca="false">IF(L168&gt;=0.5,COUNTIF(L$123:L168,"&gt;=0.5"),"")</f>
        <v>3</v>
      </c>
      <c r="Q168" s="21" t="str">
        <f aca="false">IF(M168&gt;=0.5,COUNTIF(M$123:M168,"&gt;=0.5"),"")</f>
        <v/>
      </c>
    </row>
    <row r="169" customFormat="false" ht="15" hidden="false" customHeight="false" outlineLevel="0" collapsed="false">
      <c r="A169" s="4" t="n">
        <v>47</v>
      </c>
      <c r="B169" s="79" t="str">
        <f aca="false">AZ$13</f>
        <v>Cheerios</v>
      </c>
      <c r="C169" s="80" t="n">
        <v>0</v>
      </c>
      <c r="D169" s="71" t="n">
        <f aca="false">INDEX($F$15:$EU$15,1,A169)</f>
        <v>0.56</v>
      </c>
      <c r="E169" s="71" t="n">
        <f aca="false">INDEX($F$16:$EU$16,1,A169)</f>
        <v>0</v>
      </c>
      <c r="F169" s="21" t="n">
        <f aca="false">C169*100</f>
        <v>0</v>
      </c>
      <c r="G169" s="24" t="n">
        <f aca="false">F169/'Food Data'!N52</f>
        <v>0</v>
      </c>
      <c r="H169" s="81" t="n">
        <f aca="false">C169*INDEX($F$14:$EU$14,1,A169)</f>
        <v>0</v>
      </c>
      <c r="I169" s="75" t="str">
        <f aca="false">IF(AND(D169&gt;0,C169&gt;=D169-0.00001),"at cap","")</f>
        <v/>
      </c>
      <c r="J169" s="21" t="n">
        <f aca="false">F169*INDEX($F$34:$EU$34,1,A169)</f>
        <v>0</v>
      </c>
      <c r="K169" s="21" t="n">
        <f aca="false">F169*INDEX($F$35:$EU$35,1,A169)</f>
        <v>0</v>
      </c>
      <c r="L169" s="21" t="n">
        <f aca="false">F169*INDEX($F$36:$EU$36,1,A169)</f>
        <v>0</v>
      </c>
      <c r="M169" s="21" t="n">
        <f aca="false">F169*INDEX($F$37:$EU$37,1,A169)</f>
        <v>0</v>
      </c>
      <c r="N169" s="21" t="str">
        <f aca="false">IF(J169&gt;=0.5,COUNTIF(J$123:J169,"&gt;=0.5"),"")</f>
        <v/>
      </c>
      <c r="O169" s="21" t="str">
        <f aca="false">IF(K169&gt;=0.5,COUNTIF(K$123:K169,"&gt;=0.5"),"")</f>
        <v/>
      </c>
      <c r="P169" s="21" t="str">
        <f aca="false">IF(L169&gt;=0.5,COUNTIF(L$123:L169,"&gt;=0.5"),"")</f>
        <v/>
      </c>
      <c r="Q169" s="21" t="str">
        <f aca="false">IF(M169&gt;=0.5,COUNTIF(M$123:M169,"&gt;=0.5"),"")</f>
        <v/>
      </c>
    </row>
    <row r="170" customFormat="false" ht="15" hidden="false" customHeight="false" outlineLevel="0" collapsed="false">
      <c r="A170" s="4" t="n">
        <v>48</v>
      </c>
      <c r="B170" s="79" t="str">
        <f aca="false">BA$13</f>
        <v>Corn tortillas</v>
      </c>
      <c r="C170" s="80" t="n">
        <v>0</v>
      </c>
      <c r="D170" s="71" t="n">
        <f aca="false">INDEX($F$15:$EU$15,1,A170)</f>
        <v>1.56</v>
      </c>
      <c r="E170" s="71" t="n">
        <f aca="false">INDEX($F$16:$EU$16,1,A170)</f>
        <v>0</v>
      </c>
      <c r="F170" s="21" t="n">
        <f aca="false">C170*100</f>
        <v>0</v>
      </c>
      <c r="G170" s="24" t="n">
        <f aca="false">F170/'Food Data'!N53</f>
        <v>0</v>
      </c>
      <c r="H170" s="81" t="n">
        <f aca="false">C170*INDEX($F$14:$EU$14,1,A170)</f>
        <v>0</v>
      </c>
      <c r="I170" s="75" t="str">
        <f aca="false">IF(AND(D170&gt;0,C170&gt;=D170-0.00001),"at cap","")</f>
        <v/>
      </c>
      <c r="J170" s="21" t="n">
        <f aca="false">F170*INDEX($F$34:$EU$34,1,A170)</f>
        <v>0</v>
      </c>
      <c r="K170" s="21" t="n">
        <f aca="false">F170*INDEX($F$35:$EU$35,1,A170)</f>
        <v>0</v>
      </c>
      <c r="L170" s="21" t="n">
        <f aca="false">F170*INDEX($F$36:$EU$36,1,A170)</f>
        <v>0</v>
      </c>
      <c r="M170" s="21" t="n">
        <f aca="false">F170*INDEX($F$37:$EU$37,1,A170)</f>
        <v>0</v>
      </c>
      <c r="N170" s="21" t="str">
        <f aca="false">IF(J170&gt;=0.5,COUNTIF(J$123:J170,"&gt;=0.5"),"")</f>
        <v/>
      </c>
      <c r="O170" s="21" t="str">
        <f aca="false">IF(K170&gt;=0.5,COUNTIF(K$123:K170,"&gt;=0.5"),"")</f>
        <v/>
      </c>
      <c r="P170" s="21" t="str">
        <f aca="false">IF(L170&gt;=0.5,COUNTIF(L$123:L170,"&gt;=0.5"),"")</f>
        <v/>
      </c>
      <c r="Q170" s="21" t="str">
        <f aca="false">IF(M170&gt;=0.5,COUNTIF(M$123:M170,"&gt;=0.5"),"")</f>
        <v/>
      </c>
    </row>
    <row r="171" customFormat="false" ht="15" hidden="false" customHeight="false" outlineLevel="0" collapsed="false">
      <c r="A171" s="4" t="n">
        <v>49</v>
      </c>
      <c r="B171" s="79" t="str">
        <f aca="false">BB$13</f>
        <v>Flour tortillas</v>
      </c>
      <c r="C171" s="80" t="n">
        <v>0</v>
      </c>
      <c r="D171" s="71" t="n">
        <f aca="false">INDEX($F$15:$EU$15,1,A171)</f>
        <v>1.35</v>
      </c>
      <c r="E171" s="71" t="n">
        <f aca="false">INDEX($F$16:$EU$16,1,A171)</f>
        <v>0</v>
      </c>
      <c r="F171" s="21" t="n">
        <f aca="false">C171*100</f>
        <v>0</v>
      </c>
      <c r="G171" s="24" t="n">
        <f aca="false">F171/'Food Data'!N54</f>
        <v>0</v>
      </c>
      <c r="H171" s="81" t="n">
        <f aca="false">C171*INDEX($F$14:$EU$14,1,A171)</f>
        <v>0</v>
      </c>
      <c r="I171" s="75" t="str">
        <f aca="false">IF(AND(D171&gt;0,C171&gt;=D171-0.00001),"at cap","")</f>
        <v/>
      </c>
      <c r="J171" s="21" t="n">
        <f aca="false">F171*INDEX($F$34:$EU$34,1,A171)</f>
        <v>0</v>
      </c>
      <c r="K171" s="21" t="n">
        <f aca="false">F171*INDEX($F$35:$EU$35,1,A171)</f>
        <v>0</v>
      </c>
      <c r="L171" s="21" t="n">
        <f aca="false">F171*INDEX($F$36:$EU$36,1,A171)</f>
        <v>0</v>
      </c>
      <c r="M171" s="21" t="n">
        <f aca="false">F171*INDEX($F$37:$EU$37,1,A171)</f>
        <v>0</v>
      </c>
      <c r="N171" s="21" t="str">
        <f aca="false">IF(J171&gt;=0.5,COUNTIF(J$123:J171,"&gt;=0.5"),"")</f>
        <v/>
      </c>
      <c r="O171" s="21" t="str">
        <f aca="false">IF(K171&gt;=0.5,COUNTIF(K$123:K171,"&gt;=0.5"),"")</f>
        <v/>
      </c>
      <c r="P171" s="21" t="str">
        <f aca="false">IF(L171&gt;=0.5,COUNTIF(L$123:L171,"&gt;=0.5"),"")</f>
        <v/>
      </c>
      <c r="Q171" s="21" t="str">
        <f aca="false">IF(M171&gt;=0.5,COUNTIF(M$123:M171,"&gt;=0.5"),"")</f>
        <v/>
      </c>
    </row>
    <row r="172" customFormat="false" ht="15" hidden="false" customHeight="false" outlineLevel="0" collapsed="false">
      <c r="A172" s="4" t="n">
        <v>50</v>
      </c>
      <c r="B172" s="79" t="str">
        <f aca="false">BC$13</f>
        <v>Quinoa (dry)</v>
      </c>
      <c r="C172" s="80" t="n">
        <v>0</v>
      </c>
      <c r="D172" s="71" t="n">
        <f aca="false">INDEX($F$15:$EU$15,1,A172)</f>
        <v>1.29</v>
      </c>
      <c r="E172" s="71" t="n">
        <f aca="false">INDEX($F$16:$EU$16,1,A172)</f>
        <v>0</v>
      </c>
      <c r="F172" s="21" t="n">
        <f aca="false">C172*100</f>
        <v>0</v>
      </c>
      <c r="G172" s="24" t="n">
        <f aca="false">F172/'Food Data'!N55</f>
        <v>0</v>
      </c>
      <c r="H172" s="81" t="n">
        <f aca="false">C172*INDEX($F$14:$EU$14,1,A172)</f>
        <v>0</v>
      </c>
      <c r="I172" s="75" t="str">
        <f aca="false">IF(AND(D172&gt;0,C172&gt;=D172-0.00001),"at cap","")</f>
        <v/>
      </c>
      <c r="J172" s="21" t="n">
        <f aca="false">F172*INDEX($F$34:$EU$34,1,A172)</f>
        <v>0</v>
      </c>
      <c r="K172" s="21" t="n">
        <f aca="false">F172*INDEX($F$35:$EU$35,1,A172)</f>
        <v>0</v>
      </c>
      <c r="L172" s="21" t="n">
        <f aca="false">F172*INDEX($F$36:$EU$36,1,A172)</f>
        <v>0</v>
      </c>
      <c r="M172" s="21" t="n">
        <f aca="false">F172*INDEX($F$37:$EU$37,1,A172)</f>
        <v>0</v>
      </c>
      <c r="N172" s="21" t="str">
        <f aca="false">IF(J172&gt;=0.5,COUNTIF(J$123:J172,"&gt;=0.5"),"")</f>
        <v/>
      </c>
      <c r="O172" s="21" t="str">
        <f aca="false">IF(K172&gt;=0.5,COUNTIF(K$123:K172,"&gt;=0.5"),"")</f>
        <v/>
      </c>
      <c r="P172" s="21" t="str">
        <f aca="false">IF(L172&gt;=0.5,COUNTIF(L$123:L172,"&gt;=0.5"),"")</f>
        <v/>
      </c>
      <c r="Q172" s="21" t="str">
        <f aca="false">IF(M172&gt;=0.5,COUNTIF(M$123:M172,"&gt;=0.5"),"")</f>
        <v/>
      </c>
    </row>
    <row r="173" customFormat="false" ht="15" hidden="false" customHeight="false" outlineLevel="0" collapsed="false">
      <c r="A173" s="4" t="n">
        <v>51</v>
      </c>
      <c r="B173" s="79" t="str">
        <f aca="false">BD$13</f>
        <v>Rolled oats (dry)</v>
      </c>
      <c r="C173" s="80" t="n">
        <v>0</v>
      </c>
      <c r="D173" s="71" t="n">
        <f aca="false">INDEX($F$15:$EU$15,1,A173)</f>
        <v>0.8</v>
      </c>
      <c r="E173" s="71" t="n">
        <f aca="false">INDEX($F$16:$EU$16,1,A173)</f>
        <v>0</v>
      </c>
      <c r="F173" s="21" t="n">
        <f aca="false">C173*100</f>
        <v>0</v>
      </c>
      <c r="G173" s="24" t="n">
        <f aca="false">F173/'Food Data'!N56</f>
        <v>0</v>
      </c>
      <c r="H173" s="81" t="n">
        <f aca="false">C173*INDEX($F$14:$EU$14,1,A173)</f>
        <v>0</v>
      </c>
      <c r="I173" s="75" t="str">
        <f aca="false">IF(AND(D173&gt;0,C173&gt;=D173-0.00001),"at cap","")</f>
        <v/>
      </c>
      <c r="J173" s="21" t="n">
        <f aca="false">F173*INDEX($F$34:$EU$34,1,A173)</f>
        <v>0</v>
      </c>
      <c r="K173" s="21" t="n">
        <f aca="false">F173*INDEX($F$35:$EU$35,1,A173)</f>
        <v>0</v>
      </c>
      <c r="L173" s="21" t="n">
        <f aca="false">F173*INDEX($F$36:$EU$36,1,A173)</f>
        <v>0</v>
      </c>
      <c r="M173" s="21" t="n">
        <f aca="false">F173*INDEX($F$37:$EU$37,1,A173)</f>
        <v>0</v>
      </c>
      <c r="N173" s="21" t="str">
        <f aca="false">IF(J173&gt;=0.5,COUNTIF(J$123:J173,"&gt;=0.5"),"")</f>
        <v/>
      </c>
      <c r="O173" s="21" t="str">
        <f aca="false">IF(K173&gt;=0.5,COUNTIF(K$123:K173,"&gt;=0.5"),"")</f>
        <v/>
      </c>
      <c r="P173" s="21" t="str">
        <f aca="false">IF(L173&gt;=0.5,COUNTIF(L$123:L173,"&gt;=0.5"),"")</f>
        <v/>
      </c>
      <c r="Q173" s="21" t="str">
        <f aca="false">IF(M173&gt;=0.5,COUNTIF(M$123:M173,"&gt;=0.5"),"")</f>
        <v/>
      </c>
    </row>
    <row r="174" customFormat="false" ht="15" hidden="false" customHeight="false" outlineLevel="0" collapsed="false">
      <c r="A174" s="4" t="n">
        <v>52</v>
      </c>
      <c r="B174" s="79" t="str">
        <f aca="false">BE$13</f>
        <v>Spaghetti (dry)</v>
      </c>
      <c r="C174" s="80" t="n">
        <v>0.15075415</v>
      </c>
      <c r="D174" s="71" t="n">
        <f aca="false">INDEX($F$15:$EU$15,1,A174)</f>
        <v>1.71</v>
      </c>
      <c r="E174" s="71" t="n">
        <f aca="false">INDEX($F$16:$EU$16,1,A174)</f>
        <v>0</v>
      </c>
      <c r="F174" s="21" t="n">
        <f aca="false">C174*100</f>
        <v>15.075415</v>
      </c>
      <c r="G174" s="24" t="n">
        <f aca="false">F174/'Food Data'!N57</f>
        <v>0.264480964912281</v>
      </c>
      <c r="H174" s="81" t="n">
        <f aca="false">C174*INDEX($F$14:$EU$14,1,A174)</f>
        <v>0.0451996569664903</v>
      </c>
      <c r="I174" s="75" t="str">
        <f aca="false">IF(AND(D174&gt;0,C174&gt;=D174-0.00001),"at cap","")</f>
        <v/>
      </c>
      <c r="J174" s="21" t="n">
        <f aca="false">F174*INDEX($F$34:$EU$34,1,A174)</f>
        <v>0</v>
      </c>
      <c r="K174" s="21" t="n">
        <f aca="false">F174*INDEX($F$35:$EU$35,1,A174)</f>
        <v>7.5377075</v>
      </c>
      <c r="L174" s="21" t="n">
        <f aca="false">F174*INDEX($F$36:$EU$36,1,A174)</f>
        <v>7.5377075</v>
      </c>
      <c r="M174" s="21" t="n">
        <f aca="false">F174*INDEX($F$37:$EU$37,1,A174)</f>
        <v>0</v>
      </c>
      <c r="N174" s="21" t="str">
        <f aca="false">IF(J174&gt;=0.5,COUNTIF(J$123:J174,"&gt;=0.5"),"")</f>
        <v/>
      </c>
      <c r="O174" s="21" t="n">
        <f aca="false">IF(K174&gt;=0.5,COUNTIF(K$123:K174,"&gt;=0.5"),"")</f>
        <v>4</v>
      </c>
      <c r="P174" s="21" t="n">
        <f aca="false">IF(L174&gt;=0.5,COUNTIF(L$123:L174,"&gt;=0.5"),"")</f>
        <v>4</v>
      </c>
      <c r="Q174" s="21" t="str">
        <f aca="false">IF(M174&gt;=0.5,COUNTIF(M$123:M174,"&gt;=0.5"),"")</f>
        <v/>
      </c>
    </row>
    <row r="175" customFormat="false" ht="15" hidden="false" customHeight="false" outlineLevel="0" collapsed="false">
      <c r="A175" s="4" t="n">
        <v>53</v>
      </c>
      <c r="B175" s="79" t="str">
        <f aca="false">BF$13</f>
        <v>White bread</v>
      </c>
      <c r="C175" s="80" t="n">
        <v>0</v>
      </c>
      <c r="D175" s="71" t="n">
        <f aca="false">INDEX($F$15:$EU$15,1,A175)</f>
        <v>1.12</v>
      </c>
      <c r="E175" s="71" t="n">
        <f aca="false">INDEX($F$16:$EU$16,1,A175)</f>
        <v>0</v>
      </c>
      <c r="F175" s="21" t="n">
        <f aca="false">C175*100</f>
        <v>0</v>
      </c>
      <c r="G175" s="24" t="n">
        <f aca="false">F175/'Food Data'!N58</f>
        <v>0</v>
      </c>
      <c r="H175" s="81" t="n">
        <f aca="false">C175*INDEX($F$14:$EU$14,1,A175)</f>
        <v>0</v>
      </c>
      <c r="I175" s="75" t="str">
        <f aca="false">IF(AND(D175&gt;0,C175&gt;=D175-0.00001),"at cap","")</f>
        <v/>
      </c>
      <c r="J175" s="21" t="n">
        <f aca="false">F175*INDEX($F$34:$EU$34,1,A175)</f>
        <v>0</v>
      </c>
      <c r="K175" s="21" t="n">
        <f aca="false">F175*INDEX($F$35:$EU$35,1,A175)</f>
        <v>0</v>
      </c>
      <c r="L175" s="21" t="n">
        <f aca="false">F175*INDEX($F$36:$EU$36,1,A175)</f>
        <v>0</v>
      </c>
      <c r="M175" s="21" t="n">
        <f aca="false">F175*INDEX($F$37:$EU$37,1,A175)</f>
        <v>0</v>
      </c>
      <c r="N175" s="21" t="str">
        <f aca="false">IF(J175&gt;=0.5,COUNTIF(J$123:J175,"&gt;=0.5"),"")</f>
        <v/>
      </c>
      <c r="O175" s="21" t="str">
        <f aca="false">IF(K175&gt;=0.5,COUNTIF(K$123:K175,"&gt;=0.5"),"")</f>
        <v/>
      </c>
      <c r="P175" s="21" t="str">
        <f aca="false">IF(L175&gt;=0.5,COUNTIF(L$123:L175,"&gt;=0.5"),"")</f>
        <v/>
      </c>
      <c r="Q175" s="21" t="str">
        <f aca="false">IF(M175&gt;=0.5,COUNTIF(M$123:M175,"&gt;=0.5"),"")</f>
        <v/>
      </c>
    </row>
    <row r="176" customFormat="false" ht="15" hidden="false" customHeight="false" outlineLevel="0" collapsed="false">
      <c r="A176" s="4" t="n">
        <v>54</v>
      </c>
      <c r="B176" s="79" t="str">
        <f aca="false">BG$13</f>
        <v>White rice (dry)</v>
      </c>
      <c r="C176" s="80" t="n">
        <v>1.84</v>
      </c>
      <c r="D176" s="71" t="n">
        <f aca="false">INDEX($F$15:$EU$15,1,A176)</f>
        <v>1.84</v>
      </c>
      <c r="E176" s="71" t="n">
        <f aca="false">INDEX($F$16:$EU$16,1,A176)</f>
        <v>0</v>
      </c>
      <c r="F176" s="21" t="n">
        <f aca="false">C176*100</f>
        <v>184</v>
      </c>
      <c r="G176" s="24" t="n">
        <f aca="false">F176/'Food Data'!N59</f>
        <v>4</v>
      </c>
      <c r="H176" s="81" t="n">
        <f aca="false">C176*INDEX($F$14:$EU$14,1,A176)</f>
        <v>0.201199294532628</v>
      </c>
      <c r="I176" s="75" t="str">
        <f aca="false">IF(AND(D176&gt;0,C176&gt;=D176-0.00001),"at cap","")</f>
        <v>at cap</v>
      </c>
      <c r="J176" s="21" t="n">
        <f aca="false">F176*INDEX($F$34:$EU$34,1,A176)</f>
        <v>0</v>
      </c>
      <c r="K176" s="21" t="n">
        <f aca="false">F176*INDEX($F$35:$EU$35,1,A176)</f>
        <v>92</v>
      </c>
      <c r="L176" s="21" t="n">
        <f aca="false">F176*INDEX($F$36:$EU$36,1,A176)</f>
        <v>92</v>
      </c>
      <c r="M176" s="21" t="n">
        <f aca="false">F176*INDEX($F$37:$EU$37,1,A176)</f>
        <v>0</v>
      </c>
      <c r="N176" s="21" t="str">
        <f aca="false">IF(J176&gt;=0.5,COUNTIF(J$123:J176,"&gt;=0.5"),"")</f>
        <v/>
      </c>
      <c r="O176" s="21" t="n">
        <f aca="false">IF(K176&gt;=0.5,COUNTIF(K$123:K176,"&gt;=0.5"),"")</f>
        <v>5</v>
      </c>
      <c r="P176" s="21" t="n">
        <f aca="false">IF(L176&gt;=0.5,COUNTIF(L$123:L176,"&gt;=0.5"),"")</f>
        <v>5</v>
      </c>
      <c r="Q176" s="21" t="str">
        <f aca="false">IF(M176&gt;=0.5,COUNTIF(M$123:M176,"&gt;=0.5"),"")</f>
        <v/>
      </c>
    </row>
    <row r="177" customFormat="false" ht="15" hidden="false" customHeight="false" outlineLevel="0" collapsed="false">
      <c r="A177" s="4" t="n">
        <v>55</v>
      </c>
      <c r="B177" s="79" t="str">
        <f aca="false">BH$13</f>
        <v>Whole-wheat bread</v>
      </c>
      <c r="C177" s="80" t="n">
        <v>0</v>
      </c>
      <c r="D177" s="71" t="n">
        <f aca="false">INDEX($F$15:$EU$15,1,A177)</f>
        <v>1.28</v>
      </c>
      <c r="E177" s="71" t="n">
        <f aca="false">INDEX($F$16:$EU$16,1,A177)</f>
        <v>0</v>
      </c>
      <c r="F177" s="21" t="n">
        <f aca="false">C177*100</f>
        <v>0</v>
      </c>
      <c r="G177" s="24" t="n">
        <f aca="false">F177/'Food Data'!N60</f>
        <v>0</v>
      </c>
      <c r="H177" s="81" t="n">
        <f aca="false">C177*INDEX($F$14:$EU$14,1,A177)</f>
        <v>0</v>
      </c>
      <c r="I177" s="75" t="str">
        <f aca="false">IF(AND(D177&gt;0,C177&gt;=D177-0.00001),"at cap","")</f>
        <v/>
      </c>
      <c r="J177" s="21" t="n">
        <f aca="false">F177*INDEX($F$34:$EU$34,1,A177)</f>
        <v>0</v>
      </c>
      <c r="K177" s="21" t="n">
        <f aca="false">F177*INDEX($F$35:$EU$35,1,A177)</f>
        <v>0</v>
      </c>
      <c r="L177" s="21" t="n">
        <f aca="false">F177*INDEX($F$36:$EU$36,1,A177)</f>
        <v>0</v>
      </c>
      <c r="M177" s="21" t="n">
        <f aca="false">F177*INDEX($F$37:$EU$37,1,A177)</f>
        <v>0</v>
      </c>
      <c r="N177" s="21" t="str">
        <f aca="false">IF(J177&gt;=0.5,COUNTIF(J$123:J177,"&gt;=0.5"),"")</f>
        <v/>
      </c>
      <c r="O177" s="21" t="str">
        <f aca="false">IF(K177&gt;=0.5,COUNTIF(K$123:K177,"&gt;=0.5"),"")</f>
        <v/>
      </c>
      <c r="P177" s="21" t="str">
        <f aca="false">IF(L177&gt;=0.5,COUNTIF(L$123:L177,"&gt;=0.5"),"")</f>
        <v/>
      </c>
      <c r="Q177" s="21" t="str">
        <f aca="false">IF(M177&gt;=0.5,COUNTIF(M$123:M177,"&gt;=0.5"),"")</f>
        <v/>
      </c>
    </row>
    <row r="178" customFormat="false" ht="15" hidden="false" customHeight="false" outlineLevel="0" collapsed="false">
      <c r="A178" s="4" t="n">
        <v>56</v>
      </c>
      <c r="B178" s="79" t="str">
        <f aca="false">BI$13</f>
        <v>Whole-wheat spaghetti (dry)</v>
      </c>
      <c r="C178" s="80" t="n">
        <v>0</v>
      </c>
      <c r="D178" s="71" t="n">
        <f aca="false">INDEX($F$15:$EU$15,1,A178)</f>
        <v>1.71</v>
      </c>
      <c r="E178" s="71" t="n">
        <f aca="false">INDEX($F$16:$EU$16,1,A178)</f>
        <v>0</v>
      </c>
      <c r="F178" s="21" t="n">
        <f aca="false">C178*100</f>
        <v>0</v>
      </c>
      <c r="G178" s="24" t="n">
        <f aca="false">F178/'Food Data'!N61</f>
        <v>0</v>
      </c>
      <c r="H178" s="81" t="n">
        <f aca="false">C178*INDEX($F$14:$EU$14,1,A178)</f>
        <v>0</v>
      </c>
      <c r="I178" s="75" t="str">
        <f aca="false">IF(AND(D178&gt;0,C178&gt;=D178-0.00001),"at cap","")</f>
        <v/>
      </c>
      <c r="J178" s="21" t="n">
        <f aca="false">F178*INDEX($F$34:$EU$34,1,A178)</f>
        <v>0</v>
      </c>
      <c r="K178" s="21" t="n">
        <f aca="false">F178*INDEX($F$35:$EU$35,1,A178)</f>
        <v>0</v>
      </c>
      <c r="L178" s="21" t="n">
        <f aca="false">F178*INDEX($F$36:$EU$36,1,A178)</f>
        <v>0</v>
      </c>
      <c r="M178" s="21" t="n">
        <f aca="false">F178*INDEX($F$37:$EU$37,1,A178)</f>
        <v>0</v>
      </c>
      <c r="N178" s="21" t="str">
        <f aca="false">IF(J178&gt;=0.5,COUNTIF(J$123:J178,"&gt;=0.5"),"")</f>
        <v/>
      </c>
      <c r="O178" s="21" t="str">
        <f aca="false">IF(K178&gt;=0.5,COUNTIF(K$123:K178,"&gt;=0.5"),"")</f>
        <v/>
      </c>
      <c r="P178" s="21" t="str">
        <f aca="false">IF(L178&gt;=0.5,COUNTIF(L$123:L178,"&gt;=0.5"),"")</f>
        <v/>
      </c>
      <c r="Q178" s="21" t="str">
        <f aca="false">IF(M178&gt;=0.5,COUNTIF(M$123:M178,"&gt;=0.5"),"")</f>
        <v/>
      </c>
    </row>
    <row r="179" customFormat="false" ht="15" hidden="false" customHeight="false" outlineLevel="0" collapsed="false">
      <c r="A179" s="4" t="n">
        <v>57</v>
      </c>
      <c r="B179" s="79" t="str">
        <f aca="false">BJ$13</f>
        <v>Baby lima beans (frozen)</v>
      </c>
      <c r="C179" s="80" t="n">
        <v>0</v>
      </c>
      <c r="D179" s="71" t="n">
        <f aca="false">INDEX($F$15:$EU$15,1,A179)</f>
        <v>1.64</v>
      </c>
      <c r="E179" s="71" t="n">
        <f aca="false">INDEX($F$16:$EU$16,1,A179)</f>
        <v>0</v>
      </c>
      <c r="F179" s="21" t="n">
        <f aca="false">C179*100</f>
        <v>0</v>
      </c>
      <c r="G179" s="24" t="n">
        <f aca="false">F179/'Food Data'!N62</f>
        <v>0</v>
      </c>
      <c r="H179" s="81" t="n">
        <f aca="false">C179*INDEX($F$14:$EU$14,1,A179)</f>
        <v>0</v>
      </c>
      <c r="I179" s="75" t="str">
        <f aca="false">IF(AND(D179&gt;0,C179&gt;=D179-0.00001),"at cap","")</f>
        <v/>
      </c>
      <c r="J179" s="21" t="n">
        <f aca="false">F179*INDEX($F$34:$EU$34,1,A179)</f>
        <v>0</v>
      </c>
      <c r="K179" s="21" t="n">
        <f aca="false">F179*INDEX($F$35:$EU$35,1,A179)</f>
        <v>0</v>
      </c>
      <c r="L179" s="21" t="n">
        <f aca="false">F179*INDEX($F$36:$EU$36,1,A179)</f>
        <v>0</v>
      </c>
      <c r="M179" s="21" t="n">
        <f aca="false">F179*INDEX($F$37:$EU$37,1,A179)</f>
        <v>0</v>
      </c>
      <c r="N179" s="21" t="str">
        <f aca="false">IF(J179&gt;=0.5,COUNTIF(J$123:J179,"&gt;=0.5"),"")</f>
        <v/>
      </c>
      <c r="O179" s="21" t="str">
        <f aca="false">IF(K179&gt;=0.5,COUNTIF(K$123:K179,"&gt;=0.5"),"")</f>
        <v/>
      </c>
      <c r="P179" s="21" t="str">
        <f aca="false">IF(L179&gt;=0.5,COUNTIF(L$123:L179,"&gt;=0.5"),"")</f>
        <v/>
      </c>
      <c r="Q179" s="21" t="str">
        <f aca="false">IF(M179&gt;=0.5,COUNTIF(M$123:M179,"&gt;=0.5"),"")</f>
        <v/>
      </c>
    </row>
    <row r="180" customFormat="false" ht="15" hidden="false" customHeight="false" outlineLevel="0" collapsed="false">
      <c r="A180" s="4" t="n">
        <v>58</v>
      </c>
      <c r="B180" s="79" t="str">
        <f aca="false">BK$13</f>
        <v>Corn (canned)</v>
      </c>
      <c r="C180" s="80" t="n">
        <v>0</v>
      </c>
      <c r="D180" s="71" t="n">
        <f aca="false">INDEX($F$15:$EU$15,1,A180)</f>
        <v>2.56</v>
      </c>
      <c r="E180" s="71" t="n">
        <f aca="false">INDEX($F$16:$EU$16,1,A180)</f>
        <v>0</v>
      </c>
      <c r="F180" s="21" t="n">
        <f aca="false">C180*100</f>
        <v>0</v>
      </c>
      <c r="G180" s="24" t="n">
        <f aca="false">F180/'Food Data'!N63</f>
        <v>0</v>
      </c>
      <c r="H180" s="81" t="n">
        <f aca="false">C180*INDEX($F$14:$EU$14,1,A180)</f>
        <v>0</v>
      </c>
      <c r="I180" s="75" t="str">
        <f aca="false">IF(AND(D180&gt;0,C180&gt;=D180-0.00001),"at cap","")</f>
        <v/>
      </c>
      <c r="J180" s="21" t="n">
        <f aca="false">F180*INDEX($F$34:$EU$34,1,A180)</f>
        <v>0</v>
      </c>
      <c r="K180" s="21" t="n">
        <f aca="false">F180*INDEX($F$35:$EU$35,1,A180)</f>
        <v>0</v>
      </c>
      <c r="L180" s="21" t="n">
        <f aca="false">F180*INDEX($F$36:$EU$36,1,A180)</f>
        <v>0</v>
      </c>
      <c r="M180" s="21" t="n">
        <f aca="false">F180*INDEX($F$37:$EU$37,1,A180)</f>
        <v>0</v>
      </c>
      <c r="N180" s="21" t="str">
        <f aca="false">IF(J180&gt;=0.5,COUNTIF(J$123:J180,"&gt;=0.5"),"")</f>
        <v/>
      </c>
      <c r="O180" s="21" t="str">
        <f aca="false">IF(K180&gt;=0.5,COUNTIF(K$123:K180,"&gt;=0.5"),"")</f>
        <v/>
      </c>
      <c r="P180" s="21" t="str">
        <f aca="false">IF(L180&gt;=0.5,COUNTIF(L$123:L180,"&gt;=0.5"),"")</f>
        <v/>
      </c>
      <c r="Q180" s="21" t="str">
        <f aca="false">IF(M180&gt;=0.5,COUNTIF(M$123:M180,"&gt;=0.5"),"")</f>
        <v/>
      </c>
    </row>
    <row r="181" customFormat="false" ht="15" hidden="false" customHeight="false" outlineLevel="0" collapsed="false">
      <c r="A181" s="4" t="n">
        <v>59</v>
      </c>
      <c r="B181" s="79" t="str">
        <f aca="false">BL$13</f>
        <v>Corn (frozen)</v>
      </c>
      <c r="C181" s="80" t="n">
        <v>0</v>
      </c>
      <c r="D181" s="71" t="n">
        <f aca="false">INDEX($F$15:$EU$15,1,A181)</f>
        <v>2.04</v>
      </c>
      <c r="E181" s="71" t="n">
        <f aca="false">INDEX($F$16:$EU$16,1,A181)</f>
        <v>0</v>
      </c>
      <c r="F181" s="21" t="n">
        <f aca="false">C181*100</f>
        <v>0</v>
      </c>
      <c r="G181" s="24" t="n">
        <f aca="false">F181/'Food Data'!N64</f>
        <v>0</v>
      </c>
      <c r="H181" s="81" t="n">
        <f aca="false">C181*INDEX($F$14:$EU$14,1,A181)</f>
        <v>0</v>
      </c>
      <c r="I181" s="75" t="str">
        <f aca="false">IF(AND(D181&gt;0,C181&gt;=D181-0.00001),"at cap","")</f>
        <v/>
      </c>
      <c r="J181" s="21" t="n">
        <f aca="false">F181*INDEX($F$34:$EU$34,1,A181)</f>
        <v>0</v>
      </c>
      <c r="K181" s="21" t="n">
        <f aca="false">F181*INDEX($F$35:$EU$35,1,A181)</f>
        <v>0</v>
      </c>
      <c r="L181" s="21" t="n">
        <f aca="false">F181*INDEX($F$36:$EU$36,1,A181)</f>
        <v>0</v>
      </c>
      <c r="M181" s="21" t="n">
        <f aca="false">F181*INDEX($F$37:$EU$37,1,A181)</f>
        <v>0</v>
      </c>
      <c r="N181" s="21" t="str">
        <f aca="false">IF(J181&gt;=0.5,COUNTIF(J$123:J181,"&gt;=0.5"),"")</f>
        <v/>
      </c>
      <c r="O181" s="21" t="str">
        <f aca="false">IF(K181&gt;=0.5,COUNTIF(K$123:K181,"&gt;=0.5"),"")</f>
        <v/>
      </c>
      <c r="P181" s="21" t="str">
        <f aca="false">IF(L181&gt;=0.5,COUNTIF(L$123:L181,"&gt;=0.5"),"")</f>
        <v/>
      </c>
      <c r="Q181" s="21" t="str">
        <f aca="false">IF(M181&gt;=0.5,COUNTIF(M$123:M181,"&gt;=0.5"),"")</f>
        <v/>
      </c>
    </row>
    <row r="182" customFormat="false" ht="15" hidden="false" customHeight="false" outlineLevel="0" collapsed="false">
      <c r="A182" s="4" t="n">
        <v>60</v>
      </c>
      <c r="B182" s="79" t="str">
        <f aca="false">BM$13</f>
        <v>French fries (frozen)</v>
      </c>
      <c r="C182" s="80" t="n">
        <v>0</v>
      </c>
      <c r="D182" s="71" t="n">
        <f aca="false">INDEX($F$15:$EU$15,1,A182)</f>
        <v>0.85</v>
      </c>
      <c r="E182" s="71" t="n">
        <f aca="false">INDEX($F$16:$EU$16,1,A182)</f>
        <v>0</v>
      </c>
      <c r="F182" s="21" t="n">
        <f aca="false">C182*100</f>
        <v>0</v>
      </c>
      <c r="G182" s="24" t="n">
        <f aca="false">F182/'Food Data'!N65</f>
        <v>0</v>
      </c>
      <c r="H182" s="81" t="n">
        <f aca="false">C182*INDEX($F$14:$EU$14,1,A182)</f>
        <v>0</v>
      </c>
      <c r="I182" s="75" t="str">
        <f aca="false">IF(AND(D182&gt;0,C182&gt;=D182-0.00001),"at cap","")</f>
        <v/>
      </c>
      <c r="J182" s="21" t="n">
        <f aca="false">F182*INDEX($F$34:$EU$34,1,A182)</f>
        <v>0</v>
      </c>
      <c r="K182" s="21" t="n">
        <f aca="false">F182*INDEX($F$35:$EU$35,1,A182)</f>
        <v>0</v>
      </c>
      <c r="L182" s="21" t="n">
        <f aca="false">F182*INDEX($F$36:$EU$36,1,A182)</f>
        <v>0</v>
      </c>
      <c r="M182" s="21" t="n">
        <f aca="false">F182*INDEX($F$37:$EU$37,1,A182)</f>
        <v>0</v>
      </c>
      <c r="N182" s="21" t="str">
        <f aca="false">IF(J182&gt;=0.5,COUNTIF(J$123:J182,"&gt;=0.5"),"")</f>
        <v/>
      </c>
      <c r="O182" s="21" t="str">
        <f aca="false">IF(K182&gt;=0.5,COUNTIF(K$123:K182,"&gt;=0.5"),"")</f>
        <v/>
      </c>
      <c r="P182" s="21" t="str">
        <f aca="false">IF(L182&gt;=0.5,COUNTIF(L$123:L182,"&gt;=0.5"),"")</f>
        <v/>
      </c>
      <c r="Q182" s="21" t="str">
        <f aca="false">IF(M182&gt;=0.5,COUNTIF(M$123:M182,"&gt;=0.5"),"")</f>
        <v/>
      </c>
    </row>
    <row r="183" customFormat="false" ht="15" hidden="false" customHeight="false" outlineLevel="0" collapsed="false">
      <c r="A183" s="4" t="n">
        <v>61</v>
      </c>
      <c r="B183" s="79" t="str">
        <f aca="false">BN$13</f>
        <v>Green peas (canned)</v>
      </c>
      <c r="C183" s="80" t="n">
        <v>0</v>
      </c>
      <c r="D183" s="71" t="n">
        <f aca="false">INDEX($F$15:$EU$15,1,A183)</f>
        <v>2.48</v>
      </c>
      <c r="E183" s="71" t="n">
        <f aca="false">INDEX($F$16:$EU$16,1,A183)</f>
        <v>0</v>
      </c>
      <c r="F183" s="21" t="n">
        <f aca="false">C183*100</f>
        <v>0</v>
      </c>
      <c r="G183" s="24" t="n">
        <f aca="false">F183/'Food Data'!N66</f>
        <v>0</v>
      </c>
      <c r="H183" s="81" t="n">
        <f aca="false">C183*INDEX($F$14:$EU$14,1,A183)</f>
        <v>0</v>
      </c>
      <c r="I183" s="75" t="str">
        <f aca="false">IF(AND(D183&gt;0,C183&gt;=D183-0.00001),"at cap","")</f>
        <v/>
      </c>
      <c r="J183" s="21" t="n">
        <f aca="false">F183*INDEX($F$34:$EU$34,1,A183)</f>
        <v>0</v>
      </c>
      <c r="K183" s="21" t="n">
        <f aca="false">F183*INDEX($F$35:$EU$35,1,A183)</f>
        <v>0</v>
      </c>
      <c r="L183" s="21" t="n">
        <f aca="false">F183*INDEX($F$36:$EU$36,1,A183)</f>
        <v>0</v>
      </c>
      <c r="M183" s="21" t="n">
        <f aca="false">F183*INDEX($F$37:$EU$37,1,A183)</f>
        <v>0</v>
      </c>
      <c r="N183" s="21" t="str">
        <f aca="false">IF(J183&gt;=0.5,COUNTIF(J$123:J183,"&gt;=0.5"),"")</f>
        <v/>
      </c>
      <c r="O183" s="21" t="str">
        <f aca="false">IF(K183&gt;=0.5,COUNTIF(K$123:K183,"&gt;=0.5"),"")</f>
        <v/>
      </c>
      <c r="P183" s="21" t="str">
        <f aca="false">IF(L183&gt;=0.5,COUNTIF(L$123:L183,"&gt;=0.5"),"")</f>
        <v/>
      </c>
      <c r="Q183" s="21" t="str">
        <f aca="false">IF(M183&gt;=0.5,COUNTIF(M$123:M183,"&gt;=0.5"),"")</f>
        <v/>
      </c>
    </row>
    <row r="184" customFormat="false" ht="15" hidden="false" customHeight="false" outlineLevel="0" collapsed="false">
      <c r="A184" s="4" t="n">
        <v>62</v>
      </c>
      <c r="B184" s="79" t="str">
        <f aca="false">BO$13</f>
        <v>Green peas (frozen)</v>
      </c>
      <c r="C184" s="80" t="n">
        <v>0</v>
      </c>
      <c r="D184" s="71" t="n">
        <f aca="false">INDEX($F$15:$EU$15,1,A184)</f>
        <v>2.01</v>
      </c>
      <c r="E184" s="71" t="n">
        <f aca="false">INDEX($F$16:$EU$16,1,A184)</f>
        <v>0</v>
      </c>
      <c r="F184" s="21" t="n">
        <f aca="false">C184*100</f>
        <v>0</v>
      </c>
      <c r="G184" s="24" t="n">
        <f aca="false">F184/'Food Data'!N67</f>
        <v>0</v>
      </c>
      <c r="H184" s="81" t="n">
        <f aca="false">C184*INDEX($F$14:$EU$14,1,A184)</f>
        <v>0</v>
      </c>
      <c r="I184" s="75" t="str">
        <f aca="false">IF(AND(D184&gt;0,C184&gt;=D184-0.00001),"at cap","")</f>
        <v/>
      </c>
      <c r="J184" s="21" t="n">
        <f aca="false">F184*INDEX($F$34:$EU$34,1,A184)</f>
        <v>0</v>
      </c>
      <c r="K184" s="21" t="n">
        <f aca="false">F184*INDEX($F$35:$EU$35,1,A184)</f>
        <v>0</v>
      </c>
      <c r="L184" s="21" t="n">
        <f aca="false">F184*INDEX($F$36:$EU$36,1,A184)</f>
        <v>0</v>
      </c>
      <c r="M184" s="21" t="n">
        <f aca="false">F184*INDEX($F$37:$EU$37,1,A184)</f>
        <v>0</v>
      </c>
      <c r="N184" s="21" t="str">
        <f aca="false">IF(J184&gt;=0.5,COUNTIF(J$123:J184,"&gt;=0.5"),"")</f>
        <v/>
      </c>
      <c r="O184" s="21" t="str">
        <f aca="false">IF(K184&gt;=0.5,COUNTIF(K$123:K184,"&gt;=0.5"),"")</f>
        <v/>
      </c>
      <c r="P184" s="21" t="str">
        <f aca="false">IF(L184&gt;=0.5,COUNTIF(L$123:L184,"&gt;=0.5"),"")</f>
        <v/>
      </c>
      <c r="Q184" s="21" t="str">
        <f aca="false">IF(M184&gt;=0.5,COUNTIF(M$123:M184,"&gt;=0.5"),"")</f>
        <v/>
      </c>
    </row>
    <row r="185" customFormat="false" ht="15" hidden="false" customHeight="false" outlineLevel="0" collapsed="false">
      <c r="A185" s="4" t="n">
        <v>63</v>
      </c>
      <c r="B185" s="79" t="str">
        <f aca="false">BP$13</f>
        <v>Potatoes (russet)</v>
      </c>
      <c r="C185" s="80" t="n">
        <v>0</v>
      </c>
      <c r="D185" s="71" t="n">
        <f aca="false">INDEX($F$15:$EU$15,1,A185)</f>
        <v>3</v>
      </c>
      <c r="E185" s="71" t="n">
        <f aca="false">INDEX($F$16:$EU$16,1,A185)</f>
        <v>0</v>
      </c>
      <c r="F185" s="21" t="n">
        <f aca="false">C185*100</f>
        <v>0</v>
      </c>
      <c r="G185" s="24" t="n">
        <f aca="false">F185/'Food Data'!N68</f>
        <v>0</v>
      </c>
      <c r="H185" s="81" t="n">
        <f aca="false">C185*INDEX($F$14:$EU$14,1,A185)</f>
        <v>0</v>
      </c>
      <c r="I185" s="75" t="str">
        <f aca="false">IF(AND(D185&gt;0,C185&gt;=D185-0.00001),"at cap","")</f>
        <v/>
      </c>
      <c r="J185" s="21" t="n">
        <f aca="false">F185*INDEX($F$34:$EU$34,1,A185)</f>
        <v>0</v>
      </c>
      <c r="K185" s="21" t="n">
        <f aca="false">F185*INDEX($F$35:$EU$35,1,A185)</f>
        <v>0</v>
      </c>
      <c r="L185" s="21" t="n">
        <f aca="false">F185*INDEX($F$36:$EU$36,1,A185)</f>
        <v>0</v>
      </c>
      <c r="M185" s="21" t="n">
        <f aca="false">F185*INDEX($F$37:$EU$37,1,A185)</f>
        <v>0</v>
      </c>
      <c r="N185" s="21" t="str">
        <f aca="false">IF(J185&gt;=0.5,COUNTIF(J$123:J185,"&gt;=0.5"),"")</f>
        <v/>
      </c>
      <c r="O185" s="21" t="str">
        <f aca="false">IF(K185&gt;=0.5,COUNTIF(K$123:K185,"&gt;=0.5"),"")</f>
        <v/>
      </c>
      <c r="P185" s="21" t="str">
        <f aca="false">IF(L185&gt;=0.5,COUNTIF(L$123:L185,"&gt;=0.5"),"")</f>
        <v/>
      </c>
      <c r="Q185" s="21" t="str">
        <f aca="false">IF(M185&gt;=0.5,COUNTIF(M$123:M185,"&gt;=0.5"),"")</f>
        <v/>
      </c>
    </row>
    <row r="186" customFormat="false" ht="15" hidden="false" customHeight="false" outlineLevel="0" collapsed="false">
      <c r="A186" s="4" t="n">
        <v>64</v>
      </c>
      <c r="B186" s="79" t="str">
        <f aca="false">BQ$13</f>
        <v>Sweet potatoes</v>
      </c>
      <c r="C186" s="80" t="n">
        <v>0</v>
      </c>
      <c r="D186" s="71" t="n">
        <f aca="false">INDEX($F$15:$EU$15,1,A186)</f>
        <v>2.66</v>
      </c>
      <c r="E186" s="71" t="n">
        <f aca="false">INDEX($F$16:$EU$16,1,A186)</f>
        <v>0</v>
      </c>
      <c r="F186" s="21" t="n">
        <f aca="false">C186*100</f>
        <v>0</v>
      </c>
      <c r="G186" s="24" t="n">
        <f aca="false">F186/'Food Data'!N69</f>
        <v>0</v>
      </c>
      <c r="H186" s="81" t="n">
        <f aca="false">C186*INDEX($F$14:$EU$14,1,A186)</f>
        <v>0</v>
      </c>
      <c r="I186" s="75" t="str">
        <f aca="false">IF(AND(D186&gt;0,C186&gt;=D186-0.00001),"at cap","")</f>
        <v/>
      </c>
      <c r="J186" s="21" t="n">
        <f aca="false">F186*INDEX($F$34:$EU$34,1,A186)</f>
        <v>0</v>
      </c>
      <c r="K186" s="21" t="n">
        <f aca="false">F186*INDEX($F$35:$EU$35,1,A186)</f>
        <v>0</v>
      </c>
      <c r="L186" s="21" t="n">
        <f aca="false">F186*INDEX($F$36:$EU$36,1,A186)</f>
        <v>0</v>
      </c>
      <c r="M186" s="21" t="n">
        <f aca="false">F186*INDEX($F$37:$EU$37,1,A186)</f>
        <v>0</v>
      </c>
      <c r="N186" s="21" t="str">
        <f aca="false">IF(J186&gt;=0.5,COUNTIF(J$123:J186,"&gt;=0.5"),"")</f>
        <v/>
      </c>
      <c r="O186" s="21" t="str">
        <f aca="false">IF(K186&gt;=0.5,COUNTIF(K$123:K186,"&gt;=0.5"),"")</f>
        <v/>
      </c>
      <c r="P186" s="21" t="str">
        <f aca="false">IF(L186&gt;=0.5,COUNTIF(L$123:L186,"&gt;=0.5"),"")</f>
        <v/>
      </c>
      <c r="Q186" s="21" t="str">
        <f aca="false">IF(M186&gt;=0.5,COUNTIF(M$123:M186,"&gt;=0.5"),"")</f>
        <v/>
      </c>
    </row>
    <row r="187" customFormat="false" ht="15" hidden="false" customHeight="false" outlineLevel="0" collapsed="false">
      <c r="A187" s="4" t="n">
        <v>65</v>
      </c>
      <c r="B187" s="79" t="str">
        <f aca="false">BR$13</f>
        <v>Apples (Gala)</v>
      </c>
      <c r="C187" s="80" t="n">
        <v>0</v>
      </c>
      <c r="D187" s="71" t="n">
        <f aca="false">INDEX($F$15:$EU$15,1,A187)</f>
        <v>2.5</v>
      </c>
      <c r="E187" s="71" t="n">
        <f aca="false">INDEX($F$16:$EU$16,1,A187)</f>
        <v>0</v>
      </c>
      <c r="F187" s="21" t="n">
        <f aca="false">C187*100</f>
        <v>0</v>
      </c>
      <c r="G187" s="24" t="n">
        <f aca="false">F187/'Food Data'!N70</f>
        <v>0</v>
      </c>
      <c r="H187" s="81" t="n">
        <f aca="false">C187*INDEX($F$14:$EU$14,1,A187)</f>
        <v>0</v>
      </c>
      <c r="I187" s="75" t="str">
        <f aca="false">IF(AND(D187&gt;0,C187&gt;=D187-0.00001),"at cap","")</f>
        <v/>
      </c>
      <c r="J187" s="21" t="n">
        <f aca="false">F187*INDEX($F$34:$EU$34,1,A187)</f>
        <v>0</v>
      </c>
      <c r="K187" s="21" t="n">
        <f aca="false">F187*INDEX($F$35:$EU$35,1,A187)</f>
        <v>0</v>
      </c>
      <c r="L187" s="21" t="n">
        <f aca="false">F187*INDEX($F$36:$EU$36,1,A187)</f>
        <v>0</v>
      </c>
      <c r="M187" s="21" t="n">
        <f aca="false">F187*INDEX($F$37:$EU$37,1,A187)</f>
        <v>0</v>
      </c>
      <c r="N187" s="21" t="str">
        <f aca="false">IF(J187&gt;=0.5,COUNTIF(J$123:J187,"&gt;=0.5"),"")</f>
        <v/>
      </c>
      <c r="O187" s="21" t="str">
        <f aca="false">IF(K187&gt;=0.5,COUNTIF(K$123:K187,"&gt;=0.5"),"")</f>
        <v/>
      </c>
      <c r="P187" s="21" t="str">
        <f aca="false">IF(L187&gt;=0.5,COUNTIF(L$123:L187,"&gt;=0.5"),"")</f>
        <v/>
      </c>
      <c r="Q187" s="21" t="str">
        <f aca="false">IF(M187&gt;=0.5,COUNTIF(M$123:M187,"&gt;=0.5"),"")</f>
        <v/>
      </c>
    </row>
    <row r="188" customFormat="false" ht="15" hidden="false" customHeight="false" outlineLevel="0" collapsed="false">
      <c r="A188" s="4" t="n">
        <v>66</v>
      </c>
      <c r="B188" s="79" t="str">
        <f aca="false">BS$13</f>
        <v>Applesauce (unsweetened)</v>
      </c>
      <c r="C188" s="80" t="n">
        <v>0</v>
      </c>
      <c r="D188" s="71" t="n">
        <f aca="false">INDEX($F$15:$EU$15,1,A188)</f>
        <v>2.44</v>
      </c>
      <c r="E188" s="71" t="n">
        <f aca="false">INDEX($F$16:$EU$16,1,A188)</f>
        <v>0</v>
      </c>
      <c r="F188" s="21" t="n">
        <f aca="false">C188*100</f>
        <v>0</v>
      </c>
      <c r="G188" s="24" t="n">
        <f aca="false">F188/'Food Data'!N71</f>
        <v>0</v>
      </c>
      <c r="H188" s="81" t="n">
        <f aca="false">C188*INDEX($F$14:$EU$14,1,A188)</f>
        <v>0</v>
      </c>
      <c r="I188" s="75" t="str">
        <f aca="false">IF(AND(D188&gt;0,C188&gt;=D188-0.00001),"at cap","")</f>
        <v/>
      </c>
      <c r="J188" s="21" t="n">
        <f aca="false">F188*INDEX($F$34:$EU$34,1,A188)</f>
        <v>0</v>
      </c>
      <c r="K188" s="21" t="n">
        <f aca="false">F188*INDEX($F$35:$EU$35,1,A188)</f>
        <v>0</v>
      </c>
      <c r="L188" s="21" t="n">
        <f aca="false">F188*INDEX($F$36:$EU$36,1,A188)</f>
        <v>0</v>
      </c>
      <c r="M188" s="21" t="n">
        <f aca="false">F188*INDEX($F$37:$EU$37,1,A188)</f>
        <v>0</v>
      </c>
      <c r="N188" s="21" t="str">
        <f aca="false">IF(J188&gt;=0.5,COUNTIF(J$123:J188,"&gt;=0.5"),"")</f>
        <v/>
      </c>
      <c r="O188" s="21" t="str">
        <f aca="false">IF(K188&gt;=0.5,COUNTIF(K$123:K188,"&gt;=0.5"),"")</f>
        <v/>
      </c>
      <c r="P188" s="21" t="str">
        <f aca="false">IF(L188&gt;=0.5,COUNTIF(L$123:L188,"&gt;=0.5"),"")</f>
        <v/>
      </c>
      <c r="Q188" s="21" t="str">
        <f aca="false">IF(M188&gt;=0.5,COUNTIF(M$123:M188,"&gt;=0.5"),"")</f>
        <v/>
      </c>
    </row>
    <row r="189" customFormat="false" ht="15" hidden="false" customHeight="false" outlineLevel="0" collapsed="false">
      <c r="A189" s="4" t="n">
        <v>67</v>
      </c>
      <c r="B189" s="79" t="str">
        <f aca="false">BT$13</f>
        <v>Bananas</v>
      </c>
      <c r="C189" s="80" t="n">
        <v>2.36</v>
      </c>
      <c r="D189" s="71" t="n">
        <f aca="false">INDEX($F$15:$EU$15,1,A189)</f>
        <v>2.36</v>
      </c>
      <c r="E189" s="71" t="n">
        <f aca="false">INDEX($F$16:$EU$16,1,A189)</f>
        <v>0</v>
      </c>
      <c r="F189" s="21" t="n">
        <f aca="false">C189*100</f>
        <v>236</v>
      </c>
      <c r="G189" s="24" t="n">
        <f aca="false">F189/'Food Data'!N72</f>
        <v>2</v>
      </c>
      <c r="H189" s="81" t="n">
        <f aca="false">C189*INDEX($F$14:$EU$14,1,A189)</f>
        <v>0.406470458553792</v>
      </c>
      <c r="I189" s="75" t="str">
        <f aca="false">IF(AND(D189&gt;0,C189&gt;=D189-0.00001),"at cap","")</f>
        <v>at cap</v>
      </c>
      <c r="J189" s="21" t="n">
        <f aca="false">F189*INDEX($F$34:$EU$34,1,A189)</f>
        <v>118</v>
      </c>
      <c r="K189" s="21" t="n">
        <f aca="false">F189*INDEX($F$35:$EU$35,1,A189)</f>
        <v>0</v>
      </c>
      <c r="L189" s="21" t="n">
        <f aca="false">F189*INDEX($F$36:$EU$36,1,A189)</f>
        <v>0</v>
      </c>
      <c r="M189" s="21" t="n">
        <f aca="false">F189*INDEX($F$37:$EU$37,1,A189)</f>
        <v>118</v>
      </c>
      <c r="N189" s="21" t="n">
        <f aca="false">IF(J189&gt;=0.5,COUNTIF(J$123:J189,"&gt;=0.5"),"")</f>
        <v>4</v>
      </c>
      <c r="O189" s="21" t="str">
        <f aca="false">IF(K189&gt;=0.5,COUNTIF(K$123:K189,"&gt;=0.5"),"")</f>
        <v/>
      </c>
      <c r="P189" s="21" t="str">
        <f aca="false">IF(L189&gt;=0.5,COUNTIF(L$123:L189,"&gt;=0.5"),"")</f>
        <v/>
      </c>
      <c r="Q189" s="21" t="n">
        <f aca="false">IF(M189&gt;=0.5,COUNTIF(M$123:M189,"&gt;=0.5"),"")</f>
        <v>3</v>
      </c>
    </row>
    <row r="190" customFormat="false" ht="15" hidden="false" customHeight="false" outlineLevel="0" collapsed="false">
      <c r="A190" s="4" t="n">
        <v>68</v>
      </c>
      <c r="B190" s="79" t="str">
        <f aca="false">BU$13</f>
        <v>Blackberries</v>
      </c>
      <c r="C190" s="80" t="n">
        <v>0</v>
      </c>
      <c r="D190" s="71" t="n">
        <f aca="false">INDEX($F$15:$EU$15,1,A190)</f>
        <v>1.44</v>
      </c>
      <c r="E190" s="71" t="n">
        <f aca="false">INDEX($F$16:$EU$16,1,A190)</f>
        <v>0</v>
      </c>
      <c r="F190" s="21" t="n">
        <f aca="false">C190*100</f>
        <v>0</v>
      </c>
      <c r="G190" s="24" t="n">
        <f aca="false">F190/'Food Data'!N73</f>
        <v>0</v>
      </c>
      <c r="H190" s="81" t="n">
        <f aca="false">C190*INDEX($F$14:$EU$14,1,A190)</f>
        <v>0</v>
      </c>
      <c r="I190" s="75" t="str">
        <f aca="false">IF(AND(D190&gt;0,C190&gt;=D190-0.00001),"at cap","")</f>
        <v/>
      </c>
      <c r="J190" s="21" t="n">
        <f aca="false">F190*INDEX($F$34:$EU$34,1,A190)</f>
        <v>0</v>
      </c>
      <c r="K190" s="21" t="n">
        <f aca="false">F190*INDEX($F$35:$EU$35,1,A190)</f>
        <v>0</v>
      </c>
      <c r="L190" s="21" t="n">
        <f aca="false">F190*INDEX($F$36:$EU$36,1,A190)</f>
        <v>0</v>
      </c>
      <c r="M190" s="21" t="n">
        <f aca="false">F190*INDEX($F$37:$EU$37,1,A190)</f>
        <v>0</v>
      </c>
      <c r="N190" s="21" t="str">
        <f aca="false">IF(J190&gt;=0.5,COUNTIF(J$123:J190,"&gt;=0.5"),"")</f>
        <v/>
      </c>
      <c r="O190" s="21" t="str">
        <f aca="false">IF(K190&gt;=0.5,COUNTIF(K$123:K190,"&gt;=0.5"),"")</f>
        <v/>
      </c>
      <c r="P190" s="21" t="str">
        <f aca="false">IF(L190&gt;=0.5,COUNTIF(L$123:L190,"&gt;=0.5"),"")</f>
        <v/>
      </c>
      <c r="Q190" s="21" t="str">
        <f aca="false">IF(M190&gt;=0.5,COUNTIF(M$123:M190,"&gt;=0.5"),"")</f>
        <v/>
      </c>
    </row>
    <row r="191" customFormat="false" ht="15" hidden="false" customHeight="false" outlineLevel="0" collapsed="false">
      <c r="A191" s="4" t="n">
        <v>69</v>
      </c>
      <c r="B191" s="79" t="str">
        <f aca="false">BV$13</f>
        <v>Blueberries (frozen)</v>
      </c>
      <c r="C191" s="80" t="n">
        <v>0</v>
      </c>
      <c r="D191" s="71" t="n">
        <f aca="false">INDEX($F$15:$EU$15,1,A191)</f>
        <v>1.55</v>
      </c>
      <c r="E191" s="71" t="n">
        <f aca="false">INDEX($F$16:$EU$16,1,A191)</f>
        <v>0</v>
      </c>
      <c r="F191" s="21" t="n">
        <f aca="false">C191*100</f>
        <v>0</v>
      </c>
      <c r="G191" s="24" t="n">
        <f aca="false">F191/'Food Data'!N74</f>
        <v>0</v>
      </c>
      <c r="H191" s="81" t="n">
        <f aca="false">C191*INDEX($F$14:$EU$14,1,A191)</f>
        <v>0</v>
      </c>
      <c r="I191" s="75" t="str">
        <f aca="false">IF(AND(D191&gt;0,C191&gt;=D191-0.00001),"at cap","")</f>
        <v/>
      </c>
      <c r="J191" s="21" t="n">
        <f aca="false">F191*INDEX($F$34:$EU$34,1,A191)</f>
        <v>0</v>
      </c>
      <c r="K191" s="21" t="n">
        <f aca="false">F191*INDEX($F$35:$EU$35,1,A191)</f>
        <v>0</v>
      </c>
      <c r="L191" s="21" t="n">
        <f aca="false">F191*INDEX($F$36:$EU$36,1,A191)</f>
        <v>0</v>
      </c>
      <c r="M191" s="21" t="n">
        <f aca="false">F191*INDEX($F$37:$EU$37,1,A191)</f>
        <v>0</v>
      </c>
      <c r="N191" s="21" t="str">
        <f aca="false">IF(J191&gt;=0.5,COUNTIF(J$123:J191,"&gt;=0.5"),"")</f>
        <v/>
      </c>
      <c r="O191" s="21" t="str">
        <f aca="false">IF(K191&gt;=0.5,COUNTIF(K$123:K191,"&gt;=0.5"),"")</f>
        <v/>
      </c>
      <c r="P191" s="21" t="str">
        <f aca="false">IF(L191&gt;=0.5,COUNTIF(L$123:L191,"&gt;=0.5"),"")</f>
        <v/>
      </c>
      <c r="Q191" s="21" t="str">
        <f aca="false">IF(M191&gt;=0.5,COUNTIF(M$123:M191,"&gt;=0.5"),"")</f>
        <v/>
      </c>
    </row>
    <row r="192" customFormat="false" ht="15" hidden="false" customHeight="false" outlineLevel="0" collapsed="false">
      <c r="A192" s="4" t="n">
        <v>70</v>
      </c>
      <c r="B192" s="79" t="str">
        <f aca="false">BW$13</f>
        <v>Cantaloupe</v>
      </c>
      <c r="C192" s="80" t="n">
        <v>0</v>
      </c>
      <c r="D192" s="71" t="n">
        <f aca="false">INDEX($F$15:$EU$15,1,A192)</f>
        <v>3.2</v>
      </c>
      <c r="E192" s="71" t="n">
        <f aca="false">INDEX($F$16:$EU$16,1,A192)</f>
        <v>0</v>
      </c>
      <c r="F192" s="21" t="n">
        <f aca="false">C192*100</f>
        <v>0</v>
      </c>
      <c r="G192" s="24" t="n">
        <f aca="false">F192/'Food Data'!N75</f>
        <v>0</v>
      </c>
      <c r="H192" s="81" t="n">
        <f aca="false">C192*INDEX($F$14:$EU$14,1,A192)</f>
        <v>0</v>
      </c>
      <c r="I192" s="75" t="str">
        <f aca="false">IF(AND(D192&gt;0,C192&gt;=D192-0.00001),"at cap","")</f>
        <v/>
      </c>
      <c r="J192" s="21" t="n">
        <f aca="false">F192*INDEX($F$34:$EU$34,1,A192)</f>
        <v>0</v>
      </c>
      <c r="K192" s="21" t="n">
        <f aca="false">F192*INDEX($F$35:$EU$35,1,A192)</f>
        <v>0</v>
      </c>
      <c r="L192" s="21" t="n">
        <f aca="false">F192*INDEX($F$36:$EU$36,1,A192)</f>
        <v>0</v>
      </c>
      <c r="M192" s="21" t="n">
        <f aca="false">F192*INDEX($F$37:$EU$37,1,A192)</f>
        <v>0</v>
      </c>
      <c r="N192" s="21" t="str">
        <f aca="false">IF(J192&gt;=0.5,COUNTIF(J$123:J192,"&gt;=0.5"),"")</f>
        <v/>
      </c>
      <c r="O192" s="21" t="str">
        <f aca="false">IF(K192&gt;=0.5,COUNTIF(K$123:K192,"&gt;=0.5"),"")</f>
        <v/>
      </c>
      <c r="P192" s="21" t="str">
        <f aca="false">IF(L192&gt;=0.5,COUNTIF(L$123:L192,"&gt;=0.5"),"")</f>
        <v/>
      </c>
      <c r="Q192" s="21" t="str">
        <f aca="false">IF(M192&gt;=0.5,COUNTIF(M$123:M192,"&gt;=0.5"),"")</f>
        <v/>
      </c>
    </row>
    <row r="193" customFormat="false" ht="15" hidden="false" customHeight="false" outlineLevel="0" collapsed="false">
      <c r="A193" s="4" t="n">
        <v>71</v>
      </c>
      <c r="B193" s="79" t="str">
        <f aca="false">BX$13</f>
        <v>Cherries</v>
      </c>
      <c r="C193" s="80" t="n">
        <v>0</v>
      </c>
      <c r="D193" s="71" t="n">
        <f aca="false">INDEX($F$15:$EU$15,1,A193)</f>
        <v>1.54</v>
      </c>
      <c r="E193" s="71" t="n">
        <f aca="false">INDEX($F$16:$EU$16,1,A193)</f>
        <v>0</v>
      </c>
      <c r="F193" s="21" t="n">
        <f aca="false">C193*100</f>
        <v>0</v>
      </c>
      <c r="G193" s="24" t="n">
        <f aca="false">F193/'Food Data'!N76</f>
        <v>0</v>
      </c>
      <c r="H193" s="81" t="n">
        <f aca="false">C193*INDEX($F$14:$EU$14,1,A193)</f>
        <v>0</v>
      </c>
      <c r="I193" s="75" t="str">
        <f aca="false">IF(AND(D193&gt;0,C193&gt;=D193-0.00001),"at cap","")</f>
        <v/>
      </c>
      <c r="J193" s="21" t="n">
        <f aca="false">F193*INDEX($F$34:$EU$34,1,A193)</f>
        <v>0</v>
      </c>
      <c r="K193" s="21" t="n">
        <f aca="false">F193*INDEX($F$35:$EU$35,1,A193)</f>
        <v>0</v>
      </c>
      <c r="L193" s="21" t="n">
        <f aca="false">F193*INDEX($F$36:$EU$36,1,A193)</f>
        <v>0</v>
      </c>
      <c r="M193" s="21" t="n">
        <f aca="false">F193*INDEX($F$37:$EU$37,1,A193)</f>
        <v>0</v>
      </c>
      <c r="N193" s="21" t="str">
        <f aca="false">IF(J193&gt;=0.5,COUNTIF(J$123:J193,"&gt;=0.5"),"")</f>
        <v/>
      </c>
      <c r="O193" s="21" t="str">
        <f aca="false">IF(K193&gt;=0.5,COUNTIF(K$123:K193,"&gt;=0.5"),"")</f>
        <v/>
      </c>
      <c r="P193" s="21" t="str">
        <f aca="false">IF(L193&gt;=0.5,COUNTIF(L$123:L193,"&gt;=0.5"),"")</f>
        <v/>
      </c>
      <c r="Q193" s="21" t="str">
        <f aca="false">IF(M193&gt;=0.5,COUNTIF(M$123:M193,"&gt;=0.5"),"")</f>
        <v/>
      </c>
    </row>
    <row r="194" customFormat="false" ht="15" hidden="false" customHeight="false" outlineLevel="0" collapsed="false">
      <c r="A194" s="4" t="n">
        <v>72</v>
      </c>
      <c r="B194" s="79" t="str">
        <f aca="false">BY$13</f>
        <v>Clementines</v>
      </c>
      <c r="C194" s="80" t="n">
        <v>0</v>
      </c>
      <c r="D194" s="71" t="n">
        <f aca="false">INDEX($F$15:$EU$15,1,A194)</f>
        <v>4.2</v>
      </c>
      <c r="E194" s="71" t="n">
        <f aca="false">INDEX($F$16:$EU$16,1,A194)</f>
        <v>0</v>
      </c>
      <c r="F194" s="21" t="n">
        <f aca="false">C194*100</f>
        <v>0</v>
      </c>
      <c r="G194" s="24" t="n">
        <f aca="false">F194/'Food Data'!N77</f>
        <v>0</v>
      </c>
      <c r="H194" s="81" t="n">
        <f aca="false">C194*INDEX($F$14:$EU$14,1,A194)</f>
        <v>0</v>
      </c>
      <c r="I194" s="75" t="str">
        <f aca="false">IF(AND(D194&gt;0,C194&gt;=D194-0.00001),"at cap","")</f>
        <v/>
      </c>
      <c r="J194" s="21" t="n">
        <f aca="false">F194*INDEX($F$34:$EU$34,1,A194)</f>
        <v>0</v>
      </c>
      <c r="K194" s="21" t="n">
        <f aca="false">F194*INDEX($F$35:$EU$35,1,A194)</f>
        <v>0</v>
      </c>
      <c r="L194" s="21" t="n">
        <f aca="false">F194*INDEX($F$36:$EU$36,1,A194)</f>
        <v>0</v>
      </c>
      <c r="M194" s="21" t="n">
        <f aca="false">F194*INDEX($F$37:$EU$37,1,A194)</f>
        <v>0</v>
      </c>
      <c r="N194" s="21" t="str">
        <f aca="false">IF(J194&gt;=0.5,COUNTIF(J$123:J194,"&gt;=0.5"),"")</f>
        <v/>
      </c>
      <c r="O194" s="21" t="str">
        <f aca="false">IF(K194&gt;=0.5,COUNTIF(K$123:K194,"&gt;=0.5"),"")</f>
        <v/>
      </c>
      <c r="P194" s="21" t="str">
        <f aca="false">IF(L194&gt;=0.5,COUNTIF(L$123:L194,"&gt;=0.5"),"")</f>
        <v/>
      </c>
      <c r="Q194" s="21" t="str">
        <f aca="false">IF(M194&gt;=0.5,COUNTIF(M$123:M194,"&gt;=0.5"),"")</f>
        <v/>
      </c>
    </row>
    <row r="195" customFormat="false" ht="15" hidden="false" customHeight="false" outlineLevel="0" collapsed="false">
      <c r="A195" s="4" t="n">
        <v>73</v>
      </c>
      <c r="B195" s="79" t="str">
        <f aca="false">BZ$13</f>
        <v>Dates (pitted)</v>
      </c>
      <c r="C195" s="80" t="n">
        <v>0</v>
      </c>
      <c r="D195" s="71" t="n">
        <f aca="false">INDEX($F$15:$EU$15,1,A195)</f>
        <v>0.37</v>
      </c>
      <c r="E195" s="71" t="n">
        <f aca="false">INDEX($F$16:$EU$16,1,A195)</f>
        <v>0</v>
      </c>
      <c r="F195" s="21" t="n">
        <f aca="false">C195*100</f>
        <v>0</v>
      </c>
      <c r="G195" s="24" t="n">
        <f aca="false">F195/'Food Data'!N78</f>
        <v>0</v>
      </c>
      <c r="H195" s="81" t="n">
        <f aca="false">C195*INDEX($F$14:$EU$14,1,A195)</f>
        <v>0</v>
      </c>
      <c r="I195" s="75" t="str">
        <f aca="false">IF(AND(D195&gt;0,C195&gt;=D195-0.00001),"at cap","")</f>
        <v/>
      </c>
      <c r="J195" s="21" t="n">
        <f aca="false">F195*INDEX($F$34:$EU$34,1,A195)</f>
        <v>0</v>
      </c>
      <c r="K195" s="21" t="n">
        <f aca="false">F195*INDEX($F$35:$EU$35,1,A195)</f>
        <v>0</v>
      </c>
      <c r="L195" s="21" t="n">
        <f aca="false">F195*INDEX($F$36:$EU$36,1,A195)</f>
        <v>0</v>
      </c>
      <c r="M195" s="21" t="n">
        <f aca="false">F195*INDEX($F$37:$EU$37,1,A195)</f>
        <v>0</v>
      </c>
      <c r="N195" s="21" t="str">
        <f aca="false">IF(J195&gt;=0.5,COUNTIF(J$123:J195,"&gt;=0.5"),"")</f>
        <v/>
      </c>
      <c r="O195" s="21" t="str">
        <f aca="false">IF(K195&gt;=0.5,COUNTIF(K$123:K195,"&gt;=0.5"),"")</f>
        <v/>
      </c>
      <c r="P195" s="21" t="str">
        <f aca="false">IF(L195&gt;=0.5,COUNTIF(L$123:L195,"&gt;=0.5"),"")</f>
        <v/>
      </c>
      <c r="Q195" s="21" t="str">
        <f aca="false">IF(M195&gt;=0.5,COUNTIF(M$123:M195,"&gt;=0.5"),"")</f>
        <v/>
      </c>
    </row>
    <row r="196" customFormat="false" ht="15" hidden="false" customHeight="false" outlineLevel="0" collapsed="false">
      <c r="A196" s="4" t="n">
        <v>74</v>
      </c>
      <c r="B196" s="79" t="str">
        <f aca="false">CA$13</f>
        <v>Dried apricots</v>
      </c>
      <c r="C196" s="80" t="n">
        <v>0</v>
      </c>
      <c r="D196" s="71" t="n">
        <f aca="false">INDEX($F$15:$EU$15,1,A196)</f>
        <v>0.33</v>
      </c>
      <c r="E196" s="71" t="n">
        <f aca="false">INDEX($F$16:$EU$16,1,A196)</f>
        <v>0</v>
      </c>
      <c r="F196" s="21" t="n">
        <f aca="false">C196*100</f>
        <v>0</v>
      </c>
      <c r="G196" s="24" t="n">
        <f aca="false">F196/'Food Data'!N79</f>
        <v>0</v>
      </c>
      <c r="H196" s="81" t="n">
        <f aca="false">C196*INDEX($F$14:$EU$14,1,A196)</f>
        <v>0</v>
      </c>
      <c r="I196" s="75" t="str">
        <f aca="false">IF(AND(D196&gt;0,C196&gt;=D196-0.00001),"at cap","")</f>
        <v/>
      </c>
      <c r="J196" s="21" t="n">
        <f aca="false">F196*INDEX($F$34:$EU$34,1,A196)</f>
        <v>0</v>
      </c>
      <c r="K196" s="21" t="n">
        <f aca="false">F196*INDEX($F$35:$EU$35,1,A196)</f>
        <v>0</v>
      </c>
      <c r="L196" s="21" t="n">
        <f aca="false">F196*INDEX($F$36:$EU$36,1,A196)</f>
        <v>0</v>
      </c>
      <c r="M196" s="21" t="n">
        <f aca="false">F196*INDEX($F$37:$EU$37,1,A196)</f>
        <v>0</v>
      </c>
      <c r="N196" s="21" t="str">
        <f aca="false">IF(J196&gt;=0.5,COUNTIF(J$123:J196,"&gt;=0.5"),"")</f>
        <v/>
      </c>
      <c r="O196" s="21" t="str">
        <f aca="false">IF(K196&gt;=0.5,COUNTIF(K$123:K196,"&gt;=0.5"),"")</f>
        <v/>
      </c>
      <c r="P196" s="21" t="str">
        <f aca="false">IF(L196&gt;=0.5,COUNTIF(L$123:L196,"&gt;=0.5"),"")</f>
        <v/>
      </c>
      <c r="Q196" s="21" t="str">
        <f aca="false">IF(M196&gt;=0.5,COUNTIF(M$123:M196,"&gt;=0.5"),"")</f>
        <v/>
      </c>
    </row>
    <row r="197" customFormat="false" ht="15" hidden="false" customHeight="false" outlineLevel="0" collapsed="false">
      <c r="A197" s="4" t="n">
        <v>75</v>
      </c>
      <c r="B197" s="79" t="str">
        <f aca="false">CB$13</f>
        <v>Dried cranberries (sweetened)</v>
      </c>
      <c r="C197" s="80" t="n">
        <v>0</v>
      </c>
      <c r="D197" s="71" t="n">
        <f aca="false">INDEX($F$15:$EU$15,1,A197)</f>
        <v>0.4</v>
      </c>
      <c r="E197" s="71" t="n">
        <f aca="false">INDEX($F$16:$EU$16,1,A197)</f>
        <v>0</v>
      </c>
      <c r="F197" s="21" t="n">
        <f aca="false">C197*100</f>
        <v>0</v>
      </c>
      <c r="G197" s="24" t="n">
        <f aca="false">F197/'Food Data'!N80</f>
        <v>0</v>
      </c>
      <c r="H197" s="81" t="n">
        <f aca="false">C197*INDEX($F$14:$EU$14,1,A197)</f>
        <v>0</v>
      </c>
      <c r="I197" s="75" t="str">
        <f aca="false">IF(AND(D197&gt;0,C197&gt;=D197-0.00001),"at cap","")</f>
        <v/>
      </c>
      <c r="J197" s="21" t="n">
        <f aca="false">F197*INDEX($F$34:$EU$34,1,A197)</f>
        <v>0</v>
      </c>
      <c r="K197" s="21" t="n">
        <f aca="false">F197*INDEX($F$35:$EU$35,1,A197)</f>
        <v>0</v>
      </c>
      <c r="L197" s="21" t="n">
        <f aca="false">F197*INDEX($F$36:$EU$36,1,A197)</f>
        <v>0</v>
      </c>
      <c r="M197" s="21" t="n">
        <f aca="false">F197*INDEX($F$37:$EU$37,1,A197)</f>
        <v>0</v>
      </c>
      <c r="N197" s="21" t="str">
        <f aca="false">IF(J197&gt;=0.5,COUNTIF(J$123:J197,"&gt;=0.5"),"")</f>
        <v/>
      </c>
      <c r="O197" s="21" t="str">
        <f aca="false">IF(K197&gt;=0.5,COUNTIF(K$123:K197,"&gt;=0.5"),"")</f>
        <v/>
      </c>
      <c r="P197" s="21" t="str">
        <f aca="false">IF(L197&gt;=0.5,COUNTIF(L$123:L197,"&gt;=0.5"),"")</f>
        <v/>
      </c>
      <c r="Q197" s="21" t="str">
        <f aca="false">IF(M197&gt;=0.5,COUNTIF(M$123:M197,"&gt;=0.5"),"")</f>
        <v/>
      </c>
    </row>
    <row r="198" customFormat="false" ht="15" hidden="false" customHeight="false" outlineLevel="0" collapsed="false">
      <c r="A198" s="4" t="n">
        <v>76</v>
      </c>
      <c r="B198" s="79" t="str">
        <f aca="false">CC$13</f>
        <v>Fruit cocktail (canned in juice)</v>
      </c>
      <c r="C198" s="80" t="n">
        <v>0</v>
      </c>
      <c r="D198" s="71" t="n">
        <f aca="false">INDEX($F$15:$EU$15,1,A198)</f>
        <v>2.38</v>
      </c>
      <c r="E198" s="71" t="n">
        <f aca="false">INDEX($F$16:$EU$16,1,A198)</f>
        <v>0</v>
      </c>
      <c r="F198" s="21" t="n">
        <f aca="false">C198*100</f>
        <v>0</v>
      </c>
      <c r="G198" s="24" t="n">
        <f aca="false">F198/'Food Data'!N81</f>
        <v>0</v>
      </c>
      <c r="H198" s="81" t="n">
        <f aca="false">C198*INDEX($F$14:$EU$14,1,A198)</f>
        <v>0</v>
      </c>
      <c r="I198" s="75" t="str">
        <f aca="false">IF(AND(D198&gt;0,C198&gt;=D198-0.00001),"at cap","")</f>
        <v/>
      </c>
      <c r="J198" s="21" t="n">
        <f aca="false">F198*INDEX($F$34:$EU$34,1,A198)</f>
        <v>0</v>
      </c>
      <c r="K198" s="21" t="n">
        <f aca="false">F198*INDEX($F$35:$EU$35,1,A198)</f>
        <v>0</v>
      </c>
      <c r="L198" s="21" t="n">
        <f aca="false">F198*INDEX($F$36:$EU$36,1,A198)</f>
        <v>0</v>
      </c>
      <c r="M198" s="21" t="n">
        <f aca="false">F198*INDEX($F$37:$EU$37,1,A198)</f>
        <v>0</v>
      </c>
      <c r="N198" s="21" t="str">
        <f aca="false">IF(J198&gt;=0.5,COUNTIF(J$123:J198,"&gt;=0.5"),"")</f>
        <v/>
      </c>
      <c r="O198" s="21" t="str">
        <f aca="false">IF(K198&gt;=0.5,COUNTIF(K$123:K198,"&gt;=0.5"),"")</f>
        <v/>
      </c>
      <c r="P198" s="21" t="str">
        <f aca="false">IF(L198&gt;=0.5,COUNTIF(L$123:L198,"&gt;=0.5"),"")</f>
        <v/>
      </c>
      <c r="Q198" s="21" t="str">
        <f aca="false">IF(M198&gt;=0.5,COUNTIF(M$123:M198,"&gt;=0.5"),"")</f>
        <v/>
      </c>
    </row>
    <row r="199" customFormat="false" ht="15" hidden="false" customHeight="false" outlineLevel="0" collapsed="false">
      <c r="A199" s="4" t="n">
        <v>77</v>
      </c>
      <c r="B199" s="79" t="str">
        <f aca="false">CD$13</f>
        <v>Grapefruit</v>
      </c>
      <c r="C199" s="80" t="n">
        <v>0</v>
      </c>
      <c r="D199" s="71" t="n">
        <f aca="false">INDEX($F$15:$EU$15,1,A199)</f>
        <v>4.6</v>
      </c>
      <c r="E199" s="71" t="n">
        <f aca="false">INDEX($F$16:$EU$16,1,A199)</f>
        <v>0</v>
      </c>
      <c r="F199" s="21" t="n">
        <f aca="false">C199*100</f>
        <v>0</v>
      </c>
      <c r="G199" s="24" t="n">
        <f aca="false">F199/'Food Data'!N82</f>
        <v>0</v>
      </c>
      <c r="H199" s="81" t="n">
        <f aca="false">C199*INDEX($F$14:$EU$14,1,A199)</f>
        <v>0</v>
      </c>
      <c r="I199" s="75" t="str">
        <f aca="false">IF(AND(D199&gt;0,C199&gt;=D199-0.00001),"at cap","")</f>
        <v/>
      </c>
      <c r="J199" s="21" t="n">
        <f aca="false">F199*INDEX($F$34:$EU$34,1,A199)</f>
        <v>0</v>
      </c>
      <c r="K199" s="21" t="n">
        <f aca="false">F199*INDEX($F$35:$EU$35,1,A199)</f>
        <v>0</v>
      </c>
      <c r="L199" s="21" t="n">
        <f aca="false">F199*INDEX($F$36:$EU$36,1,A199)</f>
        <v>0</v>
      </c>
      <c r="M199" s="21" t="n">
        <f aca="false">F199*INDEX($F$37:$EU$37,1,A199)</f>
        <v>0</v>
      </c>
      <c r="N199" s="21" t="str">
        <f aca="false">IF(J199&gt;=0.5,COUNTIF(J$123:J199,"&gt;=0.5"),"")</f>
        <v/>
      </c>
      <c r="O199" s="21" t="str">
        <f aca="false">IF(K199&gt;=0.5,COUNTIF(K$123:K199,"&gt;=0.5"),"")</f>
        <v/>
      </c>
      <c r="P199" s="21" t="str">
        <f aca="false">IF(L199&gt;=0.5,COUNTIF(L$123:L199,"&gt;=0.5"),"")</f>
        <v/>
      </c>
      <c r="Q199" s="21" t="str">
        <f aca="false">IF(M199&gt;=0.5,COUNTIF(M$123:M199,"&gt;=0.5"),"")</f>
        <v/>
      </c>
    </row>
    <row r="200" customFormat="false" ht="15" hidden="false" customHeight="false" outlineLevel="0" collapsed="false">
      <c r="A200" s="4" t="n">
        <v>78</v>
      </c>
      <c r="B200" s="79" t="str">
        <f aca="false">CE$13</f>
        <v>Grapes (red seedless)</v>
      </c>
      <c r="C200" s="80" t="n">
        <v>0</v>
      </c>
      <c r="D200" s="71" t="n">
        <f aca="false">INDEX($F$15:$EU$15,1,A200)</f>
        <v>3.02</v>
      </c>
      <c r="E200" s="71" t="n">
        <f aca="false">INDEX($F$16:$EU$16,1,A200)</f>
        <v>0</v>
      </c>
      <c r="F200" s="21" t="n">
        <f aca="false">C200*100</f>
        <v>0</v>
      </c>
      <c r="G200" s="24" t="n">
        <f aca="false">F200/'Food Data'!N83</f>
        <v>0</v>
      </c>
      <c r="H200" s="81" t="n">
        <f aca="false">C200*INDEX($F$14:$EU$14,1,A200)</f>
        <v>0</v>
      </c>
      <c r="I200" s="75" t="str">
        <f aca="false">IF(AND(D200&gt;0,C200&gt;=D200-0.00001),"at cap","")</f>
        <v/>
      </c>
      <c r="J200" s="21" t="n">
        <f aca="false">F200*INDEX($F$34:$EU$34,1,A200)</f>
        <v>0</v>
      </c>
      <c r="K200" s="21" t="n">
        <f aca="false">F200*INDEX($F$35:$EU$35,1,A200)</f>
        <v>0</v>
      </c>
      <c r="L200" s="21" t="n">
        <f aca="false">F200*INDEX($F$36:$EU$36,1,A200)</f>
        <v>0</v>
      </c>
      <c r="M200" s="21" t="n">
        <f aca="false">F200*INDEX($F$37:$EU$37,1,A200)</f>
        <v>0</v>
      </c>
      <c r="N200" s="21" t="str">
        <f aca="false">IF(J200&gt;=0.5,COUNTIF(J$123:J200,"&gt;=0.5"),"")</f>
        <v/>
      </c>
      <c r="O200" s="21" t="str">
        <f aca="false">IF(K200&gt;=0.5,COUNTIF(K$123:K200,"&gt;=0.5"),"")</f>
        <v/>
      </c>
      <c r="P200" s="21" t="str">
        <f aca="false">IF(L200&gt;=0.5,COUNTIF(L$123:L200,"&gt;=0.5"),"")</f>
        <v/>
      </c>
      <c r="Q200" s="21" t="str">
        <f aca="false">IF(M200&gt;=0.5,COUNTIF(M$123:M200,"&gt;=0.5"),"")</f>
        <v/>
      </c>
    </row>
    <row r="201" customFormat="false" ht="15" hidden="false" customHeight="false" outlineLevel="0" collapsed="false">
      <c r="A201" s="4" t="n">
        <v>79</v>
      </c>
      <c r="B201" s="79" t="str">
        <f aca="false">CF$13</f>
        <v>Honeydew melon</v>
      </c>
      <c r="C201" s="80" t="n">
        <v>0</v>
      </c>
      <c r="D201" s="71" t="n">
        <f aca="false">INDEX($F$15:$EU$15,1,A201)</f>
        <v>3.4</v>
      </c>
      <c r="E201" s="71" t="n">
        <f aca="false">INDEX($F$16:$EU$16,1,A201)</f>
        <v>0</v>
      </c>
      <c r="F201" s="21" t="n">
        <f aca="false">C201*100</f>
        <v>0</v>
      </c>
      <c r="G201" s="24" t="n">
        <f aca="false">F201/'Food Data'!N84</f>
        <v>0</v>
      </c>
      <c r="H201" s="81" t="n">
        <f aca="false">C201*INDEX($F$14:$EU$14,1,A201)</f>
        <v>0</v>
      </c>
      <c r="I201" s="75" t="str">
        <f aca="false">IF(AND(D201&gt;0,C201&gt;=D201-0.00001),"at cap","")</f>
        <v/>
      </c>
      <c r="J201" s="21" t="n">
        <f aca="false">F201*INDEX($F$34:$EU$34,1,A201)</f>
        <v>0</v>
      </c>
      <c r="K201" s="21" t="n">
        <f aca="false">F201*INDEX($F$35:$EU$35,1,A201)</f>
        <v>0</v>
      </c>
      <c r="L201" s="21" t="n">
        <f aca="false">F201*INDEX($F$36:$EU$36,1,A201)</f>
        <v>0</v>
      </c>
      <c r="M201" s="21" t="n">
        <f aca="false">F201*INDEX($F$37:$EU$37,1,A201)</f>
        <v>0</v>
      </c>
      <c r="N201" s="21" t="str">
        <f aca="false">IF(J201&gt;=0.5,COUNTIF(J$123:J201,"&gt;=0.5"),"")</f>
        <v/>
      </c>
      <c r="O201" s="21" t="str">
        <f aca="false">IF(K201&gt;=0.5,COUNTIF(K$123:K201,"&gt;=0.5"),"")</f>
        <v/>
      </c>
      <c r="P201" s="21" t="str">
        <f aca="false">IF(L201&gt;=0.5,COUNTIF(L$123:L201,"&gt;=0.5"),"")</f>
        <v/>
      </c>
      <c r="Q201" s="21" t="str">
        <f aca="false">IF(M201&gt;=0.5,COUNTIF(M$123:M201,"&gt;=0.5"),"")</f>
        <v/>
      </c>
    </row>
    <row r="202" customFormat="false" ht="15" hidden="false" customHeight="false" outlineLevel="0" collapsed="false">
      <c r="A202" s="4" t="n">
        <v>80</v>
      </c>
      <c r="B202" s="79" t="str">
        <f aca="false">CG$13</f>
        <v>Kiwifruit</v>
      </c>
      <c r="C202" s="80" t="n">
        <v>0</v>
      </c>
      <c r="D202" s="71" t="n">
        <f aca="false">INDEX($F$15:$EU$15,1,A202)</f>
        <v>3.6</v>
      </c>
      <c r="E202" s="71" t="n">
        <f aca="false">INDEX($F$16:$EU$16,1,A202)</f>
        <v>0</v>
      </c>
      <c r="F202" s="21" t="n">
        <f aca="false">C202*100</f>
        <v>0</v>
      </c>
      <c r="G202" s="24" t="n">
        <f aca="false">F202/'Food Data'!N85</f>
        <v>0</v>
      </c>
      <c r="H202" s="81" t="n">
        <f aca="false">C202*INDEX($F$14:$EU$14,1,A202)</f>
        <v>0</v>
      </c>
      <c r="I202" s="75" t="str">
        <f aca="false">IF(AND(D202&gt;0,C202&gt;=D202-0.00001),"at cap","")</f>
        <v/>
      </c>
      <c r="J202" s="21" t="n">
        <f aca="false">F202*INDEX($F$34:$EU$34,1,A202)</f>
        <v>0</v>
      </c>
      <c r="K202" s="21" t="n">
        <f aca="false">F202*INDEX($F$35:$EU$35,1,A202)</f>
        <v>0</v>
      </c>
      <c r="L202" s="21" t="n">
        <f aca="false">F202*INDEX($F$36:$EU$36,1,A202)</f>
        <v>0</v>
      </c>
      <c r="M202" s="21" t="n">
        <f aca="false">F202*INDEX($F$37:$EU$37,1,A202)</f>
        <v>0</v>
      </c>
      <c r="N202" s="21" t="str">
        <f aca="false">IF(J202&gt;=0.5,COUNTIF(J$123:J202,"&gt;=0.5"),"")</f>
        <v/>
      </c>
      <c r="O202" s="21" t="str">
        <f aca="false">IF(K202&gt;=0.5,COUNTIF(K$123:K202,"&gt;=0.5"),"")</f>
        <v/>
      </c>
      <c r="P202" s="21" t="str">
        <f aca="false">IF(L202&gt;=0.5,COUNTIF(L$123:L202,"&gt;=0.5"),"")</f>
        <v/>
      </c>
      <c r="Q202" s="21" t="str">
        <f aca="false">IF(M202&gt;=0.5,COUNTIF(M$123:M202,"&gt;=0.5"),"")</f>
        <v/>
      </c>
    </row>
    <row r="203" customFormat="false" ht="15" hidden="false" customHeight="false" outlineLevel="0" collapsed="false">
      <c r="A203" s="4" t="n">
        <v>81</v>
      </c>
      <c r="B203" s="79" t="str">
        <f aca="false">CH$13</f>
        <v>Mango</v>
      </c>
      <c r="C203" s="80" t="n">
        <v>0</v>
      </c>
      <c r="D203" s="71" t="n">
        <f aca="false">INDEX($F$15:$EU$15,1,A203)</f>
        <v>3.3</v>
      </c>
      <c r="E203" s="71" t="n">
        <f aca="false">INDEX($F$16:$EU$16,1,A203)</f>
        <v>0</v>
      </c>
      <c r="F203" s="21" t="n">
        <f aca="false">C203*100</f>
        <v>0</v>
      </c>
      <c r="G203" s="24" t="n">
        <f aca="false">F203/'Food Data'!N86</f>
        <v>0</v>
      </c>
      <c r="H203" s="81" t="n">
        <f aca="false">C203*INDEX($F$14:$EU$14,1,A203)</f>
        <v>0</v>
      </c>
      <c r="I203" s="75" t="str">
        <f aca="false">IF(AND(D203&gt;0,C203&gt;=D203-0.00001),"at cap","")</f>
        <v/>
      </c>
      <c r="J203" s="21" t="n">
        <f aca="false">F203*INDEX($F$34:$EU$34,1,A203)</f>
        <v>0</v>
      </c>
      <c r="K203" s="21" t="n">
        <f aca="false">F203*INDEX($F$35:$EU$35,1,A203)</f>
        <v>0</v>
      </c>
      <c r="L203" s="21" t="n">
        <f aca="false">F203*INDEX($F$36:$EU$36,1,A203)</f>
        <v>0</v>
      </c>
      <c r="M203" s="21" t="n">
        <f aca="false">F203*INDEX($F$37:$EU$37,1,A203)</f>
        <v>0</v>
      </c>
      <c r="N203" s="21" t="str">
        <f aca="false">IF(J203&gt;=0.5,COUNTIF(J$123:J203,"&gt;=0.5"),"")</f>
        <v/>
      </c>
      <c r="O203" s="21" t="str">
        <f aca="false">IF(K203&gt;=0.5,COUNTIF(K$123:K203,"&gt;=0.5"),"")</f>
        <v/>
      </c>
      <c r="P203" s="21" t="str">
        <f aca="false">IF(L203&gt;=0.5,COUNTIF(L$123:L203,"&gt;=0.5"),"")</f>
        <v/>
      </c>
      <c r="Q203" s="21" t="str">
        <f aca="false">IF(M203&gt;=0.5,COUNTIF(M$123:M203,"&gt;=0.5"),"")</f>
        <v/>
      </c>
    </row>
    <row r="204" customFormat="false" ht="15" hidden="false" customHeight="false" outlineLevel="0" collapsed="false">
      <c r="A204" s="4" t="n">
        <v>82</v>
      </c>
      <c r="B204" s="79" t="str">
        <f aca="false">CI$13</f>
        <v>Nectarines</v>
      </c>
      <c r="C204" s="80" t="n">
        <v>0</v>
      </c>
      <c r="D204" s="71" t="n">
        <f aca="false">INDEX($F$15:$EU$15,1,A204)</f>
        <v>2.86</v>
      </c>
      <c r="E204" s="71" t="n">
        <f aca="false">INDEX($F$16:$EU$16,1,A204)</f>
        <v>0</v>
      </c>
      <c r="F204" s="21" t="n">
        <f aca="false">C204*100</f>
        <v>0</v>
      </c>
      <c r="G204" s="24" t="n">
        <f aca="false">F204/'Food Data'!N87</f>
        <v>0</v>
      </c>
      <c r="H204" s="81" t="n">
        <f aca="false">C204*INDEX($F$14:$EU$14,1,A204)</f>
        <v>0</v>
      </c>
      <c r="I204" s="75" t="str">
        <f aca="false">IF(AND(D204&gt;0,C204&gt;=D204-0.00001),"at cap","")</f>
        <v/>
      </c>
      <c r="J204" s="21" t="n">
        <f aca="false">F204*INDEX($F$34:$EU$34,1,A204)</f>
        <v>0</v>
      </c>
      <c r="K204" s="21" t="n">
        <f aca="false">F204*INDEX($F$35:$EU$35,1,A204)</f>
        <v>0</v>
      </c>
      <c r="L204" s="21" t="n">
        <f aca="false">F204*INDEX($F$36:$EU$36,1,A204)</f>
        <v>0</v>
      </c>
      <c r="M204" s="21" t="n">
        <f aca="false">F204*INDEX($F$37:$EU$37,1,A204)</f>
        <v>0</v>
      </c>
      <c r="N204" s="21" t="str">
        <f aca="false">IF(J204&gt;=0.5,COUNTIF(J$123:J204,"&gt;=0.5"),"")</f>
        <v/>
      </c>
      <c r="O204" s="21" t="str">
        <f aca="false">IF(K204&gt;=0.5,COUNTIF(K$123:K204,"&gt;=0.5"),"")</f>
        <v/>
      </c>
      <c r="P204" s="21" t="str">
        <f aca="false">IF(L204&gt;=0.5,COUNTIF(L$123:L204,"&gt;=0.5"),"")</f>
        <v/>
      </c>
      <c r="Q204" s="21" t="str">
        <f aca="false">IF(M204&gt;=0.5,COUNTIF(M$123:M204,"&gt;=0.5"),"")</f>
        <v/>
      </c>
    </row>
    <row r="205" customFormat="false" ht="15" hidden="false" customHeight="false" outlineLevel="0" collapsed="false">
      <c r="A205" s="4" t="n">
        <v>83</v>
      </c>
      <c r="B205" s="79" t="str">
        <f aca="false">CJ$13</f>
        <v>Orange juice (100%)</v>
      </c>
      <c r="C205" s="80" t="n">
        <v>0</v>
      </c>
      <c r="D205" s="71" t="n">
        <f aca="false">INDEX($F$15:$EU$15,1,A205)</f>
        <v>2.49</v>
      </c>
      <c r="E205" s="71" t="n">
        <f aca="false">INDEX($F$16:$EU$16,1,A205)</f>
        <v>0</v>
      </c>
      <c r="F205" s="21" t="n">
        <f aca="false">C205*100</f>
        <v>0</v>
      </c>
      <c r="G205" s="24" t="n">
        <f aca="false">F205/'Food Data'!N88</f>
        <v>0</v>
      </c>
      <c r="H205" s="81" t="n">
        <f aca="false">C205*INDEX($F$14:$EU$14,1,A205)</f>
        <v>0</v>
      </c>
      <c r="I205" s="75" t="str">
        <f aca="false">IF(AND(D205&gt;0,C205&gt;=D205-0.00001),"at cap","")</f>
        <v/>
      </c>
      <c r="J205" s="21" t="n">
        <f aca="false">F205*INDEX($F$34:$EU$34,1,A205)</f>
        <v>0</v>
      </c>
      <c r="K205" s="21" t="n">
        <f aca="false">F205*INDEX($F$35:$EU$35,1,A205)</f>
        <v>0</v>
      </c>
      <c r="L205" s="21" t="n">
        <f aca="false">F205*INDEX($F$36:$EU$36,1,A205)</f>
        <v>0</v>
      </c>
      <c r="M205" s="21" t="n">
        <f aca="false">F205*INDEX($F$37:$EU$37,1,A205)</f>
        <v>0</v>
      </c>
      <c r="N205" s="21" t="str">
        <f aca="false">IF(J205&gt;=0.5,COUNTIF(J$123:J205,"&gt;=0.5"),"")</f>
        <v/>
      </c>
      <c r="O205" s="21" t="str">
        <f aca="false">IF(K205&gt;=0.5,COUNTIF(K$123:K205,"&gt;=0.5"),"")</f>
        <v/>
      </c>
      <c r="P205" s="21" t="str">
        <f aca="false">IF(L205&gt;=0.5,COUNTIF(L$123:L205,"&gt;=0.5"),"")</f>
        <v/>
      </c>
      <c r="Q205" s="21" t="str">
        <f aca="false">IF(M205&gt;=0.5,COUNTIF(M$123:M205,"&gt;=0.5"),"")</f>
        <v/>
      </c>
    </row>
    <row r="206" customFormat="false" ht="15" hidden="false" customHeight="false" outlineLevel="0" collapsed="false">
      <c r="A206" s="4" t="n">
        <v>84</v>
      </c>
      <c r="B206" s="79" t="str">
        <f aca="false">CK$13</f>
        <v>Oranges (navel)</v>
      </c>
      <c r="C206" s="80" t="n">
        <v>0</v>
      </c>
      <c r="D206" s="71" t="n">
        <f aca="false">INDEX($F$15:$EU$15,1,A206)</f>
        <v>2.8</v>
      </c>
      <c r="E206" s="71" t="n">
        <f aca="false">INDEX($F$16:$EU$16,1,A206)</f>
        <v>0</v>
      </c>
      <c r="F206" s="21" t="n">
        <f aca="false">C206*100</f>
        <v>0</v>
      </c>
      <c r="G206" s="24" t="n">
        <f aca="false">F206/'Food Data'!N89</f>
        <v>0</v>
      </c>
      <c r="H206" s="81" t="n">
        <f aca="false">C206*INDEX($F$14:$EU$14,1,A206)</f>
        <v>0</v>
      </c>
      <c r="I206" s="75" t="str">
        <f aca="false">IF(AND(D206&gt;0,C206&gt;=D206-0.00001),"at cap","")</f>
        <v/>
      </c>
      <c r="J206" s="21" t="n">
        <f aca="false">F206*INDEX($F$34:$EU$34,1,A206)</f>
        <v>0</v>
      </c>
      <c r="K206" s="21" t="n">
        <f aca="false">F206*INDEX($F$35:$EU$35,1,A206)</f>
        <v>0</v>
      </c>
      <c r="L206" s="21" t="n">
        <f aca="false">F206*INDEX($F$36:$EU$36,1,A206)</f>
        <v>0</v>
      </c>
      <c r="M206" s="21" t="n">
        <f aca="false">F206*INDEX($F$37:$EU$37,1,A206)</f>
        <v>0</v>
      </c>
      <c r="N206" s="21" t="str">
        <f aca="false">IF(J206&gt;=0.5,COUNTIF(J$123:J206,"&gt;=0.5"),"")</f>
        <v/>
      </c>
      <c r="O206" s="21" t="str">
        <f aca="false">IF(K206&gt;=0.5,COUNTIF(K$123:K206,"&gt;=0.5"),"")</f>
        <v/>
      </c>
      <c r="P206" s="21" t="str">
        <f aca="false">IF(L206&gt;=0.5,COUNTIF(L$123:L206,"&gt;=0.5"),"")</f>
        <v/>
      </c>
      <c r="Q206" s="21" t="str">
        <f aca="false">IF(M206&gt;=0.5,COUNTIF(M$123:M206,"&gt;=0.5"),"")</f>
        <v/>
      </c>
    </row>
    <row r="207" customFormat="false" ht="15" hidden="false" customHeight="false" outlineLevel="0" collapsed="false">
      <c r="A207" s="4" t="n">
        <v>85</v>
      </c>
      <c r="B207" s="79" t="str">
        <f aca="false">CL$13</f>
        <v>Papaya</v>
      </c>
      <c r="C207" s="80" t="n">
        <v>0</v>
      </c>
      <c r="D207" s="71" t="n">
        <f aca="false">INDEX($F$15:$EU$15,1,A207)</f>
        <v>2.9</v>
      </c>
      <c r="E207" s="71" t="n">
        <f aca="false">INDEX($F$16:$EU$16,1,A207)</f>
        <v>0</v>
      </c>
      <c r="F207" s="21" t="n">
        <f aca="false">C207*100</f>
        <v>0</v>
      </c>
      <c r="G207" s="24" t="n">
        <f aca="false">F207/'Food Data'!N90</f>
        <v>0</v>
      </c>
      <c r="H207" s="81" t="n">
        <f aca="false">C207*INDEX($F$14:$EU$14,1,A207)</f>
        <v>0</v>
      </c>
      <c r="I207" s="75" t="str">
        <f aca="false">IF(AND(D207&gt;0,C207&gt;=D207-0.00001),"at cap","")</f>
        <v/>
      </c>
      <c r="J207" s="21" t="n">
        <f aca="false">F207*INDEX($F$34:$EU$34,1,A207)</f>
        <v>0</v>
      </c>
      <c r="K207" s="21" t="n">
        <f aca="false">F207*INDEX($F$35:$EU$35,1,A207)</f>
        <v>0</v>
      </c>
      <c r="L207" s="21" t="n">
        <f aca="false">F207*INDEX($F$36:$EU$36,1,A207)</f>
        <v>0</v>
      </c>
      <c r="M207" s="21" t="n">
        <f aca="false">F207*INDEX($F$37:$EU$37,1,A207)</f>
        <v>0</v>
      </c>
      <c r="N207" s="21" t="str">
        <f aca="false">IF(J207&gt;=0.5,COUNTIF(J$123:J207,"&gt;=0.5"),"")</f>
        <v/>
      </c>
      <c r="O207" s="21" t="str">
        <f aca="false">IF(K207&gt;=0.5,COUNTIF(K$123:K207,"&gt;=0.5"),"")</f>
        <v/>
      </c>
      <c r="P207" s="21" t="str">
        <f aca="false">IF(L207&gt;=0.5,COUNTIF(L$123:L207,"&gt;=0.5"),"")</f>
        <v/>
      </c>
      <c r="Q207" s="21" t="str">
        <f aca="false">IF(M207&gt;=0.5,COUNTIF(M$123:M207,"&gt;=0.5"),"")</f>
        <v/>
      </c>
    </row>
    <row r="208" customFormat="false" ht="15" hidden="false" customHeight="false" outlineLevel="0" collapsed="false">
      <c r="A208" s="4" t="n">
        <v>86</v>
      </c>
      <c r="B208" s="79" t="str">
        <f aca="false">CM$13</f>
        <v>Peaches</v>
      </c>
      <c r="C208" s="80" t="n">
        <v>0</v>
      </c>
      <c r="D208" s="71" t="n">
        <f aca="false">INDEX($F$15:$EU$15,1,A208)</f>
        <v>3.08</v>
      </c>
      <c r="E208" s="71" t="n">
        <f aca="false">INDEX($F$16:$EU$16,1,A208)</f>
        <v>0</v>
      </c>
      <c r="F208" s="21" t="n">
        <f aca="false">C208*100</f>
        <v>0</v>
      </c>
      <c r="G208" s="24" t="n">
        <f aca="false">F208/'Food Data'!N91</f>
        <v>0</v>
      </c>
      <c r="H208" s="81" t="n">
        <f aca="false">C208*INDEX($F$14:$EU$14,1,A208)</f>
        <v>0</v>
      </c>
      <c r="I208" s="75" t="str">
        <f aca="false">IF(AND(D208&gt;0,C208&gt;=D208-0.00001),"at cap","")</f>
        <v/>
      </c>
      <c r="J208" s="21" t="n">
        <f aca="false">F208*INDEX($F$34:$EU$34,1,A208)</f>
        <v>0</v>
      </c>
      <c r="K208" s="21" t="n">
        <f aca="false">F208*INDEX($F$35:$EU$35,1,A208)</f>
        <v>0</v>
      </c>
      <c r="L208" s="21" t="n">
        <f aca="false">F208*INDEX($F$36:$EU$36,1,A208)</f>
        <v>0</v>
      </c>
      <c r="M208" s="21" t="n">
        <f aca="false">F208*INDEX($F$37:$EU$37,1,A208)</f>
        <v>0</v>
      </c>
      <c r="N208" s="21" t="str">
        <f aca="false">IF(J208&gt;=0.5,COUNTIF(J$123:J208,"&gt;=0.5"),"")</f>
        <v/>
      </c>
      <c r="O208" s="21" t="str">
        <f aca="false">IF(K208&gt;=0.5,COUNTIF(K$123:K208,"&gt;=0.5"),"")</f>
        <v/>
      </c>
      <c r="P208" s="21" t="str">
        <f aca="false">IF(L208&gt;=0.5,COUNTIF(L$123:L208,"&gt;=0.5"),"")</f>
        <v/>
      </c>
      <c r="Q208" s="21" t="str">
        <f aca="false">IF(M208&gt;=0.5,COUNTIF(M$123:M208,"&gt;=0.5"),"")</f>
        <v/>
      </c>
    </row>
    <row r="209" customFormat="false" ht="15" hidden="false" customHeight="false" outlineLevel="0" collapsed="false">
      <c r="A209" s="4" t="n">
        <v>87</v>
      </c>
      <c r="B209" s="79" t="str">
        <f aca="false">CN$13</f>
        <v>Peaches (canned in juice)</v>
      </c>
      <c r="C209" s="80" t="n">
        <v>0</v>
      </c>
      <c r="D209" s="71" t="n">
        <f aca="false">INDEX($F$15:$EU$15,1,A209)</f>
        <v>2.5</v>
      </c>
      <c r="E209" s="71" t="n">
        <f aca="false">INDEX($F$16:$EU$16,1,A209)</f>
        <v>0</v>
      </c>
      <c r="F209" s="21" t="n">
        <f aca="false">C209*100</f>
        <v>0</v>
      </c>
      <c r="G209" s="24" t="n">
        <f aca="false">F209/'Food Data'!N92</f>
        <v>0</v>
      </c>
      <c r="H209" s="81" t="n">
        <f aca="false">C209*INDEX($F$14:$EU$14,1,A209)</f>
        <v>0</v>
      </c>
      <c r="I209" s="75" t="str">
        <f aca="false">IF(AND(D209&gt;0,C209&gt;=D209-0.00001),"at cap","")</f>
        <v/>
      </c>
      <c r="J209" s="21" t="n">
        <f aca="false">F209*INDEX($F$34:$EU$34,1,A209)</f>
        <v>0</v>
      </c>
      <c r="K209" s="21" t="n">
        <f aca="false">F209*INDEX($F$35:$EU$35,1,A209)</f>
        <v>0</v>
      </c>
      <c r="L209" s="21" t="n">
        <f aca="false">F209*INDEX($F$36:$EU$36,1,A209)</f>
        <v>0</v>
      </c>
      <c r="M209" s="21" t="n">
        <f aca="false">F209*INDEX($F$37:$EU$37,1,A209)</f>
        <v>0</v>
      </c>
      <c r="N209" s="21" t="str">
        <f aca="false">IF(J209&gt;=0.5,COUNTIF(J$123:J209,"&gt;=0.5"),"")</f>
        <v/>
      </c>
      <c r="O209" s="21" t="str">
        <f aca="false">IF(K209&gt;=0.5,COUNTIF(K$123:K209,"&gt;=0.5"),"")</f>
        <v/>
      </c>
      <c r="P209" s="21" t="str">
        <f aca="false">IF(L209&gt;=0.5,COUNTIF(L$123:L209,"&gt;=0.5"),"")</f>
        <v/>
      </c>
      <c r="Q209" s="21" t="str">
        <f aca="false">IF(M209&gt;=0.5,COUNTIF(M$123:M209,"&gt;=0.5"),"")</f>
        <v/>
      </c>
    </row>
    <row r="210" customFormat="false" ht="15" hidden="false" customHeight="false" outlineLevel="0" collapsed="false">
      <c r="A210" s="4" t="n">
        <v>88</v>
      </c>
      <c r="B210" s="79" t="str">
        <f aca="false">CO$13</f>
        <v>Pears</v>
      </c>
      <c r="C210" s="80" t="n">
        <v>0</v>
      </c>
      <c r="D210" s="71" t="n">
        <f aca="false">INDEX($F$15:$EU$15,1,A210)</f>
        <v>2.8</v>
      </c>
      <c r="E210" s="71" t="n">
        <f aca="false">INDEX($F$16:$EU$16,1,A210)</f>
        <v>0</v>
      </c>
      <c r="F210" s="21" t="n">
        <f aca="false">C210*100</f>
        <v>0</v>
      </c>
      <c r="G210" s="24" t="n">
        <f aca="false">F210/'Food Data'!N93</f>
        <v>0</v>
      </c>
      <c r="H210" s="81" t="n">
        <f aca="false">C210*INDEX($F$14:$EU$14,1,A210)</f>
        <v>0</v>
      </c>
      <c r="I210" s="75" t="str">
        <f aca="false">IF(AND(D210&gt;0,C210&gt;=D210-0.00001),"at cap","")</f>
        <v/>
      </c>
      <c r="J210" s="21" t="n">
        <f aca="false">F210*INDEX($F$34:$EU$34,1,A210)</f>
        <v>0</v>
      </c>
      <c r="K210" s="21" t="n">
        <f aca="false">F210*INDEX($F$35:$EU$35,1,A210)</f>
        <v>0</v>
      </c>
      <c r="L210" s="21" t="n">
        <f aca="false">F210*INDEX($F$36:$EU$36,1,A210)</f>
        <v>0</v>
      </c>
      <c r="M210" s="21" t="n">
        <f aca="false">F210*INDEX($F$37:$EU$37,1,A210)</f>
        <v>0</v>
      </c>
      <c r="N210" s="21" t="str">
        <f aca="false">IF(J210&gt;=0.5,COUNTIF(J$123:J210,"&gt;=0.5"),"")</f>
        <v/>
      </c>
      <c r="O210" s="21" t="str">
        <f aca="false">IF(K210&gt;=0.5,COUNTIF(K$123:K210,"&gt;=0.5"),"")</f>
        <v/>
      </c>
      <c r="P210" s="21" t="str">
        <f aca="false">IF(L210&gt;=0.5,COUNTIF(L$123:L210,"&gt;=0.5"),"")</f>
        <v/>
      </c>
      <c r="Q210" s="21" t="str">
        <f aca="false">IF(M210&gt;=0.5,COUNTIF(M$123:M210,"&gt;=0.5"),"")</f>
        <v/>
      </c>
    </row>
    <row r="211" customFormat="false" ht="15" hidden="false" customHeight="false" outlineLevel="0" collapsed="false">
      <c r="A211" s="4" t="n">
        <v>89</v>
      </c>
      <c r="B211" s="79" t="str">
        <f aca="false">CP$13</f>
        <v>Pears (canned in juice)</v>
      </c>
      <c r="C211" s="80" t="n">
        <v>0</v>
      </c>
      <c r="D211" s="71" t="n">
        <f aca="false">INDEX($F$15:$EU$15,1,A211)</f>
        <v>2.48</v>
      </c>
      <c r="E211" s="71" t="n">
        <f aca="false">INDEX($F$16:$EU$16,1,A211)</f>
        <v>0</v>
      </c>
      <c r="F211" s="21" t="n">
        <f aca="false">C211*100</f>
        <v>0</v>
      </c>
      <c r="G211" s="24" t="n">
        <f aca="false">F211/'Food Data'!N94</f>
        <v>0</v>
      </c>
      <c r="H211" s="81" t="n">
        <f aca="false">C211*INDEX($F$14:$EU$14,1,A211)</f>
        <v>0</v>
      </c>
      <c r="I211" s="75" t="str">
        <f aca="false">IF(AND(D211&gt;0,C211&gt;=D211-0.00001),"at cap","")</f>
        <v/>
      </c>
      <c r="J211" s="21" t="n">
        <f aca="false">F211*INDEX($F$34:$EU$34,1,A211)</f>
        <v>0</v>
      </c>
      <c r="K211" s="21" t="n">
        <f aca="false">F211*INDEX($F$35:$EU$35,1,A211)</f>
        <v>0</v>
      </c>
      <c r="L211" s="21" t="n">
        <f aca="false">F211*INDEX($F$36:$EU$36,1,A211)</f>
        <v>0</v>
      </c>
      <c r="M211" s="21" t="n">
        <f aca="false">F211*INDEX($F$37:$EU$37,1,A211)</f>
        <v>0</v>
      </c>
      <c r="N211" s="21" t="str">
        <f aca="false">IF(J211&gt;=0.5,COUNTIF(J$123:J211,"&gt;=0.5"),"")</f>
        <v/>
      </c>
      <c r="O211" s="21" t="str">
        <f aca="false">IF(K211&gt;=0.5,COUNTIF(K$123:K211,"&gt;=0.5"),"")</f>
        <v/>
      </c>
      <c r="P211" s="21" t="str">
        <f aca="false">IF(L211&gt;=0.5,COUNTIF(L$123:L211,"&gt;=0.5"),"")</f>
        <v/>
      </c>
      <c r="Q211" s="21" t="str">
        <f aca="false">IF(M211&gt;=0.5,COUNTIF(M$123:M211,"&gt;=0.5"),"")</f>
        <v/>
      </c>
    </row>
    <row r="212" customFormat="false" ht="15" hidden="false" customHeight="false" outlineLevel="0" collapsed="false">
      <c r="A212" s="4" t="n">
        <v>90</v>
      </c>
      <c r="B212" s="79" t="str">
        <f aca="false">CQ$13</f>
        <v>Pineapple</v>
      </c>
      <c r="C212" s="80" t="n">
        <v>0</v>
      </c>
      <c r="D212" s="71" t="n">
        <f aca="false">INDEX($F$15:$EU$15,1,A212)</f>
        <v>3.3</v>
      </c>
      <c r="E212" s="71" t="n">
        <f aca="false">INDEX($F$16:$EU$16,1,A212)</f>
        <v>0</v>
      </c>
      <c r="F212" s="21" t="n">
        <f aca="false">C212*100</f>
        <v>0</v>
      </c>
      <c r="G212" s="24" t="n">
        <f aca="false">F212/'Food Data'!N95</f>
        <v>0</v>
      </c>
      <c r="H212" s="81" t="n">
        <f aca="false">C212*INDEX($F$14:$EU$14,1,A212)</f>
        <v>0</v>
      </c>
      <c r="I212" s="75" t="str">
        <f aca="false">IF(AND(D212&gt;0,C212&gt;=D212-0.00001),"at cap","")</f>
        <v/>
      </c>
      <c r="J212" s="21" t="n">
        <f aca="false">F212*INDEX($F$34:$EU$34,1,A212)</f>
        <v>0</v>
      </c>
      <c r="K212" s="21" t="n">
        <f aca="false">F212*INDEX($F$35:$EU$35,1,A212)</f>
        <v>0</v>
      </c>
      <c r="L212" s="21" t="n">
        <f aca="false">F212*INDEX($F$36:$EU$36,1,A212)</f>
        <v>0</v>
      </c>
      <c r="M212" s="21" t="n">
        <f aca="false">F212*INDEX($F$37:$EU$37,1,A212)</f>
        <v>0</v>
      </c>
      <c r="N212" s="21" t="str">
        <f aca="false">IF(J212&gt;=0.5,COUNTIF(J$123:J212,"&gt;=0.5"),"")</f>
        <v/>
      </c>
      <c r="O212" s="21" t="str">
        <f aca="false">IF(K212&gt;=0.5,COUNTIF(K$123:K212,"&gt;=0.5"),"")</f>
        <v/>
      </c>
      <c r="P212" s="21" t="str">
        <f aca="false">IF(L212&gt;=0.5,COUNTIF(L$123:L212,"&gt;=0.5"),"")</f>
        <v/>
      </c>
      <c r="Q212" s="21" t="str">
        <f aca="false">IF(M212&gt;=0.5,COUNTIF(M$123:M212,"&gt;=0.5"),"")</f>
        <v/>
      </c>
    </row>
    <row r="213" customFormat="false" ht="15" hidden="false" customHeight="false" outlineLevel="0" collapsed="false">
      <c r="A213" s="4" t="n">
        <v>91</v>
      </c>
      <c r="B213" s="79" t="str">
        <f aca="false">CR$13</f>
        <v>Pineapple (canned in juice)</v>
      </c>
      <c r="C213" s="80" t="n">
        <v>0</v>
      </c>
      <c r="D213" s="71" t="n">
        <f aca="false">INDEX($F$15:$EU$15,1,A213)</f>
        <v>2.5</v>
      </c>
      <c r="E213" s="71" t="n">
        <f aca="false">INDEX($F$16:$EU$16,1,A213)</f>
        <v>0</v>
      </c>
      <c r="F213" s="21" t="n">
        <f aca="false">C213*100</f>
        <v>0</v>
      </c>
      <c r="G213" s="24" t="n">
        <f aca="false">F213/'Food Data'!N96</f>
        <v>0</v>
      </c>
      <c r="H213" s="81" t="n">
        <f aca="false">C213*INDEX($F$14:$EU$14,1,A213)</f>
        <v>0</v>
      </c>
      <c r="I213" s="75" t="str">
        <f aca="false">IF(AND(D213&gt;0,C213&gt;=D213-0.00001),"at cap","")</f>
        <v/>
      </c>
      <c r="J213" s="21" t="n">
        <f aca="false">F213*INDEX($F$34:$EU$34,1,A213)</f>
        <v>0</v>
      </c>
      <c r="K213" s="21" t="n">
        <f aca="false">F213*INDEX($F$35:$EU$35,1,A213)</f>
        <v>0</v>
      </c>
      <c r="L213" s="21" t="n">
        <f aca="false">F213*INDEX($F$36:$EU$36,1,A213)</f>
        <v>0</v>
      </c>
      <c r="M213" s="21" t="n">
        <f aca="false">F213*INDEX($F$37:$EU$37,1,A213)</f>
        <v>0</v>
      </c>
      <c r="N213" s="21" t="str">
        <f aca="false">IF(J213&gt;=0.5,COUNTIF(J$123:J213,"&gt;=0.5"),"")</f>
        <v/>
      </c>
      <c r="O213" s="21" t="str">
        <f aca="false">IF(K213&gt;=0.5,COUNTIF(K$123:K213,"&gt;=0.5"),"")</f>
        <v/>
      </c>
      <c r="P213" s="21" t="str">
        <f aca="false">IF(L213&gt;=0.5,COUNTIF(L$123:L213,"&gt;=0.5"),"")</f>
        <v/>
      </c>
      <c r="Q213" s="21" t="str">
        <f aca="false">IF(M213&gt;=0.5,COUNTIF(M$123:M213,"&gt;=0.5"),"")</f>
        <v/>
      </c>
    </row>
    <row r="214" customFormat="false" ht="15" hidden="false" customHeight="false" outlineLevel="0" collapsed="false">
      <c r="A214" s="4" t="n">
        <v>92</v>
      </c>
      <c r="B214" s="79" t="str">
        <f aca="false">CS$13</f>
        <v>Plums</v>
      </c>
      <c r="C214" s="80" t="n">
        <v>0</v>
      </c>
      <c r="D214" s="71" t="n">
        <f aca="false">INDEX($F$15:$EU$15,1,A214)</f>
        <v>3.3</v>
      </c>
      <c r="E214" s="71" t="n">
        <f aca="false">INDEX($F$16:$EU$16,1,A214)</f>
        <v>0</v>
      </c>
      <c r="F214" s="21" t="n">
        <f aca="false">C214*100</f>
        <v>0</v>
      </c>
      <c r="G214" s="24" t="n">
        <f aca="false">F214/'Food Data'!N97</f>
        <v>0</v>
      </c>
      <c r="H214" s="81" t="n">
        <f aca="false">C214*INDEX($F$14:$EU$14,1,A214)</f>
        <v>0</v>
      </c>
      <c r="I214" s="75" t="str">
        <f aca="false">IF(AND(D214&gt;0,C214&gt;=D214-0.00001),"at cap","")</f>
        <v/>
      </c>
      <c r="J214" s="21" t="n">
        <f aca="false">F214*INDEX($F$34:$EU$34,1,A214)</f>
        <v>0</v>
      </c>
      <c r="K214" s="21" t="n">
        <f aca="false">F214*INDEX($F$35:$EU$35,1,A214)</f>
        <v>0</v>
      </c>
      <c r="L214" s="21" t="n">
        <f aca="false">F214*INDEX($F$36:$EU$36,1,A214)</f>
        <v>0</v>
      </c>
      <c r="M214" s="21" t="n">
        <f aca="false">F214*INDEX($F$37:$EU$37,1,A214)</f>
        <v>0</v>
      </c>
      <c r="N214" s="21" t="str">
        <f aca="false">IF(J214&gt;=0.5,COUNTIF(J$123:J214,"&gt;=0.5"),"")</f>
        <v/>
      </c>
      <c r="O214" s="21" t="str">
        <f aca="false">IF(K214&gt;=0.5,COUNTIF(K$123:K214,"&gt;=0.5"),"")</f>
        <v/>
      </c>
      <c r="P214" s="21" t="str">
        <f aca="false">IF(L214&gt;=0.5,COUNTIF(L$123:L214,"&gt;=0.5"),"")</f>
        <v/>
      </c>
      <c r="Q214" s="21" t="str">
        <f aca="false">IF(M214&gt;=0.5,COUNTIF(M$123:M214,"&gt;=0.5"),"")</f>
        <v/>
      </c>
    </row>
    <row r="215" customFormat="false" ht="15" hidden="false" customHeight="false" outlineLevel="0" collapsed="false">
      <c r="A215" s="4" t="n">
        <v>93</v>
      </c>
      <c r="B215" s="79" t="str">
        <f aca="false">CT$13</f>
        <v>Prunes (pitted)</v>
      </c>
      <c r="C215" s="80" t="n">
        <v>0</v>
      </c>
      <c r="D215" s="71" t="n">
        <f aca="false">INDEX($F$15:$EU$15,1,A215)</f>
        <v>0.44</v>
      </c>
      <c r="E215" s="71" t="n">
        <f aca="false">INDEX($F$16:$EU$16,1,A215)</f>
        <v>0</v>
      </c>
      <c r="F215" s="21" t="n">
        <f aca="false">C215*100</f>
        <v>0</v>
      </c>
      <c r="G215" s="24" t="n">
        <f aca="false">F215/'Food Data'!N98</f>
        <v>0</v>
      </c>
      <c r="H215" s="81" t="n">
        <f aca="false">C215*INDEX($F$14:$EU$14,1,A215)</f>
        <v>0</v>
      </c>
      <c r="I215" s="75" t="str">
        <f aca="false">IF(AND(D215&gt;0,C215&gt;=D215-0.00001),"at cap","")</f>
        <v/>
      </c>
      <c r="J215" s="21" t="n">
        <f aca="false">F215*INDEX($F$34:$EU$34,1,A215)</f>
        <v>0</v>
      </c>
      <c r="K215" s="21" t="n">
        <f aca="false">F215*INDEX($F$35:$EU$35,1,A215)</f>
        <v>0</v>
      </c>
      <c r="L215" s="21" t="n">
        <f aca="false">F215*INDEX($F$36:$EU$36,1,A215)</f>
        <v>0</v>
      </c>
      <c r="M215" s="21" t="n">
        <f aca="false">F215*INDEX($F$37:$EU$37,1,A215)</f>
        <v>0</v>
      </c>
      <c r="N215" s="21" t="str">
        <f aca="false">IF(J215&gt;=0.5,COUNTIF(J$123:J215,"&gt;=0.5"),"")</f>
        <v/>
      </c>
      <c r="O215" s="21" t="str">
        <f aca="false">IF(K215&gt;=0.5,COUNTIF(K$123:K215,"&gt;=0.5"),"")</f>
        <v/>
      </c>
      <c r="P215" s="21" t="str">
        <f aca="false">IF(L215&gt;=0.5,COUNTIF(L$123:L215,"&gt;=0.5"),"")</f>
        <v/>
      </c>
      <c r="Q215" s="21" t="str">
        <f aca="false">IF(M215&gt;=0.5,COUNTIF(M$123:M215,"&gt;=0.5"),"")</f>
        <v/>
      </c>
    </row>
    <row r="216" customFormat="false" ht="15" hidden="false" customHeight="false" outlineLevel="0" collapsed="false">
      <c r="A216" s="4" t="n">
        <v>94</v>
      </c>
      <c r="B216" s="79" t="str">
        <f aca="false">CU$13</f>
        <v>Raisins</v>
      </c>
      <c r="C216" s="80" t="n">
        <v>0</v>
      </c>
      <c r="D216" s="71" t="n">
        <f aca="false">INDEX($F$15:$EU$15,1,A216)</f>
        <v>0.41</v>
      </c>
      <c r="E216" s="71" t="n">
        <f aca="false">INDEX($F$16:$EU$16,1,A216)</f>
        <v>0</v>
      </c>
      <c r="F216" s="21" t="n">
        <f aca="false">C216*100</f>
        <v>0</v>
      </c>
      <c r="G216" s="24" t="n">
        <f aca="false">F216/'Food Data'!N99</f>
        <v>0</v>
      </c>
      <c r="H216" s="81" t="n">
        <f aca="false">C216*INDEX($F$14:$EU$14,1,A216)</f>
        <v>0</v>
      </c>
      <c r="I216" s="75" t="str">
        <f aca="false">IF(AND(D216&gt;0,C216&gt;=D216-0.00001),"at cap","")</f>
        <v/>
      </c>
      <c r="J216" s="21" t="n">
        <f aca="false">F216*INDEX($F$34:$EU$34,1,A216)</f>
        <v>0</v>
      </c>
      <c r="K216" s="21" t="n">
        <f aca="false">F216*INDEX($F$35:$EU$35,1,A216)</f>
        <v>0</v>
      </c>
      <c r="L216" s="21" t="n">
        <f aca="false">F216*INDEX($F$36:$EU$36,1,A216)</f>
        <v>0</v>
      </c>
      <c r="M216" s="21" t="n">
        <f aca="false">F216*INDEX($F$37:$EU$37,1,A216)</f>
        <v>0</v>
      </c>
      <c r="N216" s="21" t="str">
        <f aca="false">IF(J216&gt;=0.5,COUNTIF(J$123:J216,"&gt;=0.5"),"")</f>
        <v/>
      </c>
      <c r="O216" s="21" t="str">
        <f aca="false">IF(K216&gt;=0.5,COUNTIF(K$123:K216,"&gt;=0.5"),"")</f>
        <v/>
      </c>
      <c r="P216" s="21" t="str">
        <f aca="false">IF(L216&gt;=0.5,COUNTIF(L$123:L216,"&gt;=0.5"),"")</f>
        <v/>
      </c>
      <c r="Q216" s="21" t="str">
        <f aca="false">IF(M216&gt;=0.5,COUNTIF(M$123:M216,"&gt;=0.5"),"")</f>
        <v/>
      </c>
    </row>
    <row r="217" customFormat="false" ht="15" hidden="false" customHeight="false" outlineLevel="0" collapsed="false">
      <c r="A217" s="4" t="n">
        <v>95</v>
      </c>
      <c r="B217" s="79" t="str">
        <f aca="false">CV$13</f>
        <v>Raspberries</v>
      </c>
      <c r="C217" s="80" t="n">
        <v>0</v>
      </c>
      <c r="D217" s="71" t="n">
        <f aca="false">INDEX($F$15:$EU$15,1,A217)</f>
        <v>1.23</v>
      </c>
      <c r="E217" s="71" t="n">
        <f aca="false">INDEX($F$16:$EU$16,1,A217)</f>
        <v>0</v>
      </c>
      <c r="F217" s="21" t="n">
        <f aca="false">C217*100</f>
        <v>0</v>
      </c>
      <c r="G217" s="24" t="n">
        <f aca="false">F217/'Food Data'!N100</f>
        <v>0</v>
      </c>
      <c r="H217" s="81" t="n">
        <f aca="false">C217*INDEX($F$14:$EU$14,1,A217)</f>
        <v>0</v>
      </c>
      <c r="I217" s="75" t="str">
        <f aca="false">IF(AND(D217&gt;0,C217&gt;=D217-0.00001),"at cap","")</f>
        <v/>
      </c>
      <c r="J217" s="21" t="n">
        <f aca="false">F217*INDEX($F$34:$EU$34,1,A217)</f>
        <v>0</v>
      </c>
      <c r="K217" s="21" t="n">
        <f aca="false">F217*INDEX($F$35:$EU$35,1,A217)</f>
        <v>0</v>
      </c>
      <c r="L217" s="21" t="n">
        <f aca="false">F217*INDEX($F$36:$EU$36,1,A217)</f>
        <v>0</v>
      </c>
      <c r="M217" s="21" t="n">
        <f aca="false">F217*INDEX($F$37:$EU$37,1,A217)</f>
        <v>0</v>
      </c>
      <c r="N217" s="21" t="str">
        <f aca="false">IF(J217&gt;=0.5,COUNTIF(J$123:J217,"&gt;=0.5"),"")</f>
        <v/>
      </c>
      <c r="O217" s="21" t="str">
        <f aca="false">IF(K217&gt;=0.5,COUNTIF(K$123:K217,"&gt;=0.5"),"")</f>
        <v/>
      </c>
      <c r="P217" s="21" t="str">
        <f aca="false">IF(L217&gt;=0.5,COUNTIF(L$123:L217,"&gt;=0.5"),"")</f>
        <v/>
      </c>
      <c r="Q217" s="21" t="str">
        <f aca="false">IF(M217&gt;=0.5,COUNTIF(M$123:M217,"&gt;=0.5"),"")</f>
        <v/>
      </c>
    </row>
    <row r="218" customFormat="false" ht="15" hidden="false" customHeight="false" outlineLevel="0" collapsed="false">
      <c r="A218" s="4" t="n">
        <v>96</v>
      </c>
      <c r="B218" s="79" t="str">
        <f aca="false">CW$13</f>
        <v>Strawberries</v>
      </c>
      <c r="C218" s="80" t="n">
        <v>0</v>
      </c>
      <c r="D218" s="71" t="n">
        <f aca="false">INDEX($F$15:$EU$15,1,A218)</f>
        <v>3.04</v>
      </c>
      <c r="E218" s="71" t="n">
        <f aca="false">INDEX($F$16:$EU$16,1,A218)</f>
        <v>0</v>
      </c>
      <c r="F218" s="21" t="n">
        <f aca="false">C218*100</f>
        <v>0</v>
      </c>
      <c r="G218" s="24" t="n">
        <f aca="false">F218/'Food Data'!N101</f>
        <v>0</v>
      </c>
      <c r="H218" s="81" t="n">
        <f aca="false">C218*INDEX($F$14:$EU$14,1,A218)</f>
        <v>0</v>
      </c>
      <c r="I218" s="75" t="str">
        <f aca="false">IF(AND(D218&gt;0,C218&gt;=D218-0.00001),"at cap","")</f>
        <v/>
      </c>
      <c r="J218" s="21" t="n">
        <f aca="false">F218*INDEX($F$34:$EU$34,1,A218)</f>
        <v>0</v>
      </c>
      <c r="K218" s="21" t="n">
        <f aca="false">F218*INDEX($F$35:$EU$35,1,A218)</f>
        <v>0</v>
      </c>
      <c r="L218" s="21" t="n">
        <f aca="false">F218*INDEX($F$36:$EU$36,1,A218)</f>
        <v>0</v>
      </c>
      <c r="M218" s="21" t="n">
        <f aca="false">F218*INDEX($F$37:$EU$37,1,A218)</f>
        <v>0</v>
      </c>
      <c r="N218" s="21" t="str">
        <f aca="false">IF(J218&gt;=0.5,COUNTIF(J$123:J218,"&gt;=0.5"),"")</f>
        <v/>
      </c>
      <c r="O218" s="21" t="str">
        <f aca="false">IF(K218&gt;=0.5,COUNTIF(K$123:K218,"&gt;=0.5"),"")</f>
        <v/>
      </c>
      <c r="P218" s="21" t="str">
        <f aca="false">IF(L218&gt;=0.5,COUNTIF(L$123:L218,"&gt;=0.5"),"")</f>
        <v/>
      </c>
      <c r="Q218" s="21" t="str">
        <f aca="false">IF(M218&gt;=0.5,COUNTIF(M$123:M218,"&gt;=0.5"),"")</f>
        <v/>
      </c>
    </row>
    <row r="219" customFormat="false" ht="15" hidden="false" customHeight="false" outlineLevel="0" collapsed="false">
      <c r="A219" s="4" t="n">
        <v>97</v>
      </c>
      <c r="B219" s="79" t="str">
        <f aca="false">CX$13</f>
        <v>Strawberries (frozen)</v>
      </c>
      <c r="C219" s="80" t="n">
        <v>0</v>
      </c>
      <c r="D219" s="71" t="n">
        <f aca="false">INDEX($F$15:$EU$15,1,A219)</f>
        <v>2.98</v>
      </c>
      <c r="E219" s="71" t="n">
        <f aca="false">INDEX($F$16:$EU$16,1,A219)</f>
        <v>0</v>
      </c>
      <c r="F219" s="21" t="n">
        <f aca="false">C219*100</f>
        <v>0</v>
      </c>
      <c r="G219" s="24" t="n">
        <f aca="false">F219/'Food Data'!N102</f>
        <v>0</v>
      </c>
      <c r="H219" s="81" t="n">
        <f aca="false">C219*INDEX($F$14:$EU$14,1,A219)</f>
        <v>0</v>
      </c>
      <c r="I219" s="75" t="str">
        <f aca="false">IF(AND(D219&gt;0,C219&gt;=D219-0.00001),"at cap","")</f>
        <v/>
      </c>
      <c r="J219" s="21" t="n">
        <f aca="false">F219*INDEX($F$34:$EU$34,1,A219)</f>
        <v>0</v>
      </c>
      <c r="K219" s="21" t="n">
        <f aca="false">F219*INDEX($F$35:$EU$35,1,A219)</f>
        <v>0</v>
      </c>
      <c r="L219" s="21" t="n">
        <f aca="false">F219*INDEX($F$36:$EU$36,1,A219)</f>
        <v>0</v>
      </c>
      <c r="M219" s="21" t="n">
        <f aca="false">F219*INDEX($F$37:$EU$37,1,A219)</f>
        <v>0</v>
      </c>
      <c r="N219" s="21" t="str">
        <f aca="false">IF(J219&gt;=0.5,COUNTIF(J$123:J219,"&gt;=0.5"),"")</f>
        <v/>
      </c>
      <c r="O219" s="21" t="str">
        <f aca="false">IF(K219&gt;=0.5,COUNTIF(K$123:K219,"&gt;=0.5"),"")</f>
        <v/>
      </c>
      <c r="P219" s="21" t="str">
        <f aca="false">IF(L219&gt;=0.5,COUNTIF(L$123:L219,"&gt;=0.5"),"")</f>
        <v/>
      </c>
      <c r="Q219" s="21" t="str">
        <f aca="false">IF(M219&gt;=0.5,COUNTIF(M$123:M219,"&gt;=0.5"),"")</f>
        <v/>
      </c>
    </row>
    <row r="220" customFormat="false" ht="15" hidden="false" customHeight="false" outlineLevel="0" collapsed="false">
      <c r="A220" s="4" t="n">
        <v>98</v>
      </c>
      <c r="B220" s="79" t="str">
        <f aca="false">CY$13</f>
        <v>Watermelon</v>
      </c>
      <c r="C220" s="80" t="n">
        <v>0</v>
      </c>
      <c r="D220" s="71" t="n">
        <f aca="false">INDEX($F$15:$EU$15,1,A220)</f>
        <v>3.04</v>
      </c>
      <c r="E220" s="71" t="n">
        <f aca="false">INDEX($F$16:$EU$16,1,A220)</f>
        <v>0</v>
      </c>
      <c r="F220" s="21" t="n">
        <f aca="false">C220*100</f>
        <v>0</v>
      </c>
      <c r="G220" s="24" t="n">
        <f aca="false">F220/'Food Data'!N103</f>
        <v>0</v>
      </c>
      <c r="H220" s="81" t="n">
        <f aca="false">C220*INDEX($F$14:$EU$14,1,A220)</f>
        <v>0</v>
      </c>
      <c r="I220" s="75" t="str">
        <f aca="false">IF(AND(D220&gt;0,C220&gt;=D220-0.00001),"at cap","")</f>
        <v/>
      </c>
      <c r="J220" s="21" t="n">
        <f aca="false">F220*INDEX($F$34:$EU$34,1,A220)</f>
        <v>0</v>
      </c>
      <c r="K220" s="21" t="n">
        <f aca="false">F220*INDEX($F$35:$EU$35,1,A220)</f>
        <v>0</v>
      </c>
      <c r="L220" s="21" t="n">
        <f aca="false">F220*INDEX($F$36:$EU$36,1,A220)</f>
        <v>0</v>
      </c>
      <c r="M220" s="21" t="n">
        <f aca="false">F220*INDEX($F$37:$EU$37,1,A220)</f>
        <v>0</v>
      </c>
      <c r="N220" s="21" t="str">
        <f aca="false">IF(J220&gt;=0.5,COUNTIF(J$123:J220,"&gt;=0.5"),"")</f>
        <v/>
      </c>
      <c r="O220" s="21" t="str">
        <f aca="false">IF(K220&gt;=0.5,COUNTIF(K$123:K220,"&gt;=0.5"),"")</f>
        <v/>
      </c>
      <c r="P220" s="21" t="str">
        <f aca="false">IF(L220&gt;=0.5,COUNTIF(L$123:L220,"&gt;=0.5"),"")</f>
        <v/>
      </c>
      <c r="Q220" s="21" t="str">
        <f aca="false">IF(M220&gt;=0.5,COUNTIF(M$123:M220,"&gt;=0.5"),"")</f>
        <v/>
      </c>
    </row>
    <row r="221" customFormat="false" ht="15" hidden="false" customHeight="false" outlineLevel="0" collapsed="false">
      <c r="A221" s="4" t="n">
        <v>99</v>
      </c>
      <c r="B221" s="79" t="str">
        <f aca="false">CZ$13</f>
        <v>Acorn squash</v>
      </c>
      <c r="C221" s="80" t="n">
        <v>0</v>
      </c>
      <c r="D221" s="71" t="n">
        <f aca="false">INDEX($F$15:$EU$15,1,A221)</f>
        <v>2.8</v>
      </c>
      <c r="E221" s="71" t="n">
        <f aca="false">INDEX($F$16:$EU$16,1,A221)</f>
        <v>0</v>
      </c>
      <c r="F221" s="21" t="n">
        <f aca="false">C221*100</f>
        <v>0</v>
      </c>
      <c r="G221" s="24" t="n">
        <f aca="false">F221/'Food Data'!N104</f>
        <v>0</v>
      </c>
      <c r="H221" s="81" t="n">
        <f aca="false">C221*INDEX($F$14:$EU$14,1,A221)</f>
        <v>0</v>
      </c>
      <c r="I221" s="75" t="str">
        <f aca="false">IF(AND(D221&gt;0,C221&gt;=D221-0.00001),"at cap","")</f>
        <v/>
      </c>
      <c r="J221" s="21" t="n">
        <f aca="false">F221*INDEX($F$34:$EU$34,1,A221)</f>
        <v>0</v>
      </c>
      <c r="K221" s="21" t="n">
        <f aca="false">F221*INDEX($F$35:$EU$35,1,A221)</f>
        <v>0</v>
      </c>
      <c r="L221" s="21" t="n">
        <f aca="false">F221*INDEX($F$36:$EU$36,1,A221)</f>
        <v>0</v>
      </c>
      <c r="M221" s="21" t="n">
        <f aca="false">F221*INDEX($F$37:$EU$37,1,A221)</f>
        <v>0</v>
      </c>
      <c r="N221" s="21" t="str">
        <f aca="false">IF(J221&gt;=0.5,COUNTIF(J$123:J221,"&gt;=0.5"),"")</f>
        <v/>
      </c>
      <c r="O221" s="21" t="str">
        <f aca="false">IF(K221&gt;=0.5,COUNTIF(K$123:K221,"&gt;=0.5"),"")</f>
        <v/>
      </c>
      <c r="P221" s="21" t="str">
        <f aca="false">IF(L221&gt;=0.5,COUNTIF(L$123:L221,"&gt;=0.5"),"")</f>
        <v/>
      </c>
      <c r="Q221" s="21" t="str">
        <f aca="false">IF(M221&gt;=0.5,COUNTIF(M$123:M221,"&gt;=0.5"),"")</f>
        <v/>
      </c>
    </row>
    <row r="222" customFormat="false" ht="15" hidden="false" customHeight="false" outlineLevel="0" collapsed="false">
      <c r="A222" s="4" t="n">
        <v>100</v>
      </c>
      <c r="B222" s="79" t="str">
        <f aca="false">DA$13</f>
        <v>Asparagus</v>
      </c>
      <c r="C222" s="80" t="n">
        <v>0</v>
      </c>
      <c r="D222" s="71" t="n">
        <f aca="false">INDEX($F$15:$EU$15,1,A222)</f>
        <v>1.34</v>
      </c>
      <c r="E222" s="71" t="n">
        <f aca="false">INDEX($F$16:$EU$16,1,A222)</f>
        <v>0</v>
      </c>
      <c r="F222" s="21" t="n">
        <f aca="false">C222*100</f>
        <v>0</v>
      </c>
      <c r="G222" s="24" t="n">
        <f aca="false">F222/'Food Data'!N105</f>
        <v>0</v>
      </c>
      <c r="H222" s="81" t="n">
        <f aca="false">C222*INDEX($F$14:$EU$14,1,A222)</f>
        <v>0</v>
      </c>
      <c r="I222" s="75" t="str">
        <f aca="false">IF(AND(D222&gt;0,C222&gt;=D222-0.00001),"at cap","")</f>
        <v/>
      </c>
      <c r="J222" s="21" t="n">
        <f aca="false">F222*INDEX($F$34:$EU$34,1,A222)</f>
        <v>0</v>
      </c>
      <c r="K222" s="21" t="n">
        <f aca="false">F222*INDEX($F$35:$EU$35,1,A222)</f>
        <v>0</v>
      </c>
      <c r="L222" s="21" t="n">
        <f aca="false">F222*INDEX($F$36:$EU$36,1,A222)</f>
        <v>0</v>
      </c>
      <c r="M222" s="21" t="n">
        <f aca="false">F222*INDEX($F$37:$EU$37,1,A222)</f>
        <v>0</v>
      </c>
      <c r="N222" s="21" t="str">
        <f aca="false">IF(J222&gt;=0.5,COUNTIF(J$123:J222,"&gt;=0.5"),"")</f>
        <v/>
      </c>
      <c r="O222" s="21" t="str">
        <f aca="false">IF(K222&gt;=0.5,COUNTIF(K$123:K222,"&gt;=0.5"),"")</f>
        <v/>
      </c>
      <c r="P222" s="21" t="str">
        <f aca="false">IF(L222&gt;=0.5,COUNTIF(L$123:L222,"&gt;=0.5"),"")</f>
        <v/>
      </c>
      <c r="Q222" s="21" t="str">
        <f aca="false">IF(M222&gt;=0.5,COUNTIF(M$123:M222,"&gt;=0.5"),"")</f>
        <v/>
      </c>
    </row>
    <row r="223" customFormat="false" ht="15" hidden="false" customHeight="false" outlineLevel="0" collapsed="false">
      <c r="A223" s="4" t="n">
        <v>101</v>
      </c>
      <c r="B223" s="79" t="str">
        <f aca="false">DB$13</f>
        <v>Baby carrots</v>
      </c>
      <c r="C223" s="80" t="n">
        <v>0</v>
      </c>
      <c r="D223" s="71" t="n">
        <f aca="false">INDEX($F$15:$EU$15,1,A223)</f>
        <v>2.5</v>
      </c>
      <c r="E223" s="71" t="n">
        <f aca="false">INDEX($F$16:$EU$16,1,A223)</f>
        <v>0</v>
      </c>
      <c r="F223" s="21" t="n">
        <f aca="false">C223*100</f>
        <v>0</v>
      </c>
      <c r="G223" s="24" t="n">
        <f aca="false">F223/'Food Data'!N106</f>
        <v>0</v>
      </c>
      <c r="H223" s="81" t="n">
        <f aca="false">C223*INDEX($F$14:$EU$14,1,A223)</f>
        <v>0</v>
      </c>
      <c r="I223" s="75" t="str">
        <f aca="false">IF(AND(D223&gt;0,C223&gt;=D223-0.00001),"at cap","")</f>
        <v/>
      </c>
      <c r="J223" s="21" t="n">
        <f aca="false">F223*INDEX($F$34:$EU$34,1,A223)</f>
        <v>0</v>
      </c>
      <c r="K223" s="21" t="n">
        <f aca="false">F223*INDEX($F$35:$EU$35,1,A223)</f>
        <v>0</v>
      </c>
      <c r="L223" s="21" t="n">
        <f aca="false">F223*INDEX($F$36:$EU$36,1,A223)</f>
        <v>0</v>
      </c>
      <c r="M223" s="21" t="n">
        <f aca="false">F223*INDEX($F$37:$EU$37,1,A223)</f>
        <v>0</v>
      </c>
      <c r="N223" s="21" t="str">
        <f aca="false">IF(J223&gt;=0.5,COUNTIF(J$123:J223,"&gt;=0.5"),"")</f>
        <v/>
      </c>
      <c r="O223" s="21" t="str">
        <f aca="false">IF(K223&gt;=0.5,COUNTIF(K$123:K223,"&gt;=0.5"),"")</f>
        <v/>
      </c>
      <c r="P223" s="21" t="str">
        <f aca="false">IF(L223&gt;=0.5,COUNTIF(L$123:L223,"&gt;=0.5"),"")</f>
        <v/>
      </c>
      <c r="Q223" s="21" t="str">
        <f aca="false">IF(M223&gt;=0.5,COUNTIF(M$123:M223,"&gt;=0.5"),"")</f>
        <v/>
      </c>
    </row>
    <row r="224" customFormat="false" ht="15" hidden="false" customHeight="false" outlineLevel="0" collapsed="false">
      <c r="A224" s="4" t="n">
        <v>102</v>
      </c>
      <c r="B224" s="79" t="str">
        <f aca="false">DC$13</f>
        <v>Beets (canned)</v>
      </c>
      <c r="C224" s="80" t="n">
        <v>0</v>
      </c>
      <c r="D224" s="71" t="n">
        <f aca="false">INDEX($F$15:$EU$15,1,A224)</f>
        <v>2.46</v>
      </c>
      <c r="E224" s="71" t="n">
        <f aca="false">INDEX($F$16:$EU$16,1,A224)</f>
        <v>0</v>
      </c>
      <c r="F224" s="21" t="n">
        <f aca="false">C224*100</f>
        <v>0</v>
      </c>
      <c r="G224" s="24" t="n">
        <f aca="false">F224/'Food Data'!N107</f>
        <v>0</v>
      </c>
      <c r="H224" s="81" t="n">
        <f aca="false">C224*INDEX($F$14:$EU$14,1,A224)</f>
        <v>0</v>
      </c>
      <c r="I224" s="75" t="str">
        <f aca="false">IF(AND(D224&gt;0,C224&gt;=D224-0.00001),"at cap","")</f>
        <v/>
      </c>
      <c r="J224" s="21" t="n">
        <f aca="false">F224*INDEX($F$34:$EU$34,1,A224)</f>
        <v>0</v>
      </c>
      <c r="K224" s="21" t="n">
        <f aca="false">F224*INDEX($F$35:$EU$35,1,A224)</f>
        <v>0</v>
      </c>
      <c r="L224" s="21" t="n">
        <f aca="false">F224*INDEX($F$36:$EU$36,1,A224)</f>
        <v>0</v>
      </c>
      <c r="M224" s="21" t="n">
        <f aca="false">F224*INDEX($F$37:$EU$37,1,A224)</f>
        <v>0</v>
      </c>
      <c r="N224" s="21" t="str">
        <f aca="false">IF(J224&gt;=0.5,COUNTIF(J$123:J224,"&gt;=0.5"),"")</f>
        <v/>
      </c>
      <c r="O224" s="21" t="str">
        <f aca="false">IF(K224&gt;=0.5,COUNTIF(K$123:K224,"&gt;=0.5"),"")</f>
        <v/>
      </c>
      <c r="P224" s="21" t="str">
        <f aca="false">IF(L224&gt;=0.5,COUNTIF(L$123:L224,"&gt;=0.5"),"")</f>
        <v/>
      </c>
      <c r="Q224" s="21" t="str">
        <f aca="false">IF(M224&gt;=0.5,COUNTIF(M$123:M224,"&gt;=0.5"),"")</f>
        <v/>
      </c>
    </row>
    <row r="225" customFormat="false" ht="15" hidden="false" customHeight="false" outlineLevel="0" collapsed="false">
      <c r="A225" s="4" t="n">
        <v>103</v>
      </c>
      <c r="B225" s="79" t="str">
        <f aca="false">DD$13</f>
        <v>Broccoli (frozen)</v>
      </c>
      <c r="C225" s="80" t="n">
        <v>0.455</v>
      </c>
      <c r="D225" s="71" t="n">
        <f aca="false">INDEX($F$15:$EU$15,1,A225)</f>
        <v>1.9</v>
      </c>
      <c r="E225" s="71" t="n">
        <f aca="false">INDEX($F$16:$EU$16,1,A225)</f>
        <v>0</v>
      </c>
      <c r="F225" s="21" t="n">
        <f aca="false">C225*100</f>
        <v>45.5</v>
      </c>
      <c r="G225" s="24" t="n">
        <f aca="false">F225/'Food Data'!N108</f>
        <v>0.478947368421053</v>
      </c>
      <c r="H225" s="81" t="n">
        <f aca="false">C225*INDEX($F$14:$EU$14,1,A225)</f>
        <v>0.155144032921811</v>
      </c>
      <c r="I225" s="75" t="str">
        <f aca="false">IF(AND(D225&gt;0,C225&gt;=D225-0.00001),"at cap","")</f>
        <v/>
      </c>
      <c r="J225" s="21" t="n">
        <f aca="false">F225*INDEX($F$34:$EU$34,1,A225)</f>
        <v>0</v>
      </c>
      <c r="K225" s="21" t="n">
        <f aca="false">F225*INDEX($F$35:$EU$35,1,A225)</f>
        <v>22.75</v>
      </c>
      <c r="L225" s="21" t="n">
        <f aca="false">F225*INDEX($F$36:$EU$36,1,A225)</f>
        <v>22.75</v>
      </c>
      <c r="M225" s="21" t="n">
        <f aca="false">F225*INDEX($F$37:$EU$37,1,A225)</f>
        <v>0</v>
      </c>
      <c r="N225" s="21" t="str">
        <f aca="false">IF(J225&gt;=0.5,COUNTIF(J$123:J225,"&gt;=0.5"),"")</f>
        <v/>
      </c>
      <c r="O225" s="21" t="n">
        <f aca="false">IF(K225&gt;=0.5,COUNTIF(K$123:K225,"&gt;=0.5"),"")</f>
        <v>6</v>
      </c>
      <c r="P225" s="21" t="n">
        <f aca="false">IF(L225&gt;=0.5,COUNTIF(L$123:L225,"&gt;=0.5"),"")</f>
        <v>6</v>
      </c>
      <c r="Q225" s="21" t="str">
        <f aca="false">IF(M225&gt;=0.5,COUNTIF(M$123:M225,"&gt;=0.5"),"")</f>
        <v/>
      </c>
    </row>
    <row r="226" customFormat="false" ht="15" hidden="false" customHeight="false" outlineLevel="0" collapsed="false">
      <c r="A226" s="4" t="n">
        <v>104</v>
      </c>
      <c r="B226" s="79" t="str">
        <f aca="false">DE$13</f>
        <v>Brussels sprouts (frozen)</v>
      </c>
      <c r="C226" s="80" t="n">
        <v>0</v>
      </c>
      <c r="D226" s="71" t="n">
        <f aca="false">INDEX($F$15:$EU$15,1,A226)</f>
        <v>3.24</v>
      </c>
      <c r="E226" s="71" t="n">
        <f aca="false">INDEX($F$16:$EU$16,1,A226)</f>
        <v>0</v>
      </c>
      <c r="F226" s="21" t="n">
        <f aca="false">C226*100</f>
        <v>0</v>
      </c>
      <c r="G226" s="24" t="n">
        <f aca="false">F226/'Food Data'!N109</f>
        <v>0</v>
      </c>
      <c r="H226" s="81" t="n">
        <f aca="false">C226*INDEX($F$14:$EU$14,1,A226)</f>
        <v>0</v>
      </c>
      <c r="I226" s="75" t="str">
        <f aca="false">IF(AND(D226&gt;0,C226&gt;=D226-0.00001),"at cap","")</f>
        <v/>
      </c>
      <c r="J226" s="21" t="n">
        <f aca="false">F226*INDEX($F$34:$EU$34,1,A226)</f>
        <v>0</v>
      </c>
      <c r="K226" s="21" t="n">
        <f aca="false">F226*INDEX($F$35:$EU$35,1,A226)</f>
        <v>0</v>
      </c>
      <c r="L226" s="21" t="n">
        <f aca="false">F226*INDEX($F$36:$EU$36,1,A226)</f>
        <v>0</v>
      </c>
      <c r="M226" s="21" t="n">
        <f aca="false">F226*INDEX($F$37:$EU$37,1,A226)</f>
        <v>0</v>
      </c>
      <c r="N226" s="21" t="str">
        <f aca="false">IF(J226&gt;=0.5,COUNTIF(J$123:J226,"&gt;=0.5"),"")</f>
        <v/>
      </c>
      <c r="O226" s="21" t="str">
        <f aca="false">IF(K226&gt;=0.5,COUNTIF(K$123:K226,"&gt;=0.5"),"")</f>
        <v/>
      </c>
      <c r="P226" s="21" t="str">
        <f aca="false">IF(L226&gt;=0.5,COUNTIF(L$123:L226,"&gt;=0.5"),"")</f>
        <v/>
      </c>
      <c r="Q226" s="21" t="str">
        <f aca="false">IF(M226&gt;=0.5,COUNTIF(M$123:M226,"&gt;=0.5"),"")</f>
        <v/>
      </c>
    </row>
    <row r="227" customFormat="false" ht="15" hidden="false" customHeight="false" outlineLevel="0" collapsed="false">
      <c r="A227" s="4" t="n">
        <v>105</v>
      </c>
      <c r="B227" s="79" t="str">
        <f aca="false">DF$13</f>
        <v>Butternut squash</v>
      </c>
      <c r="C227" s="80" t="n">
        <v>0</v>
      </c>
      <c r="D227" s="71" t="n">
        <f aca="false">INDEX($F$15:$EU$15,1,A227)</f>
        <v>2.8</v>
      </c>
      <c r="E227" s="71" t="n">
        <f aca="false">INDEX($F$16:$EU$16,1,A227)</f>
        <v>0</v>
      </c>
      <c r="F227" s="21" t="n">
        <f aca="false">C227*100</f>
        <v>0</v>
      </c>
      <c r="G227" s="24" t="n">
        <f aca="false">F227/'Food Data'!N110</f>
        <v>0</v>
      </c>
      <c r="H227" s="81" t="n">
        <f aca="false">C227*INDEX($F$14:$EU$14,1,A227)</f>
        <v>0</v>
      </c>
      <c r="I227" s="75" t="str">
        <f aca="false">IF(AND(D227&gt;0,C227&gt;=D227-0.00001),"at cap","")</f>
        <v/>
      </c>
      <c r="J227" s="21" t="n">
        <f aca="false">F227*INDEX($F$34:$EU$34,1,A227)</f>
        <v>0</v>
      </c>
      <c r="K227" s="21" t="n">
        <f aca="false">F227*INDEX($F$35:$EU$35,1,A227)</f>
        <v>0</v>
      </c>
      <c r="L227" s="21" t="n">
        <f aca="false">F227*INDEX($F$36:$EU$36,1,A227)</f>
        <v>0</v>
      </c>
      <c r="M227" s="21" t="n">
        <f aca="false">F227*INDEX($F$37:$EU$37,1,A227)</f>
        <v>0</v>
      </c>
      <c r="N227" s="21" t="str">
        <f aca="false">IF(J227&gt;=0.5,COUNTIF(J$123:J227,"&gt;=0.5"),"")</f>
        <v/>
      </c>
      <c r="O227" s="21" t="str">
        <f aca="false">IF(K227&gt;=0.5,COUNTIF(K$123:K227,"&gt;=0.5"),"")</f>
        <v/>
      </c>
      <c r="P227" s="21" t="str">
        <f aca="false">IF(L227&gt;=0.5,COUNTIF(L$123:L227,"&gt;=0.5"),"")</f>
        <v/>
      </c>
      <c r="Q227" s="21" t="str">
        <f aca="false">IF(M227&gt;=0.5,COUNTIF(M$123:M227,"&gt;=0.5"),"")</f>
        <v/>
      </c>
    </row>
    <row r="228" customFormat="false" ht="15" hidden="false" customHeight="false" outlineLevel="0" collapsed="false">
      <c r="A228" s="4" t="n">
        <v>106</v>
      </c>
      <c r="B228" s="79" t="str">
        <f aca="false">DG$13</f>
        <v>Cabbage (green)</v>
      </c>
      <c r="C228" s="80" t="n">
        <v>1.78</v>
      </c>
      <c r="D228" s="71" t="n">
        <f aca="false">INDEX($F$15:$EU$15,1,A228)</f>
        <v>1.78</v>
      </c>
      <c r="E228" s="71" t="n">
        <f aca="false">INDEX($F$16:$EU$16,1,A228)</f>
        <v>0</v>
      </c>
      <c r="F228" s="21" t="n">
        <f aca="false">C228*100</f>
        <v>178</v>
      </c>
      <c r="G228" s="24" t="n">
        <f aca="false">F228/'Food Data'!N111</f>
        <v>2</v>
      </c>
      <c r="H228" s="81" t="n">
        <f aca="false">C228*INDEX($F$14:$EU$14,1,A228)</f>
        <v>0.429695767195767</v>
      </c>
      <c r="I228" s="75" t="str">
        <f aca="false">IF(AND(D228&gt;0,C228&gt;=D228-0.00001),"at cap","")</f>
        <v>at cap</v>
      </c>
      <c r="J228" s="21" t="n">
        <f aca="false">F228*INDEX($F$34:$EU$34,1,A228)</f>
        <v>0</v>
      </c>
      <c r="K228" s="21" t="n">
        <f aca="false">F228*INDEX($F$35:$EU$35,1,A228)</f>
        <v>89</v>
      </c>
      <c r="L228" s="21" t="n">
        <f aca="false">F228*INDEX($F$36:$EU$36,1,A228)</f>
        <v>89</v>
      </c>
      <c r="M228" s="21" t="n">
        <f aca="false">F228*INDEX($F$37:$EU$37,1,A228)</f>
        <v>0</v>
      </c>
      <c r="N228" s="21" t="str">
        <f aca="false">IF(J228&gt;=0.5,COUNTIF(J$123:J228,"&gt;=0.5"),"")</f>
        <v/>
      </c>
      <c r="O228" s="21" t="n">
        <f aca="false">IF(K228&gt;=0.5,COUNTIF(K$123:K228,"&gt;=0.5"),"")</f>
        <v>7</v>
      </c>
      <c r="P228" s="21" t="n">
        <f aca="false">IF(L228&gt;=0.5,COUNTIF(L$123:L228,"&gt;=0.5"),"")</f>
        <v>7</v>
      </c>
      <c r="Q228" s="21" t="str">
        <f aca="false">IF(M228&gt;=0.5,COUNTIF(M$123:M228,"&gt;=0.5"),"")</f>
        <v/>
      </c>
    </row>
    <row r="229" customFormat="false" ht="15" hidden="false" customHeight="false" outlineLevel="0" collapsed="false">
      <c r="A229" s="4" t="n">
        <v>107</v>
      </c>
      <c r="B229" s="79" t="str">
        <f aca="false">DH$13</f>
        <v>Cabbage (red)</v>
      </c>
      <c r="C229" s="80" t="n">
        <v>0</v>
      </c>
      <c r="D229" s="71" t="n">
        <f aca="false">INDEX($F$15:$EU$15,1,A229)</f>
        <v>1.78</v>
      </c>
      <c r="E229" s="71" t="n">
        <f aca="false">INDEX($F$16:$EU$16,1,A229)</f>
        <v>0</v>
      </c>
      <c r="F229" s="21" t="n">
        <f aca="false">C229*100</f>
        <v>0</v>
      </c>
      <c r="G229" s="24" t="n">
        <f aca="false">F229/'Food Data'!N112</f>
        <v>0</v>
      </c>
      <c r="H229" s="81" t="n">
        <f aca="false">C229*INDEX($F$14:$EU$14,1,A229)</f>
        <v>0</v>
      </c>
      <c r="I229" s="75" t="str">
        <f aca="false">IF(AND(D229&gt;0,C229&gt;=D229-0.00001),"at cap","")</f>
        <v/>
      </c>
      <c r="J229" s="21" t="n">
        <f aca="false">F229*INDEX($F$34:$EU$34,1,A229)</f>
        <v>0</v>
      </c>
      <c r="K229" s="21" t="n">
        <f aca="false">F229*INDEX($F$35:$EU$35,1,A229)</f>
        <v>0</v>
      </c>
      <c r="L229" s="21" t="n">
        <f aca="false">F229*INDEX($F$36:$EU$36,1,A229)</f>
        <v>0</v>
      </c>
      <c r="M229" s="21" t="n">
        <f aca="false">F229*INDEX($F$37:$EU$37,1,A229)</f>
        <v>0</v>
      </c>
      <c r="N229" s="21" t="str">
        <f aca="false">IF(J229&gt;=0.5,COUNTIF(J$123:J229,"&gt;=0.5"),"")</f>
        <v/>
      </c>
      <c r="O229" s="21" t="str">
        <f aca="false">IF(K229&gt;=0.5,COUNTIF(K$123:K229,"&gt;=0.5"),"")</f>
        <v/>
      </c>
      <c r="P229" s="21" t="str">
        <f aca="false">IF(L229&gt;=0.5,COUNTIF(L$123:L229,"&gt;=0.5"),"")</f>
        <v/>
      </c>
      <c r="Q229" s="21" t="str">
        <f aca="false">IF(M229&gt;=0.5,COUNTIF(M$123:M229,"&gt;=0.5"),"")</f>
        <v/>
      </c>
    </row>
    <row r="230" customFormat="false" ht="15" hidden="false" customHeight="false" outlineLevel="0" collapsed="false">
      <c r="A230" s="4" t="n">
        <v>108</v>
      </c>
      <c r="B230" s="79" t="str">
        <f aca="false">DI$13</f>
        <v>Carrots</v>
      </c>
      <c r="C230" s="80" t="n">
        <v>0</v>
      </c>
      <c r="D230" s="71" t="n">
        <f aca="false">INDEX($F$15:$EU$15,1,A230)</f>
        <v>2.56</v>
      </c>
      <c r="E230" s="71" t="n">
        <f aca="false">INDEX($F$16:$EU$16,1,A230)</f>
        <v>0</v>
      </c>
      <c r="F230" s="21" t="n">
        <f aca="false">C230*100</f>
        <v>0</v>
      </c>
      <c r="G230" s="24" t="n">
        <f aca="false">F230/'Food Data'!N113</f>
        <v>0</v>
      </c>
      <c r="H230" s="81" t="n">
        <f aca="false">C230*INDEX($F$14:$EU$14,1,A230)</f>
        <v>0</v>
      </c>
      <c r="I230" s="75" t="str">
        <f aca="false">IF(AND(D230&gt;0,C230&gt;=D230-0.00001),"at cap","")</f>
        <v/>
      </c>
      <c r="J230" s="21" t="n">
        <f aca="false">F230*INDEX($F$34:$EU$34,1,A230)</f>
        <v>0</v>
      </c>
      <c r="K230" s="21" t="n">
        <f aca="false">F230*INDEX($F$35:$EU$35,1,A230)</f>
        <v>0</v>
      </c>
      <c r="L230" s="21" t="n">
        <f aca="false">F230*INDEX($F$36:$EU$36,1,A230)</f>
        <v>0</v>
      </c>
      <c r="M230" s="21" t="n">
        <f aca="false">F230*INDEX($F$37:$EU$37,1,A230)</f>
        <v>0</v>
      </c>
      <c r="N230" s="21" t="str">
        <f aca="false">IF(J230&gt;=0.5,COUNTIF(J$123:J230,"&gt;=0.5"),"")</f>
        <v/>
      </c>
      <c r="O230" s="21" t="str">
        <f aca="false">IF(K230&gt;=0.5,COUNTIF(K$123:K230,"&gt;=0.5"),"")</f>
        <v/>
      </c>
      <c r="P230" s="21" t="str">
        <f aca="false">IF(L230&gt;=0.5,COUNTIF(L$123:L230,"&gt;=0.5"),"")</f>
        <v/>
      </c>
      <c r="Q230" s="21" t="str">
        <f aca="false">IF(M230&gt;=0.5,COUNTIF(M$123:M230,"&gt;=0.5"),"")</f>
        <v/>
      </c>
    </row>
    <row r="231" customFormat="false" ht="15" hidden="false" customHeight="false" outlineLevel="0" collapsed="false">
      <c r="A231" s="4" t="n">
        <v>109</v>
      </c>
      <c r="B231" s="79" t="str">
        <f aca="false">DJ$13</f>
        <v>Carrots (canned)</v>
      </c>
      <c r="C231" s="80" t="n">
        <v>0</v>
      </c>
      <c r="D231" s="71" t="n">
        <f aca="false">INDEX($F$15:$EU$15,1,A231)</f>
        <v>4.92</v>
      </c>
      <c r="E231" s="71" t="n">
        <f aca="false">INDEX($F$16:$EU$16,1,A231)</f>
        <v>0</v>
      </c>
      <c r="F231" s="21" t="n">
        <f aca="false">C231*100</f>
        <v>0</v>
      </c>
      <c r="G231" s="24" t="n">
        <f aca="false">F231/'Food Data'!N114</f>
        <v>0</v>
      </c>
      <c r="H231" s="81" t="n">
        <f aca="false">C231*INDEX($F$14:$EU$14,1,A231)</f>
        <v>0</v>
      </c>
      <c r="I231" s="75" t="str">
        <f aca="false">IF(AND(D231&gt;0,C231&gt;=D231-0.00001),"at cap","")</f>
        <v/>
      </c>
      <c r="J231" s="21" t="n">
        <f aca="false">F231*INDEX($F$34:$EU$34,1,A231)</f>
        <v>0</v>
      </c>
      <c r="K231" s="21" t="n">
        <f aca="false">F231*INDEX($F$35:$EU$35,1,A231)</f>
        <v>0</v>
      </c>
      <c r="L231" s="21" t="n">
        <f aca="false">F231*INDEX($F$36:$EU$36,1,A231)</f>
        <v>0</v>
      </c>
      <c r="M231" s="21" t="n">
        <f aca="false">F231*INDEX($F$37:$EU$37,1,A231)</f>
        <v>0</v>
      </c>
      <c r="N231" s="21" t="str">
        <f aca="false">IF(J231&gt;=0.5,COUNTIF(J$123:J231,"&gt;=0.5"),"")</f>
        <v/>
      </c>
      <c r="O231" s="21" t="str">
        <f aca="false">IF(K231&gt;=0.5,COUNTIF(K$123:K231,"&gt;=0.5"),"")</f>
        <v/>
      </c>
      <c r="P231" s="21" t="str">
        <f aca="false">IF(L231&gt;=0.5,COUNTIF(L$123:L231,"&gt;=0.5"),"")</f>
        <v/>
      </c>
      <c r="Q231" s="21" t="str">
        <f aca="false">IF(M231&gt;=0.5,COUNTIF(M$123:M231,"&gt;=0.5"),"")</f>
        <v/>
      </c>
    </row>
    <row r="232" customFormat="false" ht="15" hidden="false" customHeight="false" outlineLevel="0" collapsed="false">
      <c r="A232" s="4" t="n">
        <v>110</v>
      </c>
      <c r="B232" s="79" t="str">
        <f aca="false">DK$13</f>
        <v>Carrots (frozen)</v>
      </c>
      <c r="C232" s="80" t="n">
        <v>0</v>
      </c>
      <c r="D232" s="71" t="n">
        <f aca="false">INDEX($F$15:$EU$15,1,A232)</f>
        <v>2.56</v>
      </c>
      <c r="E232" s="71" t="n">
        <f aca="false">INDEX($F$16:$EU$16,1,A232)</f>
        <v>0</v>
      </c>
      <c r="F232" s="21" t="n">
        <f aca="false">C232*100</f>
        <v>0</v>
      </c>
      <c r="G232" s="24" t="n">
        <f aca="false">F232/'Food Data'!N115</f>
        <v>0</v>
      </c>
      <c r="H232" s="81" t="n">
        <f aca="false">C232*INDEX($F$14:$EU$14,1,A232)</f>
        <v>0</v>
      </c>
      <c r="I232" s="75" t="str">
        <f aca="false">IF(AND(D232&gt;0,C232&gt;=D232-0.00001),"at cap","")</f>
        <v/>
      </c>
      <c r="J232" s="21" t="n">
        <f aca="false">F232*INDEX($F$34:$EU$34,1,A232)</f>
        <v>0</v>
      </c>
      <c r="K232" s="21" t="n">
        <f aca="false">F232*INDEX($F$35:$EU$35,1,A232)</f>
        <v>0</v>
      </c>
      <c r="L232" s="21" t="n">
        <f aca="false">F232*INDEX($F$36:$EU$36,1,A232)</f>
        <v>0</v>
      </c>
      <c r="M232" s="21" t="n">
        <f aca="false">F232*INDEX($F$37:$EU$37,1,A232)</f>
        <v>0</v>
      </c>
      <c r="N232" s="21" t="str">
        <f aca="false">IF(J232&gt;=0.5,COUNTIF(J$123:J232,"&gt;=0.5"),"")</f>
        <v/>
      </c>
      <c r="O232" s="21" t="str">
        <f aca="false">IF(K232&gt;=0.5,COUNTIF(K$123:K232,"&gt;=0.5"),"")</f>
        <v/>
      </c>
      <c r="P232" s="21" t="str">
        <f aca="false">IF(L232&gt;=0.5,COUNTIF(L$123:L232,"&gt;=0.5"),"")</f>
        <v/>
      </c>
      <c r="Q232" s="21" t="str">
        <f aca="false">IF(M232&gt;=0.5,COUNTIF(M$123:M232,"&gt;=0.5"),"")</f>
        <v/>
      </c>
    </row>
    <row r="233" customFormat="false" ht="15" hidden="false" customHeight="false" outlineLevel="0" collapsed="false">
      <c r="A233" s="4" t="n">
        <v>111</v>
      </c>
      <c r="B233" s="79" t="str">
        <f aca="false">DL$13</f>
        <v>Cauliflower (frozen)</v>
      </c>
      <c r="C233" s="80" t="n">
        <v>0</v>
      </c>
      <c r="D233" s="71" t="n">
        <f aca="false">INDEX($F$15:$EU$15,1,A233)</f>
        <v>2.64</v>
      </c>
      <c r="E233" s="71" t="n">
        <f aca="false">INDEX($F$16:$EU$16,1,A233)</f>
        <v>0</v>
      </c>
      <c r="F233" s="21" t="n">
        <f aca="false">C233*100</f>
        <v>0</v>
      </c>
      <c r="G233" s="24" t="n">
        <f aca="false">F233/'Food Data'!N116</f>
        <v>0</v>
      </c>
      <c r="H233" s="81" t="n">
        <f aca="false">C233*INDEX($F$14:$EU$14,1,A233)</f>
        <v>0</v>
      </c>
      <c r="I233" s="75" t="str">
        <f aca="false">IF(AND(D233&gt;0,C233&gt;=D233-0.00001),"at cap","")</f>
        <v/>
      </c>
      <c r="J233" s="21" t="n">
        <f aca="false">F233*INDEX($F$34:$EU$34,1,A233)</f>
        <v>0</v>
      </c>
      <c r="K233" s="21" t="n">
        <f aca="false">F233*INDEX($F$35:$EU$35,1,A233)</f>
        <v>0</v>
      </c>
      <c r="L233" s="21" t="n">
        <f aca="false">F233*INDEX($F$36:$EU$36,1,A233)</f>
        <v>0</v>
      </c>
      <c r="M233" s="21" t="n">
        <f aca="false">F233*INDEX($F$37:$EU$37,1,A233)</f>
        <v>0</v>
      </c>
      <c r="N233" s="21" t="str">
        <f aca="false">IF(J233&gt;=0.5,COUNTIF(J$123:J233,"&gt;=0.5"),"")</f>
        <v/>
      </c>
      <c r="O233" s="21" t="str">
        <f aca="false">IF(K233&gt;=0.5,COUNTIF(K$123:K233,"&gt;=0.5"),"")</f>
        <v/>
      </c>
      <c r="P233" s="21" t="str">
        <f aca="false">IF(L233&gt;=0.5,COUNTIF(L$123:L233,"&gt;=0.5"),"")</f>
        <v/>
      </c>
      <c r="Q233" s="21" t="str">
        <f aca="false">IF(M233&gt;=0.5,COUNTIF(M$123:M233,"&gt;=0.5"),"")</f>
        <v/>
      </c>
    </row>
    <row r="234" customFormat="false" ht="15" hidden="false" customHeight="false" outlineLevel="0" collapsed="false">
      <c r="A234" s="4" t="n">
        <v>112</v>
      </c>
      <c r="B234" s="79" t="str">
        <f aca="false">DM$13</f>
        <v>Celery</v>
      </c>
      <c r="C234" s="80" t="n">
        <v>0</v>
      </c>
      <c r="D234" s="71" t="n">
        <f aca="false">INDEX($F$15:$EU$15,1,A234)</f>
        <v>2.02</v>
      </c>
      <c r="E234" s="71" t="n">
        <f aca="false">INDEX($F$16:$EU$16,1,A234)</f>
        <v>0</v>
      </c>
      <c r="F234" s="21" t="n">
        <f aca="false">C234*100</f>
        <v>0</v>
      </c>
      <c r="G234" s="24" t="n">
        <f aca="false">F234/'Food Data'!N117</f>
        <v>0</v>
      </c>
      <c r="H234" s="81" t="n">
        <f aca="false">C234*INDEX($F$14:$EU$14,1,A234)</f>
        <v>0</v>
      </c>
      <c r="I234" s="75" t="str">
        <f aca="false">IF(AND(D234&gt;0,C234&gt;=D234-0.00001),"at cap","")</f>
        <v/>
      </c>
      <c r="J234" s="21" t="n">
        <f aca="false">F234*INDEX($F$34:$EU$34,1,A234)</f>
        <v>0</v>
      </c>
      <c r="K234" s="21" t="n">
        <f aca="false">F234*INDEX($F$35:$EU$35,1,A234)</f>
        <v>0</v>
      </c>
      <c r="L234" s="21" t="n">
        <f aca="false">F234*INDEX($F$36:$EU$36,1,A234)</f>
        <v>0</v>
      </c>
      <c r="M234" s="21" t="n">
        <f aca="false">F234*INDEX($F$37:$EU$37,1,A234)</f>
        <v>0</v>
      </c>
      <c r="N234" s="21" t="str">
        <f aca="false">IF(J234&gt;=0.5,COUNTIF(J$123:J234,"&gt;=0.5"),"")</f>
        <v/>
      </c>
      <c r="O234" s="21" t="str">
        <f aca="false">IF(K234&gt;=0.5,COUNTIF(K$123:K234,"&gt;=0.5"),"")</f>
        <v/>
      </c>
      <c r="P234" s="21" t="str">
        <f aca="false">IF(L234&gt;=0.5,COUNTIF(L$123:L234,"&gt;=0.5"),"")</f>
        <v/>
      </c>
      <c r="Q234" s="21" t="str">
        <f aca="false">IF(M234&gt;=0.5,COUNTIF(M$123:M234,"&gt;=0.5"),"")</f>
        <v/>
      </c>
    </row>
    <row r="235" customFormat="false" ht="15" hidden="false" customHeight="false" outlineLevel="0" collapsed="false">
      <c r="A235" s="4" t="n">
        <v>113</v>
      </c>
      <c r="B235" s="79" t="str">
        <f aca="false">DN$13</f>
        <v>Collard greens</v>
      </c>
      <c r="C235" s="80" t="n">
        <v>0</v>
      </c>
      <c r="D235" s="71" t="n">
        <f aca="false">INDEX($F$15:$EU$15,1,A235)</f>
        <v>1.44</v>
      </c>
      <c r="E235" s="71" t="n">
        <f aca="false">INDEX($F$16:$EU$16,1,A235)</f>
        <v>0</v>
      </c>
      <c r="F235" s="21" t="n">
        <f aca="false">C235*100</f>
        <v>0</v>
      </c>
      <c r="G235" s="24" t="n">
        <f aca="false">F235/'Food Data'!N118</f>
        <v>0</v>
      </c>
      <c r="H235" s="81" t="n">
        <f aca="false">C235*INDEX($F$14:$EU$14,1,A235)</f>
        <v>0</v>
      </c>
      <c r="I235" s="75" t="str">
        <f aca="false">IF(AND(D235&gt;0,C235&gt;=D235-0.00001),"at cap","")</f>
        <v/>
      </c>
      <c r="J235" s="21" t="n">
        <f aca="false">F235*INDEX($F$34:$EU$34,1,A235)</f>
        <v>0</v>
      </c>
      <c r="K235" s="21" t="n">
        <f aca="false">F235*INDEX($F$35:$EU$35,1,A235)</f>
        <v>0</v>
      </c>
      <c r="L235" s="21" t="n">
        <f aca="false">F235*INDEX($F$36:$EU$36,1,A235)</f>
        <v>0</v>
      </c>
      <c r="M235" s="21" t="n">
        <f aca="false">F235*INDEX($F$37:$EU$37,1,A235)</f>
        <v>0</v>
      </c>
      <c r="N235" s="21" t="str">
        <f aca="false">IF(J235&gt;=0.5,COUNTIF(J$123:J235,"&gt;=0.5"),"")</f>
        <v/>
      </c>
      <c r="O235" s="21" t="str">
        <f aca="false">IF(K235&gt;=0.5,COUNTIF(K$123:K235,"&gt;=0.5"),"")</f>
        <v/>
      </c>
      <c r="P235" s="21" t="str">
        <f aca="false">IF(L235&gt;=0.5,COUNTIF(L$123:L235,"&gt;=0.5"),"")</f>
        <v/>
      </c>
      <c r="Q235" s="21" t="str">
        <f aca="false">IF(M235&gt;=0.5,COUNTIF(M$123:M235,"&gt;=0.5"),"")</f>
        <v/>
      </c>
    </row>
    <row r="236" customFormat="false" ht="15" hidden="false" customHeight="false" outlineLevel="0" collapsed="false">
      <c r="A236" s="4" t="n">
        <v>114</v>
      </c>
      <c r="B236" s="79" t="str">
        <f aca="false">DO$13</f>
        <v>Collard greens (frozen)</v>
      </c>
      <c r="C236" s="80" t="n">
        <v>0</v>
      </c>
      <c r="D236" s="71" t="n">
        <f aca="false">INDEX($F$15:$EU$15,1,A236)</f>
        <v>3.74</v>
      </c>
      <c r="E236" s="71" t="n">
        <f aca="false">INDEX($F$16:$EU$16,1,A236)</f>
        <v>0</v>
      </c>
      <c r="F236" s="21" t="n">
        <f aca="false">C236*100</f>
        <v>0</v>
      </c>
      <c r="G236" s="24" t="n">
        <f aca="false">F236/'Food Data'!N119</f>
        <v>0</v>
      </c>
      <c r="H236" s="81" t="n">
        <f aca="false">C236*INDEX($F$14:$EU$14,1,A236)</f>
        <v>0</v>
      </c>
      <c r="I236" s="75" t="str">
        <f aca="false">IF(AND(D236&gt;0,C236&gt;=D236-0.00001),"at cap","")</f>
        <v/>
      </c>
      <c r="J236" s="21" t="n">
        <f aca="false">F236*INDEX($F$34:$EU$34,1,A236)</f>
        <v>0</v>
      </c>
      <c r="K236" s="21" t="n">
        <f aca="false">F236*INDEX($F$35:$EU$35,1,A236)</f>
        <v>0</v>
      </c>
      <c r="L236" s="21" t="n">
        <f aca="false">F236*INDEX($F$36:$EU$36,1,A236)</f>
        <v>0</v>
      </c>
      <c r="M236" s="21" t="n">
        <f aca="false">F236*INDEX($F$37:$EU$37,1,A236)</f>
        <v>0</v>
      </c>
      <c r="N236" s="21" t="str">
        <f aca="false">IF(J236&gt;=0.5,COUNTIF(J$123:J236,"&gt;=0.5"),"")</f>
        <v/>
      </c>
      <c r="O236" s="21" t="str">
        <f aca="false">IF(K236&gt;=0.5,COUNTIF(K$123:K236,"&gt;=0.5"),"")</f>
        <v/>
      </c>
      <c r="P236" s="21" t="str">
        <f aca="false">IF(L236&gt;=0.5,COUNTIF(L$123:L236,"&gt;=0.5"),"")</f>
        <v/>
      </c>
      <c r="Q236" s="21" t="str">
        <f aca="false">IF(M236&gt;=0.5,COUNTIF(M$123:M236,"&gt;=0.5"),"")</f>
        <v/>
      </c>
    </row>
    <row r="237" customFormat="false" ht="15" hidden="false" customHeight="false" outlineLevel="0" collapsed="false">
      <c r="A237" s="4" t="n">
        <v>115</v>
      </c>
      <c r="B237" s="79" t="str">
        <f aca="false">DP$13</f>
        <v>Cucumber</v>
      </c>
      <c r="C237" s="80" t="n">
        <v>0</v>
      </c>
      <c r="D237" s="71" t="n">
        <f aca="false">INDEX($F$15:$EU$15,1,A237)</f>
        <v>2.08</v>
      </c>
      <c r="E237" s="71" t="n">
        <f aca="false">INDEX($F$16:$EU$16,1,A237)</f>
        <v>0</v>
      </c>
      <c r="F237" s="21" t="n">
        <f aca="false">C237*100</f>
        <v>0</v>
      </c>
      <c r="G237" s="24" t="n">
        <f aca="false">F237/'Food Data'!N120</f>
        <v>0</v>
      </c>
      <c r="H237" s="81" t="n">
        <f aca="false">C237*INDEX($F$14:$EU$14,1,A237)</f>
        <v>0</v>
      </c>
      <c r="I237" s="75" t="str">
        <f aca="false">IF(AND(D237&gt;0,C237&gt;=D237-0.00001),"at cap","")</f>
        <v/>
      </c>
      <c r="J237" s="21" t="n">
        <f aca="false">F237*INDEX($F$34:$EU$34,1,A237)</f>
        <v>0</v>
      </c>
      <c r="K237" s="21" t="n">
        <f aca="false">F237*INDEX($F$35:$EU$35,1,A237)</f>
        <v>0</v>
      </c>
      <c r="L237" s="21" t="n">
        <f aca="false">F237*INDEX($F$36:$EU$36,1,A237)</f>
        <v>0</v>
      </c>
      <c r="M237" s="21" t="n">
        <f aca="false">F237*INDEX($F$37:$EU$37,1,A237)</f>
        <v>0</v>
      </c>
      <c r="N237" s="21" t="str">
        <f aca="false">IF(J237&gt;=0.5,COUNTIF(J$123:J237,"&gt;=0.5"),"")</f>
        <v/>
      </c>
      <c r="O237" s="21" t="str">
        <f aca="false">IF(K237&gt;=0.5,COUNTIF(K$123:K237,"&gt;=0.5"),"")</f>
        <v/>
      </c>
      <c r="P237" s="21" t="str">
        <f aca="false">IF(L237&gt;=0.5,COUNTIF(L$123:L237,"&gt;=0.5"),"")</f>
        <v/>
      </c>
      <c r="Q237" s="21" t="str">
        <f aca="false">IF(M237&gt;=0.5,COUNTIF(M$123:M237,"&gt;=0.5"),"")</f>
        <v/>
      </c>
    </row>
    <row r="238" customFormat="false" ht="15" hidden="false" customHeight="false" outlineLevel="0" collapsed="false">
      <c r="A238" s="4" t="n">
        <v>116</v>
      </c>
      <c r="B238" s="79" t="str">
        <f aca="false">DQ$13</f>
        <v>Green beans (canned)</v>
      </c>
      <c r="C238" s="80" t="n">
        <v>0</v>
      </c>
      <c r="D238" s="71" t="n">
        <f aca="false">INDEX($F$15:$EU$15,1,A238)</f>
        <v>3.6</v>
      </c>
      <c r="E238" s="71" t="n">
        <f aca="false">INDEX($F$16:$EU$16,1,A238)</f>
        <v>0</v>
      </c>
      <c r="F238" s="21" t="n">
        <f aca="false">C238*100</f>
        <v>0</v>
      </c>
      <c r="G238" s="24" t="n">
        <f aca="false">F238/'Food Data'!N121</f>
        <v>0</v>
      </c>
      <c r="H238" s="81" t="n">
        <f aca="false">C238*INDEX($F$14:$EU$14,1,A238)</f>
        <v>0</v>
      </c>
      <c r="I238" s="75" t="str">
        <f aca="false">IF(AND(D238&gt;0,C238&gt;=D238-0.00001),"at cap","")</f>
        <v/>
      </c>
      <c r="J238" s="21" t="n">
        <f aca="false">F238*INDEX($F$34:$EU$34,1,A238)</f>
        <v>0</v>
      </c>
      <c r="K238" s="21" t="n">
        <f aca="false">F238*INDEX($F$35:$EU$35,1,A238)</f>
        <v>0</v>
      </c>
      <c r="L238" s="21" t="n">
        <f aca="false">F238*INDEX($F$36:$EU$36,1,A238)</f>
        <v>0</v>
      </c>
      <c r="M238" s="21" t="n">
        <f aca="false">F238*INDEX($F$37:$EU$37,1,A238)</f>
        <v>0</v>
      </c>
      <c r="N238" s="21" t="str">
        <f aca="false">IF(J238&gt;=0.5,COUNTIF(J$123:J238,"&gt;=0.5"),"")</f>
        <v/>
      </c>
      <c r="O238" s="21" t="str">
        <f aca="false">IF(K238&gt;=0.5,COUNTIF(K$123:K238,"&gt;=0.5"),"")</f>
        <v/>
      </c>
      <c r="P238" s="21" t="str">
        <f aca="false">IF(L238&gt;=0.5,COUNTIF(L$123:L238,"&gt;=0.5"),"")</f>
        <v/>
      </c>
      <c r="Q238" s="21" t="str">
        <f aca="false">IF(M238&gt;=0.5,COUNTIF(M$123:M238,"&gt;=0.5"),"")</f>
        <v/>
      </c>
    </row>
    <row r="239" customFormat="false" ht="15" hidden="false" customHeight="false" outlineLevel="0" collapsed="false">
      <c r="A239" s="4" t="n">
        <v>117</v>
      </c>
      <c r="B239" s="79" t="str">
        <f aca="false">DR$13</f>
        <v>Green beans (frozen)</v>
      </c>
      <c r="C239" s="80" t="n">
        <v>0</v>
      </c>
      <c r="D239" s="71" t="n">
        <f aca="false">INDEX($F$15:$EU$15,1,A239)</f>
        <v>2.42</v>
      </c>
      <c r="E239" s="71" t="n">
        <f aca="false">INDEX($F$16:$EU$16,1,A239)</f>
        <v>0</v>
      </c>
      <c r="F239" s="21" t="n">
        <f aca="false">C239*100</f>
        <v>0</v>
      </c>
      <c r="G239" s="24" t="n">
        <f aca="false">F239/'Food Data'!N122</f>
        <v>0</v>
      </c>
      <c r="H239" s="81" t="n">
        <f aca="false">C239*INDEX($F$14:$EU$14,1,A239)</f>
        <v>0</v>
      </c>
      <c r="I239" s="75" t="str">
        <f aca="false">IF(AND(D239&gt;0,C239&gt;=D239-0.00001),"at cap","")</f>
        <v/>
      </c>
      <c r="J239" s="21" t="n">
        <f aca="false">F239*INDEX($F$34:$EU$34,1,A239)</f>
        <v>0</v>
      </c>
      <c r="K239" s="21" t="n">
        <f aca="false">F239*INDEX($F$35:$EU$35,1,A239)</f>
        <v>0</v>
      </c>
      <c r="L239" s="21" t="n">
        <f aca="false">F239*INDEX($F$36:$EU$36,1,A239)</f>
        <v>0</v>
      </c>
      <c r="M239" s="21" t="n">
        <f aca="false">F239*INDEX($F$37:$EU$37,1,A239)</f>
        <v>0</v>
      </c>
      <c r="N239" s="21" t="str">
        <f aca="false">IF(J239&gt;=0.5,COUNTIF(J$123:J239,"&gt;=0.5"),"")</f>
        <v/>
      </c>
      <c r="O239" s="21" t="str">
        <f aca="false">IF(K239&gt;=0.5,COUNTIF(K$123:K239,"&gt;=0.5"),"")</f>
        <v/>
      </c>
      <c r="P239" s="21" t="str">
        <f aca="false">IF(L239&gt;=0.5,COUNTIF(L$123:L239,"&gt;=0.5"),"")</f>
        <v/>
      </c>
      <c r="Q239" s="21" t="str">
        <f aca="false">IF(M239&gt;=0.5,COUNTIF(M$123:M239,"&gt;=0.5"),"")</f>
        <v/>
      </c>
    </row>
    <row r="240" customFormat="false" ht="15" hidden="false" customHeight="false" outlineLevel="0" collapsed="false">
      <c r="A240" s="4" t="n">
        <v>118</v>
      </c>
      <c r="B240" s="79" t="str">
        <f aca="false">DS$13</f>
        <v>Green bell pepper</v>
      </c>
      <c r="C240" s="80" t="n">
        <v>0</v>
      </c>
      <c r="D240" s="71" t="n">
        <f aca="false">INDEX($F$15:$EU$15,1,A240)</f>
        <v>1.49</v>
      </c>
      <c r="E240" s="71" t="n">
        <f aca="false">INDEX($F$16:$EU$16,1,A240)</f>
        <v>0</v>
      </c>
      <c r="F240" s="21" t="n">
        <f aca="false">C240*100</f>
        <v>0</v>
      </c>
      <c r="G240" s="24" t="n">
        <f aca="false">F240/'Food Data'!N123</f>
        <v>0</v>
      </c>
      <c r="H240" s="81" t="n">
        <f aca="false">C240*INDEX($F$14:$EU$14,1,A240)</f>
        <v>0</v>
      </c>
      <c r="I240" s="75" t="str">
        <f aca="false">IF(AND(D240&gt;0,C240&gt;=D240-0.00001),"at cap","")</f>
        <v/>
      </c>
      <c r="J240" s="21" t="n">
        <f aca="false">F240*INDEX($F$34:$EU$34,1,A240)</f>
        <v>0</v>
      </c>
      <c r="K240" s="21" t="n">
        <f aca="false">F240*INDEX($F$35:$EU$35,1,A240)</f>
        <v>0</v>
      </c>
      <c r="L240" s="21" t="n">
        <f aca="false">F240*INDEX($F$36:$EU$36,1,A240)</f>
        <v>0</v>
      </c>
      <c r="M240" s="21" t="n">
        <f aca="false">F240*INDEX($F$37:$EU$37,1,A240)</f>
        <v>0</v>
      </c>
      <c r="N240" s="21" t="str">
        <f aca="false">IF(J240&gt;=0.5,COUNTIF(J$123:J240,"&gt;=0.5"),"")</f>
        <v/>
      </c>
      <c r="O240" s="21" t="str">
        <f aca="false">IF(K240&gt;=0.5,COUNTIF(K$123:K240,"&gt;=0.5"),"")</f>
        <v/>
      </c>
      <c r="P240" s="21" t="str">
        <f aca="false">IF(L240&gt;=0.5,COUNTIF(L$123:L240,"&gt;=0.5"),"")</f>
        <v/>
      </c>
      <c r="Q240" s="21" t="str">
        <f aca="false">IF(M240&gt;=0.5,COUNTIF(M$123:M240,"&gt;=0.5"),"")</f>
        <v/>
      </c>
    </row>
    <row r="241" customFormat="false" ht="15" hidden="false" customHeight="false" outlineLevel="0" collapsed="false">
      <c r="A241" s="4" t="n">
        <v>119</v>
      </c>
      <c r="B241" s="79" t="str">
        <f aca="false">DT$13</f>
        <v>Iceberg lettuce</v>
      </c>
      <c r="C241" s="80" t="n">
        <v>0</v>
      </c>
      <c r="D241" s="71" t="n">
        <f aca="false">INDEX($F$15:$EU$15,1,A241)</f>
        <v>2.88</v>
      </c>
      <c r="E241" s="71" t="n">
        <f aca="false">INDEX($F$16:$EU$16,1,A241)</f>
        <v>0</v>
      </c>
      <c r="F241" s="21" t="n">
        <f aca="false">C241*100</f>
        <v>0</v>
      </c>
      <c r="G241" s="24" t="n">
        <f aca="false">F241/'Food Data'!N124</f>
        <v>0</v>
      </c>
      <c r="H241" s="81" t="n">
        <f aca="false">C241*INDEX($F$14:$EU$14,1,A241)</f>
        <v>0</v>
      </c>
      <c r="I241" s="75" t="str">
        <f aca="false">IF(AND(D241&gt;0,C241&gt;=D241-0.00001),"at cap","")</f>
        <v/>
      </c>
      <c r="J241" s="21" t="n">
        <f aca="false">F241*INDEX($F$34:$EU$34,1,A241)</f>
        <v>0</v>
      </c>
      <c r="K241" s="21" t="n">
        <f aca="false">F241*INDEX($F$35:$EU$35,1,A241)</f>
        <v>0</v>
      </c>
      <c r="L241" s="21" t="n">
        <f aca="false">F241*INDEX($F$36:$EU$36,1,A241)</f>
        <v>0</v>
      </c>
      <c r="M241" s="21" t="n">
        <f aca="false">F241*INDEX($F$37:$EU$37,1,A241)</f>
        <v>0</v>
      </c>
      <c r="N241" s="21" t="str">
        <f aca="false">IF(J241&gt;=0.5,COUNTIF(J$123:J241,"&gt;=0.5"),"")</f>
        <v/>
      </c>
      <c r="O241" s="21" t="str">
        <f aca="false">IF(K241&gt;=0.5,COUNTIF(K$123:K241,"&gt;=0.5"),"")</f>
        <v/>
      </c>
      <c r="P241" s="21" t="str">
        <f aca="false">IF(L241&gt;=0.5,COUNTIF(L$123:L241,"&gt;=0.5"),"")</f>
        <v/>
      </c>
      <c r="Q241" s="21" t="str">
        <f aca="false">IF(M241&gt;=0.5,COUNTIF(M$123:M241,"&gt;=0.5"),"")</f>
        <v/>
      </c>
    </row>
    <row r="242" customFormat="false" ht="15" hidden="false" customHeight="false" outlineLevel="0" collapsed="false">
      <c r="A242" s="4" t="n">
        <v>120</v>
      </c>
      <c r="B242" s="79" t="str">
        <f aca="false">DU$13</f>
        <v>Kale (frozen)</v>
      </c>
      <c r="C242" s="80" t="n">
        <v>0</v>
      </c>
      <c r="D242" s="71" t="n">
        <f aca="false">INDEX($F$15:$EU$15,1,A242)</f>
        <v>3.66</v>
      </c>
      <c r="E242" s="71" t="n">
        <f aca="false">INDEX($F$16:$EU$16,1,A242)</f>
        <v>0</v>
      </c>
      <c r="F242" s="21" t="n">
        <f aca="false">C242*100</f>
        <v>0</v>
      </c>
      <c r="G242" s="24" t="n">
        <f aca="false">F242/'Food Data'!N125</f>
        <v>0</v>
      </c>
      <c r="H242" s="81" t="n">
        <f aca="false">C242*INDEX($F$14:$EU$14,1,A242)</f>
        <v>0</v>
      </c>
      <c r="I242" s="75" t="str">
        <f aca="false">IF(AND(D242&gt;0,C242&gt;=D242-0.00001),"at cap","")</f>
        <v/>
      </c>
      <c r="J242" s="21" t="n">
        <f aca="false">F242*INDEX($F$34:$EU$34,1,A242)</f>
        <v>0</v>
      </c>
      <c r="K242" s="21" t="n">
        <f aca="false">F242*INDEX($F$35:$EU$35,1,A242)</f>
        <v>0</v>
      </c>
      <c r="L242" s="21" t="n">
        <f aca="false">F242*INDEX($F$36:$EU$36,1,A242)</f>
        <v>0</v>
      </c>
      <c r="M242" s="21" t="n">
        <f aca="false">F242*INDEX($F$37:$EU$37,1,A242)</f>
        <v>0</v>
      </c>
      <c r="N242" s="21" t="str">
        <f aca="false">IF(J242&gt;=0.5,COUNTIF(J$123:J242,"&gt;=0.5"),"")</f>
        <v/>
      </c>
      <c r="O242" s="21" t="str">
        <f aca="false">IF(K242&gt;=0.5,COUNTIF(K$123:K242,"&gt;=0.5"),"")</f>
        <v/>
      </c>
      <c r="P242" s="21" t="str">
        <f aca="false">IF(L242&gt;=0.5,COUNTIF(L$123:L242,"&gt;=0.5"),"")</f>
        <v/>
      </c>
      <c r="Q242" s="21" t="str">
        <f aca="false">IF(M242&gt;=0.5,COUNTIF(M$123:M242,"&gt;=0.5"),"")</f>
        <v/>
      </c>
    </row>
    <row r="243" customFormat="false" ht="15" hidden="false" customHeight="false" outlineLevel="0" collapsed="false">
      <c r="A243" s="4" t="n">
        <v>121</v>
      </c>
      <c r="B243" s="79" t="str">
        <f aca="false">DV$13</f>
        <v>Mixed vegetables (frozen)</v>
      </c>
      <c r="C243" s="80" t="n">
        <v>0</v>
      </c>
      <c r="D243" s="71" t="n">
        <f aca="false">INDEX($F$15:$EU$15,1,A243)</f>
        <v>2.85</v>
      </c>
      <c r="E243" s="71" t="n">
        <f aca="false">INDEX($F$16:$EU$16,1,A243)</f>
        <v>0</v>
      </c>
      <c r="F243" s="21" t="n">
        <f aca="false">C243*100</f>
        <v>0</v>
      </c>
      <c r="G243" s="24" t="n">
        <f aca="false">F243/'Food Data'!N126</f>
        <v>0</v>
      </c>
      <c r="H243" s="81" t="n">
        <f aca="false">C243*INDEX($F$14:$EU$14,1,A243)</f>
        <v>0</v>
      </c>
      <c r="I243" s="75" t="str">
        <f aca="false">IF(AND(D243&gt;0,C243&gt;=D243-0.00001),"at cap","")</f>
        <v/>
      </c>
      <c r="J243" s="21" t="n">
        <f aca="false">F243*INDEX($F$34:$EU$34,1,A243)</f>
        <v>0</v>
      </c>
      <c r="K243" s="21" t="n">
        <f aca="false">F243*INDEX($F$35:$EU$35,1,A243)</f>
        <v>0</v>
      </c>
      <c r="L243" s="21" t="n">
        <f aca="false">F243*INDEX($F$36:$EU$36,1,A243)</f>
        <v>0</v>
      </c>
      <c r="M243" s="21" t="n">
        <f aca="false">F243*INDEX($F$37:$EU$37,1,A243)</f>
        <v>0</v>
      </c>
      <c r="N243" s="21" t="str">
        <f aca="false">IF(J243&gt;=0.5,COUNTIF(J$123:J243,"&gt;=0.5"),"")</f>
        <v/>
      </c>
      <c r="O243" s="21" t="str">
        <f aca="false">IF(K243&gt;=0.5,COUNTIF(K$123:K243,"&gt;=0.5"),"")</f>
        <v/>
      </c>
      <c r="P243" s="21" t="str">
        <f aca="false">IF(L243&gt;=0.5,COUNTIF(L$123:L243,"&gt;=0.5"),"")</f>
        <v/>
      </c>
      <c r="Q243" s="21" t="str">
        <f aca="false">IF(M243&gt;=0.5,COUNTIF(M$123:M243,"&gt;=0.5"),"")</f>
        <v/>
      </c>
    </row>
    <row r="244" customFormat="false" ht="15" hidden="false" customHeight="false" outlineLevel="0" collapsed="false">
      <c r="A244" s="4" t="n">
        <v>122</v>
      </c>
      <c r="B244" s="79" t="str">
        <f aca="false">DW$13</f>
        <v>Mushrooms (white)</v>
      </c>
      <c r="C244" s="80" t="n">
        <v>0</v>
      </c>
      <c r="D244" s="71" t="n">
        <f aca="false">INDEX($F$15:$EU$15,1,A244)</f>
        <v>1.4</v>
      </c>
      <c r="E244" s="71" t="n">
        <f aca="false">INDEX($F$16:$EU$16,1,A244)</f>
        <v>0</v>
      </c>
      <c r="F244" s="21" t="n">
        <f aca="false">C244*100</f>
        <v>0</v>
      </c>
      <c r="G244" s="24" t="n">
        <f aca="false">F244/'Food Data'!N127</f>
        <v>0</v>
      </c>
      <c r="H244" s="81" t="n">
        <f aca="false">C244*INDEX($F$14:$EU$14,1,A244)</f>
        <v>0</v>
      </c>
      <c r="I244" s="75" t="str">
        <f aca="false">IF(AND(D244&gt;0,C244&gt;=D244-0.00001),"at cap","")</f>
        <v/>
      </c>
      <c r="J244" s="21" t="n">
        <f aca="false">F244*INDEX($F$34:$EU$34,1,A244)</f>
        <v>0</v>
      </c>
      <c r="K244" s="21" t="n">
        <f aca="false">F244*INDEX($F$35:$EU$35,1,A244)</f>
        <v>0</v>
      </c>
      <c r="L244" s="21" t="n">
        <f aca="false">F244*INDEX($F$36:$EU$36,1,A244)</f>
        <v>0</v>
      </c>
      <c r="M244" s="21" t="n">
        <f aca="false">F244*INDEX($F$37:$EU$37,1,A244)</f>
        <v>0</v>
      </c>
      <c r="N244" s="21" t="str">
        <f aca="false">IF(J244&gt;=0.5,COUNTIF(J$123:J244,"&gt;=0.5"),"")</f>
        <v/>
      </c>
      <c r="O244" s="21" t="str">
        <f aca="false">IF(K244&gt;=0.5,COUNTIF(K$123:K244,"&gt;=0.5"),"")</f>
        <v/>
      </c>
      <c r="P244" s="21" t="str">
        <f aca="false">IF(L244&gt;=0.5,COUNTIF(L$123:L244,"&gt;=0.5"),"")</f>
        <v/>
      </c>
      <c r="Q244" s="21" t="str">
        <f aca="false">IF(M244&gt;=0.5,COUNTIF(M$123:M244,"&gt;=0.5"),"")</f>
        <v/>
      </c>
    </row>
    <row r="245" customFormat="false" ht="15" hidden="false" customHeight="false" outlineLevel="0" collapsed="false">
      <c r="A245" s="4" t="n">
        <v>123</v>
      </c>
      <c r="B245" s="79" t="str">
        <f aca="false">DX$13</f>
        <v>Mustard greens (frozen)</v>
      </c>
      <c r="C245" s="80" t="n">
        <v>0</v>
      </c>
      <c r="D245" s="71" t="n">
        <f aca="false">INDEX($F$15:$EU$15,1,A245)</f>
        <v>2.92</v>
      </c>
      <c r="E245" s="71" t="n">
        <f aca="false">INDEX($F$16:$EU$16,1,A245)</f>
        <v>0</v>
      </c>
      <c r="F245" s="21" t="n">
        <f aca="false">C245*100</f>
        <v>0</v>
      </c>
      <c r="G245" s="24" t="n">
        <f aca="false">F245/'Food Data'!N128</f>
        <v>0</v>
      </c>
      <c r="H245" s="81" t="n">
        <f aca="false">C245*INDEX($F$14:$EU$14,1,A245)</f>
        <v>0</v>
      </c>
      <c r="I245" s="75" t="str">
        <f aca="false">IF(AND(D245&gt;0,C245&gt;=D245-0.00001),"at cap","")</f>
        <v/>
      </c>
      <c r="J245" s="21" t="n">
        <f aca="false">F245*INDEX($F$34:$EU$34,1,A245)</f>
        <v>0</v>
      </c>
      <c r="K245" s="21" t="n">
        <f aca="false">F245*INDEX($F$35:$EU$35,1,A245)</f>
        <v>0</v>
      </c>
      <c r="L245" s="21" t="n">
        <f aca="false">F245*INDEX($F$36:$EU$36,1,A245)</f>
        <v>0</v>
      </c>
      <c r="M245" s="21" t="n">
        <f aca="false">F245*INDEX($F$37:$EU$37,1,A245)</f>
        <v>0</v>
      </c>
      <c r="N245" s="21" t="str">
        <f aca="false">IF(J245&gt;=0.5,COUNTIF(J$123:J245,"&gt;=0.5"),"")</f>
        <v/>
      </c>
      <c r="O245" s="21" t="str">
        <f aca="false">IF(K245&gt;=0.5,COUNTIF(K$123:K245,"&gt;=0.5"),"")</f>
        <v/>
      </c>
      <c r="P245" s="21" t="str">
        <f aca="false">IF(L245&gt;=0.5,COUNTIF(L$123:L245,"&gt;=0.5"),"")</f>
        <v/>
      </c>
      <c r="Q245" s="21" t="str">
        <f aca="false">IF(M245&gt;=0.5,COUNTIF(M$123:M245,"&gt;=0.5"),"")</f>
        <v/>
      </c>
    </row>
    <row r="246" customFormat="false" ht="15" hidden="false" customHeight="false" outlineLevel="0" collapsed="false">
      <c r="A246" s="4" t="n">
        <v>124</v>
      </c>
      <c r="B246" s="79" t="str">
        <f aca="false">DY$13</f>
        <v>Okra (frozen)</v>
      </c>
      <c r="C246" s="80" t="n">
        <v>0</v>
      </c>
      <c r="D246" s="71" t="n">
        <f aca="false">INDEX($F$15:$EU$15,1,A246)</f>
        <v>3.78</v>
      </c>
      <c r="E246" s="71" t="n">
        <f aca="false">INDEX($F$16:$EU$16,1,A246)</f>
        <v>0</v>
      </c>
      <c r="F246" s="21" t="n">
        <f aca="false">C246*100</f>
        <v>0</v>
      </c>
      <c r="G246" s="24" t="n">
        <f aca="false">F246/'Food Data'!N129</f>
        <v>0</v>
      </c>
      <c r="H246" s="81" t="n">
        <f aca="false">C246*INDEX($F$14:$EU$14,1,A246)</f>
        <v>0</v>
      </c>
      <c r="I246" s="75" t="str">
        <f aca="false">IF(AND(D246&gt;0,C246&gt;=D246-0.00001),"at cap","")</f>
        <v/>
      </c>
      <c r="J246" s="21" t="n">
        <f aca="false">F246*INDEX($F$34:$EU$34,1,A246)</f>
        <v>0</v>
      </c>
      <c r="K246" s="21" t="n">
        <f aca="false">F246*INDEX($F$35:$EU$35,1,A246)</f>
        <v>0</v>
      </c>
      <c r="L246" s="21" t="n">
        <f aca="false">F246*INDEX($F$36:$EU$36,1,A246)</f>
        <v>0</v>
      </c>
      <c r="M246" s="21" t="n">
        <f aca="false">F246*INDEX($F$37:$EU$37,1,A246)</f>
        <v>0</v>
      </c>
      <c r="N246" s="21" t="str">
        <f aca="false">IF(J246&gt;=0.5,COUNTIF(J$123:J246,"&gt;=0.5"),"")</f>
        <v/>
      </c>
      <c r="O246" s="21" t="str">
        <f aca="false">IF(K246&gt;=0.5,COUNTIF(K$123:K246,"&gt;=0.5"),"")</f>
        <v/>
      </c>
      <c r="P246" s="21" t="str">
        <f aca="false">IF(L246&gt;=0.5,COUNTIF(L$123:L246,"&gt;=0.5"),"")</f>
        <v/>
      </c>
      <c r="Q246" s="21" t="str">
        <f aca="false">IF(M246&gt;=0.5,COUNTIF(M$123:M246,"&gt;=0.5"),"")</f>
        <v/>
      </c>
    </row>
    <row r="247" customFormat="false" ht="15" hidden="false" customHeight="false" outlineLevel="0" collapsed="false">
      <c r="A247" s="4" t="n">
        <v>125</v>
      </c>
      <c r="B247" s="79" t="str">
        <f aca="false">DZ$13</f>
        <v>Onions (yellow)</v>
      </c>
      <c r="C247" s="80" t="n">
        <v>0</v>
      </c>
      <c r="D247" s="71" t="n">
        <f aca="false">INDEX($F$15:$EU$15,1,A247)</f>
        <v>1.6</v>
      </c>
      <c r="E247" s="71" t="n">
        <f aca="false">INDEX($F$16:$EU$16,1,A247)</f>
        <v>0</v>
      </c>
      <c r="F247" s="21" t="n">
        <f aca="false">C247*100</f>
        <v>0</v>
      </c>
      <c r="G247" s="24" t="n">
        <f aca="false">F247/'Food Data'!N130</f>
        <v>0</v>
      </c>
      <c r="H247" s="81" t="n">
        <f aca="false">C247*INDEX($F$14:$EU$14,1,A247)</f>
        <v>0</v>
      </c>
      <c r="I247" s="75" t="str">
        <f aca="false">IF(AND(D247&gt;0,C247&gt;=D247-0.00001),"at cap","")</f>
        <v/>
      </c>
      <c r="J247" s="21" t="n">
        <f aca="false">F247*INDEX($F$34:$EU$34,1,A247)</f>
        <v>0</v>
      </c>
      <c r="K247" s="21" t="n">
        <f aca="false">F247*INDEX($F$35:$EU$35,1,A247)</f>
        <v>0</v>
      </c>
      <c r="L247" s="21" t="n">
        <f aca="false">F247*INDEX($F$36:$EU$36,1,A247)</f>
        <v>0</v>
      </c>
      <c r="M247" s="21" t="n">
        <f aca="false">F247*INDEX($F$37:$EU$37,1,A247)</f>
        <v>0</v>
      </c>
      <c r="N247" s="21" t="str">
        <f aca="false">IF(J247&gt;=0.5,COUNTIF(J$123:J247,"&gt;=0.5"),"")</f>
        <v/>
      </c>
      <c r="O247" s="21" t="str">
        <f aca="false">IF(K247&gt;=0.5,COUNTIF(K$123:K247,"&gt;=0.5"),"")</f>
        <v/>
      </c>
      <c r="P247" s="21" t="str">
        <f aca="false">IF(L247&gt;=0.5,COUNTIF(L$123:L247,"&gt;=0.5"),"")</f>
        <v/>
      </c>
      <c r="Q247" s="21" t="str">
        <f aca="false">IF(M247&gt;=0.5,COUNTIF(M$123:M247,"&gt;=0.5"),"")</f>
        <v/>
      </c>
    </row>
    <row r="248" customFormat="false" ht="15" hidden="false" customHeight="false" outlineLevel="0" collapsed="false">
      <c r="A248" s="4" t="n">
        <v>126</v>
      </c>
      <c r="B248" s="79" t="str">
        <f aca="false">EA$13</f>
        <v>Pumpkin (canned)</v>
      </c>
      <c r="C248" s="80" t="n">
        <v>0</v>
      </c>
      <c r="D248" s="71" t="n">
        <f aca="false">INDEX($F$15:$EU$15,1,A248)</f>
        <v>2.45</v>
      </c>
      <c r="E248" s="71" t="n">
        <f aca="false">INDEX($F$16:$EU$16,1,A248)</f>
        <v>0</v>
      </c>
      <c r="F248" s="21" t="n">
        <f aca="false">C248*100</f>
        <v>0</v>
      </c>
      <c r="G248" s="24" t="n">
        <f aca="false">F248/'Food Data'!N131</f>
        <v>0</v>
      </c>
      <c r="H248" s="81" t="n">
        <f aca="false">C248*INDEX($F$14:$EU$14,1,A248)</f>
        <v>0</v>
      </c>
      <c r="I248" s="75" t="str">
        <f aca="false">IF(AND(D248&gt;0,C248&gt;=D248-0.00001),"at cap","")</f>
        <v/>
      </c>
      <c r="J248" s="21" t="n">
        <f aca="false">F248*INDEX($F$34:$EU$34,1,A248)</f>
        <v>0</v>
      </c>
      <c r="K248" s="21" t="n">
        <f aca="false">F248*INDEX($F$35:$EU$35,1,A248)</f>
        <v>0</v>
      </c>
      <c r="L248" s="21" t="n">
        <f aca="false">F248*INDEX($F$36:$EU$36,1,A248)</f>
        <v>0</v>
      </c>
      <c r="M248" s="21" t="n">
        <f aca="false">F248*INDEX($F$37:$EU$37,1,A248)</f>
        <v>0</v>
      </c>
      <c r="N248" s="21" t="str">
        <f aca="false">IF(J248&gt;=0.5,COUNTIF(J$123:J248,"&gt;=0.5"),"")</f>
        <v/>
      </c>
      <c r="O248" s="21" t="str">
        <f aca="false">IF(K248&gt;=0.5,COUNTIF(K$123:K248,"&gt;=0.5"),"")</f>
        <v/>
      </c>
      <c r="P248" s="21" t="str">
        <f aca="false">IF(L248&gt;=0.5,COUNTIF(L$123:L248,"&gt;=0.5"),"")</f>
        <v/>
      </c>
      <c r="Q248" s="21" t="str">
        <f aca="false">IF(M248&gt;=0.5,COUNTIF(M$123:M248,"&gt;=0.5"),"")</f>
        <v/>
      </c>
    </row>
    <row r="249" customFormat="false" ht="15" hidden="false" customHeight="false" outlineLevel="0" collapsed="false">
      <c r="A249" s="4" t="n">
        <v>127</v>
      </c>
      <c r="B249" s="79" t="str">
        <f aca="false">EB$13</f>
        <v>Radishes</v>
      </c>
      <c r="C249" s="80" t="n">
        <v>0</v>
      </c>
      <c r="D249" s="71" t="n">
        <f aca="false">INDEX($F$15:$EU$15,1,A249)</f>
        <v>1.16</v>
      </c>
      <c r="E249" s="71" t="n">
        <f aca="false">INDEX($F$16:$EU$16,1,A249)</f>
        <v>0</v>
      </c>
      <c r="F249" s="21" t="n">
        <f aca="false">C249*100</f>
        <v>0</v>
      </c>
      <c r="G249" s="24" t="n">
        <f aca="false">F249/'Food Data'!N132</f>
        <v>0</v>
      </c>
      <c r="H249" s="81" t="n">
        <f aca="false">C249*INDEX($F$14:$EU$14,1,A249)</f>
        <v>0</v>
      </c>
      <c r="I249" s="75" t="str">
        <f aca="false">IF(AND(D249&gt;0,C249&gt;=D249-0.00001),"at cap","")</f>
        <v/>
      </c>
      <c r="J249" s="21" t="n">
        <f aca="false">F249*INDEX($F$34:$EU$34,1,A249)</f>
        <v>0</v>
      </c>
      <c r="K249" s="21" t="n">
        <f aca="false">F249*INDEX($F$35:$EU$35,1,A249)</f>
        <v>0</v>
      </c>
      <c r="L249" s="21" t="n">
        <f aca="false">F249*INDEX($F$36:$EU$36,1,A249)</f>
        <v>0</v>
      </c>
      <c r="M249" s="21" t="n">
        <f aca="false">F249*INDEX($F$37:$EU$37,1,A249)</f>
        <v>0</v>
      </c>
      <c r="N249" s="21" t="str">
        <f aca="false">IF(J249&gt;=0.5,COUNTIF(J$123:J249,"&gt;=0.5"),"")</f>
        <v/>
      </c>
      <c r="O249" s="21" t="str">
        <f aca="false">IF(K249&gt;=0.5,COUNTIF(K$123:K249,"&gt;=0.5"),"")</f>
        <v/>
      </c>
      <c r="P249" s="21" t="str">
        <f aca="false">IF(L249&gt;=0.5,COUNTIF(L$123:L249,"&gt;=0.5"),"")</f>
        <v/>
      </c>
      <c r="Q249" s="21" t="str">
        <f aca="false">IF(M249&gt;=0.5,COUNTIF(M$123:M249,"&gt;=0.5"),"")</f>
        <v/>
      </c>
    </row>
    <row r="250" customFormat="false" ht="15" hidden="false" customHeight="false" outlineLevel="0" collapsed="false">
      <c r="A250" s="4" t="n">
        <v>128</v>
      </c>
      <c r="B250" s="79" t="str">
        <f aca="false">EC$13</f>
        <v>Red bell pepper</v>
      </c>
      <c r="C250" s="80" t="n">
        <v>0</v>
      </c>
      <c r="D250" s="71" t="n">
        <f aca="false">INDEX($F$15:$EU$15,1,A250)</f>
        <v>1.49</v>
      </c>
      <c r="E250" s="71" t="n">
        <f aca="false">INDEX($F$16:$EU$16,1,A250)</f>
        <v>0</v>
      </c>
      <c r="F250" s="21" t="n">
        <f aca="false">C250*100</f>
        <v>0</v>
      </c>
      <c r="G250" s="24" t="n">
        <f aca="false">F250/'Food Data'!N133</f>
        <v>0</v>
      </c>
      <c r="H250" s="81" t="n">
        <f aca="false">C250*INDEX($F$14:$EU$14,1,A250)</f>
        <v>0</v>
      </c>
      <c r="I250" s="75" t="str">
        <f aca="false">IF(AND(D250&gt;0,C250&gt;=D250-0.00001),"at cap","")</f>
        <v/>
      </c>
      <c r="J250" s="21" t="n">
        <f aca="false">F250*INDEX($F$34:$EU$34,1,A250)</f>
        <v>0</v>
      </c>
      <c r="K250" s="21" t="n">
        <f aca="false">F250*INDEX($F$35:$EU$35,1,A250)</f>
        <v>0</v>
      </c>
      <c r="L250" s="21" t="n">
        <f aca="false">F250*INDEX($F$36:$EU$36,1,A250)</f>
        <v>0</v>
      </c>
      <c r="M250" s="21" t="n">
        <f aca="false">F250*INDEX($F$37:$EU$37,1,A250)</f>
        <v>0</v>
      </c>
      <c r="N250" s="21" t="str">
        <f aca="false">IF(J250&gt;=0.5,COUNTIF(J$123:J250,"&gt;=0.5"),"")</f>
        <v/>
      </c>
      <c r="O250" s="21" t="str">
        <f aca="false">IF(K250&gt;=0.5,COUNTIF(K$123:K250,"&gt;=0.5"),"")</f>
        <v/>
      </c>
      <c r="P250" s="21" t="str">
        <f aca="false">IF(L250&gt;=0.5,COUNTIF(L$123:L250,"&gt;=0.5"),"")</f>
        <v/>
      </c>
      <c r="Q250" s="21" t="str">
        <f aca="false">IF(M250&gt;=0.5,COUNTIF(M$123:M250,"&gt;=0.5"),"")</f>
        <v/>
      </c>
    </row>
    <row r="251" customFormat="false" ht="15" hidden="false" customHeight="false" outlineLevel="0" collapsed="false">
      <c r="A251" s="4" t="n">
        <v>129</v>
      </c>
      <c r="B251" s="79" t="str">
        <f aca="false">ED$13</f>
        <v>Romaine lettuce</v>
      </c>
      <c r="C251" s="80" t="n">
        <v>0</v>
      </c>
      <c r="D251" s="71" t="n">
        <f aca="false">INDEX($F$15:$EU$15,1,A251)</f>
        <v>1.88</v>
      </c>
      <c r="E251" s="71" t="n">
        <f aca="false">INDEX($F$16:$EU$16,1,A251)</f>
        <v>0</v>
      </c>
      <c r="F251" s="21" t="n">
        <f aca="false">C251*100</f>
        <v>0</v>
      </c>
      <c r="G251" s="24" t="n">
        <f aca="false">F251/'Food Data'!N134</f>
        <v>0</v>
      </c>
      <c r="H251" s="81" t="n">
        <f aca="false">C251*INDEX($F$14:$EU$14,1,A251)</f>
        <v>0</v>
      </c>
      <c r="I251" s="75" t="str">
        <f aca="false">IF(AND(D251&gt;0,C251&gt;=D251-0.00001),"at cap","")</f>
        <v/>
      </c>
      <c r="J251" s="21" t="n">
        <f aca="false">F251*INDEX($F$34:$EU$34,1,A251)</f>
        <v>0</v>
      </c>
      <c r="K251" s="21" t="n">
        <f aca="false">F251*INDEX($F$35:$EU$35,1,A251)</f>
        <v>0</v>
      </c>
      <c r="L251" s="21" t="n">
        <f aca="false">F251*INDEX($F$36:$EU$36,1,A251)</f>
        <v>0</v>
      </c>
      <c r="M251" s="21" t="n">
        <f aca="false">F251*INDEX($F$37:$EU$37,1,A251)</f>
        <v>0</v>
      </c>
      <c r="N251" s="21" t="str">
        <f aca="false">IF(J251&gt;=0.5,COUNTIF(J$123:J251,"&gt;=0.5"),"")</f>
        <v/>
      </c>
      <c r="O251" s="21" t="str">
        <f aca="false">IF(K251&gt;=0.5,COUNTIF(K$123:K251,"&gt;=0.5"),"")</f>
        <v/>
      </c>
      <c r="P251" s="21" t="str">
        <f aca="false">IF(L251&gt;=0.5,COUNTIF(L$123:L251,"&gt;=0.5"),"")</f>
        <v/>
      </c>
      <c r="Q251" s="21" t="str">
        <f aca="false">IF(M251&gt;=0.5,COUNTIF(M$123:M251,"&gt;=0.5"),"")</f>
        <v/>
      </c>
    </row>
    <row r="252" customFormat="false" ht="15" hidden="false" customHeight="false" outlineLevel="0" collapsed="false">
      <c r="A252" s="4" t="n">
        <v>130</v>
      </c>
      <c r="B252" s="79" t="str">
        <f aca="false">EE$13</f>
        <v>Sauerkraut (canned)</v>
      </c>
      <c r="C252" s="80" t="n">
        <v>0</v>
      </c>
      <c r="D252" s="71" t="n">
        <f aca="false">INDEX($F$15:$EU$15,1,A252)</f>
        <v>2.36</v>
      </c>
      <c r="E252" s="71" t="n">
        <f aca="false">INDEX($F$16:$EU$16,1,A252)</f>
        <v>0</v>
      </c>
      <c r="F252" s="21" t="n">
        <f aca="false">C252*100</f>
        <v>0</v>
      </c>
      <c r="G252" s="24" t="n">
        <f aca="false">F252/'Food Data'!N135</f>
        <v>0</v>
      </c>
      <c r="H252" s="81" t="n">
        <f aca="false">C252*INDEX($F$14:$EU$14,1,A252)</f>
        <v>0</v>
      </c>
      <c r="I252" s="75" t="str">
        <f aca="false">IF(AND(D252&gt;0,C252&gt;=D252-0.00001),"at cap","")</f>
        <v/>
      </c>
      <c r="J252" s="21" t="n">
        <f aca="false">F252*INDEX($F$34:$EU$34,1,A252)</f>
        <v>0</v>
      </c>
      <c r="K252" s="21" t="n">
        <f aca="false">F252*INDEX($F$35:$EU$35,1,A252)</f>
        <v>0</v>
      </c>
      <c r="L252" s="21" t="n">
        <f aca="false">F252*INDEX($F$36:$EU$36,1,A252)</f>
        <v>0</v>
      </c>
      <c r="M252" s="21" t="n">
        <f aca="false">F252*INDEX($F$37:$EU$37,1,A252)</f>
        <v>0</v>
      </c>
      <c r="N252" s="21" t="str">
        <f aca="false">IF(J252&gt;=0.5,COUNTIF(J$123:J252,"&gt;=0.5"),"")</f>
        <v/>
      </c>
      <c r="O252" s="21" t="str">
        <f aca="false">IF(K252&gt;=0.5,COUNTIF(K$123:K252,"&gt;=0.5"),"")</f>
        <v/>
      </c>
      <c r="P252" s="21" t="str">
        <f aca="false">IF(L252&gt;=0.5,COUNTIF(L$123:L252,"&gt;=0.5"),"")</f>
        <v/>
      </c>
      <c r="Q252" s="21" t="str">
        <f aca="false">IF(M252&gt;=0.5,COUNTIF(M$123:M252,"&gt;=0.5"),"")</f>
        <v/>
      </c>
    </row>
    <row r="253" customFormat="false" ht="15" hidden="false" customHeight="false" outlineLevel="0" collapsed="false">
      <c r="A253" s="4" t="n">
        <v>131</v>
      </c>
      <c r="B253" s="79" t="str">
        <f aca="false">EF$13</f>
        <v>Spinach (canned)</v>
      </c>
      <c r="C253" s="80" t="n">
        <v>0</v>
      </c>
      <c r="D253" s="71" t="n">
        <f aca="false">INDEX($F$15:$EU$15,1,A253)</f>
        <v>4.68</v>
      </c>
      <c r="E253" s="71" t="n">
        <f aca="false">INDEX($F$16:$EU$16,1,A253)</f>
        <v>0</v>
      </c>
      <c r="F253" s="21" t="n">
        <f aca="false">C253*100</f>
        <v>0</v>
      </c>
      <c r="G253" s="24" t="n">
        <f aca="false">F253/'Food Data'!N136</f>
        <v>0</v>
      </c>
      <c r="H253" s="81" t="n">
        <f aca="false">C253*INDEX($F$14:$EU$14,1,A253)</f>
        <v>0</v>
      </c>
      <c r="I253" s="75" t="str">
        <f aca="false">IF(AND(D253&gt;0,C253&gt;=D253-0.00001),"at cap","")</f>
        <v/>
      </c>
      <c r="J253" s="21" t="n">
        <f aca="false">F253*INDEX($F$34:$EU$34,1,A253)</f>
        <v>0</v>
      </c>
      <c r="K253" s="21" t="n">
        <f aca="false">F253*INDEX($F$35:$EU$35,1,A253)</f>
        <v>0</v>
      </c>
      <c r="L253" s="21" t="n">
        <f aca="false">F253*INDEX($F$36:$EU$36,1,A253)</f>
        <v>0</v>
      </c>
      <c r="M253" s="21" t="n">
        <f aca="false">F253*INDEX($F$37:$EU$37,1,A253)</f>
        <v>0</v>
      </c>
      <c r="N253" s="21" t="str">
        <f aca="false">IF(J253&gt;=0.5,COUNTIF(J$123:J253,"&gt;=0.5"),"")</f>
        <v/>
      </c>
      <c r="O253" s="21" t="str">
        <f aca="false">IF(K253&gt;=0.5,COUNTIF(K$123:K253,"&gt;=0.5"),"")</f>
        <v/>
      </c>
      <c r="P253" s="21" t="str">
        <f aca="false">IF(L253&gt;=0.5,COUNTIF(L$123:L253,"&gt;=0.5"),"")</f>
        <v/>
      </c>
      <c r="Q253" s="21" t="str">
        <f aca="false">IF(M253&gt;=0.5,COUNTIF(M$123:M253,"&gt;=0.5"),"")</f>
        <v/>
      </c>
    </row>
    <row r="254" customFormat="false" ht="15" hidden="false" customHeight="false" outlineLevel="0" collapsed="false">
      <c r="A254" s="4" t="n">
        <v>132</v>
      </c>
      <c r="B254" s="79" t="str">
        <f aca="false">EG$13</f>
        <v>Spinach (fresh)</v>
      </c>
      <c r="C254" s="80" t="n">
        <v>0</v>
      </c>
      <c r="D254" s="71" t="n">
        <f aca="false">INDEX($F$15:$EU$15,1,A254)</f>
        <v>1.8</v>
      </c>
      <c r="E254" s="71" t="n">
        <f aca="false">INDEX($F$16:$EU$16,1,A254)</f>
        <v>0</v>
      </c>
      <c r="F254" s="21" t="n">
        <f aca="false">C254*100</f>
        <v>0</v>
      </c>
      <c r="G254" s="24" t="n">
        <f aca="false">F254/'Food Data'!N137</f>
        <v>0</v>
      </c>
      <c r="H254" s="81" t="n">
        <f aca="false">C254*INDEX($F$14:$EU$14,1,A254)</f>
        <v>0</v>
      </c>
      <c r="I254" s="75" t="str">
        <f aca="false">IF(AND(D254&gt;0,C254&gt;=D254-0.00001),"at cap","")</f>
        <v/>
      </c>
      <c r="J254" s="21" t="n">
        <f aca="false">F254*INDEX($F$34:$EU$34,1,A254)</f>
        <v>0</v>
      </c>
      <c r="K254" s="21" t="n">
        <f aca="false">F254*INDEX($F$35:$EU$35,1,A254)</f>
        <v>0</v>
      </c>
      <c r="L254" s="21" t="n">
        <f aca="false">F254*INDEX($F$36:$EU$36,1,A254)</f>
        <v>0</v>
      </c>
      <c r="M254" s="21" t="n">
        <f aca="false">F254*INDEX($F$37:$EU$37,1,A254)</f>
        <v>0</v>
      </c>
      <c r="N254" s="21" t="str">
        <f aca="false">IF(J254&gt;=0.5,COUNTIF(J$123:J254,"&gt;=0.5"),"")</f>
        <v/>
      </c>
      <c r="O254" s="21" t="str">
        <f aca="false">IF(K254&gt;=0.5,COUNTIF(K$123:K254,"&gt;=0.5"),"")</f>
        <v/>
      </c>
      <c r="P254" s="21" t="str">
        <f aca="false">IF(L254&gt;=0.5,COUNTIF(L$123:L254,"&gt;=0.5"),"")</f>
        <v/>
      </c>
      <c r="Q254" s="21" t="str">
        <f aca="false">IF(M254&gt;=0.5,COUNTIF(M$123:M254,"&gt;=0.5"),"")</f>
        <v/>
      </c>
    </row>
    <row r="255" customFormat="false" ht="15" hidden="false" customHeight="false" outlineLevel="0" collapsed="false">
      <c r="A255" s="4" t="n">
        <v>133</v>
      </c>
      <c r="B255" s="79" t="str">
        <f aca="false">EH$13</f>
        <v>Spinach (frozen)</v>
      </c>
      <c r="C255" s="80" t="n">
        <v>0</v>
      </c>
      <c r="D255" s="71" t="n">
        <f aca="false">INDEX($F$15:$EU$15,1,A255)</f>
        <v>3.12</v>
      </c>
      <c r="E255" s="71" t="n">
        <f aca="false">INDEX($F$16:$EU$16,1,A255)</f>
        <v>0</v>
      </c>
      <c r="F255" s="21" t="n">
        <f aca="false">C255*100</f>
        <v>0</v>
      </c>
      <c r="G255" s="24" t="n">
        <f aca="false">F255/'Food Data'!N138</f>
        <v>0</v>
      </c>
      <c r="H255" s="81" t="n">
        <f aca="false">C255*INDEX($F$14:$EU$14,1,A255)</f>
        <v>0</v>
      </c>
      <c r="I255" s="75" t="str">
        <f aca="false">IF(AND(D255&gt;0,C255&gt;=D255-0.00001),"at cap","")</f>
        <v/>
      </c>
      <c r="J255" s="21" t="n">
        <f aca="false">F255*INDEX($F$34:$EU$34,1,A255)</f>
        <v>0</v>
      </c>
      <c r="K255" s="21" t="n">
        <f aca="false">F255*INDEX($F$35:$EU$35,1,A255)</f>
        <v>0</v>
      </c>
      <c r="L255" s="21" t="n">
        <f aca="false">F255*INDEX($F$36:$EU$36,1,A255)</f>
        <v>0</v>
      </c>
      <c r="M255" s="21" t="n">
        <f aca="false">F255*INDEX($F$37:$EU$37,1,A255)</f>
        <v>0</v>
      </c>
      <c r="N255" s="21" t="str">
        <f aca="false">IF(J255&gt;=0.5,COUNTIF(J$123:J255,"&gt;=0.5"),"")</f>
        <v/>
      </c>
      <c r="O255" s="21" t="str">
        <f aca="false">IF(K255&gt;=0.5,COUNTIF(K$123:K255,"&gt;=0.5"),"")</f>
        <v/>
      </c>
      <c r="P255" s="21" t="str">
        <f aca="false">IF(L255&gt;=0.5,COUNTIF(L$123:L255,"&gt;=0.5"),"")</f>
        <v/>
      </c>
      <c r="Q255" s="21" t="str">
        <f aca="false">IF(M255&gt;=0.5,COUNTIF(M$123:M255,"&gt;=0.5"),"")</f>
        <v/>
      </c>
    </row>
    <row r="256" customFormat="false" ht="15" hidden="false" customHeight="false" outlineLevel="0" collapsed="false">
      <c r="A256" s="4" t="n">
        <v>134</v>
      </c>
      <c r="B256" s="79" t="str">
        <f aca="false">EI$13</f>
        <v>Tomatoes (canned)</v>
      </c>
      <c r="C256" s="80" t="n">
        <v>0</v>
      </c>
      <c r="D256" s="71" t="n">
        <f aca="false">INDEX($F$15:$EU$15,1,A256)</f>
        <v>4.8</v>
      </c>
      <c r="E256" s="71" t="n">
        <f aca="false">INDEX($F$16:$EU$16,1,A256)</f>
        <v>0</v>
      </c>
      <c r="F256" s="21" t="n">
        <f aca="false">C256*100</f>
        <v>0</v>
      </c>
      <c r="G256" s="24" t="n">
        <f aca="false">F256/'Food Data'!N139</f>
        <v>0</v>
      </c>
      <c r="H256" s="81" t="n">
        <f aca="false">C256*INDEX($F$14:$EU$14,1,A256)</f>
        <v>0</v>
      </c>
      <c r="I256" s="75" t="str">
        <f aca="false">IF(AND(D256&gt;0,C256&gt;=D256-0.00001),"at cap","")</f>
        <v/>
      </c>
      <c r="J256" s="21" t="n">
        <f aca="false">F256*INDEX($F$34:$EU$34,1,A256)</f>
        <v>0</v>
      </c>
      <c r="K256" s="21" t="n">
        <f aca="false">F256*INDEX($F$35:$EU$35,1,A256)</f>
        <v>0</v>
      </c>
      <c r="L256" s="21" t="n">
        <f aca="false">F256*INDEX($F$36:$EU$36,1,A256)</f>
        <v>0</v>
      </c>
      <c r="M256" s="21" t="n">
        <f aca="false">F256*INDEX($F$37:$EU$37,1,A256)</f>
        <v>0</v>
      </c>
      <c r="N256" s="21" t="str">
        <f aca="false">IF(J256&gt;=0.5,COUNTIF(J$123:J256,"&gt;=0.5"),"")</f>
        <v/>
      </c>
      <c r="O256" s="21" t="str">
        <f aca="false">IF(K256&gt;=0.5,COUNTIF(K$123:K256,"&gt;=0.5"),"")</f>
        <v/>
      </c>
      <c r="P256" s="21" t="str">
        <f aca="false">IF(L256&gt;=0.5,COUNTIF(L$123:L256,"&gt;=0.5"),"")</f>
        <v/>
      </c>
      <c r="Q256" s="21" t="str">
        <f aca="false">IF(M256&gt;=0.5,COUNTIF(M$123:M256,"&gt;=0.5"),"")</f>
        <v/>
      </c>
    </row>
    <row r="257" customFormat="false" ht="15" hidden="false" customHeight="false" outlineLevel="0" collapsed="false">
      <c r="A257" s="4" t="n">
        <v>135</v>
      </c>
      <c r="B257" s="79" t="str">
        <f aca="false">EJ$13</f>
        <v>Tomatoes (roma)</v>
      </c>
      <c r="C257" s="80" t="n">
        <v>0</v>
      </c>
      <c r="D257" s="71" t="n">
        <f aca="false">INDEX($F$15:$EU$15,1,A257)</f>
        <v>3.6</v>
      </c>
      <c r="E257" s="71" t="n">
        <f aca="false">INDEX($F$16:$EU$16,1,A257)</f>
        <v>0</v>
      </c>
      <c r="F257" s="21" t="n">
        <f aca="false">C257*100</f>
        <v>0</v>
      </c>
      <c r="G257" s="24" t="n">
        <f aca="false">F257/'Food Data'!N140</f>
        <v>0</v>
      </c>
      <c r="H257" s="81" t="n">
        <f aca="false">C257*INDEX($F$14:$EU$14,1,A257)</f>
        <v>0</v>
      </c>
      <c r="I257" s="75" t="str">
        <f aca="false">IF(AND(D257&gt;0,C257&gt;=D257-0.00001),"at cap","")</f>
        <v/>
      </c>
      <c r="J257" s="21" t="n">
        <f aca="false">F257*INDEX($F$34:$EU$34,1,A257)</f>
        <v>0</v>
      </c>
      <c r="K257" s="21" t="n">
        <f aca="false">F257*INDEX($F$35:$EU$35,1,A257)</f>
        <v>0</v>
      </c>
      <c r="L257" s="21" t="n">
        <f aca="false">F257*INDEX($F$36:$EU$36,1,A257)</f>
        <v>0</v>
      </c>
      <c r="M257" s="21" t="n">
        <f aca="false">F257*INDEX($F$37:$EU$37,1,A257)</f>
        <v>0</v>
      </c>
      <c r="N257" s="21" t="str">
        <f aca="false">IF(J257&gt;=0.5,COUNTIF(J$123:J257,"&gt;=0.5"),"")</f>
        <v/>
      </c>
      <c r="O257" s="21" t="str">
        <f aca="false">IF(K257&gt;=0.5,COUNTIF(K$123:K257,"&gt;=0.5"),"")</f>
        <v/>
      </c>
      <c r="P257" s="21" t="str">
        <f aca="false">IF(L257&gt;=0.5,COUNTIF(L$123:L257,"&gt;=0.5"),"")</f>
        <v/>
      </c>
      <c r="Q257" s="21" t="str">
        <f aca="false">IF(M257&gt;=0.5,COUNTIF(M$123:M257,"&gt;=0.5"),"")</f>
        <v/>
      </c>
    </row>
    <row r="258" customFormat="false" ht="15" hidden="false" customHeight="false" outlineLevel="0" collapsed="false">
      <c r="A258" s="4" t="n">
        <v>136</v>
      </c>
      <c r="B258" s="79" t="str">
        <f aca="false">EK$13</f>
        <v>Turnip greens (frozen)</v>
      </c>
      <c r="C258" s="80" t="n">
        <v>0</v>
      </c>
      <c r="D258" s="71" t="n">
        <f aca="false">INDEX($F$15:$EU$15,1,A258)</f>
        <v>3.28</v>
      </c>
      <c r="E258" s="71" t="n">
        <f aca="false">INDEX($F$16:$EU$16,1,A258)</f>
        <v>0</v>
      </c>
      <c r="F258" s="21" t="n">
        <f aca="false">C258*100</f>
        <v>0</v>
      </c>
      <c r="G258" s="24" t="n">
        <f aca="false">F258/'Food Data'!N141</f>
        <v>0</v>
      </c>
      <c r="H258" s="81" t="n">
        <f aca="false">C258*INDEX($F$14:$EU$14,1,A258)</f>
        <v>0</v>
      </c>
      <c r="I258" s="75" t="str">
        <f aca="false">IF(AND(D258&gt;0,C258&gt;=D258-0.00001),"at cap","")</f>
        <v/>
      </c>
      <c r="J258" s="21" t="n">
        <f aca="false">F258*INDEX($F$34:$EU$34,1,A258)</f>
        <v>0</v>
      </c>
      <c r="K258" s="21" t="n">
        <f aca="false">F258*INDEX($F$35:$EU$35,1,A258)</f>
        <v>0</v>
      </c>
      <c r="L258" s="21" t="n">
        <f aca="false">F258*INDEX($F$36:$EU$36,1,A258)</f>
        <v>0</v>
      </c>
      <c r="M258" s="21" t="n">
        <f aca="false">F258*INDEX($F$37:$EU$37,1,A258)</f>
        <v>0</v>
      </c>
      <c r="N258" s="21" t="str">
        <f aca="false">IF(J258&gt;=0.5,COUNTIF(J$123:J258,"&gt;=0.5"),"")</f>
        <v/>
      </c>
      <c r="O258" s="21" t="str">
        <f aca="false">IF(K258&gt;=0.5,COUNTIF(K$123:K258,"&gt;=0.5"),"")</f>
        <v/>
      </c>
      <c r="P258" s="21" t="str">
        <f aca="false">IF(L258&gt;=0.5,COUNTIF(L$123:L258,"&gt;=0.5"),"")</f>
        <v/>
      </c>
      <c r="Q258" s="21" t="str">
        <f aca="false">IF(M258&gt;=0.5,COUNTIF(M$123:M258,"&gt;=0.5"),"")</f>
        <v/>
      </c>
    </row>
    <row r="259" customFormat="false" ht="15" hidden="false" customHeight="false" outlineLevel="0" collapsed="false">
      <c r="A259" s="4" t="n">
        <v>137</v>
      </c>
      <c r="B259" s="79" t="str">
        <f aca="false">EL$13</f>
        <v>Zucchini</v>
      </c>
      <c r="C259" s="80" t="n">
        <v>0</v>
      </c>
      <c r="D259" s="71" t="n">
        <f aca="false">INDEX($F$15:$EU$15,1,A259)</f>
        <v>2.48</v>
      </c>
      <c r="E259" s="71" t="n">
        <f aca="false">INDEX($F$16:$EU$16,1,A259)</f>
        <v>0</v>
      </c>
      <c r="F259" s="21" t="n">
        <f aca="false">C259*100</f>
        <v>0</v>
      </c>
      <c r="G259" s="24" t="n">
        <f aca="false">F259/'Food Data'!N142</f>
        <v>0</v>
      </c>
      <c r="H259" s="81" t="n">
        <f aca="false">C259*INDEX($F$14:$EU$14,1,A259)</f>
        <v>0</v>
      </c>
      <c r="I259" s="75" t="str">
        <f aca="false">IF(AND(D259&gt;0,C259&gt;=D259-0.00001),"at cap","")</f>
        <v/>
      </c>
      <c r="J259" s="21" t="n">
        <f aca="false">F259*INDEX($F$34:$EU$34,1,A259)</f>
        <v>0</v>
      </c>
      <c r="K259" s="21" t="n">
        <f aca="false">F259*INDEX($F$35:$EU$35,1,A259)</f>
        <v>0</v>
      </c>
      <c r="L259" s="21" t="n">
        <f aca="false">F259*INDEX($F$36:$EU$36,1,A259)</f>
        <v>0</v>
      </c>
      <c r="M259" s="21" t="n">
        <f aca="false">F259*INDEX($F$37:$EU$37,1,A259)</f>
        <v>0</v>
      </c>
      <c r="N259" s="21" t="str">
        <f aca="false">IF(J259&gt;=0.5,COUNTIF(J$123:J259,"&gt;=0.5"),"")</f>
        <v/>
      </c>
      <c r="O259" s="21" t="str">
        <f aca="false">IF(K259&gt;=0.5,COUNTIF(K$123:K259,"&gt;=0.5"),"")</f>
        <v/>
      </c>
      <c r="P259" s="21" t="str">
        <f aca="false">IF(L259&gt;=0.5,COUNTIF(L$123:L259,"&gt;=0.5"),"")</f>
        <v/>
      </c>
      <c r="Q259" s="21" t="str">
        <f aca="false">IF(M259&gt;=0.5,COUNTIF(M$123:M259,"&gt;=0.5"),"")</f>
        <v/>
      </c>
    </row>
    <row r="260" customFormat="false" ht="15" hidden="false" customHeight="false" outlineLevel="0" collapsed="false">
      <c r="A260" s="4" t="n">
        <v>138</v>
      </c>
      <c r="B260" s="79" t="str">
        <f aca="false">EM$13</f>
        <v>Butter (salted)</v>
      </c>
      <c r="C260" s="80" t="n">
        <v>0</v>
      </c>
      <c r="D260" s="71" t="n">
        <f aca="false">INDEX($F$15:$EU$15,1,A260)</f>
        <v>0.284</v>
      </c>
      <c r="E260" s="71" t="n">
        <f aca="false">INDEX($F$16:$EU$16,1,A260)</f>
        <v>0</v>
      </c>
      <c r="F260" s="21" t="n">
        <f aca="false">C260*100</f>
        <v>0</v>
      </c>
      <c r="G260" s="24" t="n">
        <f aca="false">F260/'Food Data'!N143</f>
        <v>0</v>
      </c>
      <c r="H260" s="81" t="n">
        <f aca="false">C260*INDEX($F$14:$EU$14,1,A260)</f>
        <v>0</v>
      </c>
      <c r="I260" s="75" t="str">
        <f aca="false">IF(AND(D260&gt;0,C260&gt;=D260-0.00001),"at cap","")</f>
        <v/>
      </c>
      <c r="J260" s="21" t="n">
        <f aca="false">F260*INDEX($F$34:$EU$34,1,A260)</f>
        <v>0</v>
      </c>
      <c r="K260" s="21" t="n">
        <f aca="false">F260*INDEX($F$35:$EU$35,1,A260)</f>
        <v>0</v>
      </c>
      <c r="L260" s="21" t="n">
        <f aca="false">F260*INDEX($F$36:$EU$36,1,A260)</f>
        <v>0</v>
      </c>
      <c r="M260" s="21" t="n">
        <f aca="false">F260*INDEX($F$37:$EU$37,1,A260)</f>
        <v>0</v>
      </c>
      <c r="N260" s="21" t="str">
        <f aca="false">IF(J260&gt;=0.5,COUNTIF(J$123:J260,"&gt;=0.5"),"")</f>
        <v/>
      </c>
      <c r="O260" s="21" t="str">
        <f aca="false">IF(K260&gt;=0.5,COUNTIF(K$123:K260,"&gt;=0.5"),"")</f>
        <v/>
      </c>
      <c r="P260" s="21" t="str">
        <f aca="false">IF(L260&gt;=0.5,COUNTIF(L$123:L260,"&gt;=0.5"),"")</f>
        <v/>
      </c>
      <c r="Q260" s="21" t="str">
        <f aca="false">IF(M260&gt;=0.5,COUNTIF(M$123:M260,"&gt;=0.5"),"")</f>
        <v/>
      </c>
    </row>
    <row r="261" customFormat="false" ht="15" hidden="false" customHeight="false" outlineLevel="0" collapsed="false">
      <c r="A261" s="4" t="n">
        <v>139</v>
      </c>
      <c r="B261" s="79" t="str">
        <f aca="false">EN$13</f>
        <v>Canola oil</v>
      </c>
      <c r="C261" s="80" t="n">
        <v>0</v>
      </c>
      <c r="D261" s="71" t="n">
        <f aca="false">INDEX($F$15:$EU$15,1,A261)</f>
        <v>0.42</v>
      </c>
      <c r="E261" s="71" t="n">
        <f aca="false">INDEX($F$16:$EU$16,1,A261)</f>
        <v>0</v>
      </c>
      <c r="F261" s="21" t="n">
        <f aca="false">C261*100</f>
        <v>0</v>
      </c>
      <c r="G261" s="24" t="n">
        <f aca="false">F261/'Food Data'!N144</f>
        <v>0</v>
      </c>
      <c r="H261" s="81" t="n">
        <f aca="false">C261*INDEX($F$14:$EU$14,1,A261)</f>
        <v>0</v>
      </c>
      <c r="I261" s="75" t="str">
        <f aca="false">IF(AND(D261&gt;0,C261&gt;=D261-0.00001),"at cap","")</f>
        <v/>
      </c>
      <c r="J261" s="21" t="n">
        <f aca="false">F261*INDEX($F$34:$EU$34,1,A261)</f>
        <v>0</v>
      </c>
      <c r="K261" s="21" t="n">
        <f aca="false">F261*INDEX($F$35:$EU$35,1,A261)</f>
        <v>0</v>
      </c>
      <c r="L261" s="21" t="n">
        <f aca="false">F261*INDEX($F$36:$EU$36,1,A261)</f>
        <v>0</v>
      </c>
      <c r="M261" s="21" t="n">
        <f aca="false">F261*INDEX($F$37:$EU$37,1,A261)</f>
        <v>0</v>
      </c>
      <c r="N261" s="21" t="str">
        <f aca="false">IF(J261&gt;=0.5,COUNTIF(J$123:J261,"&gt;=0.5"),"")</f>
        <v/>
      </c>
      <c r="O261" s="21" t="str">
        <f aca="false">IF(K261&gt;=0.5,COUNTIF(K$123:K261,"&gt;=0.5"),"")</f>
        <v/>
      </c>
      <c r="P261" s="21" t="str">
        <f aca="false">IF(L261&gt;=0.5,COUNTIF(L$123:L261,"&gt;=0.5"),"")</f>
        <v/>
      </c>
      <c r="Q261" s="21" t="str">
        <f aca="false">IF(M261&gt;=0.5,COUNTIF(M$123:M261,"&gt;=0.5"),"")</f>
        <v/>
      </c>
    </row>
    <row r="262" customFormat="false" ht="15" hidden="false" customHeight="false" outlineLevel="0" collapsed="false">
      <c r="A262" s="4" t="n">
        <v>140</v>
      </c>
      <c r="B262" s="79" t="str">
        <f aca="false">EO$13</f>
        <v>Olive oil (extra virgin)</v>
      </c>
      <c r="C262" s="80" t="n">
        <v>0</v>
      </c>
      <c r="D262" s="71" t="n">
        <f aca="false">INDEX($F$15:$EU$15,1,A262)</f>
        <v>0.405</v>
      </c>
      <c r="E262" s="71" t="n">
        <f aca="false">INDEX($F$16:$EU$16,1,A262)</f>
        <v>0</v>
      </c>
      <c r="F262" s="21" t="n">
        <f aca="false">C262*100</f>
        <v>0</v>
      </c>
      <c r="G262" s="24" t="n">
        <f aca="false">F262/'Food Data'!N145</f>
        <v>0</v>
      </c>
      <c r="H262" s="81" t="n">
        <f aca="false">C262*INDEX($F$14:$EU$14,1,A262)</f>
        <v>0</v>
      </c>
      <c r="I262" s="75" t="str">
        <f aca="false">IF(AND(D262&gt;0,C262&gt;=D262-0.00001),"at cap","")</f>
        <v/>
      </c>
      <c r="J262" s="21" t="n">
        <f aca="false">F262*INDEX($F$34:$EU$34,1,A262)</f>
        <v>0</v>
      </c>
      <c r="K262" s="21" t="n">
        <f aca="false">F262*INDEX($F$35:$EU$35,1,A262)</f>
        <v>0</v>
      </c>
      <c r="L262" s="21" t="n">
        <f aca="false">F262*INDEX($F$36:$EU$36,1,A262)</f>
        <v>0</v>
      </c>
      <c r="M262" s="21" t="n">
        <f aca="false">F262*INDEX($F$37:$EU$37,1,A262)</f>
        <v>0</v>
      </c>
      <c r="N262" s="21" t="str">
        <f aca="false">IF(J262&gt;=0.5,COUNTIF(J$123:J262,"&gt;=0.5"),"")</f>
        <v/>
      </c>
      <c r="O262" s="21" t="str">
        <f aca="false">IF(K262&gt;=0.5,COUNTIF(K$123:K262,"&gt;=0.5"),"")</f>
        <v/>
      </c>
      <c r="P262" s="21" t="str">
        <f aca="false">IF(L262&gt;=0.5,COUNTIF(L$123:L262,"&gt;=0.5"),"")</f>
        <v/>
      </c>
      <c r="Q262" s="21" t="str">
        <f aca="false">IF(M262&gt;=0.5,COUNTIF(M$123:M262,"&gt;=0.5"),"")</f>
        <v/>
      </c>
    </row>
    <row r="263" customFormat="false" ht="15" hidden="false" customHeight="false" outlineLevel="0" collapsed="false">
      <c r="A263" s="4" t="n">
        <v>141</v>
      </c>
      <c r="B263" s="79" t="str">
        <f aca="false">EP$13</f>
        <v>Almonds</v>
      </c>
      <c r="C263" s="80" t="n">
        <v>0</v>
      </c>
      <c r="D263" s="71" t="n">
        <f aca="false">INDEX($F$15:$EU$15,1,A263)</f>
        <v>0.56</v>
      </c>
      <c r="E263" s="71" t="n">
        <f aca="false">INDEX($F$16:$EU$16,1,A263)</f>
        <v>0</v>
      </c>
      <c r="F263" s="21" t="n">
        <f aca="false">C263*100</f>
        <v>0</v>
      </c>
      <c r="G263" s="24" t="n">
        <f aca="false">F263/'Food Data'!N146</f>
        <v>0</v>
      </c>
      <c r="H263" s="81" t="n">
        <f aca="false">C263*INDEX($F$14:$EU$14,1,A263)</f>
        <v>0</v>
      </c>
      <c r="I263" s="75" t="str">
        <f aca="false">IF(AND(D263&gt;0,C263&gt;=D263-0.00001),"at cap","")</f>
        <v/>
      </c>
      <c r="J263" s="21" t="n">
        <f aca="false">F263*INDEX($F$34:$EU$34,1,A263)</f>
        <v>0</v>
      </c>
      <c r="K263" s="21" t="n">
        <f aca="false">F263*INDEX($F$35:$EU$35,1,A263)</f>
        <v>0</v>
      </c>
      <c r="L263" s="21" t="n">
        <f aca="false">F263*INDEX($F$36:$EU$36,1,A263)</f>
        <v>0</v>
      </c>
      <c r="M263" s="21" t="n">
        <f aca="false">F263*INDEX($F$37:$EU$37,1,A263)</f>
        <v>0</v>
      </c>
      <c r="N263" s="21" t="str">
        <f aca="false">IF(J263&gt;=0.5,COUNTIF(J$123:J263,"&gt;=0.5"),"")</f>
        <v/>
      </c>
      <c r="O263" s="21" t="str">
        <f aca="false">IF(K263&gt;=0.5,COUNTIF(K$123:K263,"&gt;=0.5"),"")</f>
        <v/>
      </c>
      <c r="P263" s="21" t="str">
        <f aca="false">IF(L263&gt;=0.5,COUNTIF(L$123:L263,"&gt;=0.5"),"")</f>
        <v/>
      </c>
      <c r="Q263" s="21" t="str">
        <f aca="false">IF(M263&gt;=0.5,COUNTIF(M$123:M263,"&gt;=0.5"),"")</f>
        <v/>
      </c>
    </row>
    <row r="264" customFormat="false" ht="15" hidden="false" customHeight="false" outlineLevel="0" collapsed="false">
      <c r="A264" s="4" t="n">
        <v>142</v>
      </c>
      <c r="B264" s="79" t="str">
        <f aca="false">EQ$13</f>
        <v>Avocado (Hass)</v>
      </c>
      <c r="C264" s="80" t="n">
        <v>0</v>
      </c>
      <c r="D264" s="71" t="n">
        <f aca="false">INDEX($F$15:$EU$15,1,A264)</f>
        <v>1.36</v>
      </c>
      <c r="E264" s="71" t="n">
        <f aca="false">INDEX($F$16:$EU$16,1,A264)</f>
        <v>0</v>
      </c>
      <c r="F264" s="21" t="n">
        <f aca="false">C264*100</f>
        <v>0</v>
      </c>
      <c r="G264" s="24" t="n">
        <f aca="false">F264/'Food Data'!N147</f>
        <v>0</v>
      </c>
      <c r="H264" s="81" t="n">
        <f aca="false">C264*INDEX($F$14:$EU$14,1,A264)</f>
        <v>0</v>
      </c>
      <c r="I264" s="75" t="str">
        <f aca="false">IF(AND(D264&gt;0,C264&gt;=D264-0.00001),"at cap","")</f>
        <v/>
      </c>
      <c r="J264" s="21" t="n">
        <f aca="false">F264*INDEX($F$34:$EU$34,1,A264)</f>
        <v>0</v>
      </c>
      <c r="K264" s="21" t="n">
        <f aca="false">F264*INDEX($F$35:$EU$35,1,A264)</f>
        <v>0</v>
      </c>
      <c r="L264" s="21" t="n">
        <f aca="false">F264*INDEX($F$36:$EU$36,1,A264)</f>
        <v>0</v>
      </c>
      <c r="M264" s="21" t="n">
        <f aca="false">F264*INDEX($F$37:$EU$37,1,A264)</f>
        <v>0</v>
      </c>
      <c r="N264" s="21" t="str">
        <f aca="false">IF(J264&gt;=0.5,COUNTIF(J$123:J264,"&gt;=0.5"),"")</f>
        <v/>
      </c>
      <c r="O264" s="21" t="str">
        <f aca="false">IF(K264&gt;=0.5,COUNTIF(K$123:K264,"&gt;=0.5"),"")</f>
        <v/>
      </c>
      <c r="P264" s="21" t="str">
        <f aca="false">IF(L264&gt;=0.5,COUNTIF(L$123:L264,"&gt;=0.5"),"")</f>
        <v/>
      </c>
      <c r="Q264" s="21" t="str">
        <f aca="false">IF(M264&gt;=0.5,COUNTIF(M$123:M264,"&gt;=0.5"),"")</f>
        <v/>
      </c>
    </row>
    <row r="265" customFormat="false" ht="15" hidden="false" customHeight="false" outlineLevel="0" collapsed="false">
      <c r="A265" s="4" t="n">
        <v>143</v>
      </c>
      <c r="B265" s="79" t="str">
        <f aca="false">ER$13</f>
        <v>Chocolate chip cookies</v>
      </c>
      <c r="C265" s="80" t="n">
        <v>0</v>
      </c>
      <c r="D265" s="71" t="n">
        <f aca="false">INDEX($F$15:$EU$15,1,A265)</f>
        <v>0.26</v>
      </c>
      <c r="E265" s="71" t="n">
        <f aca="false">INDEX($F$16:$EU$16,1,A265)</f>
        <v>0</v>
      </c>
      <c r="F265" s="21" t="n">
        <f aca="false">C265*100</f>
        <v>0</v>
      </c>
      <c r="G265" s="24" t="n">
        <f aca="false">F265/'Food Data'!N148</f>
        <v>0</v>
      </c>
      <c r="H265" s="81" t="n">
        <f aca="false">C265*INDEX($F$14:$EU$14,1,A265)</f>
        <v>0</v>
      </c>
      <c r="I265" s="75" t="str">
        <f aca="false">IF(AND(D265&gt;0,C265&gt;=D265-0.00001),"at cap","")</f>
        <v/>
      </c>
      <c r="J265" s="21" t="n">
        <f aca="false">F265*INDEX($F$34:$EU$34,1,A265)</f>
        <v>0</v>
      </c>
      <c r="K265" s="21" t="n">
        <f aca="false">F265*INDEX($F$35:$EU$35,1,A265)</f>
        <v>0</v>
      </c>
      <c r="L265" s="21" t="n">
        <f aca="false">F265*INDEX($F$36:$EU$36,1,A265)</f>
        <v>0</v>
      </c>
      <c r="M265" s="21" t="n">
        <f aca="false">F265*INDEX($F$37:$EU$37,1,A265)</f>
        <v>0</v>
      </c>
      <c r="N265" s="21" t="str">
        <f aca="false">IF(J265&gt;=0.5,COUNTIF(J$123:J265,"&gt;=0.5"),"")</f>
        <v/>
      </c>
      <c r="O265" s="21" t="str">
        <f aca="false">IF(K265&gt;=0.5,COUNTIF(K$123:K265,"&gt;=0.5"),"")</f>
        <v/>
      </c>
      <c r="P265" s="21" t="str">
        <f aca="false">IF(L265&gt;=0.5,COUNTIF(L$123:L265,"&gt;=0.5"),"")</f>
        <v/>
      </c>
      <c r="Q265" s="21" t="str">
        <f aca="false">IF(M265&gt;=0.5,COUNTIF(M$123:M265,"&gt;=0.5"),"")</f>
        <v/>
      </c>
    </row>
    <row r="266" customFormat="false" ht="15" hidden="false" customHeight="false" outlineLevel="0" collapsed="false">
      <c r="A266" s="4" t="n">
        <v>144</v>
      </c>
      <c r="B266" s="79" t="str">
        <f aca="false">ES$13</f>
        <v>Granola bars (chocolate chip)</v>
      </c>
      <c r="C266" s="80" t="n">
        <v>0</v>
      </c>
      <c r="D266" s="71" t="n">
        <f aca="false">INDEX($F$15:$EU$15,1,A266)</f>
        <v>0.48</v>
      </c>
      <c r="E266" s="71" t="n">
        <f aca="false">INDEX($F$16:$EU$16,1,A266)</f>
        <v>0</v>
      </c>
      <c r="F266" s="21" t="n">
        <f aca="false">C266*100</f>
        <v>0</v>
      </c>
      <c r="G266" s="24" t="n">
        <f aca="false">F266/'Food Data'!N149</f>
        <v>0</v>
      </c>
      <c r="H266" s="81" t="n">
        <f aca="false">C266*INDEX($F$14:$EU$14,1,A266)</f>
        <v>0</v>
      </c>
      <c r="I266" s="75" t="str">
        <f aca="false">IF(AND(D266&gt;0,C266&gt;=D266-0.00001),"at cap","")</f>
        <v/>
      </c>
      <c r="J266" s="21" t="n">
        <f aca="false">F266*INDEX($F$34:$EU$34,1,A266)</f>
        <v>0</v>
      </c>
      <c r="K266" s="21" t="n">
        <f aca="false">F266*INDEX($F$35:$EU$35,1,A266)</f>
        <v>0</v>
      </c>
      <c r="L266" s="21" t="n">
        <f aca="false">F266*INDEX($F$36:$EU$36,1,A266)</f>
        <v>0</v>
      </c>
      <c r="M266" s="21" t="n">
        <f aca="false">F266*INDEX($F$37:$EU$37,1,A266)</f>
        <v>0</v>
      </c>
      <c r="N266" s="21" t="str">
        <f aca="false">IF(J266&gt;=0.5,COUNTIF(J$123:J266,"&gt;=0.5"),"")</f>
        <v/>
      </c>
      <c r="O266" s="21" t="str">
        <f aca="false">IF(K266&gt;=0.5,COUNTIF(K$123:K266,"&gt;=0.5"),"")</f>
        <v/>
      </c>
      <c r="P266" s="21" t="str">
        <f aca="false">IF(L266&gt;=0.5,COUNTIF(L$123:L266,"&gt;=0.5"),"")</f>
        <v/>
      </c>
      <c r="Q266" s="21" t="str">
        <f aca="false">IF(M266&gt;=0.5,COUNTIF(M$123:M266,"&gt;=0.5"),"")</f>
        <v/>
      </c>
    </row>
    <row r="267" customFormat="false" ht="15" hidden="false" customHeight="false" outlineLevel="0" collapsed="false">
      <c r="A267" s="4" t="n">
        <v>145</v>
      </c>
      <c r="B267" s="79" t="str">
        <f aca="false">ET$13</f>
        <v>Potato chips</v>
      </c>
      <c r="C267" s="80" t="n">
        <v>0</v>
      </c>
      <c r="D267" s="71" t="n">
        <f aca="false">INDEX($F$15:$EU$15,1,A267)</f>
        <v>0.28</v>
      </c>
      <c r="E267" s="71" t="n">
        <f aca="false">INDEX($F$16:$EU$16,1,A267)</f>
        <v>0</v>
      </c>
      <c r="F267" s="21" t="n">
        <f aca="false">C267*100</f>
        <v>0</v>
      </c>
      <c r="G267" s="24" t="n">
        <f aca="false">F267/'Food Data'!N150</f>
        <v>0</v>
      </c>
      <c r="H267" s="81" t="n">
        <f aca="false">C267*INDEX($F$14:$EU$14,1,A267)</f>
        <v>0</v>
      </c>
      <c r="I267" s="75" t="str">
        <f aca="false">IF(AND(D267&gt;0,C267&gt;=D267-0.00001),"at cap","")</f>
        <v/>
      </c>
      <c r="J267" s="21" t="n">
        <f aca="false">F267*INDEX($F$34:$EU$34,1,A267)</f>
        <v>0</v>
      </c>
      <c r="K267" s="21" t="n">
        <f aca="false">F267*INDEX($F$35:$EU$35,1,A267)</f>
        <v>0</v>
      </c>
      <c r="L267" s="21" t="n">
        <f aca="false">F267*INDEX($F$36:$EU$36,1,A267)</f>
        <v>0</v>
      </c>
      <c r="M267" s="21" t="n">
        <f aca="false">F267*INDEX($F$37:$EU$37,1,A267)</f>
        <v>0</v>
      </c>
      <c r="N267" s="21" t="str">
        <f aca="false">IF(J267&gt;=0.5,COUNTIF(J$123:J267,"&gt;=0.5"),"")</f>
        <v/>
      </c>
      <c r="O267" s="21" t="str">
        <f aca="false">IF(K267&gt;=0.5,COUNTIF(K$123:K267,"&gt;=0.5"),"")</f>
        <v/>
      </c>
      <c r="P267" s="21" t="str">
        <f aca="false">IF(L267&gt;=0.5,COUNTIF(L$123:L267,"&gt;=0.5"),"")</f>
        <v/>
      </c>
      <c r="Q267" s="21" t="str">
        <f aca="false">IF(M267&gt;=0.5,COUNTIF(M$123:M267,"&gt;=0.5"),"")</f>
        <v/>
      </c>
    </row>
    <row r="268" customFormat="false" ht="15" hidden="false" customHeight="false" outlineLevel="0" collapsed="false">
      <c r="A268" s="4" t="n">
        <v>146</v>
      </c>
      <c r="B268" s="79" t="str">
        <f aca="false">EU$13</f>
        <v>Vanilla ice cream</v>
      </c>
      <c r="C268" s="80" t="n">
        <v>0</v>
      </c>
      <c r="D268" s="71" t="n">
        <f aca="false">INDEX($F$15:$EU$15,1,A268)</f>
        <v>0.66</v>
      </c>
      <c r="E268" s="71" t="n">
        <f aca="false">INDEX($F$16:$EU$16,1,A268)</f>
        <v>0</v>
      </c>
      <c r="F268" s="21" t="n">
        <f aca="false">C268*100</f>
        <v>0</v>
      </c>
      <c r="G268" s="24" t="n">
        <f aca="false">F268/'Food Data'!N151</f>
        <v>0</v>
      </c>
      <c r="H268" s="81" t="n">
        <f aca="false">C268*INDEX($F$14:$EU$14,1,A268)</f>
        <v>0</v>
      </c>
      <c r="I268" s="75" t="str">
        <f aca="false">IF(AND(D268&gt;0,C268&gt;=D268-0.00001),"at cap","")</f>
        <v/>
      </c>
      <c r="J268" s="21" t="n">
        <f aca="false">F268*INDEX($F$34:$EU$34,1,A268)</f>
        <v>0</v>
      </c>
      <c r="K268" s="21" t="n">
        <f aca="false">F268*INDEX($F$35:$EU$35,1,A268)</f>
        <v>0</v>
      </c>
      <c r="L268" s="21" t="n">
        <f aca="false">F268*INDEX($F$36:$EU$36,1,A268)</f>
        <v>0</v>
      </c>
      <c r="M268" s="21" t="n">
        <f aca="false">F268*INDEX($F$37:$EU$37,1,A268)</f>
        <v>0</v>
      </c>
      <c r="N268" s="21" t="str">
        <f aca="false">IF(J268&gt;=0.5,COUNTIF(J$123:J268,"&gt;=0.5"),"")</f>
        <v/>
      </c>
      <c r="O268" s="21" t="str">
        <f aca="false">IF(K268&gt;=0.5,COUNTIF(K$123:K268,"&gt;=0.5"),"")</f>
        <v/>
      </c>
      <c r="P268" s="21" t="str">
        <f aca="false">IF(L268&gt;=0.5,COUNTIF(L$123:L268,"&gt;=0.5"),"")</f>
        <v/>
      </c>
      <c r="Q268" s="21" t="str">
        <f aca="false">IF(M268&gt;=0.5,COUNTIF(M$123:M268,"&gt;=0.5"),"")</f>
        <v/>
      </c>
    </row>
    <row r="270" customFormat="false" ht="15" hidden="false" customHeight="false" outlineLevel="0" collapsed="false">
      <c r="B270" s="62" t="s">
        <v>1074</v>
      </c>
      <c r="C270" s="82" t="n">
        <f aca="false" t="array" ref="C270:C270">MMULT(F14:EU14,C123:C268)</f>
        <v>2.87499509083363</v>
      </c>
    </row>
    <row r="271" customFormat="false" ht="15" hidden="false" customHeight="false" outlineLevel="0" collapsed="false">
      <c r="B271" s="62" t="s">
        <v>13</v>
      </c>
      <c r="C271" s="62" t="n">
        <f aca="false">COUNTIF(E41:E118,"VIOLATED")+SUMPRODUCT((C123:C268&gt;D123:D268+0.00001)*1)+SUMPRODUCT((C123:C268&lt;E123:E268-0.00001)*1)</f>
        <v>0</v>
      </c>
    </row>
    <row r="273" customFormat="false" ht="15" hidden="false" customHeight="false" outlineLevel="0" collapsed="false">
      <c r="A273" s="3" t="s">
        <v>1075</v>
      </c>
    </row>
    <row r="274" customFormat="false" ht="15" hidden="false" customHeight="false" outlineLevel="0" collapsed="false">
      <c r="B274" s="16" t="s">
        <v>28</v>
      </c>
      <c r="C274" s="16" t="s">
        <v>1076</v>
      </c>
      <c r="D274" s="16" t="s">
        <v>68</v>
      </c>
      <c r="E274" s="16" t="s">
        <v>88</v>
      </c>
      <c r="F274" s="16" t="s">
        <v>106</v>
      </c>
      <c r="G274" s="16" t="s">
        <v>117</v>
      </c>
    </row>
    <row r="275" customFormat="false" ht="15" hidden="false" customHeight="false" outlineLevel="0" collapsed="false">
      <c r="B275" s="4" t="s">
        <v>34</v>
      </c>
      <c r="C275" s="83" t="n">
        <f aca="false" t="array" ref="C275:C286">MMULT(F20:EU31,C123:C268)</f>
        <v>2878.499999883</v>
      </c>
      <c r="D275" s="84" t="n">
        <f aca="false" t="array" ref="D275:G286">MMULT(F20:EU31,J123:M268)/100</f>
        <v>625.8570244</v>
      </c>
      <c r="E275" s="84" t="n">
        <v>920.6429755415</v>
      </c>
      <c r="F275" s="84" t="n">
        <v>920.6429755415</v>
      </c>
      <c r="G275" s="84" t="n">
        <v>411.3570244</v>
      </c>
    </row>
    <row r="276" customFormat="false" ht="15" hidden="false" customHeight="false" outlineLevel="0" collapsed="false">
      <c r="B276" s="4" t="s">
        <v>36</v>
      </c>
      <c r="C276" s="83" t="n">
        <v>111.99999999238</v>
      </c>
      <c r="D276" s="84" t="n">
        <v>34.8218836104</v>
      </c>
      <c r="E276" s="84" t="n">
        <v>30.59811638579</v>
      </c>
      <c r="F276" s="84" t="n">
        <v>30.59811638579</v>
      </c>
      <c r="G276" s="84" t="n">
        <v>15.9818836104</v>
      </c>
    </row>
    <row r="277" customFormat="false" ht="15" hidden="false" customHeight="false" outlineLevel="0" collapsed="false">
      <c r="B277" s="4" t="s">
        <v>39</v>
      </c>
      <c r="C277" s="83" t="n">
        <v>467.75624998337</v>
      </c>
      <c r="D277" s="84" t="n">
        <v>46.2081943424</v>
      </c>
      <c r="E277" s="84" t="n">
        <v>188.209930649285</v>
      </c>
      <c r="F277" s="84" t="n">
        <v>188.209930649285</v>
      </c>
      <c r="G277" s="84" t="n">
        <v>45.1281943424</v>
      </c>
    </row>
    <row r="278" customFormat="false" ht="15" hidden="false" customHeight="false" outlineLevel="0" collapsed="false">
      <c r="B278" s="4" t="s">
        <v>45</v>
      </c>
      <c r="C278" s="83" t="n">
        <v>65.50461073898</v>
      </c>
      <c r="D278" s="84" t="n">
        <v>35.64269016624</v>
      </c>
      <c r="E278" s="84" t="n">
        <v>4.24211520325</v>
      </c>
      <c r="F278" s="84" t="n">
        <v>4.24211520325</v>
      </c>
      <c r="G278" s="84" t="n">
        <v>21.37769016624</v>
      </c>
    </row>
    <row r="279" customFormat="false" ht="15" hidden="false" customHeight="false" outlineLevel="0" collapsed="false">
      <c r="B279" s="4" t="s">
        <v>48</v>
      </c>
      <c r="C279" s="83" t="n">
        <v>45.7854769708</v>
      </c>
      <c r="D279" s="84" t="n">
        <v>4.668</v>
      </c>
      <c r="E279" s="84" t="n">
        <v>18.2247384854</v>
      </c>
      <c r="F279" s="84" t="n">
        <v>18.2247384854</v>
      </c>
      <c r="G279" s="84" t="n">
        <v>4.668</v>
      </c>
    </row>
    <row r="280" customFormat="false" ht="15" hidden="false" customHeight="false" outlineLevel="0" collapsed="false">
      <c r="B280" s="4" t="s">
        <v>51</v>
      </c>
      <c r="C280" s="83" t="n">
        <v>70.42665832904</v>
      </c>
      <c r="D280" s="84" t="n">
        <v>29.97887486928</v>
      </c>
      <c r="E280" s="84" t="n">
        <v>5.51195429524</v>
      </c>
      <c r="F280" s="84" t="n">
        <v>5.51195429524</v>
      </c>
      <c r="G280" s="84" t="n">
        <v>29.42387486928</v>
      </c>
    </row>
    <row r="281" customFormat="false" ht="15" hidden="false" customHeight="false" outlineLevel="0" collapsed="false">
      <c r="B281" s="4" t="s">
        <v>53</v>
      </c>
      <c r="C281" s="83" t="n">
        <v>999.999999993</v>
      </c>
      <c r="D281" s="84" t="n">
        <v>381.52485856</v>
      </c>
      <c r="E281" s="84" t="n">
        <v>160.4751414365</v>
      </c>
      <c r="F281" s="84" t="n">
        <v>160.4751414365</v>
      </c>
      <c r="G281" s="84" t="n">
        <v>297.52485856</v>
      </c>
    </row>
    <row r="282" customFormat="false" ht="15" hidden="false" customHeight="false" outlineLevel="0" collapsed="false">
      <c r="B282" s="4" t="s">
        <v>55</v>
      </c>
      <c r="C282" s="83" t="n">
        <v>23.29435064691</v>
      </c>
      <c r="D282" s="84" t="n">
        <v>3.53459080976</v>
      </c>
      <c r="E282" s="84" t="n">
        <v>9.425084513695</v>
      </c>
      <c r="F282" s="84" t="n">
        <v>9.425084513695</v>
      </c>
      <c r="G282" s="84" t="n">
        <v>0.90959080976</v>
      </c>
    </row>
    <row r="283" customFormat="false" ht="15" hidden="false" customHeight="false" outlineLevel="0" collapsed="false">
      <c r="B283" s="4" t="s">
        <v>57</v>
      </c>
      <c r="C283" s="83" t="n">
        <v>5100.496644172</v>
      </c>
      <c r="D283" s="84" t="n">
        <v>1129.93566832</v>
      </c>
      <c r="E283" s="84" t="n">
        <v>1523.812653766</v>
      </c>
      <c r="F283" s="84" t="n">
        <v>1523.812653766</v>
      </c>
      <c r="G283" s="84" t="n">
        <v>922.93566832</v>
      </c>
    </row>
    <row r="284" customFormat="false" ht="15" hidden="false" customHeight="false" outlineLevel="0" collapsed="false">
      <c r="B284" s="4" t="s">
        <v>59</v>
      </c>
      <c r="C284" s="83" t="n">
        <v>780.055020859</v>
      </c>
      <c r="D284" s="84" t="n">
        <v>458.578402936</v>
      </c>
      <c r="E284" s="84" t="n">
        <v>37.9491074935</v>
      </c>
      <c r="F284" s="84" t="n">
        <v>37.9491074935</v>
      </c>
      <c r="G284" s="84" t="n">
        <v>245.578402936</v>
      </c>
    </row>
    <row r="285" customFormat="false" ht="15" hidden="false" customHeight="false" outlineLevel="0" collapsed="false">
      <c r="B285" s="4" t="s">
        <v>61</v>
      </c>
      <c r="C285" s="83" t="n">
        <v>126.7483161952</v>
      </c>
      <c r="D285" s="84" t="n">
        <v>10.7259080976</v>
      </c>
      <c r="E285" s="84" t="n">
        <v>52.64825</v>
      </c>
      <c r="F285" s="84" t="n">
        <v>52.64825</v>
      </c>
      <c r="G285" s="84" t="n">
        <v>10.7259080976</v>
      </c>
    </row>
    <row r="286" customFormat="false" ht="15" hidden="false" customHeight="false" outlineLevel="0" collapsed="false">
      <c r="B286" s="4" t="s">
        <v>63</v>
      </c>
      <c r="C286" s="83" t="n">
        <v>19.058425245663</v>
      </c>
      <c r="D286" s="84" t="n">
        <v>11.015682393416</v>
      </c>
      <c r="E286" s="84" t="n">
        <v>0.8580302294155</v>
      </c>
      <c r="F286" s="84" t="n">
        <v>0.8580302294155</v>
      </c>
      <c r="G286" s="84" t="n">
        <v>6.326682393416</v>
      </c>
    </row>
  </sheetData>
  <conditionalFormatting sqref="E41:E118">
    <cfRule type="expression" priority="2" aboveAverage="0" equalAverage="0" bottom="0" percent="0" rank="0" text="" dxfId="16">
      <formula>E41="VIOLATED"</formula>
    </cfRule>
    <cfRule type="expression" priority="3" aboveAverage="0" equalAverage="0" bottom="0" percent="0" rank="0" text="" dxfId="0">
      <formula>E41="tight"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13" min="3" style="0" width="13"/>
  </cols>
  <sheetData>
    <row r="1" customFormat="false" ht="17.35" hidden="false" customHeight="false" outlineLevel="0" collapsed="false">
      <c r="A1" s="1" t="s">
        <v>1077</v>
      </c>
    </row>
    <row r="2" customFormat="false" ht="15" hidden="false" customHeight="false" outlineLevel="0" collapsed="false">
      <c r="A2" s="2" t="s">
        <v>1078</v>
      </c>
    </row>
    <row r="5" customFormat="false" ht="43.5" hidden="false" customHeight="true" outlineLevel="0" collapsed="false">
      <c r="A5" s="16" t="s">
        <v>159</v>
      </c>
      <c r="B5" s="16" t="s">
        <v>161</v>
      </c>
      <c r="C5" s="16" t="s">
        <v>81</v>
      </c>
      <c r="D5" s="16" t="s">
        <v>928</v>
      </c>
      <c r="E5" s="16" t="s">
        <v>930</v>
      </c>
      <c r="F5" s="16" t="s">
        <v>932</v>
      </c>
      <c r="G5" s="16" t="s">
        <v>934</v>
      </c>
      <c r="H5" s="16" t="s">
        <v>936</v>
      </c>
      <c r="I5" s="16" t="s">
        <v>938</v>
      </c>
      <c r="J5" s="16" t="s">
        <v>940</v>
      </c>
      <c r="K5" s="16" t="s">
        <v>942</v>
      </c>
      <c r="L5" s="16" t="s">
        <v>944</v>
      </c>
      <c r="M5" s="16" t="s">
        <v>1079</v>
      </c>
    </row>
    <row r="6" customFormat="false" ht="15" hidden="false" customHeight="false" outlineLevel="0" collapsed="false">
      <c r="A6" s="4" t="n">
        <v>1</v>
      </c>
      <c r="B6" s="79" t="str">
        <f aca="false">'Food Data'!D6</f>
        <v>Chicken breast (boneless, skinless)</v>
      </c>
      <c r="C6" s="85" t="n">
        <v>0</v>
      </c>
      <c r="D6" s="85" t="n">
        <v>1.161428265</v>
      </c>
      <c r="E6" s="85" t="n">
        <v>0</v>
      </c>
      <c r="F6" s="85" t="n">
        <v>0</v>
      </c>
      <c r="G6" s="85" t="n">
        <v>0</v>
      </c>
      <c r="H6" s="85" t="n">
        <v>0</v>
      </c>
      <c r="I6" s="85" t="n">
        <v>0</v>
      </c>
      <c r="J6" s="85" t="n">
        <v>0</v>
      </c>
      <c r="K6" s="85" t="n">
        <v>0</v>
      </c>
      <c r="L6" s="85" t="n">
        <v>0</v>
      </c>
      <c r="M6" s="85" t="n">
        <v>0</v>
      </c>
    </row>
    <row r="7" customFormat="false" ht="15" hidden="false" customHeight="false" outlineLevel="0" collapsed="false">
      <c r="A7" s="4" t="n">
        <v>2</v>
      </c>
      <c r="B7" s="79" t="str">
        <f aca="false">'Food Data'!D7</f>
        <v>Chicken drumsticks (bone-in)</v>
      </c>
      <c r="C7" s="85" t="n">
        <v>0.011160812</v>
      </c>
      <c r="D7" s="85" t="n">
        <v>2</v>
      </c>
      <c r="E7" s="85" t="n">
        <v>2</v>
      </c>
      <c r="F7" s="85" t="n">
        <v>0</v>
      </c>
      <c r="G7" s="85" t="n">
        <v>0</v>
      </c>
      <c r="H7" s="85" t="n">
        <v>0</v>
      </c>
      <c r="I7" s="85" t="n">
        <v>0.064406121</v>
      </c>
      <c r="J7" s="85" t="n">
        <v>0.011160812</v>
      </c>
      <c r="K7" s="85" t="n">
        <v>0</v>
      </c>
      <c r="L7" s="85" t="n">
        <v>0.290724197</v>
      </c>
      <c r="M7" s="85" t="n">
        <v>0</v>
      </c>
    </row>
    <row r="8" customFormat="false" ht="15" hidden="false" customHeight="false" outlineLevel="0" collapsed="false">
      <c r="A8" s="4" t="n">
        <v>3</v>
      </c>
      <c r="B8" s="79" t="str">
        <f aca="false">'Food Data'!D8</f>
        <v>Chicken thighs (boneless, skinless)</v>
      </c>
      <c r="C8" s="85" t="n">
        <v>0</v>
      </c>
      <c r="D8" s="85" t="n">
        <v>0</v>
      </c>
      <c r="E8" s="85" t="n">
        <v>0</v>
      </c>
      <c r="F8" s="85" t="n">
        <v>0</v>
      </c>
      <c r="G8" s="85" t="n">
        <v>0</v>
      </c>
      <c r="H8" s="85" t="n">
        <v>0</v>
      </c>
      <c r="I8" s="85" t="n">
        <v>0</v>
      </c>
      <c r="J8" s="85" t="n">
        <v>0</v>
      </c>
      <c r="K8" s="85" t="n">
        <v>0</v>
      </c>
      <c r="L8" s="85" t="n">
        <v>0</v>
      </c>
      <c r="M8" s="85" t="n">
        <v>0</v>
      </c>
    </row>
    <row r="9" customFormat="false" ht="15" hidden="false" customHeight="false" outlineLevel="0" collapsed="false">
      <c r="A9" s="4" t="n">
        <v>4</v>
      </c>
      <c r="B9" s="79" t="str">
        <f aca="false">'Food Data'!D9</f>
        <v>Deli turkey breast (sliced)</v>
      </c>
      <c r="C9" s="85" t="n">
        <v>0</v>
      </c>
      <c r="D9" s="85" t="n">
        <v>0</v>
      </c>
      <c r="E9" s="85" t="n">
        <v>0</v>
      </c>
      <c r="F9" s="85" t="n">
        <v>0</v>
      </c>
      <c r="G9" s="85" t="n">
        <v>0</v>
      </c>
      <c r="H9" s="85" t="n">
        <v>0</v>
      </c>
      <c r="I9" s="85" t="n">
        <v>0</v>
      </c>
      <c r="J9" s="85" t="n">
        <v>0</v>
      </c>
      <c r="K9" s="85" t="n">
        <v>0</v>
      </c>
      <c r="L9" s="85" t="n">
        <v>0</v>
      </c>
      <c r="M9" s="85" t="n">
        <v>1.12</v>
      </c>
    </row>
    <row r="10" customFormat="false" ht="15" hidden="false" customHeight="false" outlineLevel="0" collapsed="false">
      <c r="A10" s="4" t="n">
        <v>5</v>
      </c>
      <c r="B10" s="79" t="str">
        <f aca="false">'Food Data'!D10</f>
        <v>Ground turkey 93/7</v>
      </c>
      <c r="C10" s="85" t="n">
        <v>0</v>
      </c>
      <c r="D10" s="85" t="n">
        <v>0</v>
      </c>
      <c r="E10" s="85" t="n">
        <v>0</v>
      </c>
      <c r="F10" s="85" t="n">
        <v>0</v>
      </c>
      <c r="G10" s="85" t="n">
        <v>0</v>
      </c>
      <c r="H10" s="85" t="n">
        <v>0</v>
      </c>
      <c r="I10" s="85" t="n">
        <v>0</v>
      </c>
      <c r="J10" s="85" t="n">
        <v>0</v>
      </c>
      <c r="K10" s="85" t="n">
        <v>0</v>
      </c>
      <c r="L10" s="85" t="n">
        <v>0</v>
      </c>
      <c r="M10" s="85" t="n">
        <v>0</v>
      </c>
    </row>
    <row r="11" customFormat="false" ht="15" hidden="false" customHeight="false" outlineLevel="0" collapsed="false">
      <c r="A11" s="4" t="n">
        <v>6</v>
      </c>
      <c r="B11" s="79" t="str">
        <f aca="false">'Food Data'!D11</f>
        <v>Whole chicken</v>
      </c>
      <c r="C11" s="85" t="n">
        <v>0</v>
      </c>
      <c r="D11" s="85" t="n">
        <v>0</v>
      </c>
      <c r="E11" s="85" t="n">
        <v>0</v>
      </c>
      <c r="F11" s="85" t="n">
        <v>0</v>
      </c>
      <c r="G11" s="85" t="n">
        <v>0</v>
      </c>
      <c r="H11" s="85" t="n">
        <v>0</v>
      </c>
      <c r="I11" s="85" t="n">
        <v>0</v>
      </c>
      <c r="J11" s="85" t="n">
        <v>0</v>
      </c>
      <c r="K11" s="85" t="n">
        <v>0</v>
      </c>
      <c r="L11" s="85" t="n">
        <v>0</v>
      </c>
      <c r="M11" s="85" t="n">
        <v>0</v>
      </c>
    </row>
    <row r="12" customFormat="false" ht="15" hidden="false" customHeight="false" outlineLevel="0" collapsed="false">
      <c r="A12" s="4" t="n">
        <v>7</v>
      </c>
      <c r="B12" s="79" t="str">
        <f aca="false">'Food Data'!D12</f>
        <v>Bacon</v>
      </c>
      <c r="C12" s="85" t="n">
        <v>0</v>
      </c>
      <c r="D12" s="85" t="n">
        <v>0</v>
      </c>
      <c r="E12" s="85" t="n">
        <v>0</v>
      </c>
      <c r="F12" s="85" t="n">
        <v>0</v>
      </c>
      <c r="G12" s="85" t="n">
        <v>0</v>
      </c>
      <c r="H12" s="85" t="n">
        <v>0</v>
      </c>
      <c r="I12" s="85" t="n">
        <v>0</v>
      </c>
      <c r="J12" s="85" t="n">
        <v>0</v>
      </c>
      <c r="K12" s="85" t="n">
        <v>0</v>
      </c>
      <c r="L12" s="85" t="n">
        <v>0</v>
      </c>
      <c r="M12" s="85" t="n">
        <v>0</v>
      </c>
    </row>
    <row r="13" customFormat="false" ht="15" hidden="false" customHeight="false" outlineLevel="0" collapsed="false">
      <c r="A13" s="4" t="n">
        <v>8</v>
      </c>
      <c r="B13" s="79" t="str">
        <f aca="false">'Food Data'!D13</f>
        <v>Beef for stew (boneless)</v>
      </c>
      <c r="C13" s="85" t="n">
        <v>0</v>
      </c>
      <c r="D13" s="85" t="n">
        <v>0</v>
      </c>
      <c r="E13" s="85" t="n">
        <v>0</v>
      </c>
      <c r="F13" s="85" t="n">
        <v>0</v>
      </c>
      <c r="G13" s="85" t="n">
        <v>0</v>
      </c>
      <c r="H13" s="85" t="n">
        <v>0</v>
      </c>
      <c r="I13" s="85" t="n">
        <v>0</v>
      </c>
      <c r="J13" s="85" t="n">
        <v>0</v>
      </c>
      <c r="K13" s="85" t="n">
        <v>0</v>
      </c>
      <c r="L13" s="85" t="n">
        <v>0</v>
      </c>
      <c r="M13" s="85" t="n">
        <v>0</v>
      </c>
    </row>
    <row r="14" customFormat="false" ht="15" hidden="false" customHeight="false" outlineLevel="0" collapsed="false">
      <c r="A14" s="4" t="n">
        <v>9</v>
      </c>
      <c r="B14" s="79" t="str">
        <f aca="false">'Food Data'!D14</f>
        <v>Ground beef 80/20</v>
      </c>
      <c r="C14" s="85" t="n">
        <v>0</v>
      </c>
      <c r="D14" s="85" t="n">
        <v>0</v>
      </c>
      <c r="E14" s="85" t="n">
        <v>0</v>
      </c>
      <c r="F14" s="85" t="n">
        <v>0</v>
      </c>
      <c r="G14" s="85" t="n">
        <v>0</v>
      </c>
      <c r="H14" s="85" t="n">
        <v>0</v>
      </c>
      <c r="I14" s="85" t="n">
        <v>0</v>
      </c>
      <c r="J14" s="85" t="n">
        <v>0</v>
      </c>
      <c r="K14" s="85" t="n">
        <v>0</v>
      </c>
      <c r="L14" s="85" t="n">
        <v>0</v>
      </c>
      <c r="M14" s="85" t="n">
        <v>1.13</v>
      </c>
    </row>
    <row r="15" customFormat="false" ht="15" hidden="false" customHeight="false" outlineLevel="0" collapsed="false">
      <c r="A15" s="4" t="n">
        <v>10</v>
      </c>
      <c r="B15" s="79" t="str">
        <f aca="false">'Food Data'!D15</f>
        <v>Ground beef 93/7 (lean)</v>
      </c>
      <c r="C15" s="85" t="n">
        <v>0</v>
      </c>
      <c r="D15" s="85" t="n">
        <v>0</v>
      </c>
      <c r="E15" s="85" t="n">
        <v>0</v>
      </c>
      <c r="F15" s="85" t="n">
        <v>0</v>
      </c>
      <c r="G15" s="85" t="n">
        <v>0</v>
      </c>
      <c r="H15" s="85" t="n">
        <v>0</v>
      </c>
      <c r="I15" s="85" t="n">
        <v>0</v>
      </c>
      <c r="J15" s="85" t="n">
        <v>0</v>
      </c>
      <c r="K15" s="85" t="n">
        <v>0</v>
      </c>
      <c r="L15" s="85" t="n">
        <v>0</v>
      </c>
      <c r="M15" s="85" t="n">
        <v>0</v>
      </c>
    </row>
    <row r="16" customFormat="false" ht="15" hidden="false" customHeight="false" outlineLevel="0" collapsed="false">
      <c r="A16" s="4" t="n">
        <v>11</v>
      </c>
      <c r="B16" s="79" t="str">
        <f aca="false">'Food Data'!D16</f>
        <v>Ham (sliced, cooked)</v>
      </c>
      <c r="C16" s="85" t="n">
        <v>0</v>
      </c>
      <c r="D16" s="85" t="n">
        <v>0</v>
      </c>
      <c r="E16" s="85" t="n">
        <v>0</v>
      </c>
      <c r="F16" s="85" t="n">
        <v>0</v>
      </c>
      <c r="G16" s="85" t="n">
        <v>0</v>
      </c>
      <c r="H16" s="85" t="n">
        <v>0</v>
      </c>
      <c r="I16" s="85" t="n">
        <v>0</v>
      </c>
      <c r="J16" s="85" t="n">
        <v>0</v>
      </c>
      <c r="K16" s="85" t="n">
        <v>0</v>
      </c>
      <c r="L16" s="85" t="n">
        <v>0</v>
      </c>
      <c r="M16" s="85" t="n">
        <v>0</v>
      </c>
    </row>
    <row r="17" customFormat="false" ht="15" hidden="false" customHeight="false" outlineLevel="0" collapsed="false">
      <c r="A17" s="4" t="n">
        <v>12</v>
      </c>
      <c r="B17" s="79" t="str">
        <f aca="false">'Food Data'!D17</f>
        <v>Pork loin chops (boneless)</v>
      </c>
      <c r="C17" s="85" t="n">
        <v>0</v>
      </c>
      <c r="D17" s="85" t="n">
        <v>0</v>
      </c>
      <c r="E17" s="85" t="n">
        <v>0</v>
      </c>
      <c r="F17" s="85" t="n">
        <v>0</v>
      </c>
      <c r="G17" s="85" t="n">
        <v>0</v>
      </c>
      <c r="H17" s="85" t="n">
        <v>0</v>
      </c>
      <c r="I17" s="85" t="n">
        <v>0</v>
      </c>
      <c r="J17" s="85" t="n">
        <v>0</v>
      </c>
      <c r="K17" s="85" t="n">
        <v>0</v>
      </c>
      <c r="L17" s="85" t="n">
        <v>0</v>
      </c>
      <c r="M17" s="85" t="n">
        <v>0</v>
      </c>
    </row>
    <row r="18" customFormat="false" ht="15" hidden="false" customHeight="false" outlineLevel="0" collapsed="false">
      <c r="A18" s="4" t="n">
        <v>13</v>
      </c>
      <c r="B18" s="79" t="str">
        <f aca="false">'Food Data'!D18</f>
        <v>Round steak (boneless)</v>
      </c>
      <c r="C18" s="85" t="n">
        <v>0</v>
      </c>
      <c r="D18" s="85" t="n">
        <v>0</v>
      </c>
      <c r="E18" s="85" t="n">
        <v>0</v>
      </c>
      <c r="F18" s="85" t="n">
        <v>0</v>
      </c>
      <c r="G18" s="85" t="n">
        <v>0</v>
      </c>
      <c r="H18" s="85" t="n">
        <v>0</v>
      </c>
      <c r="I18" s="85" t="n">
        <v>0</v>
      </c>
      <c r="J18" s="85" t="n">
        <v>0</v>
      </c>
      <c r="K18" s="85" t="n">
        <v>0</v>
      </c>
      <c r="L18" s="85" t="n">
        <v>0</v>
      </c>
      <c r="M18" s="85" t="n">
        <v>0</v>
      </c>
    </row>
    <row r="19" customFormat="false" ht="15" hidden="false" customHeight="false" outlineLevel="0" collapsed="false">
      <c r="A19" s="4" t="n">
        <v>14</v>
      </c>
      <c r="B19" s="79" t="str">
        <f aca="false">'Food Data'!D19</f>
        <v>Top sirloin steak</v>
      </c>
      <c r="C19" s="85" t="n">
        <v>0</v>
      </c>
      <c r="D19" s="85" t="n">
        <v>0</v>
      </c>
      <c r="E19" s="85" t="n">
        <v>0</v>
      </c>
      <c r="F19" s="85" t="n">
        <v>0</v>
      </c>
      <c r="G19" s="85" t="n">
        <v>0</v>
      </c>
      <c r="H19" s="85" t="n">
        <v>0</v>
      </c>
      <c r="I19" s="85" t="n">
        <v>0</v>
      </c>
      <c r="J19" s="85" t="n">
        <v>0</v>
      </c>
      <c r="K19" s="85" t="n">
        <v>0</v>
      </c>
      <c r="L19" s="85" t="n">
        <v>0</v>
      </c>
      <c r="M19" s="85" t="n">
        <v>0</v>
      </c>
    </row>
    <row r="20" customFormat="false" ht="15" hidden="false" customHeight="false" outlineLevel="0" collapsed="false">
      <c r="A20" s="4" t="n">
        <v>15</v>
      </c>
      <c r="B20" s="79" t="str">
        <f aca="false">'Food Data'!D20</f>
        <v>Canned light tuna (in water)</v>
      </c>
      <c r="C20" s="85" t="n">
        <v>0</v>
      </c>
      <c r="D20" s="85" t="n">
        <v>0</v>
      </c>
      <c r="E20" s="85" t="n">
        <v>0</v>
      </c>
      <c r="F20" s="85" t="n">
        <v>0</v>
      </c>
      <c r="G20" s="85" t="n">
        <v>0</v>
      </c>
      <c r="H20" s="85" t="n">
        <v>0</v>
      </c>
      <c r="I20" s="85" t="n">
        <v>0</v>
      </c>
      <c r="J20" s="85" t="n">
        <v>0</v>
      </c>
      <c r="K20" s="85" t="n">
        <v>0</v>
      </c>
      <c r="L20" s="85" t="n">
        <v>0</v>
      </c>
      <c r="M20" s="85" t="n">
        <v>0</v>
      </c>
    </row>
    <row r="21" customFormat="false" ht="15" hidden="false" customHeight="false" outlineLevel="0" collapsed="false">
      <c r="A21" s="4" t="n">
        <v>16</v>
      </c>
      <c r="B21" s="79" t="str">
        <f aca="false">'Food Data'!D21</f>
        <v>Salmon (Atlantic, fillet)</v>
      </c>
      <c r="C21" s="85" t="n">
        <v>0</v>
      </c>
      <c r="D21" s="85" t="n">
        <v>0</v>
      </c>
      <c r="E21" s="85" t="n">
        <v>0</v>
      </c>
      <c r="F21" s="85" t="n">
        <v>0</v>
      </c>
      <c r="G21" s="85" t="n">
        <v>0</v>
      </c>
      <c r="H21" s="85" t="n">
        <v>0</v>
      </c>
      <c r="I21" s="85" t="n">
        <v>0</v>
      </c>
      <c r="J21" s="85" t="n">
        <v>0</v>
      </c>
      <c r="K21" s="85" t="n">
        <v>0</v>
      </c>
      <c r="L21" s="85" t="n">
        <v>0</v>
      </c>
      <c r="M21" s="85" t="n">
        <v>0</v>
      </c>
    </row>
    <row r="22" customFormat="false" ht="15" hidden="false" customHeight="false" outlineLevel="0" collapsed="false">
      <c r="A22" s="4" t="n">
        <v>17</v>
      </c>
      <c r="B22" s="79" t="str">
        <f aca="false">'Food Data'!D22</f>
        <v>Shrimp (raw, peeled)</v>
      </c>
      <c r="C22" s="85" t="n">
        <v>0</v>
      </c>
      <c r="D22" s="85" t="n">
        <v>0</v>
      </c>
      <c r="E22" s="85" t="n">
        <v>0</v>
      </c>
      <c r="F22" s="85" t="n">
        <v>0</v>
      </c>
      <c r="G22" s="85" t="n">
        <v>0</v>
      </c>
      <c r="H22" s="85" t="n">
        <v>0</v>
      </c>
      <c r="I22" s="85" t="n">
        <v>0</v>
      </c>
      <c r="J22" s="85" t="n">
        <v>0</v>
      </c>
      <c r="K22" s="85" t="n">
        <v>0</v>
      </c>
      <c r="L22" s="85" t="n">
        <v>0</v>
      </c>
      <c r="M22" s="85" t="n">
        <v>0</v>
      </c>
    </row>
    <row r="23" customFormat="false" ht="15" hidden="false" customHeight="false" outlineLevel="0" collapsed="false">
      <c r="A23" s="4" t="n">
        <v>18</v>
      </c>
      <c r="B23" s="79" t="str">
        <f aca="false">'Food Data'!D23</f>
        <v>Tilapia (fillet)</v>
      </c>
      <c r="C23" s="85" t="n">
        <v>0</v>
      </c>
      <c r="D23" s="85" t="n">
        <v>0</v>
      </c>
      <c r="E23" s="85" t="n">
        <v>0</v>
      </c>
      <c r="F23" s="85" t="n">
        <v>0</v>
      </c>
      <c r="G23" s="85" t="n">
        <v>0</v>
      </c>
      <c r="H23" s="85" t="n">
        <v>0</v>
      </c>
      <c r="I23" s="85" t="n">
        <v>0</v>
      </c>
      <c r="J23" s="85" t="n">
        <v>0</v>
      </c>
      <c r="K23" s="85" t="n">
        <v>0</v>
      </c>
      <c r="L23" s="85" t="n">
        <v>0</v>
      </c>
      <c r="M23" s="85" t="n">
        <v>0</v>
      </c>
    </row>
    <row r="24" customFormat="false" ht="15" hidden="false" customHeight="false" outlineLevel="0" collapsed="false">
      <c r="A24" s="4" t="n">
        <v>19</v>
      </c>
      <c r="B24" s="79" t="str">
        <f aca="false">'Food Data'!D24</f>
        <v>Eggs (large)</v>
      </c>
      <c r="C24" s="85" t="n">
        <v>1.5</v>
      </c>
      <c r="D24" s="85" t="n">
        <v>1.5</v>
      </c>
      <c r="E24" s="85" t="n">
        <v>1.5</v>
      </c>
      <c r="F24" s="85" t="n">
        <v>1.5</v>
      </c>
      <c r="G24" s="85" t="n">
        <v>0</v>
      </c>
      <c r="H24" s="85" t="n">
        <v>1.5</v>
      </c>
      <c r="I24" s="85" t="n">
        <v>1.5</v>
      </c>
      <c r="J24" s="85" t="n">
        <v>1.5</v>
      </c>
      <c r="K24" s="85" t="n">
        <v>1.246902601</v>
      </c>
      <c r="L24" s="85" t="n">
        <v>0.825309562</v>
      </c>
      <c r="M24" s="85" t="n">
        <v>0</v>
      </c>
    </row>
    <row r="25" customFormat="false" ht="15" hidden="false" customHeight="false" outlineLevel="0" collapsed="false">
      <c r="A25" s="4" t="n">
        <v>20</v>
      </c>
      <c r="B25" s="79" t="str">
        <f aca="false">'Food Data'!D25</f>
        <v>Black beans (canned)</v>
      </c>
      <c r="C25" s="85" t="n">
        <v>0</v>
      </c>
      <c r="D25" s="85" t="n">
        <v>0</v>
      </c>
      <c r="E25" s="85" t="n">
        <v>0</v>
      </c>
      <c r="F25" s="85" t="n">
        <v>0</v>
      </c>
      <c r="G25" s="85" t="n">
        <v>0</v>
      </c>
      <c r="H25" s="85" t="n">
        <v>0</v>
      </c>
      <c r="I25" s="85" t="n">
        <v>0</v>
      </c>
      <c r="J25" s="85" t="n">
        <v>0</v>
      </c>
      <c r="K25" s="85" t="n">
        <v>0</v>
      </c>
      <c r="L25" s="85" t="n">
        <v>0</v>
      </c>
      <c r="M25" s="85" t="n">
        <v>0</v>
      </c>
    </row>
    <row r="26" customFormat="false" ht="15" hidden="false" customHeight="false" outlineLevel="0" collapsed="false">
      <c r="A26" s="4" t="n">
        <v>21</v>
      </c>
      <c r="B26" s="79" t="str">
        <f aca="false">'Food Data'!D26</f>
        <v>Black beans (dry)</v>
      </c>
      <c r="C26" s="85" t="n">
        <v>0</v>
      </c>
      <c r="D26" s="85" t="n">
        <v>0</v>
      </c>
      <c r="E26" s="85" t="n">
        <v>0</v>
      </c>
      <c r="F26" s="85" t="n">
        <v>0</v>
      </c>
      <c r="G26" s="85" t="n">
        <v>0</v>
      </c>
      <c r="H26" s="85" t="n">
        <v>0</v>
      </c>
      <c r="I26" s="85" t="n">
        <v>0</v>
      </c>
      <c r="J26" s="85" t="n">
        <v>0</v>
      </c>
      <c r="K26" s="85" t="n">
        <v>0</v>
      </c>
      <c r="L26" s="85" t="n">
        <v>0</v>
      </c>
      <c r="M26" s="85" t="n">
        <v>0</v>
      </c>
    </row>
    <row r="27" customFormat="false" ht="15" hidden="false" customHeight="false" outlineLevel="0" collapsed="false">
      <c r="A27" s="4" t="n">
        <v>22</v>
      </c>
      <c r="B27" s="79" t="str">
        <f aca="false">'Food Data'!D27</f>
        <v>Black-eyed peas (canned)</v>
      </c>
      <c r="C27" s="85" t="n">
        <v>0</v>
      </c>
      <c r="D27" s="85" t="n">
        <v>0</v>
      </c>
      <c r="E27" s="85" t="n">
        <v>0</v>
      </c>
      <c r="F27" s="85" t="n">
        <v>0</v>
      </c>
      <c r="G27" s="85" t="n">
        <v>0</v>
      </c>
      <c r="H27" s="85" t="n">
        <v>0</v>
      </c>
      <c r="I27" s="85" t="n">
        <v>0</v>
      </c>
      <c r="J27" s="85" t="n">
        <v>0</v>
      </c>
      <c r="K27" s="85" t="n">
        <v>0</v>
      </c>
      <c r="L27" s="85" t="n">
        <v>0</v>
      </c>
      <c r="M27" s="85" t="n">
        <v>0</v>
      </c>
    </row>
    <row r="28" customFormat="false" ht="15" hidden="false" customHeight="false" outlineLevel="0" collapsed="false">
      <c r="A28" s="4" t="n">
        <v>23</v>
      </c>
      <c r="B28" s="79" t="str">
        <f aca="false">'Food Data'!D28</f>
        <v>Black-eyed peas (dry)</v>
      </c>
      <c r="C28" s="85" t="n">
        <v>0</v>
      </c>
      <c r="D28" s="85" t="n">
        <v>0</v>
      </c>
      <c r="E28" s="85" t="n">
        <v>0</v>
      </c>
      <c r="F28" s="85" t="n">
        <v>0</v>
      </c>
      <c r="G28" s="85" t="n">
        <v>0</v>
      </c>
      <c r="H28" s="85" t="n">
        <v>0</v>
      </c>
      <c r="I28" s="85" t="n">
        <v>0</v>
      </c>
      <c r="J28" s="85" t="n">
        <v>0</v>
      </c>
      <c r="K28" s="85" t="n">
        <v>0</v>
      </c>
      <c r="L28" s="85" t="n">
        <v>0</v>
      </c>
      <c r="M28" s="85" t="n">
        <v>0</v>
      </c>
    </row>
    <row r="29" customFormat="false" ht="15" hidden="false" customHeight="false" outlineLevel="0" collapsed="false">
      <c r="A29" s="4" t="n">
        <v>24</v>
      </c>
      <c r="B29" s="79" t="str">
        <f aca="false">'Food Data'!D29</f>
        <v>Chickpeas (canned)</v>
      </c>
      <c r="C29" s="85" t="n">
        <v>0</v>
      </c>
      <c r="D29" s="85" t="n">
        <v>0</v>
      </c>
      <c r="E29" s="85" t="n">
        <v>0</v>
      </c>
      <c r="F29" s="85" t="n">
        <v>0</v>
      </c>
      <c r="G29" s="85" t="n">
        <v>0</v>
      </c>
      <c r="H29" s="85" t="n">
        <v>0</v>
      </c>
      <c r="I29" s="85" t="n">
        <v>0</v>
      </c>
      <c r="J29" s="85" t="n">
        <v>0</v>
      </c>
      <c r="K29" s="85" t="n">
        <v>0</v>
      </c>
      <c r="L29" s="85" t="n">
        <v>0</v>
      </c>
      <c r="M29" s="85" t="n">
        <v>0</v>
      </c>
    </row>
    <row r="30" customFormat="false" ht="15" hidden="false" customHeight="false" outlineLevel="0" collapsed="false">
      <c r="A30" s="4" t="n">
        <v>25</v>
      </c>
      <c r="B30" s="79" t="str">
        <f aca="false">'Food Data'!D30</f>
        <v>Great northern beans (canned)</v>
      </c>
      <c r="C30" s="85" t="n">
        <v>0</v>
      </c>
      <c r="D30" s="85" t="n">
        <v>0</v>
      </c>
      <c r="E30" s="85" t="n">
        <v>0</v>
      </c>
      <c r="F30" s="85" t="n">
        <v>0</v>
      </c>
      <c r="G30" s="85" t="n">
        <v>0</v>
      </c>
      <c r="H30" s="85" t="n">
        <v>0</v>
      </c>
      <c r="I30" s="85" t="n">
        <v>0</v>
      </c>
      <c r="J30" s="85" t="n">
        <v>0</v>
      </c>
      <c r="K30" s="85" t="n">
        <v>0</v>
      </c>
      <c r="L30" s="85" t="n">
        <v>0</v>
      </c>
      <c r="M30" s="85" t="n">
        <v>0</v>
      </c>
    </row>
    <row r="31" customFormat="false" ht="15" hidden="false" customHeight="false" outlineLevel="0" collapsed="false">
      <c r="A31" s="4" t="n">
        <v>26</v>
      </c>
      <c r="B31" s="79" t="str">
        <f aca="false">'Food Data'!D31</f>
        <v>Great northern beans (dry)</v>
      </c>
      <c r="C31" s="85" t="n">
        <v>0</v>
      </c>
      <c r="D31" s="85" t="n">
        <v>0</v>
      </c>
      <c r="E31" s="85" t="n">
        <v>0</v>
      </c>
      <c r="F31" s="85" t="n">
        <v>0</v>
      </c>
      <c r="G31" s="85" t="n">
        <v>0</v>
      </c>
      <c r="H31" s="85" t="n">
        <v>0</v>
      </c>
      <c r="I31" s="85" t="n">
        <v>0</v>
      </c>
      <c r="J31" s="85" t="n">
        <v>0</v>
      </c>
      <c r="K31" s="85" t="n">
        <v>0</v>
      </c>
      <c r="L31" s="85" t="n">
        <v>0</v>
      </c>
      <c r="M31" s="85" t="n">
        <v>0</v>
      </c>
    </row>
    <row r="32" customFormat="false" ht="15" hidden="false" customHeight="false" outlineLevel="0" collapsed="false">
      <c r="A32" s="4" t="n">
        <v>27</v>
      </c>
      <c r="B32" s="79" t="str">
        <f aca="false">'Food Data'!D32</f>
        <v>Kidney beans (canned)</v>
      </c>
      <c r="C32" s="85" t="n">
        <v>0</v>
      </c>
      <c r="D32" s="85" t="n">
        <v>0</v>
      </c>
      <c r="E32" s="85" t="n">
        <v>0</v>
      </c>
      <c r="F32" s="85" t="n">
        <v>0</v>
      </c>
      <c r="G32" s="85" t="n">
        <v>0</v>
      </c>
      <c r="H32" s="85" t="n">
        <v>0</v>
      </c>
      <c r="I32" s="85" t="n">
        <v>0</v>
      </c>
      <c r="J32" s="85" t="n">
        <v>0</v>
      </c>
      <c r="K32" s="85" t="n">
        <v>0</v>
      </c>
      <c r="L32" s="85" t="n">
        <v>0</v>
      </c>
      <c r="M32" s="85" t="n">
        <v>0</v>
      </c>
    </row>
    <row r="33" customFormat="false" ht="15" hidden="false" customHeight="false" outlineLevel="0" collapsed="false">
      <c r="A33" s="4" t="n">
        <v>28</v>
      </c>
      <c r="B33" s="79" t="str">
        <f aca="false">'Food Data'!D33</f>
        <v>Kidney beans (dry)</v>
      </c>
      <c r="C33" s="85" t="n">
        <v>0</v>
      </c>
      <c r="D33" s="85" t="n">
        <v>0</v>
      </c>
      <c r="E33" s="85" t="n">
        <v>0</v>
      </c>
      <c r="F33" s="85" t="n">
        <v>0</v>
      </c>
      <c r="G33" s="85" t="n">
        <v>0</v>
      </c>
      <c r="H33" s="85" t="n">
        <v>0</v>
      </c>
      <c r="I33" s="85" t="n">
        <v>0</v>
      </c>
      <c r="J33" s="85" t="n">
        <v>0</v>
      </c>
      <c r="K33" s="85" t="n">
        <v>0</v>
      </c>
      <c r="L33" s="85" t="n">
        <v>0</v>
      </c>
      <c r="M33" s="85" t="n">
        <v>0</v>
      </c>
    </row>
    <row r="34" customFormat="false" ht="15" hidden="false" customHeight="false" outlineLevel="0" collapsed="false">
      <c r="A34" s="4" t="n">
        <v>29</v>
      </c>
      <c r="B34" s="79" t="str">
        <f aca="false">'Food Data'!D34</f>
        <v>Lentils (dry)</v>
      </c>
      <c r="C34" s="85" t="n">
        <v>0</v>
      </c>
      <c r="D34" s="85" t="n">
        <v>0</v>
      </c>
      <c r="E34" s="85" t="n">
        <v>0</v>
      </c>
      <c r="F34" s="85" t="n">
        <v>0</v>
      </c>
      <c r="G34" s="85" t="n">
        <v>0</v>
      </c>
      <c r="H34" s="85" t="n">
        <v>0</v>
      </c>
      <c r="I34" s="85" t="n">
        <v>0</v>
      </c>
      <c r="J34" s="85" t="n">
        <v>0</v>
      </c>
      <c r="K34" s="85" t="n">
        <v>0</v>
      </c>
      <c r="L34" s="85" t="n">
        <v>0</v>
      </c>
      <c r="M34" s="85" t="n">
        <v>0</v>
      </c>
    </row>
    <row r="35" customFormat="false" ht="15" hidden="false" customHeight="false" outlineLevel="0" collapsed="false">
      <c r="A35" s="4" t="n">
        <v>30</v>
      </c>
      <c r="B35" s="79" t="str">
        <f aca="false">'Food Data'!D35</f>
        <v>Lima beans (dry)</v>
      </c>
      <c r="C35" s="85" t="n">
        <v>0</v>
      </c>
      <c r="D35" s="85" t="n">
        <v>0</v>
      </c>
      <c r="E35" s="85" t="n">
        <v>0</v>
      </c>
      <c r="F35" s="85" t="n">
        <v>0</v>
      </c>
      <c r="G35" s="85" t="n">
        <v>0</v>
      </c>
      <c r="H35" s="85" t="n">
        <v>0</v>
      </c>
      <c r="I35" s="85" t="n">
        <v>0</v>
      </c>
      <c r="J35" s="85" t="n">
        <v>0</v>
      </c>
      <c r="K35" s="85" t="n">
        <v>0</v>
      </c>
      <c r="L35" s="85" t="n">
        <v>0</v>
      </c>
      <c r="M35" s="85" t="n">
        <v>0</v>
      </c>
    </row>
    <row r="36" customFormat="false" ht="15" hidden="false" customHeight="false" outlineLevel="0" collapsed="false">
      <c r="A36" s="4" t="n">
        <v>31</v>
      </c>
      <c r="B36" s="79" t="str">
        <f aca="false">'Food Data'!D36</f>
        <v>Navy beans (canned)</v>
      </c>
      <c r="C36" s="85" t="n">
        <v>0</v>
      </c>
      <c r="D36" s="85" t="n">
        <v>0</v>
      </c>
      <c r="E36" s="85" t="n">
        <v>0</v>
      </c>
      <c r="F36" s="85" t="n">
        <v>0</v>
      </c>
      <c r="G36" s="85" t="n">
        <v>0</v>
      </c>
      <c r="H36" s="85" t="n">
        <v>0</v>
      </c>
      <c r="I36" s="85" t="n">
        <v>0</v>
      </c>
      <c r="J36" s="85" t="n">
        <v>0</v>
      </c>
      <c r="K36" s="85" t="n">
        <v>0</v>
      </c>
      <c r="L36" s="85" t="n">
        <v>0</v>
      </c>
      <c r="M36" s="85" t="n">
        <v>0</v>
      </c>
    </row>
    <row r="37" customFormat="false" ht="15" hidden="false" customHeight="false" outlineLevel="0" collapsed="false">
      <c r="A37" s="4" t="n">
        <v>32</v>
      </c>
      <c r="B37" s="79" t="str">
        <f aca="false">'Food Data'!D37</f>
        <v>Navy beans (dry)</v>
      </c>
      <c r="C37" s="85" t="n">
        <v>0</v>
      </c>
      <c r="D37" s="85" t="n">
        <v>0</v>
      </c>
      <c r="E37" s="85" t="n">
        <v>0</v>
      </c>
      <c r="F37" s="85" t="n">
        <v>0</v>
      </c>
      <c r="G37" s="85" t="n">
        <v>0</v>
      </c>
      <c r="H37" s="85" t="n">
        <v>0</v>
      </c>
      <c r="I37" s="85" t="n">
        <v>0</v>
      </c>
      <c r="J37" s="85" t="n">
        <v>0</v>
      </c>
      <c r="K37" s="85" t="n">
        <v>0</v>
      </c>
      <c r="L37" s="85" t="n">
        <v>0</v>
      </c>
      <c r="M37" s="85" t="n">
        <v>0</v>
      </c>
    </row>
    <row r="38" customFormat="false" ht="15" hidden="false" customHeight="false" outlineLevel="0" collapsed="false">
      <c r="A38" s="4" t="n">
        <v>33</v>
      </c>
      <c r="B38" s="79" t="str">
        <f aca="false">'Food Data'!D38</f>
        <v>Peanut butter</v>
      </c>
      <c r="C38" s="85" t="n">
        <v>0.64</v>
      </c>
      <c r="D38" s="85" t="n">
        <v>0.64</v>
      </c>
      <c r="E38" s="85" t="n">
        <v>0.64</v>
      </c>
      <c r="F38" s="85" t="n">
        <v>0.64</v>
      </c>
      <c r="G38" s="85" t="n">
        <v>0.64</v>
      </c>
      <c r="H38" s="85" t="n">
        <v>0.64</v>
      </c>
      <c r="I38" s="85" t="n">
        <v>0.64</v>
      </c>
      <c r="J38" s="85" t="n">
        <v>0.64</v>
      </c>
      <c r="K38" s="85" t="n">
        <v>0.64</v>
      </c>
      <c r="L38" s="85" t="n">
        <v>0.64</v>
      </c>
      <c r="M38" s="85" t="n">
        <v>0</v>
      </c>
    </row>
    <row r="39" customFormat="false" ht="15" hidden="false" customHeight="false" outlineLevel="0" collapsed="false">
      <c r="A39" s="4" t="n">
        <v>34</v>
      </c>
      <c r="B39" s="79" t="str">
        <f aca="false">'Food Data'!D39</f>
        <v>Pinto beans (canned)</v>
      </c>
      <c r="C39" s="85" t="n">
        <v>0</v>
      </c>
      <c r="D39" s="85" t="n">
        <v>0</v>
      </c>
      <c r="E39" s="85" t="n">
        <v>0</v>
      </c>
      <c r="F39" s="85" t="n">
        <v>0</v>
      </c>
      <c r="G39" s="85" t="n">
        <v>0</v>
      </c>
      <c r="H39" s="85" t="n">
        <v>0</v>
      </c>
      <c r="I39" s="85" t="n">
        <v>0</v>
      </c>
      <c r="J39" s="85" t="n">
        <v>0</v>
      </c>
      <c r="K39" s="85" t="n">
        <v>0</v>
      </c>
      <c r="L39" s="85" t="n">
        <v>0</v>
      </c>
      <c r="M39" s="85" t="n">
        <v>0</v>
      </c>
    </row>
    <row r="40" customFormat="false" ht="15" hidden="false" customHeight="false" outlineLevel="0" collapsed="false">
      <c r="A40" s="4" t="n">
        <v>35</v>
      </c>
      <c r="B40" s="79" t="str">
        <f aca="false">'Food Data'!D40</f>
        <v>Pinto beans (dry)</v>
      </c>
      <c r="C40" s="85" t="n">
        <v>1.44</v>
      </c>
      <c r="D40" s="85" t="n">
        <v>1.44</v>
      </c>
      <c r="E40" s="85" t="n">
        <v>1.44</v>
      </c>
      <c r="F40" s="85" t="n">
        <v>1.44</v>
      </c>
      <c r="G40" s="85" t="n">
        <v>1.44</v>
      </c>
      <c r="H40" s="85" t="n">
        <v>1.44</v>
      </c>
      <c r="I40" s="85" t="n">
        <v>1.44</v>
      </c>
      <c r="J40" s="85" t="n">
        <v>1.44</v>
      </c>
      <c r="K40" s="85" t="n">
        <v>1.44</v>
      </c>
      <c r="L40" s="85" t="n">
        <v>1.44</v>
      </c>
      <c r="M40" s="85" t="n">
        <v>0</v>
      </c>
    </row>
    <row r="41" customFormat="false" ht="15" hidden="false" customHeight="false" outlineLevel="0" collapsed="false">
      <c r="A41" s="4" t="n">
        <v>36</v>
      </c>
      <c r="B41" s="79" t="str">
        <f aca="false">'Food Data'!D41</f>
        <v>Tofu (extra firm)</v>
      </c>
      <c r="C41" s="85" t="n">
        <v>0</v>
      </c>
      <c r="D41" s="85" t="n">
        <v>0</v>
      </c>
      <c r="E41" s="85" t="n">
        <v>0</v>
      </c>
      <c r="F41" s="85" t="n">
        <v>0</v>
      </c>
      <c r="G41" s="85" t="n">
        <v>0</v>
      </c>
      <c r="H41" s="85" t="n">
        <v>0</v>
      </c>
      <c r="I41" s="85" t="n">
        <v>0</v>
      </c>
      <c r="J41" s="85" t="n">
        <v>0</v>
      </c>
      <c r="K41" s="85" t="n">
        <v>0</v>
      </c>
      <c r="L41" s="85" t="n">
        <v>0</v>
      </c>
      <c r="M41" s="85" t="n">
        <v>0</v>
      </c>
    </row>
    <row r="42" customFormat="false" ht="15" hidden="false" customHeight="false" outlineLevel="0" collapsed="false">
      <c r="A42" s="4" t="n">
        <v>37</v>
      </c>
      <c r="B42" s="79" t="str">
        <f aca="false">'Food Data'!D42</f>
        <v>2% milk</v>
      </c>
      <c r="C42" s="85" t="n">
        <v>4.599080976</v>
      </c>
      <c r="D42" s="85" t="n">
        <v>7.32</v>
      </c>
      <c r="E42" s="85" t="n">
        <v>2.249636166</v>
      </c>
      <c r="F42" s="85" t="n">
        <v>4.488854288</v>
      </c>
      <c r="G42" s="85" t="n">
        <v>0</v>
      </c>
      <c r="H42" s="85" t="n">
        <v>4.488854288</v>
      </c>
      <c r="I42" s="85" t="n">
        <v>4.612371142</v>
      </c>
      <c r="J42" s="85" t="n">
        <v>4.599080976</v>
      </c>
      <c r="K42" s="85" t="n">
        <v>0</v>
      </c>
      <c r="L42" s="85" t="n">
        <v>4.768261839</v>
      </c>
      <c r="M42" s="85" t="n">
        <v>0</v>
      </c>
    </row>
    <row r="43" customFormat="false" ht="15" hidden="false" customHeight="false" outlineLevel="0" collapsed="false">
      <c r="A43" s="4" t="n">
        <v>38</v>
      </c>
      <c r="B43" s="79" t="str">
        <f aca="false">'Food Data'!D43</f>
        <v>Greek yogurt (plain, nonfat)</v>
      </c>
      <c r="C43" s="85" t="n">
        <v>0</v>
      </c>
      <c r="D43" s="85" t="n">
        <v>0</v>
      </c>
      <c r="E43" s="85" t="n">
        <v>0</v>
      </c>
      <c r="F43" s="85" t="n">
        <v>0</v>
      </c>
      <c r="G43" s="85" t="n">
        <v>0</v>
      </c>
      <c r="H43" s="85" t="n">
        <v>0</v>
      </c>
      <c r="I43" s="85" t="n">
        <v>0</v>
      </c>
      <c r="J43" s="85" t="n">
        <v>0</v>
      </c>
      <c r="K43" s="85" t="n">
        <v>0</v>
      </c>
      <c r="L43" s="85" t="n">
        <v>0</v>
      </c>
      <c r="M43" s="85" t="n">
        <v>0</v>
      </c>
    </row>
    <row r="44" customFormat="false" ht="15" hidden="false" customHeight="false" outlineLevel="0" collapsed="false">
      <c r="A44" s="4" t="n">
        <v>39</v>
      </c>
      <c r="B44" s="79" t="str">
        <f aca="false">'Food Data'!D44</f>
        <v>Soy milk (calcium-fortified)</v>
      </c>
      <c r="C44" s="85" t="n">
        <v>0</v>
      </c>
      <c r="D44" s="85" t="n">
        <v>0</v>
      </c>
      <c r="E44" s="85" t="n">
        <v>0</v>
      </c>
      <c r="F44" s="85" t="n">
        <v>0</v>
      </c>
      <c r="G44" s="85" t="n">
        <v>2.135538185</v>
      </c>
      <c r="H44" s="85" t="n">
        <v>0</v>
      </c>
      <c r="I44" s="85" t="n">
        <v>0</v>
      </c>
      <c r="J44" s="85" t="n">
        <v>0</v>
      </c>
      <c r="K44" s="85" t="n">
        <v>1.573235109</v>
      </c>
      <c r="L44" s="85" t="n">
        <v>0</v>
      </c>
      <c r="M44" s="85" t="n">
        <v>0</v>
      </c>
    </row>
    <row r="45" customFormat="false" ht="15" hidden="false" customHeight="false" outlineLevel="0" collapsed="false">
      <c r="A45" s="4" t="n">
        <v>40</v>
      </c>
      <c r="B45" s="79" t="str">
        <f aca="false">'Food Data'!D45</f>
        <v>Whole milk</v>
      </c>
      <c r="C45" s="85" t="n">
        <v>0</v>
      </c>
      <c r="D45" s="85" t="n">
        <v>0</v>
      </c>
      <c r="E45" s="85" t="n">
        <v>3.854724454</v>
      </c>
      <c r="F45" s="85" t="n">
        <v>0</v>
      </c>
      <c r="G45" s="85" t="n">
        <v>0</v>
      </c>
      <c r="H45" s="85" t="n">
        <v>0</v>
      </c>
      <c r="I45" s="85" t="n">
        <v>0</v>
      </c>
      <c r="J45" s="85" t="n">
        <v>0</v>
      </c>
      <c r="K45" s="85" t="n">
        <v>0</v>
      </c>
      <c r="L45" s="85" t="n">
        <v>0</v>
      </c>
      <c r="M45" s="85" t="n">
        <v>0</v>
      </c>
    </row>
    <row r="46" customFormat="false" ht="15" hidden="false" customHeight="false" outlineLevel="0" collapsed="false">
      <c r="A46" s="4" t="n">
        <v>41</v>
      </c>
      <c r="B46" s="79" t="str">
        <f aca="false">'Food Data'!D46</f>
        <v>American cheese (singles)</v>
      </c>
      <c r="C46" s="85" t="n">
        <v>0</v>
      </c>
      <c r="D46" s="85" t="n">
        <v>0</v>
      </c>
      <c r="E46" s="85" t="n">
        <v>0.57</v>
      </c>
      <c r="F46" s="85" t="n">
        <v>0.012071252</v>
      </c>
      <c r="G46" s="85" t="n">
        <v>0</v>
      </c>
      <c r="H46" s="85" t="n">
        <v>0.012071252</v>
      </c>
      <c r="I46" s="85" t="n">
        <v>0</v>
      </c>
      <c r="J46" s="85" t="n">
        <v>0</v>
      </c>
      <c r="K46" s="85" t="n">
        <v>0</v>
      </c>
      <c r="L46" s="85" t="n">
        <v>0</v>
      </c>
      <c r="M46" s="85" t="n">
        <v>0.57</v>
      </c>
    </row>
    <row r="47" customFormat="false" ht="15" hidden="false" customHeight="false" outlineLevel="0" collapsed="false">
      <c r="A47" s="4" t="n">
        <v>42</v>
      </c>
      <c r="B47" s="79" t="str">
        <f aca="false">'Food Data'!D47</f>
        <v>Cheddar cheese</v>
      </c>
      <c r="C47" s="85" t="n">
        <v>0</v>
      </c>
      <c r="D47" s="85" t="n">
        <v>0</v>
      </c>
      <c r="E47" s="85" t="n">
        <v>0</v>
      </c>
      <c r="F47" s="85" t="n">
        <v>0</v>
      </c>
      <c r="G47" s="85" t="n">
        <v>0</v>
      </c>
      <c r="H47" s="85" t="n">
        <v>0</v>
      </c>
      <c r="I47" s="85" t="n">
        <v>0</v>
      </c>
      <c r="J47" s="85" t="n">
        <v>0</v>
      </c>
      <c r="K47" s="85" t="n">
        <v>0</v>
      </c>
      <c r="L47" s="85" t="n">
        <v>0</v>
      </c>
      <c r="M47" s="85" t="n">
        <v>0.28</v>
      </c>
    </row>
    <row r="48" customFormat="false" ht="15" hidden="false" customHeight="false" outlineLevel="0" collapsed="false">
      <c r="A48" s="4" t="n">
        <v>43</v>
      </c>
      <c r="B48" s="79" t="str">
        <f aca="false">'Food Data'!D48</f>
        <v>Cottage cheese (2%)</v>
      </c>
      <c r="C48" s="85" t="n">
        <v>0</v>
      </c>
      <c r="D48" s="85" t="n">
        <v>0</v>
      </c>
      <c r="E48" s="85" t="n">
        <v>0</v>
      </c>
      <c r="F48" s="85" t="n">
        <v>0</v>
      </c>
      <c r="G48" s="85" t="n">
        <v>0</v>
      </c>
      <c r="H48" s="85" t="n">
        <v>0</v>
      </c>
      <c r="I48" s="85" t="n">
        <v>0</v>
      </c>
      <c r="J48" s="85" t="n">
        <v>0</v>
      </c>
      <c r="K48" s="85" t="n">
        <v>0</v>
      </c>
      <c r="L48" s="85" t="n">
        <v>0</v>
      </c>
      <c r="M48" s="85" t="n">
        <v>0</v>
      </c>
    </row>
    <row r="49" customFormat="false" ht="15" hidden="false" customHeight="false" outlineLevel="0" collapsed="false">
      <c r="A49" s="4" t="n">
        <v>44</v>
      </c>
      <c r="B49" s="79" t="str">
        <f aca="false">'Food Data'!D49</f>
        <v>Mozzarella string cheese</v>
      </c>
      <c r="C49" s="85" t="n">
        <v>0</v>
      </c>
      <c r="D49" s="85" t="n">
        <v>0</v>
      </c>
      <c r="E49" s="85" t="n">
        <v>0</v>
      </c>
      <c r="F49" s="85" t="n">
        <v>0</v>
      </c>
      <c r="G49" s="85" t="n">
        <v>0</v>
      </c>
      <c r="H49" s="85" t="n">
        <v>0</v>
      </c>
      <c r="I49" s="85" t="n">
        <v>0</v>
      </c>
      <c r="J49" s="85" t="n">
        <v>0</v>
      </c>
      <c r="K49" s="85" t="n">
        <v>0</v>
      </c>
      <c r="L49" s="85" t="n">
        <v>0</v>
      </c>
      <c r="M49" s="85" t="n">
        <v>0</v>
      </c>
    </row>
    <row r="50" customFormat="false" ht="15" hidden="false" customHeight="false" outlineLevel="0" collapsed="false">
      <c r="A50" s="4" t="n">
        <v>45</v>
      </c>
      <c r="B50" s="79" t="str">
        <f aca="false">'Food Data'!D50</f>
        <v>Bagels (plain)</v>
      </c>
      <c r="C50" s="85" t="n">
        <v>0</v>
      </c>
      <c r="D50" s="85" t="n">
        <v>0</v>
      </c>
      <c r="E50" s="85" t="n">
        <v>0</v>
      </c>
      <c r="F50" s="85" t="n">
        <v>0</v>
      </c>
      <c r="G50" s="85" t="n">
        <v>0.94</v>
      </c>
      <c r="H50" s="85" t="n">
        <v>0</v>
      </c>
      <c r="I50" s="85" t="n">
        <v>0</v>
      </c>
      <c r="J50" s="85" t="n">
        <v>0</v>
      </c>
      <c r="K50" s="85" t="n">
        <v>0.94</v>
      </c>
      <c r="L50" s="85" t="n">
        <v>0</v>
      </c>
      <c r="M50" s="85" t="n">
        <v>0.94</v>
      </c>
    </row>
    <row r="51" customFormat="false" ht="15" hidden="false" customHeight="false" outlineLevel="0" collapsed="false">
      <c r="A51" s="4" t="n">
        <v>46</v>
      </c>
      <c r="B51" s="79" t="str">
        <f aca="false">'Food Data'!D51</f>
        <v>Brown rice (dry)</v>
      </c>
      <c r="C51" s="85" t="n">
        <v>1.511128803</v>
      </c>
      <c r="D51" s="85" t="n">
        <v>0</v>
      </c>
      <c r="E51" s="85" t="n">
        <v>0</v>
      </c>
      <c r="F51" s="85" t="n">
        <v>1.465396102</v>
      </c>
      <c r="G51" s="85" t="n">
        <v>0</v>
      </c>
      <c r="H51" s="85" t="n">
        <v>1.465396102</v>
      </c>
      <c r="I51" s="85" t="n">
        <v>1.638357105</v>
      </c>
      <c r="J51" s="85" t="n">
        <v>1.511128803</v>
      </c>
      <c r="K51" s="85" t="n">
        <v>0</v>
      </c>
      <c r="L51" s="85" t="n">
        <v>0</v>
      </c>
      <c r="M51" s="85" t="n">
        <v>0</v>
      </c>
    </row>
    <row r="52" customFormat="false" ht="15" hidden="false" customHeight="false" outlineLevel="0" collapsed="false">
      <c r="A52" s="4" t="n">
        <v>47</v>
      </c>
      <c r="B52" s="79" t="str">
        <f aca="false">'Food Data'!D52</f>
        <v>Cheerios</v>
      </c>
      <c r="C52" s="85" t="n">
        <v>0</v>
      </c>
      <c r="D52" s="85" t="n">
        <v>0</v>
      </c>
      <c r="E52" s="85" t="n">
        <v>0</v>
      </c>
      <c r="F52" s="85" t="n">
        <v>0</v>
      </c>
      <c r="G52" s="85" t="n">
        <v>0</v>
      </c>
      <c r="H52" s="85" t="n">
        <v>0</v>
      </c>
      <c r="I52" s="85" t="n">
        <v>0</v>
      </c>
      <c r="J52" s="85" t="n">
        <v>0</v>
      </c>
      <c r="K52" s="85" t="n">
        <v>0</v>
      </c>
      <c r="L52" s="85" t="n">
        <v>0</v>
      </c>
      <c r="M52" s="85" t="n">
        <v>0</v>
      </c>
    </row>
    <row r="53" customFormat="false" ht="15" hidden="false" customHeight="false" outlineLevel="0" collapsed="false">
      <c r="A53" s="4" t="n">
        <v>48</v>
      </c>
      <c r="B53" s="79" t="str">
        <f aca="false">'Food Data'!D53</f>
        <v>Corn tortillas</v>
      </c>
      <c r="C53" s="85" t="n">
        <v>0</v>
      </c>
      <c r="D53" s="85" t="n">
        <v>0</v>
      </c>
      <c r="E53" s="85" t="n">
        <v>0</v>
      </c>
      <c r="F53" s="85" t="n">
        <v>0</v>
      </c>
      <c r="G53" s="85" t="n">
        <v>0</v>
      </c>
      <c r="H53" s="85" t="n">
        <v>0</v>
      </c>
      <c r="I53" s="85" t="n">
        <v>0</v>
      </c>
      <c r="J53" s="85" t="n">
        <v>0</v>
      </c>
      <c r="K53" s="85" t="n">
        <v>0</v>
      </c>
      <c r="L53" s="85" t="n">
        <v>0</v>
      </c>
      <c r="M53" s="85" t="n">
        <v>0</v>
      </c>
    </row>
    <row r="54" customFormat="false" ht="15" hidden="false" customHeight="false" outlineLevel="0" collapsed="false">
      <c r="A54" s="4" t="n">
        <v>49</v>
      </c>
      <c r="B54" s="79" t="str">
        <f aca="false">'Food Data'!D54</f>
        <v>Flour tortillas</v>
      </c>
      <c r="C54" s="85" t="n">
        <v>0</v>
      </c>
      <c r="D54" s="85" t="n">
        <v>0</v>
      </c>
      <c r="E54" s="85" t="n">
        <v>0</v>
      </c>
      <c r="F54" s="85" t="n">
        <v>0</v>
      </c>
      <c r="G54" s="85" t="n">
        <v>0</v>
      </c>
      <c r="H54" s="85" t="n">
        <v>0</v>
      </c>
      <c r="I54" s="85" t="n">
        <v>0</v>
      </c>
      <c r="J54" s="85" t="n">
        <v>0</v>
      </c>
      <c r="K54" s="85" t="n">
        <v>0</v>
      </c>
      <c r="L54" s="85" t="n">
        <v>0</v>
      </c>
      <c r="M54" s="85" t="n">
        <v>0</v>
      </c>
    </row>
    <row r="55" customFormat="false" ht="15" hidden="false" customHeight="false" outlineLevel="0" collapsed="false">
      <c r="A55" s="4" t="n">
        <v>50</v>
      </c>
      <c r="B55" s="79" t="str">
        <f aca="false">'Food Data'!D55</f>
        <v>Quinoa (dry)</v>
      </c>
      <c r="C55" s="85" t="n">
        <v>0</v>
      </c>
      <c r="D55" s="85" t="n">
        <v>0</v>
      </c>
      <c r="E55" s="85" t="n">
        <v>0</v>
      </c>
      <c r="F55" s="85" t="n">
        <v>0</v>
      </c>
      <c r="G55" s="85" t="n">
        <v>0</v>
      </c>
      <c r="H55" s="85" t="n">
        <v>0</v>
      </c>
      <c r="I55" s="85" t="n">
        <v>0</v>
      </c>
      <c r="J55" s="85" t="n">
        <v>0</v>
      </c>
      <c r="K55" s="85" t="n">
        <v>0</v>
      </c>
      <c r="L55" s="85" t="n">
        <v>0</v>
      </c>
      <c r="M55" s="85" t="n">
        <v>0</v>
      </c>
    </row>
    <row r="56" customFormat="false" ht="15" hidden="false" customHeight="false" outlineLevel="0" collapsed="false">
      <c r="A56" s="4" t="n">
        <v>51</v>
      </c>
      <c r="B56" s="79" t="str">
        <f aca="false">'Food Data'!D56</f>
        <v>Rolled oats (dry)</v>
      </c>
      <c r="C56" s="85" t="n">
        <v>0</v>
      </c>
      <c r="D56" s="85" t="n">
        <v>0</v>
      </c>
      <c r="E56" s="85" t="n">
        <v>0</v>
      </c>
      <c r="F56" s="85" t="n">
        <v>0</v>
      </c>
      <c r="G56" s="85" t="n">
        <v>0</v>
      </c>
      <c r="H56" s="85" t="n">
        <v>0</v>
      </c>
      <c r="I56" s="85" t="n">
        <v>0</v>
      </c>
      <c r="J56" s="85" t="n">
        <v>0</v>
      </c>
      <c r="K56" s="85" t="n">
        <v>0</v>
      </c>
      <c r="L56" s="85" t="n">
        <v>0.191013685</v>
      </c>
      <c r="M56" s="85" t="n">
        <v>0</v>
      </c>
    </row>
    <row r="57" customFormat="false" ht="15" hidden="false" customHeight="false" outlineLevel="0" collapsed="false">
      <c r="A57" s="4" t="n">
        <v>52</v>
      </c>
      <c r="B57" s="79" t="str">
        <f aca="false">'Food Data'!D57</f>
        <v>Spaghetti (dry)</v>
      </c>
      <c r="C57" s="85" t="n">
        <v>0.15075415</v>
      </c>
      <c r="D57" s="85" t="n">
        <v>1.71</v>
      </c>
      <c r="E57" s="85" t="n">
        <v>0</v>
      </c>
      <c r="F57" s="85" t="n">
        <v>0.20378393</v>
      </c>
      <c r="G57" s="85" t="n">
        <v>1.71</v>
      </c>
      <c r="H57" s="85" t="n">
        <v>0.20378393</v>
      </c>
      <c r="I57" s="85" t="n">
        <v>0</v>
      </c>
      <c r="J57" s="85" t="n">
        <v>0.15075415</v>
      </c>
      <c r="K57" s="85" t="n">
        <v>0.324697712</v>
      </c>
      <c r="L57" s="85" t="n">
        <v>1.051320889</v>
      </c>
      <c r="M57" s="85" t="n">
        <v>1.7</v>
      </c>
    </row>
    <row r="58" customFormat="false" ht="15" hidden="false" customHeight="false" outlineLevel="0" collapsed="false">
      <c r="A58" s="4" t="n">
        <v>53</v>
      </c>
      <c r="B58" s="79" t="str">
        <f aca="false">'Food Data'!D58</f>
        <v>White bread</v>
      </c>
      <c r="C58" s="85" t="n">
        <v>0</v>
      </c>
      <c r="D58" s="85" t="n">
        <v>0</v>
      </c>
      <c r="E58" s="85" t="n">
        <v>0</v>
      </c>
      <c r="F58" s="85" t="n">
        <v>0</v>
      </c>
      <c r="G58" s="85" t="n">
        <v>0</v>
      </c>
      <c r="H58" s="85" t="n">
        <v>0</v>
      </c>
      <c r="I58" s="85" t="n">
        <v>0</v>
      </c>
      <c r="J58" s="85" t="n">
        <v>0</v>
      </c>
      <c r="K58" s="85" t="n">
        <v>0</v>
      </c>
      <c r="L58" s="85" t="n">
        <v>0</v>
      </c>
      <c r="M58" s="85" t="n">
        <v>1.12</v>
      </c>
    </row>
    <row r="59" customFormat="false" ht="15" hidden="false" customHeight="false" outlineLevel="0" collapsed="false">
      <c r="A59" s="4" t="n">
        <v>54</v>
      </c>
      <c r="B59" s="79" t="str">
        <f aca="false">'Food Data'!D59</f>
        <v>White rice (dry)</v>
      </c>
      <c r="C59" s="85" t="n">
        <v>1.84</v>
      </c>
      <c r="D59" s="85" t="n">
        <v>0.142694817</v>
      </c>
      <c r="E59" s="85" t="n">
        <v>0.163979447</v>
      </c>
      <c r="F59" s="85" t="n">
        <v>1.84</v>
      </c>
      <c r="G59" s="85" t="n">
        <v>0.317502468</v>
      </c>
      <c r="H59" s="85" t="n">
        <v>1.84</v>
      </c>
      <c r="I59" s="85" t="n">
        <v>1.84</v>
      </c>
      <c r="J59" s="85" t="n">
        <v>1.84</v>
      </c>
      <c r="K59" s="85" t="n">
        <v>1.84</v>
      </c>
      <c r="L59" s="85" t="n">
        <v>1.84</v>
      </c>
      <c r="M59" s="85" t="n">
        <v>0</v>
      </c>
    </row>
    <row r="60" customFormat="false" ht="15" hidden="false" customHeight="false" outlineLevel="0" collapsed="false">
      <c r="A60" s="4" t="n">
        <v>55</v>
      </c>
      <c r="B60" s="79" t="str">
        <f aca="false">'Food Data'!D60</f>
        <v>Whole-wheat bread</v>
      </c>
      <c r="C60" s="85" t="n">
        <v>0</v>
      </c>
      <c r="D60" s="85" t="n">
        <v>0</v>
      </c>
      <c r="E60" s="85" t="n">
        <v>0</v>
      </c>
      <c r="F60" s="85" t="n">
        <v>0</v>
      </c>
      <c r="G60" s="85" t="n">
        <v>1.094649821</v>
      </c>
      <c r="H60" s="85" t="n">
        <v>0</v>
      </c>
      <c r="I60" s="85" t="n">
        <v>0</v>
      </c>
      <c r="J60" s="85" t="n">
        <v>0</v>
      </c>
      <c r="K60" s="85" t="n">
        <v>1.097713565</v>
      </c>
      <c r="L60" s="85" t="n">
        <v>0</v>
      </c>
      <c r="M60" s="85" t="n">
        <v>0</v>
      </c>
    </row>
    <row r="61" customFormat="false" ht="15" hidden="false" customHeight="false" outlineLevel="0" collapsed="false">
      <c r="A61" s="4" t="n">
        <v>56</v>
      </c>
      <c r="B61" s="79" t="str">
        <f aca="false">'Food Data'!D61</f>
        <v>Whole-wheat spaghetti (dry)</v>
      </c>
      <c r="C61" s="85" t="n">
        <v>0</v>
      </c>
      <c r="D61" s="85" t="n">
        <v>0</v>
      </c>
      <c r="E61" s="85" t="n">
        <v>0.4691116</v>
      </c>
      <c r="F61" s="85" t="n">
        <v>0</v>
      </c>
      <c r="G61" s="85" t="n">
        <v>0.506728036</v>
      </c>
      <c r="H61" s="85" t="n">
        <v>0</v>
      </c>
      <c r="I61" s="85" t="n">
        <v>0</v>
      </c>
      <c r="J61" s="85" t="n">
        <v>0</v>
      </c>
      <c r="K61" s="85" t="n">
        <v>0</v>
      </c>
      <c r="L61" s="85" t="n">
        <v>0</v>
      </c>
      <c r="M61" s="85" t="n">
        <v>0</v>
      </c>
    </row>
    <row r="62" customFormat="false" ht="15" hidden="false" customHeight="false" outlineLevel="0" collapsed="false">
      <c r="A62" s="4" t="n">
        <v>57</v>
      </c>
      <c r="B62" s="79" t="str">
        <f aca="false">'Food Data'!D62</f>
        <v>Baby lima beans (frozen)</v>
      </c>
      <c r="C62" s="85" t="n">
        <v>0</v>
      </c>
      <c r="D62" s="85" t="n">
        <v>0</v>
      </c>
      <c r="E62" s="85" t="n">
        <v>0</v>
      </c>
      <c r="F62" s="85" t="n">
        <v>0</v>
      </c>
      <c r="G62" s="85" t="n">
        <v>0</v>
      </c>
      <c r="H62" s="85" t="n">
        <v>0</v>
      </c>
      <c r="I62" s="85" t="n">
        <v>0</v>
      </c>
      <c r="J62" s="85" t="n">
        <v>0</v>
      </c>
      <c r="K62" s="85" t="n">
        <v>0</v>
      </c>
      <c r="L62" s="85" t="n">
        <v>0</v>
      </c>
      <c r="M62" s="85" t="n">
        <v>0</v>
      </c>
    </row>
    <row r="63" customFormat="false" ht="15" hidden="false" customHeight="false" outlineLevel="0" collapsed="false">
      <c r="A63" s="4" t="n">
        <v>58</v>
      </c>
      <c r="B63" s="79" t="str">
        <f aca="false">'Food Data'!D63</f>
        <v>Corn (canned)</v>
      </c>
      <c r="C63" s="85" t="n">
        <v>0</v>
      </c>
      <c r="D63" s="85" t="n">
        <v>0</v>
      </c>
      <c r="E63" s="85" t="n">
        <v>0</v>
      </c>
      <c r="F63" s="85" t="n">
        <v>0</v>
      </c>
      <c r="G63" s="85" t="n">
        <v>0</v>
      </c>
      <c r="H63" s="85" t="n">
        <v>0</v>
      </c>
      <c r="I63" s="85" t="n">
        <v>0</v>
      </c>
      <c r="J63" s="85" t="n">
        <v>0</v>
      </c>
      <c r="K63" s="85" t="n">
        <v>0</v>
      </c>
      <c r="L63" s="85" t="n">
        <v>0</v>
      </c>
      <c r="M63" s="85" t="n">
        <v>0</v>
      </c>
    </row>
    <row r="64" customFormat="false" ht="15" hidden="false" customHeight="false" outlineLevel="0" collapsed="false">
      <c r="A64" s="4" t="n">
        <v>59</v>
      </c>
      <c r="B64" s="79" t="str">
        <f aca="false">'Food Data'!D64</f>
        <v>Corn (frozen)</v>
      </c>
      <c r="C64" s="85" t="n">
        <v>0</v>
      </c>
      <c r="D64" s="85" t="n">
        <v>0</v>
      </c>
      <c r="E64" s="85" t="n">
        <v>0</v>
      </c>
      <c r="F64" s="85" t="n">
        <v>0</v>
      </c>
      <c r="G64" s="85" t="n">
        <v>0</v>
      </c>
      <c r="H64" s="85" t="n">
        <v>0</v>
      </c>
      <c r="I64" s="85" t="n">
        <v>0</v>
      </c>
      <c r="J64" s="85" t="n">
        <v>0</v>
      </c>
      <c r="K64" s="85" t="n">
        <v>0</v>
      </c>
      <c r="L64" s="85" t="n">
        <v>0</v>
      </c>
      <c r="M64" s="85" t="n">
        <v>0</v>
      </c>
    </row>
    <row r="65" customFormat="false" ht="15" hidden="false" customHeight="false" outlineLevel="0" collapsed="false">
      <c r="A65" s="4" t="n">
        <v>60</v>
      </c>
      <c r="B65" s="79" t="str">
        <f aca="false">'Food Data'!D65</f>
        <v>French fries (frozen)</v>
      </c>
      <c r="C65" s="85" t="n">
        <v>0</v>
      </c>
      <c r="D65" s="85" t="n">
        <v>0</v>
      </c>
      <c r="E65" s="85" t="n">
        <v>0</v>
      </c>
      <c r="F65" s="85" t="n">
        <v>0</v>
      </c>
      <c r="G65" s="85" t="n">
        <v>0</v>
      </c>
      <c r="H65" s="85" t="n">
        <v>0</v>
      </c>
      <c r="I65" s="85" t="n">
        <v>0</v>
      </c>
      <c r="J65" s="85" t="n">
        <v>0</v>
      </c>
      <c r="K65" s="85" t="n">
        <v>0</v>
      </c>
      <c r="L65" s="85" t="n">
        <v>0</v>
      </c>
      <c r="M65" s="85" t="n">
        <v>0</v>
      </c>
    </row>
    <row r="66" customFormat="false" ht="15" hidden="false" customHeight="false" outlineLevel="0" collapsed="false">
      <c r="A66" s="4" t="n">
        <v>61</v>
      </c>
      <c r="B66" s="79" t="str">
        <f aca="false">'Food Data'!D66</f>
        <v>Green peas (canned)</v>
      </c>
      <c r="C66" s="85" t="n">
        <v>0</v>
      </c>
      <c r="D66" s="85" t="n">
        <v>0</v>
      </c>
      <c r="E66" s="85" t="n">
        <v>0</v>
      </c>
      <c r="F66" s="85" t="n">
        <v>0</v>
      </c>
      <c r="G66" s="85" t="n">
        <v>0</v>
      </c>
      <c r="H66" s="85" t="n">
        <v>0</v>
      </c>
      <c r="I66" s="85" t="n">
        <v>0</v>
      </c>
      <c r="J66" s="85" t="n">
        <v>0</v>
      </c>
      <c r="K66" s="85" t="n">
        <v>0</v>
      </c>
      <c r="L66" s="85" t="n">
        <v>0</v>
      </c>
      <c r="M66" s="85" t="n">
        <v>0</v>
      </c>
    </row>
    <row r="67" customFormat="false" ht="15" hidden="false" customHeight="false" outlineLevel="0" collapsed="false">
      <c r="A67" s="4" t="n">
        <v>62</v>
      </c>
      <c r="B67" s="79" t="str">
        <f aca="false">'Food Data'!D67</f>
        <v>Green peas (frozen)</v>
      </c>
      <c r="C67" s="85" t="n">
        <v>0</v>
      </c>
      <c r="D67" s="85" t="n">
        <v>0</v>
      </c>
      <c r="E67" s="85" t="n">
        <v>0</v>
      </c>
      <c r="F67" s="85" t="n">
        <v>0</v>
      </c>
      <c r="G67" s="85" t="n">
        <v>0</v>
      </c>
      <c r="H67" s="85" t="n">
        <v>0</v>
      </c>
      <c r="I67" s="85" t="n">
        <v>0</v>
      </c>
      <c r="J67" s="85" t="n">
        <v>0</v>
      </c>
      <c r="K67" s="85" t="n">
        <v>0</v>
      </c>
      <c r="L67" s="85" t="n">
        <v>0</v>
      </c>
      <c r="M67" s="85" t="n">
        <v>0</v>
      </c>
    </row>
    <row r="68" customFormat="false" ht="15" hidden="false" customHeight="false" outlineLevel="0" collapsed="false">
      <c r="A68" s="4" t="n">
        <v>63</v>
      </c>
      <c r="B68" s="79" t="str">
        <f aca="false">'Food Data'!D68</f>
        <v>Potatoes (russet)</v>
      </c>
      <c r="C68" s="85" t="n">
        <v>0</v>
      </c>
      <c r="D68" s="85" t="n">
        <v>0</v>
      </c>
      <c r="E68" s="85" t="n">
        <v>0</v>
      </c>
      <c r="F68" s="85" t="n">
        <v>0</v>
      </c>
      <c r="G68" s="85" t="n">
        <v>0</v>
      </c>
      <c r="H68" s="85" t="n">
        <v>0</v>
      </c>
      <c r="I68" s="85" t="n">
        <v>0</v>
      </c>
      <c r="J68" s="85" t="n">
        <v>0</v>
      </c>
      <c r="K68" s="85" t="n">
        <v>0</v>
      </c>
      <c r="L68" s="85" t="n">
        <v>0</v>
      </c>
      <c r="M68" s="85" t="n">
        <v>0</v>
      </c>
    </row>
    <row r="69" customFormat="false" ht="15" hidden="false" customHeight="false" outlineLevel="0" collapsed="false">
      <c r="A69" s="4" t="n">
        <v>64</v>
      </c>
      <c r="B69" s="79" t="str">
        <f aca="false">'Food Data'!D69</f>
        <v>Sweet potatoes</v>
      </c>
      <c r="C69" s="85" t="n">
        <v>0</v>
      </c>
      <c r="D69" s="85" t="n">
        <v>0</v>
      </c>
      <c r="E69" s="85" t="n">
        <v>0</v>
      </c>
      <c r="F69" s="85" t="n">
        <v>0</v>
      </c>
      <c r="G69" s="85" t="n">
        <v>0</v>
      </c>
      <c r="H69" s="85" t="n">
        <v>0</v>
      </c>
      <c r="I69" s="85" t="n">
        <v>0</v>
      </c>
      <c r="J69" s="85" t="n">
        <v>0</v>
      </c>
      <c r="K69" s="85" t="n">
        <v>0</v>
      </c>
      <c r="L69" s="85" t="n">
        <v>0</v>
      </c>
      <c r="M69" s="85" t="n">
        <v>0</v>
      </c>
    </row>
    <row r="70" customFormat="false" ht="15" hidden="false" customHeight="false" outlineLevel="0" collapsed="false">
      <c r="A70" s="4" t="n">
        <v>65</v>
      </c>
      <c r="B70" s="79" t="str">
        <f aca="false">'Food Data'!D70</f>
        <v>Apples (Gala)</v>
      </c>
      <c r="C70" s="85" t="n">
        <v>0</v>
      </c>
      <c r="D70" s="85" t="n">
        <v>0</v>
      </c>
      <c r="E70" s="85" t="n">
        <v>0</v>
      </c>
      <c r="F70" s="85" t="n">
        <v>0</v>
      </c>
      <c r="G70" s="85" t="n">
        <v>0</v>
      </c>
      <c r="H70" s="85" t="n">
        <v>0</v>
      </c>
      <c r="I70" s="85" t="n">
        <v>0</v>
      </c>
      <c r="J70" s="85" t="n">
        <v>0</v>
      </c>
      <c r="K70" s="85" t="n">
        <v>0</v>
      </c>
      <c r="L70" s="85" t="n">
        <v>0</v>
      </c>
      <c r="M70" s="85" t="n">
        <v>0</v>
      </c>
    </row>
    <row r="71" customFormat="false" ht="15" hidden="false" customHeight="false" outlineLevel="0" collapsed="false">
      <c r="A71" s="4" t="n">
        <v>66</v>
      </c>
      <c r="B71" s="79" t="str">
        <f aca="false">'Food Data'!D71</f>
        <v>Applesauce (unsweetened)</v>
      </c>
      <c r="C71" s="85" t="n">
        <v>0</v>
      </c>
      <c r="D71" s="85" t="n">
        <v>0</v>
      </c>
      <c r="E71" s="85" t="n">
        <v>0</v>
      </c>
      <c r="F71" s="85" t="n">
        <v>0</v>
      </c>
      <c r="G71" s="85" t="n">
        <v>0</v>
      </c>
      <c r="H71" s="85" t="n">
        <v>0</v>
      </c>
      <c r="I71" s="85" t="n">
        <v>0</v>
      </c>
      <c r="J71" s="85" t="n">
        <v>0</v>
      </c>
      <c r="K71" s="85" t="n">
        <v>0</v>
      </c>
      <c r="L71" s="85" t="n">
        <v>0</v>
      </c>
      <c r="M71" s="85" t="n">
        <v>0</v>
      </c>
    </row>
    <row r="72" customFormat="false" ht="15" hidden="false" customHeight="false" outlineLevel="0" collapsed="false">
      <c r="A72" s="4" t="n">
        <v>67</v>
      </c>
      <c r="B72" s="79" t="str">
        <f aca="false">'Food Data'!D72</f>
        <v>Bananas</v>
      </c>
      <c r="C72" s="85" t="n">
        <v>2.36</v>
      </c>
      <c r="D72" s="85" t="n">
        <v>2.36</v>
      </c>
      <c r="E72" s="85" t="n">
        <v>2.36</v>
      </c>
      <c r="F72" s="85" t="n">
        <v>2.36</v>
      </c>
      <c r="G72" s="85" t="n">
        <v>2.36</v>
      </c>
      <c r="H72" s="85" t="n">
        <v>2.36</v>
      </c>
      <c r="I72" s="85" t="n">
        <v>2.36</v>
      </c>
      <c r="J72" s="85" t="n">
        <v>2.36</v>
      </c>
      <c r="K72" s="85" t="n">
        <v>2.36</v>
      </c>
      <c r="L72" s="85" t="n">
        <v>2.36</v>
      </c>
      <c r="M72" s="85" t="n">
        <v>0</v>
      </c>
    </row>
    <row r="73" customFormat="false" ht="15" hidden="false" customHeight="false" outlineLevel="0" collapsed="false">
      <c r="A73" s="4" t="n">
        <v>68</v>
      </c>
      <c r="B73" s="79" t="str">
        <f aca="false">'Food Data'!D73</f>
        <v>Blackberries</v>
      </c>
      <c r="C73" s="85" t="n">
        <v>0</v>
      </c>
      <c r="D73" s="85" t="n">
        <v>0</v>
      </c>
      <c r="E73" s="85" t="n">
        <v>0</v>
      </c>
      <c r="F73" s="85" t="n">
        <v>0</v>
      </c>
      <c r="G73" s="85" t="n">
        <v>0</v>
      </c>
      <c r="H73" s="85" t="n">
        <v>0</v>
      </c>
      <c r="I73" s="85" t="n">
        <v>0</v>
      </c>
      <c r="J73" s="85" t="n">
        <v>0</v>
      </c>
      <c r="K73" s="85" t="n">
        <v>0</v>
      </c>
      <c r="L73" s="85" t="n">
        <v>0</v>
      </c>
      <c r="M73" s="85" t="n">
        <v>0</v>
      </c>
    </row>
    <row r="74" customFormat="false" ht="15" hidden="false" customHeight="false" outlineLevel="0" collapsed="false">
      <c r="A74" s="4" t="n">
        <v>69</v>
      </c>
      <c r="B74" s="79" t="str">
        <f aca="false">'Food Data'!D74</f>
        <v>Blueberries (frozen)</v>
      </c>
      <c r="C74" s="85" t="n">
        <v>0</v>
      </c>
      <c r="D74" s="85" t="n">
        <v>0</v>
      </c>
      <c r="E74" s="85" t="n">
        <v>0</v>
      </c>
      <c r="F74" s="85" t="n">
        <v>0</v>
      </c>
      <c r="G74" s="85" t="n">
        <v>0</v>
      </c>
      <c r="H74" s="85" t="n">
        <v>0</v>
      </c>
      <c r="I74" s="85" t="n">
        <v>0</v>
      </c>
      <c r="J74" s="85" t="n">
        <v>0</v>
      </c>
      <c r="K74" s="85" t="n">
        <v>0</v>
      </c>
      <c r="L74" s="85" t="n">
        <v>0</v>
      </c>
      <c r="M74" s="85" t="n">
        <v>0</v>
      </c>
    </row>
    <row r="75" customFormat="false" ht="15" hidden="false" customHeight="false" outlineLevel="0" collapsed="false">
      <c r="A75" s="4" t="n">
        <v>70</v>
      </c>
      <c r="B75" s="79" t="str">
        <f aca="false">'Food Data'!D75</f>
        <v>Cantaloupe</v>
      </c>
      <c r="C75" s="85" t="n">
        <v>0</v>
      </c>
      <c r="D75" s="85" t="n">
        <v>0</v>
      </c>
      <c r="E75" s="85" t="n">
        <v>0</v>
      </c>
      <c r="F75" s="85" t="n">
        <v>0</v>
      </c>
      <c r="G75" s="85" t="n">
        <v>0</v>
      </c>
      <c r="H75" s="85" t="n">
        <v>0</v>
      </c>
      <c r="I75" s="85" t="n">
        <v>0</v>
      </c>
      <c r="J75" s="85" t="n">
        <v>0</v>
      </c>
      <c r="K75" s="85" t="n">
        <v>0</v>
      </c>
      <c r="L75" s="85" t="n">
        <v>0</v>
      </c>
      <c r="M75" s="85" t="n">
        <v>0</v>
      </c>
    </row>
    <row r="76" customFormat="false" ht="15" hidden="false" customHeight="false" outlineLevel="0" collapsed="false">
      <c r="A76" s="4" t="n">
        <v>71</v>
      </c>
      <c r="B76" s="79" t="str">
        <f aca="false">'Food Data'!D76</f>
        <v>Cherries</v>
      </c>
      <c r="C76" s="85" t="n">
        <v>0</v>
      </c>
      <c r="D76" s="85" t="n">
        <v>0</v>
      </c>
      <c r="E76" s="85" t="n">
        <v>0</v>
      </c>
      <c r="F76" s="85" t="n">
        <v>0</v>
      </c>
      <c r="G76" s="85" t="n">
        <v>0</v>
      </c>
      <c r="H76" s="85" t="n">
        <v>0</v>
      </c>
      <c r="I76" s="85" t="n">
        <v>0</v>
      </c>
      <c r="J76" s="85" t="n">
        <v>0</v>
      </c>
      <c r="K76" s="85" t="n">
        <v>0</v>
      </c>
      <c r="L76" s="85" t="n">
        <v>0</v>
      </c>
      <c r="M76" s="85" t="n">
        <v>0</v>
      </c>
    </row>
    <row r="77" customFormat="false" ht="15" hidden="false" customHeight="false" outlineLevel="0" collapsed="false">
      <c r="A77" s="4" t="n">
        <v>72</v>
      </c>
      <c r="B77" s="79" t="str">
        <f aca="false">'Food Data'!D77</f>
        <v>Clementines</v>
      </c>
      <c r="C77" s="85" t="n">
        <v>0</v>
      </c>
      <c r="D77" s="85" t="n">
        <v>0</v>
      </c>
      <c r="E77" s="85" t="n">
        <v>0</v>
      </c>
      <c r="F77" s="85" t="n">
        <v>0</v>
      </c>
      <c r="G77" s="85" t="n">
        <v>0</v>
      </c>
      <c r="H77" s="85" t="n">
        <v>0</v>
      </c>
      <c r="I77" s="85" t="n">
        <v>0</v>
      </c>
      <c r="J77" s="85" t="n">
        <v>0</v>
      </c>
      <c r="K77" s="85" t="n">
        <v>0</v>
      </c>
      <c r="L77" s="85" t="n">
        <v>0</v>
      </c>
      <c r="M77" s="85" t="n">
        <v>0</v>
      </c>
    </row>
    <row r="78" customFormat="false" ht="15" hidden="false" customHeight="false" outlineLevel="0" collapsed="false">
      <c r="A78" s="4" t="n">
        <v>73</v>
      </c>
      <c r="B78" s="79" t="str">
        <f aca="false">'Food Data'!D78</f>
        <v>Dates (pitted)</v>
      </c>
      <c r="C78" s="85" t="n">
        <v>0</v>
      </c>
      <c r="D78" s="85" t="n">
        <v>0</v>
      </c>
      <c r="E78" s="85" t="n">
        <v>0</v>
      </c>
      <c r="F78" s="85" t="n">
        <v>0</v>
      </c>
      <c r="G78" s="85" t="n">
        <v>0</v>
      </c>
      <c r="H78" s="85" t="n">
        <v>0</v>
      </c>
      <c r="I78" s="85" t="n">
        <v>0</v>
      </c>
      <c r="J78" s="85" t="n">
        <v>0</v>
      </c>
      <c r="K78" s="85" t="n">
        <v>0</v>
      </c>
      <c r="L78" s="85" t="n">
        <v>0</v>
      </c>
      <c r="M78" s="85" t="n">
        <v>0</v>
      </c>
    </row>
    <row r="79" customFormat="false" ht="15" hidden="false" customHeight="false" outlineLevel="0" collapsed="false">
      <c r="A79" s="4" t="n">
        <v>74</v>
      </c>
      <c r="B79" s="79" t="str">
        <f aca="false">'Food Data'!D79</f>
        <v>Dried apricots</v>
      </c>
      <c r="C79" s="85" t="n">
        <v>0</v>
      </c>
      <c r="D79" s="85" t="n">
        <v>0</v>
      </c>
      <c r="E79" s="85" t="n">
        <v>0</v>
      </c>
      <c r="F79" s="85" t="n">
        <v>0</v>
      </c>
      <c r="G79" s="85" t="n">
        <v>0</v>
      </c>
      <c r="H79" s="85" t="n">
        <v>0</v>
      </c>
      <c r="I79" s="85" t="n">
        <v>0</v>
      </c>
      <c r="J79" s="85" t="n">
        <v>0</v>
      </c>
      <c r="K79" s="85" t="n">
        <v>0</v>
      </c>
      <c r="L79" s="85" t="n">
        <v>0</v>
      </c>
      <c r="M79" s="85" t="n">
        <v>0</v>
      </c>
    </row>
    <row r="80" customFormat="false" ht="15" hidden="false" customHeight="false" outlineLevel="0" collapsed="false">
      <c r="A80" s="4" t="n">
        <v>75</v>
      </c>
      <c r="B80" s="79" t="str">
        <f aca="false">'Food Data'!D80</f>
        <v>Dried cranberries (sweetened)</v>
      </c>
      <c r="C80" s="85" t="n">
        <v>0</v>
      </c>
      <c r="D80" s="85" t="n">
        <v>0</v>
      </c>
      <c r="E80" s="85" t="n">
        <v>0</v>
      </c>
      <c r="F80" s="85" t="n">
        <v>0</v>
      </c>
      <c r="G80" s="85" t="n">
        <v>0</v>
      </c>
      <c r="H80" s="85" t="n">
        <v>0</v>
      </c>
      <c r="I80" s="85" t="n">
        <v>0</v>
      </c>
      <c r="J80" s="85" t="n">
        <v>0</v>
      </c>
      <c r="K80" s="85" t="n">
        <v>0</v>
      </c>
      <c r="L80" s="85" t="n">
        <v>0</v>
      </c>
      <c r="M80" s="85" t="n">
        <v>0</v>
      </c>
    </row>
    <row r="81" customFormat="false" ht="15" hidden="false" customHeight="false" outlineLevel="0" collapsed="false">
      <c r="A81" s="4" t="n">
        <v>76</v>
      </c>
      <c r="B81" s="79" t="str">
        <f aca="false">'Food Data'!D81</f>
        <v>Fruit cocktail (canned in juice)</v>
      </c>
      <c r="C81" s="85" t="n">
        <v>0</v>
      </c>
      <c r="D81" s="85" t="n">
        <v>0</v>
      </c>
      <c r="E81" s="85" t="n">
        <v>0</v>
      </c>
      <c r="F81" s="85" t="n">
        <v>0</v>
      </c>
      <c r="G81" s="85" t="n">
        <v>0</v>
      </c>
      <c r="H81" s="85" t="n">
        <v>0</v>
      </c>
      <c r="I81" s="85" t="n">
        <v>0</v>
      </c>
      <c r="J81" s="85" t="n">
        <v>0</v>
      </c>
      <c r="K81" s="85" t="n">
        <v>0</v>
      </c>
      <c r="L81" s="85" t="n">
        <v>0</v>
      </c>
      <c r="M81" s="85" t="n">
        <v>0</v>
      </c>
    </row>
    <row r="82" customFormat="false" ht="15" hidden="false" customHeight="false" outlineLevel="0" collapsed="false">
      <c r="A82" s="4" t="n">
        <v>77</v>
      </c>
      <c r="B82" s="79" t="str">
        <f aca="false">'Food Data'!D82</f>
        <v>Grapefruit</v>
      </c>
      <c r="C82" s="85" t="n">
        <v>0</v>
      </c>
      <c r="D82" s="85" t="n">
        <v>0</v>
      </c>
      <c r="E82" s="85" t="n">
        <v>0</v>
      </c>
      <c r="F82" s="85" t="n">
        <v>0</v>
      </c>
      <c r="G82" s="85" t="n">
        <v>0</v>
      </c>
      <c r="H82" s="85" t="n">
        <v>0</v>
      </c>
      <c r="I82" s="85" t="n">
        <v>0</v>
      </c>
      <c r="J82" s="85" t="n">
        <v>0</v>
      </c>
      <c r="K82" s="85" t="n">
        <v>0</v>
      </c>
      <c r="L82" s="85" t="n">
        <v>0</v>
      </c>
      <c r="M82" s="85" t="n">
        <v>0</v>
      </c>
    </row>
    <row r="83" customFormat="false" ht="15" hidden="false" customHeight="false" outlineLevel="0" collapsed="false">
      <c r="A83" s="4" t="n">
        <v>78</v>
      </c>
      <c r="B83" s="79" t="str">
        <f aca="false">'Food Data'!D83</f>
        <v>Grapes (red seedless)</v>
      </c>
      <c r="C83" s="85" t="n">
        <v>0</v>
      </c>
      <c r="D83" s="85" t="n">
        <v>0</v>
      </c>
      <c r="E83" s="85" t="n">
        <v>0</v>
      </c>
      <c r="F83" s="85" t="n">
        <v>0</v>
      </c>
      <c r="G83" s="85" t="n">
        <v>0</v>
      </c>
      <c r="H83" s="85" t="n">
        <v>0</v>
      </c>
      <c r="I83" s="85" t="n">
        <v>0</v>
      </c>
      <c r="J83" s="85" t="n">
        <v>0</v>
      </c>
      <c r="K83" s="85" t="n">
        <v>0</v>
      </c>
      <c r="L83" s="85" t="n">
        <v>0</v>
      </c>
      <c r="M83" s="85" t="n">
        <v>0</v>
      </c>
    </row>
    <row r="84" customFormat="false" ht="15" hidden="false" customHeight="false" outlineLevel="0" collapsed="false">
      <c r="A84" s="4" t="n">
        <v>79</v>
      </c>
      <c r="B84" s="79" t="str">
        <f aca="false">'Food Data'!D84</f>
        <v>Honeydew melon</v>
      </c>
      <c r="C84" s="85" t="n">
        <v>0</v>
      </c>
      <c r="D84" s="85" t="n">
        <v>0</v>
      </c>
      <c r="E84" s="85" t="n">
        <v>0</v>
      </c>
      <c r="F84" s="85" t="n">
        <v>0</v>
      </c>
      <c r="G84" s="85" t="n">
        <v>0</v>
      </c>
      <c r="H84" s="85" t="n">
        <v>0</v>
      </c>
      <c r="I84" s="85" t="n">
        <v>0</v>
      </c>
      <c r="J84" s="85" t="n">
        <v>0</v>
      </c>
      <c r="K84" s="85" t="n">
        <v>0</v>
      </c>
      <c r="L84" s="85" t="n">
        <v>0</v>
      </c>
      <c r="M84" s="85" t="n">
        <v>0</v>
      </c>
    </row>
    <row r="85" customFormat="false" ht="15" hidden="false" customHeight="false" outlineLevel="0" collapsed="false">
      <c r="A85" s="4" t="n">
        <v>80</v>
      </c>
      <c r="B85" s="79" t="str">
        <f aca="false">'Food Data'!D85</f>
        <v>Kiwifruit</v>
      </c>
      <c r="C85" s="85" t="n">
        <v>0</v>
      </c>
      <c r="D85" s="85" t="n">
        <v>0</v>
      </c>
      <c r="E85" s="85" t="n">
        <v>0</v>
      </c>
      <c r="F85" s="85" t="n">
        <v>0</v>
      </c>
      <c r="G85" s="85" t="n">
        <v>0</v>
      </c>
      <c r="H85" s="85" t="n">
        <v>0</v>
      </c>
      <c r="I85" s="85" t="n">
        <v>0</v>
      </c>
      <c r="J85" s="85" t="n">
        <v>0</v>
      </c>
      <c r="K85" s="85" t="n">
        <v>0</v>
      </c>
      <c r="L85" s="85" t="n">
        <v>0</v>
      </c>
      <c r="M85" s="85" t="n">
        <v>0</v>
      </c>
    </row>
    <row r="86" customFormat="false" ht="15" hidden="false" customHeight="false" outlineLevel="0" collapsed="false">
      <c r="A86" s="4" t="n">
        <v>81</v>
      </c>
      <c r="B86" s="79" t="str">
        <f aca="false">'Food Data'!D86</f>
        <v>Mango</v>
      </c>
      <c r="C86" s="85" t="n">
        <v>0</v>
      </c>
      <c r="D86" s="85" t="n">
        <v>0</v>
      </c>
      <c r="E86" s="85" t="n">
        <v>0</v>
      </c>
      <c r="F86" s="85" t="n">
        <v>0</v>
      </c>
      <c r="G86" s="85" t="n">
        <v>0</v>
      </c>
      <c r="H86" s="85" t="n">
        <v>0</v>
      </c>
      <c r="I86" s="85" t="n">
        <v>0</v>
      </c>
      <c r="J86" s="85" t="n">
        <v>0</v>
      </c>
      <c r="K86" s="85" t="n">
        <v>0</v>
      </c>
      <c r="L86" s="85" t="n">
        <v>0</v>
      </c>
      <c r="M86" s="85" t="n">
        <v>0</v>
      </c>
    </row>
    <row r="87" customFormat="false" ht="15" hidden="false" customHeight="false" outlineLevel="0" collapsed="false">
      <c r="A87" s="4" t="n">
        <v>82</v>
      </c>
      <c r="B87" s="79" t="str">
        <f aca="false">'Food Data'!D87</f>
        <v>Nectarines</v>
      </c>
      <c r="C87" s="85" t="n">
        <v>0</v>
      </c>
      <c r="D87" s="85" t="n">
        <v>0</v>
      </c>
      <c r="E87" s="85" t="n">
        <v>0</v>
      </c>
      <c r="F87" s="85" t="n">
        <v>0</v>
      </c>
      <c r="G87" s="85" t="n">
        <v>0</v>
      </c>
      <c r="H87" s="85" t="n">
        <v>0</v>
      </c>
      <c r="I87" s="85" t="n">
        <v>0</v>
      </c>
      <c r="J87" s="85" t="n">
        <v>0</v>
      </c>
      <c r="K87" s="85" t="n">
        <v>0</v>
      </c>
      <c r="L87" s="85" t="n">
        <v>0</v>
      </c>
      <c r="M87" s="85" t="n">
        <v>0</v>
      </c>
    </row>
    <row r="88" customFormat="false" ht="15" hidden="false" customHeight="false" outlineLevel="0" collapsed="false">
      <c r="A88" s="4" t="n">
        <v>83</v>
      </c>
      <c r="B88" s="79" t="str">
        <f aca="false">'Food Data'!D88</f>
        <v>Orange juice (100%)</v>
      </c>
      <c r="C88" s="85" t="n">
        <v>0</v>
      </c>
      <c r="D88" s="85" t="n">
        <v>0</v>
      </c>
      <c r="E88" s="85" t="n">
        <v>0</v>
      </c>
      <c r="F88" s="85" t="n">
        <v>0</v>
      </c>
      <c r="G88" s="85" t="n">
        <v>0</v>
      </c>
      <c r="H88" s="85" t="n">
        <v>0</v>
      </c>
      <c r="I88" s="85" t="n">
        <v>0</v>
      </c>
      <c r="J88" s="85" t="n">
        <v>0</v>
      </c>
      <c r="K88" s="85" t="n">
        <v>0</v>
      </c>
      <c r="L88" s="85" t="n">
        <v>0</v>
      </c>
      <c r="M88" s="85" t="n">
        <v>2.49</v>
      </c>
    </row>
    <row r="89" customFormat="false" ht="15" hidden="false" customHeight="false" outlineLevel="0" collapsed="false">
      <c r="A89" s="4" t="n">
        <v>84</v>
      </c>
      <c r="B89" s="79" t="str">
        <f aca="false">'Food Data'!D89</f>
        <v>Oranges (navel)</v>
      </c>
      <c r="C89" s="85" t="n">
        <v>0</v>
      </c>
      <c r="D89" s="85" t="n">
        <v>0</v>
      </c>
      <c r="E89" s="85" t="n">
        <v>0</v>
      </c>
      <c r="F89" s="85" t="n">
        <v>0</v>
      </c>
      <c r="G89" s="85" t="n">
        <v>0</v>
      </c>
      <c r="H89" s="85" t="n">
        <v>0</v>
      </c>
      <c r="I89" s="85" t="n">
        <v>0</v>
      </c>
      <c r="J89" s="85" t="n">
        <v>0</v>
      </c>
      <c r="K89" s="85" t="n">
        <v>0</v>
      </c>
      <c r="L89" s="85" t="n">
        <v>0</v>
      </c>
      <c r="M89" s="85" t="n">
        <v>0</v>
      </c>
    </row>
    <row r="90" customFormat="false" ht="15" hidden="false" customHeight="false" outlineLevel="0" collapsed="false">
      <c r="A90" s="4" t="n">
        <v>85</v>
      </c>
      <c r="B90" s="79" t="str">
        <f aca="false">'Food Data'!D90</f>
        <v>Papaya</v>
      </c>
      <c r="C90" s="85" t="n">
        <v>0</v>
      </c>
      <c r="D90" s="85" t="n">
        <v>0</v>
      </c>
      <c r="E90" s="85" t="n">
        <v>0</v>
      </c>
      <c r="F90" s="85" t="n">
        <v>0</v>
      </c>
      <c r="G90" s="85" t="n">
        <v>0</v>
      </c>
      <c r="H90" s="85" t="n">
        <v>0</v>
      </c>
      <c r="I90" s="85" t="n">
        <v>0</v>
      </c>
      <c r="J90" s="85" t="n">
        <v>0</v>
      </c>
      <c r="K90" s="85" t="n">
        <v>0</v>
      </c>
      <c r="L90" s="85" t="n">
        <v>0</v>
      </c>
      <c r="M90" s="85" t="n">
        <v>0</v>
      </c>
    </row>
    <row r="91" customFormat="false" ht="15" hidden="false" customHeight="false" outlineLevel="0" collapsed="false">
      <c r="A91" s="4" t="n">
        <v>86</v>
      </c>
      <c r="B91" s="79" t="str">
        <f aca="false">'Food Data'!D91</f>
        <v>Peaches</v>
      </c>
      <c r="C91" s="85" t="n">
        <v>0</v>
      </c>
      <c r="D91" s="85" t="n">
        <v>0</v>
      </c>
      <c r="E91" s="85" t="n">
        <v>0</v>
      </c>
      <c r="F91" s="85" t="n">
        <v>0</v>
      </c>
      <c r="G91" s="85" t="n">
        <v>0</v>
      </c>
      <c r="H91" s="85" t="n">
        <v>0</v>
      </c>
      <c r="I91" s="85" t="n">
        <v>0</v>
      </c>
      <c r="J91" s="85" t="n">
        <v>0</v>
      </c>
      <c r="K91" s="85" t="n">
        <v>0</v>
      </c>
      <c r="L91" s="85" t="n">
        <v>0</v>
      </c>
      <c r="M91" s="85" t="n">
        <v>0</v>
      </c>
    </row>
    <row r="92" customFormat="false" ht="15" hidden="false" customHeight="false" outlineLevel="0" collapsed="false">
      <c r="A92" s="4" t="n">
        <v>87</v>
      </c>
      <c r="B92" s="79" t="str">
        <f aca="false">'Food Data'!D92</f>
        <v>Peaches (canned in juice)</v>
      </c>
      <c r="C92" s="85" t="n">
        <v>0</v>
      </c>
      <c r="D92" s="85" t="n">
        <v>0</v>
      </c>
      <c r="E92" s="85" t="n">
        <v>0</v>
      </c>
      <c r="F92" s="85" t="n">
        <v>0</v>
      </c>
      <c r="G92" s="85" t="n">
        <v>0</v>
      </c>
      <c r="H92" s="85" t="n">
        <v>0</v>
      </c>
      <c r="I92" s="85" t="n">
        <v>0</v>
      </c>
      <c r="J92" s="85" t="n">
        <v>0</v>
      </c>
      <c r="K92" s="85" t="n">
        <v>0</v>
      </c>
      <c r="L92" s="85" t="n">
        <v>0</v>
      </c>
      <c r="M92" s="85" t="n">
        <v>0</v>
      </c>
    </row>
    <row r="93" customFormat="false" ht="15" hidden="false" customHeight="false" outlineLevel="0" collapsed="false">
      <c r="A93" s="4" t="n">
        <v>88</v>
      </c>
      <c r="B93" s="79" t="str">
        <f aca="false">'Food Data'!D93</f>
        <v>Pears</v>
      </c>
      <c r="C93" s="85" t="n">
        <v>0</v>
      </c>
      <c r="D93" s="85" t="n">
        <v>0</v>
      </c>
      <c r="E93" s="85" t="n">
        <v>0</v>
      </c>
      <c r="F93" s="85" t="n">
        <v>0</v>
      </c>
      <c r="G93" s="85" t="n">
        <v>0</v>
      </c>
      <c r="H93" s="85" t="n">
        <v>0</v>
      </c>
      <c r="I93" s="85" t="n">
        <v>0</v>
      </c>
      <c r="J93" s="85" t="n">
        <v>0</v>
      </c>
      <c r="K93" s="85" t="n">
        <v>0</v>
      </c>
      <c r="L93" s="85" t="n">
        <v>0</v>
      </c>
      <c r="M93" s="85" t="n">
        <v>0</v>
      </c>
    </row>
    <row r="94" customFormat="false" ht="15" hidden="false" customHeight="false" outlineLevel="0" collapsed="false">
      <c r="A94" s="4" t="n">
        <v>89</v>
      </c>
      <c r="B94" s="79" t="str">
        <f aca="false">'Food Data'!D94</f>
        <v>Pears (canned in juice)</v>
      </c>
      <c r="C94" s="85" t="n">
        <v>0</v>
      </c>
      <c r="D94" s="85" t="n">
        <v>0</v>
      </c>
      <c r="E94" s="85" t="n">
        <v>0</v>
      </c>
      <c r="F94" s="85" t="n">
        <v>0</v>
      </c>
      <c r="G94" s="85" t="n">
        <v>0</v>
      </c>
      <c r="H94" s="85" t="n">
        <v>0</v>
      </c>
      <c r="I94" s="85" t="n">
        <v>0</v>
      </c>
      <c r="J94" s="85" t="n">
        <v>0</v>
      </c>
      <c r="K94" s="85" t="n">
        <v>0</v>
      </c>
      <c r="L94" s="85" t="n">
        <v>0</v>
      </c>
      <c r="M94" s="85" t="n">
        <v>0</v>
      </c>
    </row>
    <row r="95" customFormat="false" ht="15" hidden="false" customHeight="false" outlineLevel="0" collapsed="false">
      <c r="A95" s="4" t="n">
        <v>90</v>
      </c>
      <c r="B95" s="79" t="str">
        <f aca="false">'Food Data'!D95</f>
        <v>Pineapple</v>
      </c>
      <c r="C95" s="85" t="n">
        <v>0</v>
      </c>
      <c r="D95" s="85" t="n">
        <v>0</v>
      </c>
      <c r="E95" s="85" t="n">
        <v>0</v>
      </c>
      <c r="F95" s="85" t="n">
        <v>0</v>
      </c>
      <c r="G95" s="85" t="n">
        <v>0</v>
      </c>
      <c r="H95" s="85" t="n">
        <v>0</v>
      </c>
      <c r="I95" s="85" t="n">
        <v>0</v>
      </c>
      <c r="J95" s="85" t="n">
        <v>0</v>
      </c>
      <c r="K95" s="85" t="n">
        <v>0</v>
      </c>
      <c r="L95" s="85" t="n">
        <v>0</v>
      </c>
      <c r="M95" s="85" t="n">
        <v>0</v>
      </c>
    </row>
    <row r="96" customFormat="false" ht="15" hidden="false" customHeight="false" outlineLevel="0" collapsed="false">
      <c r="A96" s="4" t="n">
        <v>91</v>
      </c>
      <c r="B96" s="79" t="str">
        <f aca="false">'Food Data'!D96</f>
        <v>Pineapple (canned in juice)</v>
      </c>
      <c r="C96" s="85" t="n">
        <v>0</v>
      </c>
      <c r="D96" s="85" t="n">
        <v>0</v>
      </c>
      <c r="E96" s="85" t="n">
        <v>0</v>
      </c>
      <c r="F96" s="85" t="n">
        <v>0</v>
      </c>
      <c r="G96" s="85" t="n">
        <v>0</v>
      </c>
      <c r="H96" s="85" t="n">
        <v>0</v>
      </c>
      <c r="I96" s="85" t="n">
        <v>0</v>
      </c>
      <c r="J96" s="85" t="n">
        <v>0</v>
      </c>
      <c r="K96" s="85" t="n">
        <v>0</v>
      </c>
      <c r="L96" s="85" t="n">
        <v>0</v>
      </c>
      <c r="M96" s="85" t="n">
        <v>0</v>
      </c>
    </row>
    <row r="97" customFormat="false" ht="15" hidden="false" customHeight="false" outlineLevel="0" collapsed="false">
      <c r="A97" s="4" t="n">
        <v>92</v>
      </c>
      <c r="B97" s="79" t="str">
        <f aca="false">'Food Data'!D97</f>
        <v>Plums</v>
      </c>
      <c r="C97" s="85" t="n">
        <v>0</v>
      </c>
      <c r="D97" s="85" t="n">
        <v>0</v>
      </c>
      <c r="E97" s="85" t="n">
        <v>0</v>
      </c>
      <c r="F97" s="85" t="n">
        <v>0</v>
      </c>
      <c r="G97" s="85" t="n">
        <v>0</v>
      </c>
      <c r="H97" s="85" t="n">
        <v>0</v>
      </c>
      <c r="I97" s="85" t="n">
        <v>0</v>
      </c>
      <c r="J97" s="85" t="n">
        <v>0</v>
      </c>
      <c r="K97" s="85" t="n">
        <v>0</v>
      </c>
      <c r="L97" s="85" t="n">
        <v>0</v>
      </c>
      <c r="M97" s="85" t="n">
        <v>0</v>
      </c>
    </row>
    <row r="98" customFormat="false" ht="15" hidden="false" customHeight="false" outlineLevel="0" collapsed="false">
      <c r="A98" s="4" t="n">
        <v>93</v>
      </c>
      <c r="B98" s="79" t="str">
        <f aca="false">'Food Data'!D98</f>
        <v>Prunes (pitted)</v>
      </c>
      <c r="C98" s="85" t="n">
        <v>0</v>
      </c>
      <c r="D98" s="85" t="n">
        <v>0</v>
      </c>
      <c r="E98" s="85" t="n">
        <v>0</v>
      </c>
      <c r="F98" s="85" t="n">
        <v>0</v>
      </c>
      <c r="G98" s="85" t="n">
        <v>0</v>
      </c>
      <c r="H98" s="85" t="n">
        <v>0</v>
      </c>
      <c r="I98" s="85" t="n">
        <v>0</v>
      </c>
      <c r="J98" s="85" t="n">
        <v>0</v>
      </c>
      <c r="K98" s="85" t="n">
        <v>0</v>
      </c>
      <c r="L98" s="85" t="n">
        <v>0</v>
      </c>
      <c r="M98" s="85" t="n">
        <v>0</v>
      </c>
    </row>
    <row r="99" customFormat="false" ht="15" hidden="false" customHeight="false" outlineLevel="0" collapsed="false">
      <c r="A99" s="4" t="n">
        <v>94</v>
      </c>
      <c r="B99" s="79" t="str">
        <f aca="false">'Food Data'!D99</f>
        <v>Raisins</v>
      </c>
      <c r="C99" s="85" t="n">
        <v>0</v>
      </c>
      <c r="D99" s="85" t="n">
        <v>0</v>
      </c>
      <c r="E99" s="85" t="n">
        <v>0</v>
      </c>
      <c r="F99" s="85" t="n">
        <v>0</v>
      </c>
      <c r="G99" s="85" t="n">
        <v>0</v>
      </c>
      <c r="H99" s="85" t="n">
        <v>0</v>
      </c>
      <c r="I99" s="85" t="n">
        <v>0</v>
      </c>
      <c r="J99" s="85" t="n">
        <v>0</v>
      </c>
      <c r="K99" s="85" t="n">
        <v>0</v>
      </c>
      <c r="L99" s="85" t="n">
        <v>0</v>
      </c>
      <c r="M99" s="85" t="n">
        <v>0</v>
      </c>
    </row>
    <row r="100" customFormat="false" ht="15" hidden="false" customHeight="false" outlineLevel="0" collapsed="false">
      <c r="A100" s="4" t="n">
        <v>95</v>
      </c>
      <c r="B100" s="79" t="str">
        <f aca="false">'Food Data'!D100</f>
        <v>Raspberries</v>
      </c>
      <c r="C100" s="85" t="n">
        <v>0</v>
      </c>
      <c r="D100" s="85" t="n">
        <v>0</v>
      </c>
      <c r="E100" s="85" t="n">
        <v>0</v>
      </c>
      <c r="F100" s="85" t="n">
        <v>0</v>
      </c>
      <c r="G100" s="85" t="n">
        <v>0</v>
      </c>
      <c r="H100" s="85" t="n">
        <v>0</v>
      </c>
      <c r="I100" s="85" t="n">
        <v>0</v>
      </c>
      <c r="J100" s="85" t="n">
        <v>0</v>
      </c>
      <c r="K100" s="85" t="n">
        <v>0</v>
      </c>
      <c r="L100" s="85" t="n">
        <v>0</v>
      </c>
      <c r="M100" s="85" t="n">
        <v>0</v>
      </c>
    </row>
    <row r="101" customFormat="false" ht="15" hidden="false" customHeight="false" outlineLevel="0" collapsed="false">
      <c r="A101" s="4" t="n">
        <v>96</v>
      </c>
      <c r="B101" s="79" t="str">
        <f aca="false">'Food Data'!D101</f>
        <v>Strawberries</v>
      </c>
      <c r="C101" s="85" t="n">
        <v>0</v>
      </c>
      <c r="D101" s="85" t="n">
        <v>0</v>
      </c>
      <c r="E101" s="85" t="n">
        <v>0</v>
      </c>
      <c r="F101" s="85" t="n">
        <v>0</v>
      </c>
      <c r="G101" s="85" t="n">
        <v>0</v>
      </c>
      <c r="H101" s="85" t="n">
        <v>0</v>
      </c>
      <c r="I101" s="85" t="n">
        <v>0</v>
      </c>
      <c r="J101" s="85" t="n">
        <v>0</v>
      </c>
      <c r="K101" s="85" t="n">
        <v>0</v>
      </c>
      <c r="L101" s="85" t="n">
        <v>0</v>
      </c>
      <c r="M101" s="85" t="n">
        <v>0</v>
      </c>
    </row>
    <row r="102" customFormat="false" ht="15" hidden="false" customHeight="false" outlineLevel="0" collapsed="false">
      <c r="A102" s="4" t="n">
        <v>97</v>
      </c>
      <c r="B102" s="79" t="str">
        <f aca="false">'Food Data'!D102</f>
        <v>Strawberries (frozen)</v>
      </c>
      <c r="C102" s="85" t="n">
        <v>0</v>
      </c>
      <c r="D102" s="85" t="n">
        <v>0</v>
      </c>
      <c r="E102" s="85" t="n">
        <v>0</v>
      </c>
      <c r="F102" s="85" t="n">
        <v>0</v>
      </c>
      <c r="G102" s="85" t="n">
        <v>0</v>
      </c>
      <c r="H102" s="85" t="n">
        <v>0</v>
      </c>
      <c r="I102" s="85" t="n">
        <v>0</v>
      </c>
      <c r="J102" s="85" t="n">
        <v>0</v>
      </c>
      <c r="K102" s="85" t="n">
        <v>0</v>
      </c>
      <c r="L102" s="85" t="n">
        <v>0</v>
      </c>
      <c r="M102" s="85" t="n">
        <v>0</v>
      </c>
    </row>
    <row r="103" customFormat="false" ht="15" hidden="false" customHeight="false" outlineLevel="0" collapsed="false">
      <c r="A103" s="4" t="n">
        <v>98</v>
      </c>
      <c r="B103" s="79" t="str">
        <f aca="false">'Food Data'!D103</f>
        <v>Watermelon</v>
      </c>
      <c r="C103" s="85" t="n">
        <v>0</v>
      </c>
      <c r="D103" s="85" t="n">
        <v>0</v>
      </c>
      <c r="E103" s="85" t="n">
        <v>0</v>
      </c>
      <c r="F103" s="85" t="n">
        <v>0</v>
      </c>
      <c r="G103" s="85" t="n">
        <v>0</v>
      </c>
      <c r="H103" s="85" t="n">
        <v>0</v>
      </c>
      <c r="I103" s="85" t="n">
        <v>0</v>
      </c>
      <c r="J103" s="85" t="n">
        <v>0</v>
      </c>
      <c r="K103" s="85" t="n">
        <v>0</v>
      </c>
      <c r="L103" s="85" t="n">
        <v>0</v>
      </c>
      <c r="M103" s="85" t="n">
        <v>0</v>
      </c>
    </row>
    <row r="104" customFormat="false" ht="15" hidden="false" customHeight="false" outlineLevel="0" collapsed="false">
      <c r="A104" s="4" t="n">
        <v>99</v>
      </c>
      <c r="B104" s="79" t="str">
        <f aca="false">'Food Data'!D104</f>
        <v>Acorn squash</v>
      </c>
      <c r="C104" s="85" t="n">
        <v>0</v>
      </c>
      <c r="D104" s="85" t="n">
        <v>0</v>
      </c>
      <c r="E104" s="85" t="n">
        <v>0</v>
      </c>
      <c r="F104" s="85" t="n">
        <v>0</v>
      </c>
      <c r="G104" s="85" t="n">
        <v>0</v>
      </c>
      <c r="H104" s="85" t="n">
        <v>0</v>
      </c>
      <c r="I104" s="85" t="n">
        <v>0</v>
      </c>
      <c r="J104" s="85" t="n">
        <v>0</v>
      </c>
      <c r="K104" s="85" t="n">
        <v>0</v>
      </c>
      <c r="L104" s="85" t="n">
        <v>0</v>
      </c>
      <c r="M104" s="85" t="n">
        <v>0</v>
      </c>
    </row>
    <row r="105" customFormat="false" ht="15" hidden="false" customHeight="false" outlineLevel="0" collapsed="false">
      <c r="A105" s="4" t="n">
        <v>100</v>
      </c>
      <c r="B105" s="79" t="str">
        <f aca="false">'Food Data'!D105</f>
        <v>Asparagus</v>
      </c>
      <c r="C105" s="85" t="n">
        <v>0</v>
      </c>
      <c r="D105" s="85" t="n">
        <v>0</v>
      </c>
      <c r="E105" s="85" t="n">
        <v>0</v>
      </c>
      <c r="F105" s="85" t="n">
        <v>0</v>
      </c>
      <c r="G105" s="85" t="n">
        <v>0</v>
      </c>
      <c r="H105" s="85" t="n">
        <v>0</v>
      </c>
      <c r="I105" s="85" t="n">
        <v>0</v>
      </c>
      <c r="J105" s="85" t="n">
        <v>0</v>
      </c>
      <c r="K105" s="85" t="n">
        <v>0</v>
      </c>
      <c r="L105" s="85" t="n">
        <v>0</v>
      </c>
      <c r="M105" s="85" t="n">
        <v>0</v>
      </c>
    </row>
    <row r="106" customFormat="false" ht="15" hidden="false" customHeight="false" outlineLevel="0" collapsed="false">
      <c r="A106" s="4" t="n">
        <v>101</v>
      </c>
      <c r="B106" s="79" t="str">
        <f aca="false">'Food Data'!D106</f>
        <v>Baby carrots</v>
      </c>
      <c r="C106" s="85" t="n">
        <v>0</v>
      </c>
      <c r="D106" s="85" t="n">
        <v>0</v>
      </c>
      <c r="E106" s="85" t="n">
        <v>0</v>
      </c>
      <c r="F106" s="85" t="n">
        <v>0</v>
      </c>
      <c r="G106" s="85" t="n">
        <v>0</v>
      </c>
      <c r="H106" s="85" t="n">
        <v>0</v>
      </c>
      <c r="I106" s="85" t="n">
        <v>0</v>
      </c>
      <c r="J106" s="85" t="n">
        <v>0</v>
      </c>
      <c r="K106" s="85" t="n">
        <v>0</v>
      </c>
      <c r="L106" s="85" t="n">
        <v>0</v>
      </c>
      <c r="M106" s="85" t="n">
        <v>0</v>
      </c>
    </row>
    <row r="107" customFormat="false" ht="15" hidden="false" customHeight="false" outlineLevel="0" collapsed="false">
      <c r="A107" s="4" t="n">
        <v>102</v>
      </c>
      <c r="B107" s="79" t="str">
        <f aca="false">'Food Data'!D107</f>
        <v>Beets (canned)</v>
      </c>
      <c r="C107" s="85" t="n">
        <v>0</v>
      </c>
      <c r="D107" s="85" t="n">
        <v>0</v>
      </c>
      <c r="E107" s="85" t="n">
        <v>0</v>
      </c>
      <c r="F107" s="85" t="n">
        <v>0</v>
      </c>
      <c r="G107" s="85" t="n">
        <v>0</v>
      </c>
      <c r="H107" s="85" t="n">
        <v>0</v>
      </c>
      <c r="I107" s="85" t="n">
        <v>0</v>
      </c>
      <c r="J107" s="85" t="n">
        <v>0</v>
      </c>
      <c r="K107" s="85" t="n">
        <v>0</v>
      </c>
      <c r="L107" s="85" t="n">
        <v>0</v>
      </c>
      <c r="M107" s="85" t="n">
        <v>0</v>
      </c>
    </row>
    <row r="108" customFormat="false" ht="15" hidden="false" customHeight="false" outlineLevel="0" collapsed="false">
      <c r="A108" s="4" t="n">
        <v>103</v>
      </c>
      <c r="B108" s="79" t="str">
        <f aca="false">'Food Data'!D108</f>
        <v>Broccoli (frozen)</v>
      </c>
      <c r="C108" s="85" t="n">
        <v>0.455</v>
      </c>
      <c r="D108" s="85" t="n">
        <v>0.455</v>
      </c>
      <c r="E108" s="85" t="n">
        <v>0.455</v>
      </c>
      <c r="F108" s="85" t="n">
        <v>0.455</v>
      </c>
      <c r="G108" s="85" t="n">
        <v>0.455</v>
      </c>
      <c r="H108" s="85" t="n">
        <v>0.455</v>
      </c>
      <c r="I108" s="85" t="n">
        <v>0.455</v>
      </c>
      <c r="J108" s="85" t="n">
        <v>0.455</v>
      </c>
      <c r="K108" s="85" t="n">
        <v>0.455</v>
      </c>
      <c r="L108" s="85" t="n">
        <v>0.455</v>
      </c>
      <c r="M108" s="85" t="n">
        <v>0</v>
      </c>
    </row>
    <row r="109" customFormat="false" ht="15" hidden="false" customHeight="false" outlineLevel="0" collapsed="false">
      <c r="A109" s="4" t="n">
        <v>104</v>
      </c>
      <c r="B109" s="79" t="str">
        <f aca="false">'Food Data'!D109</f>
        <v>Brussels sprouts (frozen)</v>
      </c>
      <c r="C109" s="85" t="n">
        <v>0</v>
      </c>
      <c r="D109" s="85" t="n">
        <v>0</v>
      </c>
      <c r="E109" s="85" t="n">
        <v>0</v>
      </c>
      <c r="F109" s="85" t="n">
        <v>0</v>
      </c>
      <c r="G109" s="85" t="n">
        <v>0</v>
      </c>
      <c r="H109" s="85" t="n">
        <v>0</v>
      </c>
      <c r="I109" s="85" t="n">
        <v>0</v>
      </c>
      <c r="J109" s="85" t="n">
        <v>0</v>
      </c>
      <c r="K109" s="85" t="n">
        <v>0</v>
      </c>
      <c r="L109" s="85" t="n">
        <v>0</v>
      </c>
      <c r="M109" s="85" t="n">
        <v>0</v>
      </c>
    </row>
    <row r="110" customFormat="false" ht="15" hidden="false" customHeight="false" outlineLevel="0" collapsed="false">
      <c r="A110" s="4" t="n">
        <v>105</v>
      </c>
      <c r="B110" s="79" t="str">
        <f aca="false">'Food Data'!D110</f>
        <v>Butternut squash</v>
      </c>
      <c r="C110" s="85" t="n">
        <v>0</v>
      </c>
      <c r="D110" s="85" t="n">
        <v>0</v>
      </c>
      <c r="E110" s="85" t="n">
        <v>0</v>
      </c>
      <c r="F110" s="85" t="n">
        <v>0</v>
      </c>
      <c r="G110" s="85" t="n">
        <v>0</v>
      </c>
      <c r="H110" s="85" t="n">
        <v>0</v>
      </c>
      <c r="I110" s="85" t="n">
        <v>0</v>
      </c>
      <c r="J110" s="85" t="n">
        <v>0</v>
      </c>
      <c r="K110" s="85" t="n">
        <v>0</v>
      </c>
      <c r="L110" s="85" t="n">
        <v>0</v>
      </c>
      <c r="M110" s="85" t="n">
        <v>0</v>
      </c>
    </row>
    <row r="111" customFormat="false" ht="15" hidden="false" customHeight="false" outlineLevel="0" collapsed="false">
      <c r="A111" s="4" t="n">
        <v>106</v>
      </c>
      <c r="B111" s="79" t="str">
        <f aca="false">'Food Data'!D111</f>
        <v>Cabbage (green)</v>
      </c>
      <c r="C111" s="85" t="n">
        <v>1.78</v>
      </c>
      <c r="D111" s="85" t="n">
        <v>1.78</v>
      </c>
      <c r="E111" s="85" t="n">
        <v>1.78</v>
      </c>
      <c r="F111" s="85" t="n">
        <v>1.78</v>
      </c>
      <c r="G111" s="85" t="n">
        <v>1.78</v>
      </c>
      <c r="H111" s="85" t="n">
        <v>1.78</v>
      </c>
      <c r="I111" s="85" t="n">
        <v>1.78</v>
      </c>
      <c r="J111" s="85" t="n">
        <v>1.78</v>
      </c>
      <c r="K111" s="85" t="n">
        <v>1.78</v>
      </c>
      <c r="L111" s="85" t="n">
        <v>1.78</v>
      </c>
      <c r="M111" s="85" t="n">
        <v>0</v>
      </c>
    </row>
    <row r="112" customFormat="false" ht="15" hidden="false" customHeight="false" outlineLevel="0" collapsed="false">
      <c r="A112" s="4" t="n">
        <v>107</v>
      </c>
      <c r="B112" s="79" t="str">
        <f aca="false">'Food Data'!D112</f>
        <v>Cabbage (red)</v>
      </c>
      <c r="C112" s="85" t="n">
        <v>0</v>
      </c>
      <c r="D112" s="85" t="n">
        <v>0</v>
      </c>
      <c r="E112" s="85" t="n">
        <v>0</v>
      </c>
      <c r="F112" s="85" t="n">
        <v>0</v>
      </c>
      <c r="G112" s="85" t="n">
        <v>0</v>
      </c>
      <c r="H112" s="85" t="n">
        <v>0</v>
      </c>
      <c r="I112" s="85" t="n">
        <v>0</v>
      </c>
      <c r="J112" s="85" t="n">
        <v>0</v>
      </c>
      <c r="K112" s="85" t="n">
        <v>0</v>
      </c>
      <c r="L112" s="85" t="n">
        <v>0</v>
      </c>
      <c r="M112" s="85" t="n">
        <v>0</v>
      </c>
    </row>
    <row r="113" customFormat="false" ht="15" hidden="false" customHeight="false" outlineLevel="0" collapsed="false">
      <c r="A113" s="4" t="n">
        <v>108</v>
      </c>
      <c r="B113" s="79" t="str">
        <f aca="false">'Food Data'!D113</f>
        <v>Carrots</v>
      </c>
      <c r="C113" s="85" t="n">
        <v>0</v>
      </c>
      <c r="D113" s="85" t="n">
        <v>0</v>
      </c>
      <c r="E113" s="85" t="n">
        <v>0</v>
      </c>
      <c r="F113" s="85" t="n">
        <v>0</v>
      </c>
      <c r="G113" s="85" t="n">
        <v>0</v>
      </c>
      <c r="H113" s="85" t="n">
        <v>0</v>
      </c>
      <c r="I113" s="85" t="n">
        <v>0</v>
      </c>
      <c r="J113" s="85" t="n">
        <v>0</v>
      </c>
      <c r="K113" s="85" t="n">
        <v>0</v>
      </c>
      <c r="L113" s="85" t="n">
        <v>0</v>
      </c>
      <c r="M113" s="85" t="n">
        <v>0</v>
      </c>
    </row>
    <row r="114" customFormat="false" ht="15" hidden="false" customHeight="false" outlineLevel="0" collapsed="false">
      <c r="A114" s="4" t="n">
        <v>109</v>
      </c>
      <c r="B114" s="79" t="str">
        <f aca="false">'Food Data'!D114</f>
        <v>Carrots (canned)</v>
      </c>
      <c r="C114" s="85" t="n">
        <v>0</v>
      </c>
      <c r="D114" s="85" t="n">
        <v>0</v>
      </c>
      <c r="E114" s="85" t="n">
        <v>0</v>
      </c>
      <c r="F114" s="85" t="n">
        <v>0</v>
      </c>
      <c r="G114" s="85" t="n">
        <v>0</v>
      </c>
      <c r="H114" s="85" t="n">
        <v>0</v>
      </c>
      <c r="I114" s="85" t="n">
        <v>0</v>
      </c>
      <c r="J114" s="85" t="n">
        <v>0</v>
      </c>
      <c r="K114" s="85" t="n">
        <v>0</v>
      </c>
      <c r="L114" s="85" t="n">
        <v>0</v>
      </c>
      <c r="M114" s="85" t="n">
        <v>0</v>
      </c>
    </row>
    <row r="115" customFormat="false" ht="15" hidden="false" customHeight="false" outlineLevel="0" collapsed="false">
      <c r="A115" s="4" t="n">
        <v>110</v>
      </c>
      <c r="B115" s="79" t="str">
        <f aca="false">'Food Data'!D115</f>
        <v>Carrots (frozen)</v>
      </c>
      <c r="C115" s="85" t="n">
        <v>0</v>
      </c>
      <c r="D115" s="85" t="n">
        <v>0</v>
      </c>
      <c r="E115" s="85" t="n">
        <v>0</v>
      </c>
      <c r="F115" s="85" t="n">
        <v>0</v>
      </c>
      <c r="G115" s="85" t="n">
        <v>0</v>
      </c>
      <c r="H115" s="85" t="n">
        <v>0</v>
      </c>
      <c r="I115" s="85" t="n">
        <v>0</v>
      </c>
      <c r="J115" s="85" t="n">
        <v>0</v>
      </c>
      <c r="K115" s="85" t="n">
        <v>0</v>
      </c>
      <c r="L115" s="85" t="n">
        <v>0</v>
      </c>
      <c r="M115" s="85" t="n">
        <v>0</v>
      </c>
    </row>
    <row r="116" customFormat="false" ht="15" hidden="false" customHeight="false" outlineLevel="0" collapsed="false">
      <c r="A116" s="4" t="n">
        <v>111</v>
      </c>
      <c r="B116" s="79" t="str">
        <f aca="false">'Food Data'!D116</f>
        <v>Cauliflower (frozen)</v>
      </c>
      <c r="C116" s="85" t="n">
        <v>0</v>
      </c>
      <c r="D116" s="85" t="n">
        <v>0</v>
      </c>
      <c r="E116" s="85" t="n">
        <v>0</v>
      </c>
      <c r="F116" s="85" t="n">
        <v>0</v>
      </c>
      <c r="G116" s="85" t="n">
        <v>0</v>
      </c>
      <c r="H116" s="85" t="n">
        <v>0</v>
      </c>
      <c r="I116" s="85" t="n">
        <v>0</v>
      </c>
      <c r="J116" s="85" t="n">
        <v>0</v>
      </c>
      <c r="K116" s="85" t="n">
        <v>0</v>
      </c>
      <c r="L116" s="85" t="n">
        <v>0</v>
      </c>
      <c r="M116" s="85" t="n">
        <v>0</v>
      </c>
    </row>
    <row r="117" customFormat="false" ht="15" hidden="false" customHeight="false" outlineLevel="0" collapsed="false">
      <c r="A117" s="4" t="n">
        <v>112</v>
      </c>
      <c r="B117" s="79" t="str">
        <f aca="false">'Food Data'!D117</f>
        <v>Celery</v>
      </c>
      <c r="C117" s="85" t="n">
        <v>0</v>
      </c>
      <c r="D117" s="85" t="n">
        <v>0</v>
      </c>
      <c r="E117" s="85" t="n">
        <v>0</v>
      </c>
      <c r="F117" s="85" t="n">
        <v>0</v>
      </c>
      <c r="G117" s="85" t="n">
        <v>0</v>
      </c>
      <c r="H117" s="85" t="n">
        <v>0</v>
      </c>
      <c r="I117" s="85" t="n">
        <v>0</v>
      </c>
      <c r="J117" s="85" t="n">
        <v>0</v>
      </c>
      <c r="K117" s="85" t="n">
        <v>0</v>
      </c>
      <c r="L117" s="85" t="n">
        <v>0</v>
      </c>
      <c r="M117" s="85" t="n">
        <v>0</v>
      </c>
    </row>
    <row r="118" customFormat="false" ht="15" hidden="false" customHeight="false" outlineLevel="0" collapsed="false">
      <c r="A118" s="4" t="n">
        <v>113</v>
      </c>
      <c r="B118" s="79" t="str">
        <f aca="false">'Food Data'!D118</f>
        <v>Collard greens</v>
      </c>
      <c r="C118" s="85" t="n">
        <v>0</v>
      </c>
      <c r="D118" s="85" t="n">
        <v>0</v>
      </c>
      <c r="E118" s="85" t="n">
        <v>0</v>
      </c>
      <c r="F118" s="85" t="n">
        <v>0</v>
      </c>
      <c r="G118" s="85" t="n">
        <v>0</v>
      </c>
      <c r="H118" s="85" t="n">
        <v>0</v>
      </c>
      <c r="I118" s="85" t="n">
        <v>0</v>
      </c>
      <c r="J118" s="85" t="n">
        <v>0</v>
      </c>
      <c r="K118" s="85" t="n">
        <v>0</v>
      </c>
      <c r="L118" s="85" t="n">
        <v>0</v>
      </c>
      <c r="M118" s="85" t="n">
        <v>0</v>
      </c>
    </row>
    <row r="119" customFormat="false" ht="15" hidden="false" customHeight="false" outlineLevel="0" collapsed="false">
      <c r="A119" s="4" t="n">
        <v>114</v>
      </c>
      <c r="B119" s="79" t="str">
        <f aca="false">'Food Data'!D119</f>
        <v>Collard greens (frozen)</v>
      </c>
      <c r="C119" s="85" t="n">
        <v>0</v>
      </c>
      <c r="D119" s="85" t="n">
        <v>0</v>
      </c>
      <c r="E119" s="85" t="n">
        <v>0</v>
      </c>
      <c r="F119" s="85" t="n">
        <v>0</v>
      </c>
      <c r="G119" s="85" t="n">
        <v>0</v>
      </c>
      <c r="H119" s="85" t="n">
        <v>0</v>
      </c>
      <c r="I119" s="85" t="n">
        <v>0</v>
      </c>
      <c r="J119" s="85" t="n">
        <v>0</v>
      </c>
      <c r="K119" s="85" t="n">
        <v>0</v>
      </c>
      <c r="L119" s="85" t="n">
        <v>0</v>
      </c>
      <c r="M119" s="85" t="n">
        <v>0</v>
      </c>
    </row>
    <row r="120" customFormat="false" ht="15" hidden="false" customHeight="false" outlineLevel="0" collapsed="false">
      <c r="A120" s="4" t="n">
        <v>115</v>
      </c>
      <c r="B120" s="79" t="str">
        <f aca="false">'Food Data'!D120</f>
        <v>Cucumber</v>
      </c>
      <c r="C120" s="85" t="n">
        <v>0</v>
      </c>
      <c r="D120" s="85" t="n">
        <v>0</v>
      </c>
      <c r="E120" s="85" t="n">
        <v>0</v>
      </c>
      <c r="F120" s="85" t="n">
        <v>0</v>
      </c>
      <c r="G120" s="85" t="n">
        <v>0</v>
      </c>
      <c r="H120" s="85" t="n">
        <v>0</v>
      </c>
      <c r="I120" s="85" t="n">
        <v>0</v>
      </c>
      <c r="J120" s="85" t="n">
        <v>0</v>
      </c>
      <c r="K120" s="85" t="n">
        <v>0</v>
      </c>
      <c r="L120" s="85" t="n">
        <v>0</v>
      </c>
      <c r="M120" s="85" t="n">
        <v>0</v>
      </c>
    </row>
    <row r="121" customFormat="false" ht="15" hidden="false" customHeight="false" outlineLevel="0" collapsed="false">
      <c r="A121" s="4" t="n">
        <v>116</v>
      </c>
      <c r="B121" s="79" t="str">
        <f aca="false">'Food Data'!D121</f>
        <v>Green beans (canned)</v>
      </c>
      <c r="C121" s="85" t="n">
        <v>0</v>
      </c>
      <c r="D121" s="85" t="n">
        <v>0</v>
      </c>
      <c r="E121" s="85" t="n">
        <v>0</v>
      </c>
      <c r="F121" s="85" t="n">
        <v>0</v>
      </c>
      <c r="G121" s="85" t="n">
        <v>0</v>
      </c>
      <c r="H121" s="85" t="n">
        <v>0</v>
      </c>
      <c r="I121" s="85" t="n">
        <v>0</v>
      </c>
      <c r="J121" s="85" t="n">
        <v>0</v>
      </c>
      <c r="K121" s="85" t="n">
        <v>0</v>
      </c>
      <c r="L121" s="85" t="n">
        <v>0</v>
      </c>
      <c r="M121" s="85" t="n">
        <v>0</v>
      </c>
    </row>
    <row r="122" customFormat="false" ht="15" hidden="false" customHeight="false" outlineLevel="0" collapsed="false">
      <c r="A122" s="4" t="n">
        <v>117</v>
      </c>
      <c r="B122" s="79" t="str">
        <f aca="false">'Food Data'!D122</f>
        <v>Green beans (frozen)</v>
      </c>
      <c r="C122" s="85" t="n">
        <v>0</v>
      </c>
      <c r="D122" s="85" t="n">
        <v>0</v>
      </c>
      <c r="E122" s="85" t="n">
        <v>0</v>
      </c>
      <c r="F122" s="85" t="n">
        <v>0</v>
      </c>
      <c r="G122" s="85" t="n">
        <v>0</v>
      </c>
      <c r="H122" s="85" t="n">
        <v>0</v>
      </c>
      <c r="I122" s="85" t="n">
        <v>0</v>
      </c>
      <c r="J122" s="85" t="n">
        <v>0</v>
      </c>
      <c r="K122" s="85" t="n">
        <v>0</v>
      </c>
      <c r="L122" s="85" t="n">
        <v>0</v>
      </c>
      <c r="M122" s="85" t="n">
        <v>0</v>
      </c>
    </row>
    <row r="123" customFormat="false" ht="15" hidden="false" customHeight="false" outlineLevel="0" collapsed="false">
      <c r="A123" s="4" t="n">
        <v>118</v>
      </c>
      <c r="B123" s="79" t="str">
        <f aca="false">'Food Data'!D123</f>
        <v>Green bell pepper</v>
      </c>
      <c r="C123" s="85" t="n">
        <v>0</v>
      </c>
      <c r="D123" s="85" t="n">
        <v>0</v>
      </c>
      <c r="E123" s="85" t="n">
        <v>0</v>
      </c>
      <c r="F123" s="85" t="n">
        <v>0</v>
      </c>
      <c r="G123" s="85" t="n">
        <v>0</v>
      </c>
      <c r="H123" s="85" t="n">
        <v>0</v>
      </c>
      <c r="I123" s="85" t="n">
        <v>0</v>
      </c>
      <c r="J123" s="85" t="n">
        <v>0</v>
      </c>
      <c r="K123" s="85" t="n">
        <v>0</v>
      </c>
      <c r="L123" s="85" t="n">
        <v>0</v>
      </c>
      <c r="M123" s="85" t="n">
        <v>0</v>
      </c>
    </row>
    <row r="124" customFormat="false" ht="15" hidden="false" customHeight="false" outlineLevel="0" collapsed="false">
      <c r="A124" s="4" t="n">
        <v>119</v>
      </c>
      <c r="B124" s="79" t="str">
        <f aca="false">'Food Data'!D124</f>
        <v>Iceberg lettuce</v>
      </c>
      <c r="C124" s="85" t="n">
        <v>0</v>
      </c>
      <c r="D124" s="85" t="n">
        <v>0</v>
      </c>
      <c r="E124" s="85" t="n">
        <v>0</v>
      </c>
      <c r="F124" s="85" t="n">
        <v>0</v>
      </c>
      <c r="G124" s="85" t="n">
        <v>0</v>
      </c>
      <c r="H124" s="85" t="n">
        <v>0</v>
      </c>
      <c r="I124" s="85" t="n">
        <v>0</v>
      </c>
      <c r="J124" s="85" t="n">
        <v>0</v>
      </c>
      <c r="K124" s="85" t="n">
        <v>0</v>
      </c>
      <c r="L124" s="85" t="n">
        <v>0</v>
      </c>
      <c r="M124" s="85" t="n">
        <v>0</v>
      </c>
    </row>
    <row r="125" customFormat="false" ht="15" hidden="false" customHeight="false" outlineLevel="0" collapsed="false">
      <c r="A125" s="4" t="n">
        <v>120</v>
      </c>
      <c r="B125" s="79" t="str">
        <f aca="false">'Food Data'!D125</f>
        <v>Kale (frozen)</v>
      </c>
      <c r="C125" s="85" t="n">
        <v>0</v>
      </c>
      <c r="D125" s="85" t="n">
        <v>0</v>
      </c>
      <c r="E125" s="85" t="n">
        <v>0</v>
      </c>
      <c r="F125" s="85" t="n">
        <v>0</v>
      </c>
      <c r="G125" s="85" t="n">
        <v>0</v>
      </c>
      <c r="H125" s="85" t="n">
        <v>0</v>
      </c>
      <c r="I125" s="85" t="n">
        <v>0</v>
      </c>
      <c r="J125" s="85" t="n">
        <v>0</v>
      </c>
      <c r="K125" s="85" t="n">
        <v>0</v>
      </c>
      <c r="L125" s="85" t="n">
        <v>0</v>
      </c>
      <c r="M125" s="85" t="n">
        <v>0</v>
      </c>
    </row>
    <row r="126" customFormat="false" ht="15" hidden="false" customHeight="false" outlineLevel="0" collapsed="false">
      <c r="A126" s="4" t="n">
        <v>121</v>
      </c>
      <c r="B126" s="79" t="str">
        <f aca="false">'Food Data'!D126</f>
        <v>Mixed vegetables (frozen)</v>
      </c>
      <c r="C126" s="85" t="n">
        <v>0</v>
      </c>
      <c r="D126" s="85" t="n">
        <v>0</v>
      </c>
      <c r="E126" s="85" t="n">
        <v>0</v>
      </c>
      <c r="F126" s="85" t="n">
        <v>0</v>
      </c>
      <c r="G126" s="85" t="n">
        <v>0</v>
      </c>
      <c r="H126" s="85" t="n">
        <v>0</v>
      </c>
      <c r="I126" s="85" t="n">
        <v>0</v>
      </c>
      <c r="J126" s="85" t="n">
        <v>0</v>
      </c>
      <c r="K126" s="85" t="n">
        <v>0</v>
      </c>
      <c r="L126" s="85" t="n">
        <v>0</v>
      </c>
      <c r="M126" s="85" t="n">
        <v>0</v>
      </c>
    </row>
    <row r="127" customFormat="false" ht="15" hidden="false" customHeight="false" outlineLevel="0" collapsed="false">
      <c r="A127" s="4" t="n">
        <v>122</v>
      </c>
      <c r="B127" s="79" t="str">
        <f aca="false">'Food Data'!D127</f>
        <v>Mushrooms (white)</v>
      </c>
      <c r="C127" s="85" t="n">
        <v>0</v>
      </c>
      <c r="D127" s="85" t="n">
        <v>0</v>
      </c>
      <c r="E127" s="85" t="n">
        <v>0</v>
      </c>
      <c r="F127" s="85" t="n">
        <v>0</v>
      </c>
      <c r="G127" s="85" t="n">
        <v>0</v>
      </c>
      <c r="H127" s="85" t="n">
        <v>0</v>
      </c>
      <c r="I127" s="85" t="n">
        <v>0</v>
      </c>
      <c r="J127" s="85" t="n">
        <v>0</v>
      </c>
      <c r="K127" s="85" t="n">
        <v>0</v>
      </c>
      <c r="L127" s="85" t="n">
        <v>0</v>
      </c>
      <c r="M127" s="85" t="n">
        <v>0</v>
      </c>
    </row>
    <row r="128" customFormat="false" ht="15" hidden="false" customHeight="false" outlineLevel="0" collapsed="false">
      <c r="A128" s="4" t="n">
        <v>123</v>
      </c>
      <c r="B128" s="79" t="str">
        <f aca="false">'Food Data'!D128</f>
        <v>Mustard greens (frozen)</v>
      </c>
      <c r="C128" s="85" t="n">
        <v>0</v>
      </c>
      <c r="D128" s="85" t="n">
        <v>0</v>
      </c>
      <c r="E128" s="85" t="n">
        <v>0</v>
      </c>
      <c r="F128" s="85" t="n">
        <v>0</v>
      </c>
      <c r="G128" s="85" t="n">
        <v>0</v>
      </c>
      <c r="H128" s="85" t="n">
        <v>0</v>
      </c>
      <c r="I128" s="85" t="n">
        <v>0</v>
      </c>
      <c r="J128" s="85" t="n">
        <v>0</v>
      </c>
      <c r="K128" s="85" t="n">
        <v>0</v>
      </c>
      <c r="L128" s="85" t="n">
        <v>0</v>
      </c>
      <c r="M128" s="85" t="n">
        <v>0</v>
      </c>
    </row>
    <row r="129" customFormat="false" ht="15" hidden="false" customHeight="false" outlineLevel="0" collapsed="false">
      <c r="A129" s="4" t="n">
        <v>124</v>
      </c>
      <c r="B129" s="79" t="str">
        <f aca="false">'Food Data'!D129</f>
        <v>Okra (frozen)</v>
      </c>
      <c r="C129" s="85" t="n">
        <v>0</v>
      </c>
      <c r="D129" s="85" t="n">
        <v>0</v>
      </c>
      <c r="E129" s="85" t="n">
        <v>0</v>
      </c>
      <c r="F129" s="85" t="n">
        <v>0</v>
      </c>
      <c r="G129" s="85" t="n">
        <v>0</v>
      </c>
      <c r="H129" s="85" t="n">
        <v>0</v>
      </c>
      <c r="I129" s="85" t="n">
        <v>0</v>
      </c>
      <c r="J129" s="85" t="n">
        <v>0</v>
      </c>
      <c r="K129" s="85" t="n">
        <v>0</v>
      </c>
      <c r="L129" s="85" t="n">
        <v>0</v>
      </c>
      <c r="M129" s="85" t="n">
        <v>0</v>
      </c>
    </row>
    <row r="130" customFormat="false" ht="15" hidden="false" customHeight="false" outlineLevel="0" collapsed="false">
      <c r="A130" s="4" t="n">
        <v>125</v>
      </c>
      <c r="B130" s="79" t="str">
        <f aca="false">'Food Data'!D130</f>
        <v>Onions (yellow)</v>
      </c>
      <c r="C130" s="85" t="n">
        <v>0</v>
      </c>
      <c r="D130" s="85" t="n">
        <v>0</v>
      </c>
      <c r="E130" s="85" t="n">
        <v>0</v>
      </c>
      <c r="F130" s="85" t="n">
        <v>0</v>
      </c>
      <c r="G130" s="85" t="n">
        <v>0</v>
      </c>
      <c r="H130" s="85" t="n">
        <v>0</v>
      </c>
      <c r="I130" s="85" t="n">
        <v>0</v>
      </c>
      <c r="J130" s="85" t="n">
        <v>0</v>
      </c>
      <c r="K130" s="85" t="n">
        <v>0</v>
      </c>
      <c r="L130" s="85" t="n">
        <v>0</v>
      </c>
      <c r="M130" s="85" t="n">
        <v>0</v>
      </c>
    </row>
    <row r="131" customFormat="false" ht="15" hidden="false" customHeight="false" outlineLevel="0" collapsed="false">
      <c r="A131" s="4" t="n">
        <v>126</v>
      </c>
      <c r="B131" s="79" t="str">
        <f aca="false">'Food Data'!D131</f>
        <v>Pumpkin (canned)</v>
      </c>
      <c r="C131" s="85" t="n">
        <v>0</v>
      </c>
      <c r="D131" s="85" t="n">
        <v>0</v>
      </c>
      <c r="E131" s="85" t="n">
        <v>0</v>
      </c>
      <c r="F131" s="85" t="n">
        <v>0</v>
      </c>
      <c r="G131" s="85" t="n">
        <v>0</v>
      </c>
      <c r="H131" s="85" t="n">
        <v>0</v>
      </c>
      <c r="I131" s="85" t="n">
        <v>0</v>
      </c>
      <c r="J131" s="85" t="n">
        <v>0</v>
      </c>
      <c r="K131" s="85" t="n">
        <v>0</v>
      </c>
      <c r="L131" s="85" t="n">
        <v>0</v>
      </c>
      <c r="M131" s="85" t="n">
        <v>0</v>
      </c>
    </row>
    <row r="132" customFormat="false" ht="15" hidden="false" customHeight="false" outlineLevel="0" collapsed="false">
      <c r="A132" s="4" t="n">
        <v>127</v>
      </c>
      <c r="B132" s="79" t="str">
        <f aca="false">'Food Data'!D132</f>
        <v>Radishes</v>
      </c>
      <c r="C132" s="85" t="n">
        <v>0</v>
      </c>
      <c r="D132" s="85" t="n">
        <v>0</v>
      </c>
      <c r="E132" s="85" t="n">
        <v>0</v>
      </c>
      <c r="F132" s="85" t="n">
        <v>0</v>
      </c>
      <c r="G132" s="85" t="n">
        <v>0</v>
      </c>
      <c r="H132" s="85" t="n">
        <v>0</v>
      </c>
      <c r="I132" s="85" t="n">
        <v>0</v>
      </c>
      <c r="J132" s="85" t="n">
        <v>0</v>
      </c>
      <c r="K132" s="85" t="n">
        <v>0</v>
      </c>
      <c r="L132" s="85" t="n">
        <v>0</v>
      </c>
      <c r="M132" s="85" t="n">
        <v>0</v>
      </c>
    </row>
    <row r="133" customFormat="false" ht="15" hidden="false" customHeight="false" outlineLevel="0" collapsed="false">
      <c r="A133" s="4" t="n">
        <v>128</v>
      </c>
      <c r="B133" s="79" t="str">
        <f aca="false">'Food Data'!D133</f>
        <v>Red bell pepper</v>
      </c>
      <c r="C133" s="85" t="n">
        <v>0</v>
      </c>
      <c r="D133" s="85" t="n">
        <v>0</v>
      </c>
      <c r="E133" s="85" t="n">
        <v>0</v>
      </c>
      <c r="F133" s="85" t="n">
        <v>0</v>
      </c>
      <c r="G133" s="85" t="n">
        <v>0</v>
      </c>
      <c r="H133" s="85" t="n">
        <v>0</v>
      </c>
      <c r="I133" s="85" t="n">
        <v>0</v>
      </c>
      <c r="J133" s="85" t="n">
        <v>0</v>
      </c>
      <c r="K133" s="85" t="n">
        <v>0</v>
      </c>
      <c r="L133" s="85" t="n">
        <v>0</v>
      </c>
      <c r="M133" s="85" t="n">
        <v>0</v>
      </c>
    </row>
    <row r="134" customFormat="false" ht="15" hidden="false" customHeight="false" outlineLevel="0" collapsed="false">
      <c r="A134" s="4" t="n">
        <v>129</v>
      </c>
      <c r="B134" s="79" t="str">
        <f aca="false">'Food Data'!D134</f>
        <v>Romaine lettuce</v>
      </c>
      <c r="C134" s="85" t="n">
        <v>0</v>
      </c>
      <c r="D134" s="85" t="n">
        <v>0</v>
      </c>
      <c r="E134" s="85" t="n">
        <v>0</v>
      </c>
      <c r="F134" s="85" t="n">
        <v>0</v>
      </c>
      <c r="G134" s="85" t="n">
        <v>0</v>
      </c>
      <c r="H134" s="85" t="n">
        <v>0</v>
      </c>
      <c r="I134" s="85" t="n">
        <v>0</v>
      </c>
      <c r="J134" s="85" t="n">
        <v>0</v>
      </c>
      <c r="K134" s="85" t="n">
        <v>0</v>
      </c>
      <c r="L134" s="85" t="n">
        <v>0</v>
      </c>
      <c r="M134" s="85" t="n">
        <v>0</v>
      </c>
    </row>
    <row r="135" customFormat="false" ht="15" hidden="false" customHeight="false" outlineLevel="0" collapsed="false">
      <c r="A135" s="4" t="n">
        <v>130</v>
      </c>
      <c r="B135" s="79" t="str">
        <f aca="false">'Food Data'!D135</f>
        <v>Sauerkraut (canned)</v>
      </c>
      <c r="C135" s="85" t="n">
        <v>0</v>
      </c>
      <c r="D135" s="85" t="n">
        <v>0</v>
      </c>
      <c r="E135" s="85" t="n">
        <v>0</v>
      </c>
      <c r="F135" s="85" t="n">
        <v>0</v>
      </c>
      <c r="G135" s="85" t="n">
        <v>0</v>
      </c>
      <c r="H135" s="85" t="n">
        <v>0</v>
      </c>
      <c r="I135" s="85" t="n">
        <v>0</v>
      </c>
      <c r="J135" s="85" t="n">
        <v>0</v>
      </c>
      <c r="K135" s="85" t="n">
        <v>0</v>
      </c>
      <c r="L135" s="85" t="n">
        <v>0</v>
      </c>
      <c r="M135" s="85" t="n">
        <v>0</v>
      </c>
    </row>
    <row r="136" customFormat="false" ht="15" hidden="false" customHeight="false" outlineLevel="0" collapsed="false">
      <c r="A136" s="4" t="n">
        <v>131</v>
      </c>
      <c r="B136" s="79" t="str">
        <f aca="false">'Food Data'!D136</f>
        <v>Spinach (canned)</v>
      </c>
      <c r="C136" s="85" t="n">
        <v>0</v>
      </c>
      <c r="D136" s="85" t="n">
        <v>0</v>
      </c>
      <c r="E136" s="85" t="n">
        <v>0</v>
      </c>
      <c r="F136" s="85" t="n">
        <v>0</v>
      </c>
      <c r="G136" s="85" t="n">
        <v>0</v>
      </c>
      <c r="H136" s="85" t="n">
        <v>0</v>
      </c>
      <c r="I136" s="85" t="n">
        <v>0</v>
      </c>
      <c r="J136" s="85" t="n">
        <v>0</v>
      </c>
      <c r="K136" s="85" t="n">
        <v>0</v>
      </c>
      <c r="L136" s="85" t="n">
        <v>0</v>
      </c>
      <c r="M136" s="85" t="n">
        <v>0</v>
      </c>
    </row>
    <row r="137" customFormat="false" ht="15" hidden="false" customHeight="false" outlineLevel="0" collapsed="false">
      <c r="A137" s="4" t="n">
        <v>132</v>
      </c>
      <c r="B137" s="79" t="str">
        <f aca="false">'Food Data'!D137</f>
        <v>Spinach (fresh)</v>
      </c>
      <c r="C137" s="85" t="n">
        <v>0</v>
      </c>
      <c r="D137" s="85" t="n">
        <v>0</v>
      </c>
      <c r="E137" s="85" t="n">
        <v>0</v>
      </c>
      <c r="F137" s="85" t="n">
        <v>0</v>
      </c>
      <c r="G137" s="85" t="n">
        <v>0</v>
      </c>
      <c r="H137" s="85" t="n">
        <v>0</v>
      </c>
      <c r="I137" s="85" t="n">
        <v>0</v>
      </c>
      <c r="J137" s="85" t="n">
        <v>0</v>
      </c>
      <c r="K137" s="85" t="n">
        <v>0</v>
      </c>
      <c r="L137" s="85" t="n">
        <v>0</v>
      </c>
      <c r="M137" s="85" t="n">
        <v>0</v>
      </c>
    </row>
    <row r="138" customFormat="false" ht="15" hidden="false" customHeight="false" outlineLevel="0" collapsed="false">
      <c r="A138" s="4" t="n">
        <v>133</v>
      </c>
      <c r="B138" s="79" t="str">
        <f aca="false">'Food Data'!D138</f>
        <v>Spinach (frozen)</v>
      </c>
      <c r="C138" s="85" t="n">
        <v>0</v>
      </c>
      <c r="D138" s="85" t="n">
        <v>0</v>
      </c>
      <c r="E138" s="85" t="n">
        <v>0</v>
      </c>
      <c r="F138" s="85" t="n">
        <v>0</v>
      </c>
      <c r="G138" s="85" t="n">
        <v>0</v>
      </c>
      <c r="H138" s="85" t="n">
        <v>0</v>
      </c>
      <c r="I138" s="85" t="n">
        <v>0</v>
      </c>
      <c r="J138" s="85" t="n">
        <v>0</v>
      </c>
      <c r="K138" s="85" t="n">
        <v>0</v>
      </c>
      <c r="L138" s="85" t="n">
        <v>0</v>
      </c>
      <c r="M138" s="85" t="n">
        <v>0</v>
      </c>
    </row>
    <row r="139" customFormat="false" ht="15" hidden="false" customHeight="false" outlineLevel="0" collapsed="false">
      <c r="A139" s="4" t="n">
        <v>134</v>
      </c>
      <c r="B139" s="79" t="str">
        <f aca="false">'Food Data'!D139</f>
        <v>Tomatoes (canned)</v>
      </c>
      <c r="C139" s="85" t="n">
        <v>0</v>
      </c>
      <c r="D139" s="85" t="n">
        <v>0</v>
      </c>
      <c r="E139" s="85" t="n">
        <v>0</v>
      </c>
      <c r="F139" s="85" t="n">
        <v>0</v>
      </c>
      <c r="G139" s="85" t="n">
        <v>0</v>
      </c>
      <c r="H139" s="85" t="n">
        <v>0</v>
      </c>
      <c r="I139" s="85" t="n">
        <v>0</v>
      </c>
      <c r="J139" s="85" t="n">
        <v>0</v>
      </c>
      <c r="K139" s="85" t="n">
        <v>0</v>
      </c>
      <c r="L139" s="85" t="n">
        <v>0</v>
      </c>
      <c r="M139" s="85" t="n">
        <v>0</v>
      </c>
    </row>
    <row r="140" customFormat="false" ht="15" hidden="false" customHeight="false" outlineLevel="0" collapsed="false">
      <c r="A140" s="4" t="n">
        <v>135</v>
      </c>
      <c r="B140" s="79" t="str">
        <f aca="false">'Food Data'!D140</f>
        <v>Tomatoes (roma)</v>
      </c>
      <c r="C140" s="85" t="n">
        <v>0</v>
      </c>
      <c r="D140" s="85" t="n">
        <v>0</v>
      </c>
      <c r="E140" s="85" t="n">
        <v>0</v>
      </c>
      <c r="F140" s="85" t="n">
        <v>0</v>
      </c>
      <c r="G140" s="85" t="n">
        <v>0</v>
      </c>
      <c r="H140" s="85" t="n">
        <v>0</v>
      </c>
      <c r="I140" s="85" t="n">
        <v>0</v>
      </c>
      <c r="J140" s="85" t="n">
        <v>0</v>
      </c>
      <c r="K140" s="85" t="n">
        <v>0</v>
      </c>
      <c r="L140" s="85" t="n">
        <v>0</v>
      </c>
      <c r="M140" s="85" t="n">
        <v>0</v>
      </c>
    </row>
    <row r="141" customFormat="false" ht="15" hidden="false" customHeight="false" outlineLevel="0" collapsed="false">
      <c r="A141" s="4" t="n">
        <v>136</v>
      </c>
      <c r="B141" s="79" t="str">
        <f aca="false">'Food Data'!D141</f>
        <v>Turnip greens (frozen)</v>
      </c>
      <c r="C141" s="85" t="n">
        <v>0</v>
      </c>
      <c r="D141" s="85" t="n">
        <v>0</v>
      </c>
      <c r="E141" s="85" t="n">
        <v>0</v>
      </c>
      <c r="F141" s="85" t="n">
        <v>0</v>
      </c>
      <c r="G141" s="85" t="n">
        <v>0</v>
      </c>
      <c r="H141" s="85" t="n">
        <v>0</v>
      </c>
      <c r="I141" s="85" t="n">
        <v>0</v>
      </c>
      <c r="J141" s="85" t="n">
        <v>0</v>
      </c>
      <c r="K141" s="85" t="n">
        <v>0</v>
      </c>
      <c r="L141" s="85" t="n">
        <v>0</v>
      </c>
      <c r="M141" s="85" t="n">
        <v>0</v>
      </c>
    </row>
    <row r="142" customFormat="false" ht="15" hidden="false" customHeight="false" outlineLevel="0" collapsed="false">
      <c r="A142" s="4" t="n">
        <v>137</v>
      </c>
      <c r="B142" s="79" t="str">
        <f aca="false">'Food Data'!D142</f>
        <v>Zucchini</v>
      </c>
      <c r="C142" s="85" t="n">
        <v>0</v>
      </c>
      <c r="D142" s="85" t="n">
        <v>0</v>
      </c>
      <c r="E142" s="85" t="n">
        <v>0</v>
      </c>
      <c r="F142" s="85" t="n">
        <v>0</v>
      </c>
      <c r="G142" s="85" t="n">
        <v>0</v>
      </c>
      <c r="H142" s="85" t="n">
        <v>0</v>
      </c>
      <c r="I142" s="85" t="n">
        <v>0</v>
      </c>
      <c r="J142" s="85" t="n">
        <v>0</v>
      </c>
      <c r="K142" s="85" t="n">
        <v>0</v>
      </c>
      <c r="L142" s="85" t="n">
        <v>0</v>
      </c>
      <c r="M142" s="85" t="n">
        <v>0</v>
      </c>
    </row>
    <row r="143" customFormat="false" ht="15" hidden="false" customHeight="false" outlineLevel="0" collapsed="false">
      <c r="A143" s="4" t="n">
        <v>138</v>
      </c>
      <c r="B143" s="79" t="str">
        <f aca="false">'Food Data'!D143</f>
        <v>Butter (salted)</v>
      </c>
      <c r="C143" s="85" t="n">
        <v>0</v>
      </c>
      <c r="D143" s="85" t="n">
        <v>0</v>
      </c>
      <c r="E143" s="85" t="n">
        <v>0.054902676</v>
      </c>
      <c r="F143" s="85" t="n">
        <v>0</v>
      </c>
      <c r="G143" s="85" t="n">
        <v>0</v>
      </c>
      <c r="H143" s="85" t="n">
        <v>0</v>
      </c>
      <c r="I143" s="85" t="n">
        <v>0</v>
      </c>
      <c r="J143" s="85" t="n">
        <v>0</v>
      </c>
      <c r="K143" s="85" t="n">
        <v>0</v>
      </c>
      <c r="L143" s="85" t="n">
        <v>0</v>
      </c>
      <c r="M143" s="85" t="n">
        <v>0.142</v>
      </c>
    </row>
    <row r="144" customFormat="false" ht="15" hidden="false" customHeight="false" outlineLevel="0" collapsed="false">
      <c r="A144" s="4" t="n">
        <v>139</v>
      </c>
      <c r="B144" s="79" t="str">
        <f aca="false">'Food Data'!D144</f>
        <v>Canola oil</v>
      </c>
      <c r="C144" s="85" t="n">
        <v>0</v>
      </c>
      <c r="D144" s="85" t="n">
        <v>0</v>
      </c>
      <c r="E144" s="85" t="n">
        <v>0.42</v>
      </c>
      <c r="F144" s="85" t="n">
        <v>0</v>
      </c>
      <c r="G144" s="85" t="n">
        <v>0.207984654</v>
      </c>
      <c r="H144" s="85" t="n">
        <v>0</v>
      </c>
      <c r="I144" s="85" t="n">
        <v>0</v>
      </c>
      <c r="J144" s="85" t="n">
        <v>0</v>
      </c>
      <c r="K144" s="85" t="n">
        <v>0.187287499</v>
      </c>
      <c r="L144" s="85" t="n">
        <v>0.338527687</v>
      </c>
      <c r="M144" s="85" t="n">
        <v>0</v>
      </c>
    </row>
    <row r="145" customFormat="false" ht="15" hidden="false" customHeight="false" outlineLevel="0" collapsed="false">
      <c r="A145" s="4" t="n">
        <v>140</v>
      </c>
      <c r="B145" s="79" t="str">
        <f aca="false">'Food Data'!D145</f>
        <v>Olive oil (extra virgin)</v>
      </c>
      <c r="C145" s="85" t="n">
        <v>0</v>
      </c>
      <c r="D145" s="85" t="n">
        <v>0</v>
      </c>
      <c r="E145" s="85" t="n">
        <v>0</v>
      </c>
      <c r="F145" s="85" t="n">
        <v>0</v>
      </c>
      <c r="G145" s="85" t="n">
        <v>0</v>
      </c>
      <c r="H145" s="85" t="n">
        <v>0</v>
      </c>
      <c r="I145" s="85" t="n">
        <v>0</v>
      </c>
      <c r="J145" s="85" t="n">
        <v>0</v>
      </c>
      <c r="K145" s="85" t="n">
        <v>0</v>
      </c>
      <c r="L145" s="85" t="n">
        <v>0</v>
      </c>
      <c r="M145" s="85" t="n">
        <v>0</v>
      </c>
    </row>
    <row r="146" customFormat="false" ht="15" hidden="false" customHeight="false" outlineLevel="0" collapsed="false">
      <c r="A146" s="4" t="n">
        <v>141</v>
      </c>
      <c r="B146" s="79" t="str">
        <f aca="false">'Food Data'!D146</f>
        <v>Almonds</v>
      </c>
      <c r="C146" s="85" t="n">
        <v>0</v>
      </c>
      <c r="D146" s="85" t="n">
        <v>0</v>
      </c>
      <c r="E146" s="85" t="n">
        <v>0</v>
      </c>
      <c r="F146" s="85" t="n">
        <v>0</v>
      </c>
      <c r="G146" s="85" t="n">
        <v>0</v>
      </c>
      <c r="H146" s="85" t="n">
        <v>0</v>
      </c>
      <c r="I146" s="85" t="n">
        <v>0</v>
      </c>
      <c r="J146" s="85" t="n">
        <v>0</v>
      </c>
      <c r="K146" s="85" t="n">
        <v>0</v>
      </c>
      <c r="L146" s="85" t="n">
        <v>0</v>
      </c>
      <c r="M146" s="85" t="n">
        <v>0</v>
      </c>
    </row>
    <row r="147" customFormat="false" ht="15" hidden="false" customHeight="false" outlineLevel="0" collapsed="false">
      <c r="A147" s="4" t="n">
        <v>142</v>
      </c>
      <c r="B147" s="79" t="str">
        <f aca="false">'Food Data'!D147</f>
        <v>Avocado (Hass)</v>
      </c>
      <c r="C147" s="85" t="n">
        <v>0</v>
      </c>
      <c r="D147" s="85" t="n">
        <v>0</v>
      </c>
      <c r="E147" s="85" t="n">
        <v>0</v>
      </c>
      <c r="F147" s="85" t="n">
        <v>0</v>
      </c>
      <c r="G147" s="85" t="n">
        <v>0</v>
      </c>
      <c r="H147" s="85" t="n">
        <v>0</v>
      </c>
      <c r="I147" s="85" t="n">
        <v>0</v>
      </c>
      <c r="J147" s="85" t="n">
        <v>0</v>
      </c>
      <c r="K147" s="85" t="n">
        <v>0</v>
      </c>
      <c r="L147" s="85" t="n">
        <v>0</v>
      </c>
      <c r="M147" s="85" t="n">
        <v>0</v>
      </c>
    </row>
    <row r="148" customFormat="false" ht="15" hidden="false" customHeight="false" outlineLevel="0" collapsed="false">
      <c r="A148" s="4" t="n">
        <v>143</v>
      </c>
      <c r="B148" s="79" t="str">
        <f aca="false">'Food Data'!D148</f>
        <v>Chocolate chip cookies</v>
      </c>
      <c r="C148" s="85" t="n">
        <v>0</v>
      </c>
      <c r="D148" s="85" t="n">
        <v>0</v>
      </c>
      <c r="E148" s="85" t="n">
        <v>0</v>
      </c>
      <c r="F148" s="85" t="n">
        <v>0</v>
      </c>
      <c r="G148" s="85" t="n">
        <v>0</v>
      </c>
      <c r="H148" s="85" t="n">
        <v>0</v>
      </c>
      <c r="I148" s="85" t="n">
        <v>0</v>
      </c>
      <c r="J148" s="85" t="n">
        <v>0</v>
      </c>
      <c r="K148" s="85" t="n">
        <v>0</v>
      </c>
      <c r="L148" s="85" t="n">
        <v>0</v>
      </c>
      <c r="M148" s="85" t="n">
        <v>0.52</v>
      </c>
    </row>
    <row r="149" customFormat="false" ht="15" hidden="false" customHeight="false" outlineLevel="0" collapsed="false">
      <c r="A149" s="4" t="n">
        <v>144</v>
      </c>
      <c r="B149" s="79" t="str">
        <f aca="false">'Food Data'!D149</f>
        <v>Granola bars (chocolate chip)</v>
      </c>
      <c r="C149" s="85" t="n">
        <v>0</v>
      </c>
      <c r="D149" s="85" t="n">
        <v>0</v>
      </c>
      <c r="E149" s="85" t="n">
        <v>0</v>
      </c>
      <c r="F149" s="85" t="n">
        <v>0</v>
      </c>
      <c r="G149" s="85" t="n">
        <v>0</v>
      </c>
      <c r="H149" s="85" t="n">
        <v>0</v>
      </c>
      <c r="I149" s="85" t="n">
        <v>0</v>
      </c>
      <c r="J149" s="85" t="n">
        <v>0</v>
      </c>
      <c r="K149" s="85" t="n">
        <v>0</v>
      </c>
      <c r="L149" s="85" t="n">
        <v>0</v>
      </c>
      <c r="M149" s="85" t="n">
        <v>0</v>
      </c>
    </row>
    <row r="150" customFormat="false" ht="15" hidden="false" customHeight="false" outlineLevel="0" collapsed="false">
      <c r="A150" s="4" t="n">
        <v>145</v>
      </c>
      <c r="B150" s="79" t="str">
        <f aca="false">'Food Data'!D150</f>
        <v>Potato chips</v>
      </c>
      <c r="C150" s="85" t="n">
        <v>0</v>
      </c>
      <c r="D150" s="85" t="n">
        <v>0</v>
      </c>
      <c r="E150" s="85" t="n">
        <v>0</v>
      </c>
      <c r="F150" s="85" t="n">
        <v>0</v>
      </c>
      <c r="G150" s="85" t="n">
        <v>0</v>
      </c>
      <c r="H150" s="85" t="n">
        <v>0</v>
      </c>
      <c r="I150" s="85" t="n">
        <v>0</v>
      </c>
      <c r="J150" s="85" t="n">
        <v>0</v>
      </c>
      <c r="K150" s="85" t="n">
        <v>0</v>
      </c>
      <c r="L150" s="85" t="n">
        <v>0</v>
      </c>
      <c r="M150" s="85" t="n">
        <v>0.56</v>
      </c>
    </row>
    <row r="151" customFormat="false" ht="15" hidden="false" customHeight="false" outlineLevel="0" collapsed="false">
      <c r="A151" s="4" t="n">
        <v>146</v>
      </c>
      <c r="B151" s="79" t="str">
        <f aca="false">'Food Data'!D151</f>
        <v>Vanilla ice cream</v>
      </c>
      <c r="C151" s="85" t="n">
        <v>0</v>
      </c>
      <c r="D151" s="85" t="n">
        <v>0</v>
      </c>
      <c r="E151" s="85" t="n">
        <v>0</v>
      </c>
      <c r="F151" s="85" t="n">
        <v>0</v>
      </c>
      <c r="G151" s="85" t="n">
        <v>0</v>
      </c>
      <c r="H151" s="85" t="n">
        <v>0</v>
      </c>
      <c r="I151" s="85" t="n">
        <v>0</v>
      </c>
      <c r="J151" s="85" t="n">
        <v>0</v>
      </c>
      <c r="K151" s="85" t="n">
        <v>0</v>
      </c>
      <c r="L151" s="85" t="n">
        <v>0</v>
      </c>
      <c r="M151" s="85" t="n">
        <v>1.32</v>
      </c>
    </row>
    <row r="153" customFormat="false" ht="15" hidden="false" customHeight="false" outlineLevel="0" collapsed="false">
      <c r="B153" s="62" t="s">
        <v>1080</v>
      </c>
      <c r="C153" s="82" t="n">
        <f aca="false">SUMPRODUCT('Food Data'!$I$6:$I$151,C6:C151)</f>
        <v>2.87499509083363</v>
      </c>
      <c r="D153" s="82" t="n">
        <f aca="false">SUMPRODUCT('Food Data'!$I$6:$I$151,D6:D151)</f>
        <v>4.73112605508209</v>
      </c>
      <c r="E153" s="82" t="n">
        <f aca="false">SUMPRODUCT('Food Data'!$I$6:$I$151,E6:E151)</f>
        <v>3.95330803748608</v>
      </c>
      <c r="F153" s="82" t="n">
        <f aca="false">SUMPRODUCT('Food Data'!$I$6:$I$151,F6:F151)</f>
        <v>2.87504385891623</v>
      </c>
      <c r="G153" s="82" t="n">
        <f aca="false">SUMPRODUCT('Food Data'!$I$6:$I$151,G6:G151)</f>
        <v>3.58367687351014</v>
      </c>
      <c r="H153" s="82" t="n">
        <f aca="false">SUMPRODUCT('Food Data'!$I$6:$I$151,H6:H151)</f>
        <v>2.87504385891623</v>
      </c>
      <c r="I153" s="82" t="n">
        <f aca="false">SUMPRODUCT('Food Data'!$I$6:$I$151,I6:I151)</f>
        <v>2.8761993772654</v>
      </c>
      <c r="J153" s="82" t="n">
        <f aca="false">SUMPRODUCT('Food Data'!$I$6:$I$151,J6:J151)</f>
        <v>2.87499509083363</v>
      </c>
      <c r="K153" s="82" t="n">
        <f aca="false">SUMPRODUCT('Food Data'!$I$6:$I$151,K6:K151)</f>
        <v>3.34994372657745</v>
      </c>
      <c r="L153" s="82" t="n">
        <f aca="false">SUMPRODUCT('Food Data'!$I$6:$I$151,L6:L151)</f>
        <v>2.97199108622935</v>
      </c>
      <c r="M153" s="82" t="n">
        <f aca="false">SUMPRODUCT('Food Data'!$I$6:$I$151,M6:M151)</f>
        <v>6.89354343509816</v>
      </c>
    </row>
    <row r="154" customFormat="false" ht="15" hidden="false" customHeight="false" outlineLevel="0" collapsed="false">
      <c r="B154" s="62" t="s">
        <v>10</v>
      </c>
      <c r="C154" s="86" t="n">
        <f aca="false">C153*7</f>
        <v>20.1249656358354</v>
      </c>
      <c r="D154" s="86" t="n">
        <f aca="false">D153*7</f>
        <v>33.1178823855746</v>
      </c>
      <c r="E154" s="86" t="n">
        <f aca="false">E153*7</f>
        <v>27.6731562624025</v>
      </c>
      <c r="F154" s="86" t="n">
        <f aca="false">F153*7</f>
        <v>20.1253070124136</v>
      </c>
      <c r="G154" s="86" t="n">
        <f aca="false">G153*7</f>
        <v>25.085738114571</v>
      </c>
      <c r="H154" s="86" t="n">
        <f aca="false">H153*7</f>
        <v>20.1253070124136</v>
      </c>
      <c r="I154" s="86" t="n">
        <f aca="false">I153*7</f>
        <v>20.1333956408578</v>
      </c>
      <c r="J154" s="86" t="n">
        <f aca="false">J153*7</f>
        <v>20.1249656358354</v>
      </c>
      <c r="K154" s="86" t="n">
        <f aca="false">K153*7</f>
        <v>23.4496060860421</v>
      </c>
      <c r="L154" s="86" t="n">
        <f aca="false">L153*7</f>
        <v>20.8039376036054</v>
      </c>
      <c r="M154" s="86" t="n">
        <f aca="false">M153*7</f>
        <v>48.2548040456871</v>
      </c>
    </row>
    <row r="156" customFormat="false" ht="15" hidden="false" customHeight="false" outlineLevel="0" collapsed="false">
      <c r="A156" s="3" t="s">
        <v>1081</v>
      </c>
    </row>
    <row r="157" customFormat="false" ht="15" hidden="false" customHeight="false" outlineLevel="0" collapsed="false">
      <c r="B157" s="4" t="s">
        <v>34</v>
      </c>
      <c r="C157" s="87" t="n">
        <f aca="false" t="array" ref="C157:M168">MMULT('Matrix Model'!F20:EU31,C6:M151)</f>
        <v>2878.499999883</v>
      </c>
      <c r="D157" s="87" t="n">
        <v>2878.500000005</v>
      </c>
      <c r="E157" s="87" t="n">
        <v>2878.500000041</v>
      </c>
      <c r="F157" s="87" t="n">
        <v>2878.500000096</v>
      </c>
      <c r="G157" s="87" t="n">
        <v>2878.500000475</v>
      </c>
      <c r="H157" s="87" t="n">
        <v>2878.500000096</v>
      </c>
      <c r="I157" s="87" t="n">
        <v>2878.500000116</v>
      </c>
      <c r="J157" s="87" t="n">
        <v>2878.499999883</v>
      </c>
      <c r="K157" s="87" t="n">
        <v>2878.500000278</v>
      </c>
      <c r="L157" s="87" t="n">
        <v>2986.666666775</v>
      </c>
      <c r="M157" s="87" t="n">
        <v>2948.364</v>
      </c>
    </row>
    <row r="158" customFormat="false" ht="15" hidden="false" customHeight="false" outlineLevel="0" collapsed="false">
      <c r="B158" s="4" t="s">
        <v>36</v>
      </c>
      <c r="C158" s="87" t="n">
        <v>111.99999999238</v>
      </c>
      <c r="D158" s="87" t="n">
        <v>179.90625000771</v>
      </c>
      <c r="E158" s="87" t="n">
        <v>143.92500000161</v>
      </c>
      <c r="F158" s="87" t="n">
        <v>112.00000000544</v>
      </c>
      <c r="G158" s="87" t="n">
        <v>112.00000000861</v>
      </c>
      <c r="H158" s="87" t="n">
        <v>112.00000000544</v>
      </c>
      <c r="I158" s="87" t="n">
        <v>112.00000000798</v>
      </c>
      <c r="J158" s="87" t="n">
        <v>111.99999999238</v>
      </c>
      <c r="K158" s="87" t="n">
        <v>112.00000000069</v>
      </c>
      <c r="L158" s="87" t="n">
        <v>111.99999999949</v>
      </c>
      <c r="M158" s="87" t="n">
        <v>109.1001</v>
      </c>
    </row>
    <row r="159" customFormat="false" ht="15" hidden="false" customHeight="false" outlineLevel="0" collapsed="false">
      <c r="B159" s="4" t="s">
        <v>39</v>
      </c>
      <c r="C159" s="87" t="n">
        <v>467.75624998337</v>
      </c>
      <c r="D159" s="87" t="n">
        <v>346.54120061915</v>
      </c>
      <c r="E159" s="87" t="n">
        <v>251.86875001621</v>
      </c>
      <c r="F159" s="87" t="n">
        <v>467.75624999756</v>
      </c>
      <c r="G159" s="87" t="n">
        <v>467.75625004303</v>
      </c>
      <c r="H159" s="87" t="n">
        <v>467.75624999756</v>
      </c>
      <c r="I159" s="87" t="n">
        <v>466.27024541116</v>
      </c>
      <c r="J159" s="87" t="n">
        <v>467.75624998337</v>
      </c>
      <c r="K159" s="87" t="n">
        <v>447.12286112519</v>
      </c>
      <c r="L159" s="87" t="n">
        <v>433.06666662964</v>
      </c>
      <c r="M159" s="87" t="n">
        <v>361.76432</v>
      </c>
    </row>
    <row r="160" customFormat="false" ht="15" hidden="false" customHeight="false" outlineLevel="0" collapsed="false">
      <c r="B160" s="4" t="s">
        <v>45</v>
      </c>
      <c r="C160" s="87" t="n">
        <v>65.50461073898</v>
      </c>
      <c r="D160" s="87" t="n">
        <v>88.63092063352</v>
      </c>
      <c r="E160" s="87" t="n">
        <v>150.84081355756</v>
      </c>
      <c r="F160" s="87" t="n">
        <v>65.48812089986</v>
      </c>
      <c r="G160" s="87" t="n">
        <v>69.03924567981</v>
      </c>
      <c r="H160" s="87" t="n">
        <v>65.48812089986</v>
      </c>
      <c r="I160" s="87" t="n">
        <v>66.20027391036</v>
      </c>
      <c r="J160" s="87" t="n">
        <v>65.50461073898</v>
      </c>
      <c r="K160" s="87" t="n">
        <v>75.44004026836</v>
      </c>
      <c r="L160" s="87" t="n">
        <v>93.61768745683</v>
      </c>
      <c r="M160" s="87" t="n">
        <v>117.84292</v>
      </c>
    </row>
    <row r="161" customFormat="false" ht="15" hidden="false" customHeight="false" outlineLevel="0" collapsed="false">
      <c r="B161" s="4" t="s">
        <v>48</v>
      </c>
      <c r="C161" s="87" t="n">
        <v>45.7854769708</v>
      </c>
      <c r="D161" s="87" t="n">
        <v>43.1285032621</v>
      </c>
      <c r="E161" s="87" t="n">
        <v>42.0000000011</v>
      </c>
      <c r="F161" s="87" t="n">
        <v>45.7905345432</v>
      </c>
      <c r="G161" s="87" t="n">
        <v>56.5166577026</v>
      </c>
      <c r="H161" s="87" t="n">
        <v>45.7905345432</v>
      </c>
      <c r="I161" s="87" t="n">
        <v>45.761085578</v>
      </c>
      <c r="J161" s="87" t="n">
        <v>45.7854769708</v>
      </c>
      <c r="K161" s="87" t="n">
        <v>49.3069610902</v>
      </c>
      <c r="L161" s="87" t="n">
        <v>45.1564650633</v>
      </c>
      <c r="M161" s="87" t="n">
        <v>14.415</v>
      </c>
    </row>
    <row r="162" customFormat="false" ht="15" hidden="false" customHeight="false" outlineLevel="0" collapsed="false">
      <c r="B162" s="4" t="s">
        <v>51</v>
      </c>
      <c r="C162" s="87" t="n">
        <v>70.42665832904</v>
      </c>
      <c r="D162" s="87" t="n">
        <v>87.15667337804</v>
      </c>
      <c r="E162" s="87" t="n">
        <v>78.98070497086</v>
      </c>
      <c r="F162" s="87" t="n">
        <v>70.00759824722</v>
      </c>
      <c r="G162" s="87" t="n">
        <v>71.44157971319</v>
      </c>
      <c r="H162" s="87" t="n">
        <v>70.00759824722</v>
      </c>
      <c r="I162" s="87" t="n">
        <v>70.17536366782</v>
      </c>
      <c r="J162" s="87" t="n">
        <v>70.42665832904</v>
      </c>
      <c r="K162" s="87" t="n">
        <v>64.95933187336</v>
      </c>
      <c r="L162" s="87" t="n">
        <v>72.62934976506</v>
      </c>
      <c r="M162" s="87" t="n">
        <v>89.91342</v>
      </c>
    </row>
    <row r="163" customFormat="false" ht="15" hidden="false" customHeight="false" outlineLevel="0" collapsed="false">
      <c r="B163" s="4" t="s">
        <v>53</v>
      </c>
      <c r="C163" s="87" t="n">
        <v>999.999999993</v>
      </c>
      <c r="D163" s="87" t="n">
        <v>1319.847596201</v>
      </c>
      <c r="E163" s="87" t="n">
        <v>1716.438528362</v>
      </c>
      <c r="F163" s="87" t="n">
        <v>1000.000000348</v>
      </c>
      <c r="G163" s="87" t="n">
        <v>1000.000000084</v>
      </c>
      <c r="H163" s="87" t="n">
        <v>1000.000000348</v>
      </c>
      <c r="I163" s="87" t="n">
        <v>999.999999953</v>
      </c>
      <c r="J163" s="87" t="n">
        <v>999.999999993</v>
      </c>
      <c r="K163" s="87" t="n">
        <v>999.99999998</v>
      </c>
      <c r="L163" s="87" t="n">
        <v>1000.000000017</v>
      </c>
      <c r="M163" s="87" t="n">
        <v>1447.908</v>
      </c>
    </row>
    <row r="164" customFormat="false" ht="15" hidden="false" customHeight="false" outlineLevel="0" collapsed="false">
      <c r="B164" s="4" t="s">
        <v>55</v>
      </c>
      <c r="C164" s="87" t="n">
        <v>23.29435064691</v>
      </c>
      <c r="D164" s="87" t="n">
        <v>21.07134311932</v>
      </c>
      <c r="E164" s="87" t="n">
        <v>17.16296791903</v>
      </c>
      <c r="F164" s="87" t="n">
        <v>23.4078299151</v>
      </c>
      <c r="G164" s="87" t="n">
        <v>25.99450222297</v>
      </c>
      <c r="H164" s="87" t="n">
        <v>23.4078299151</v>
      </c>
      <c r="I164" s="87" t="n">
        <v>22.9990564342</v>
      </c>
      <c r="J164" s="87" t="n">
        <v>23.29435064691</v>
      </c>
      <c r="K164" s="87" t="n">
        <v>28.10409325268</v>
      </c>
      <c r="L164" s="87" t="n">
        <v>24.1498382451</v>
      </c>
      <c r="M164" s="87" t="n">
        <v>20.04404</v>
      </c>
    </row>
    <row r="165" customFormat="false" ht="15" hidden="false" customHeight="false" outlineLevel="0" collapsed="false">
      <c r="B165" s="4" t="s">
        <v>57</v>
      </c>
      <c r="C165" s="87" t="n">
        <v>5100.496644172</v>
      </c>
      <c r="D165" s="87" t="n">
        <v>6063.726944465</v>
      </c>
      <c r="E165" s="87" t="n">
        <v>5376.052426197</v>
      </c>
      <c r="F165" s="87" t="n">
        <v>5084.695847474</v>
      </c>
      <c r="G165" s="87" t="n">
        <v>4901.189464548</v>
      </c>
      <c r="H165" s="87" t="n">
        <v>5084.695847474</v>
      </c>
      <c r="I165" s="87" t="n">
        <v>5111.780927661</v>
      </c>
      <c r="J165" s="87" t="n">
        <v>5100.496644172</v>
      </c>
      <c r="K165" s="87" t="n">
        <v>4651.684077522</v>
      </c>
      <c r="L165" s="87" t="n">
        <v>4982.2536948</v>
      </c>
      <c r="M165" s="87" t="n">
        <v>2939.528</v>
      </c>
    </row>
    <row r="166" customFormat="false" ht="15" hidden="false" customHeight="false" outlineLevel="0" collapsed="false">
      <c r="B166" s="4" t="s">
        <v>59</v>
      </c>
      <c r="C166" s="87" t="n">
        <v>780.055020859</v>
      </c>
      <c r="D166" s="87" t="n">
        <v>1164.33274601</v>
      </c>
      <c r="E166" s="87" t="n">
        <v>2019.948038827</v>
      </c>
      <c r="F166" s="87" t="n">
        <v>793.951897718</v>
      </c>
      <c r="G166" s="87" t="n">
        <v>1342.058843806</v>
      </c>
      <c r="H166" s="87" t="n">
        <v>793.951897718</v>
      </c>
      <c r="I166" s="87" t="n">
        <v>786.055278025</v>
      </c>
      <c r="J166" s="87" t="n">
        <v>780.055020859</v>
      </c>
      <c r="K166" s="87" t="n">
        <v>1490.345077812</v>
      </c>
      <c r="L166" s="87" t="n">
        <v>720.828036563</v>
      </c>
      <c r="M166" s="87" t="n">
        <v>3856.936</v>
      </c>
    </row>
    <row r="167" customFormat="false" ht="15" hidden="false" customHeight="false" outlineLevel="0" collapsed="false">
      <c r="B167" s="4" t="s">
        <v>61</v>
      </c>
      <c r="C167" s="87" t="n">
        <v>126.7483161952</v>
      </c>
      <c r="D167" s="87" t="n">
        <v>127.2925</v>
      </c>
      <c r="E167" s="87" t="n">
        <v>126.2784272332</v>
      </c>
      <c r="F167" s="87" t="n">
        <v>126.7262708576</v>
      </c>
      <c r="G167" s="87" t="n">
        <v>125.8285</v>
      </c>
      <c r="H167" s="87" t="n">
        <v>126.7262708576</v>
      </c>
      <c r="I167" s="87" t="n">
        <v>126.7509742284</v>
      </c>
      <c r="J167" s="87" t="n">
        <v>126.7483161952</v>
      </c>
      <c r="K167" s="87" t="n">
        <v>125.8285</v>
      </c>
      <c r="L167" s="87" t="n">
        <v>126.7821523678</v>
      </c>
      <c r="M167" s="87" t="n">
        <v>96.552</v>
      </c>
    </row>
    <row r="168" customFormat="false" ht="15" hidden="false" customHeight="false" outlineLevel="0" collapsed="false">
      <c r="B168" s="4" t="s">
        <v>63</v>
      </c>
      <c r="C168" s="87" t="n">
        <v>19.058425245663</v>
      </c>
      <c r="D168" s="87" t="n">
        <v>27.256379180255</v>
      </c>
      <c r="E168" s="87" t="n">
        <v>43.3550804934</v>
      </c>
      <c r="F168" s="87" t="n">
        <v>19.098057682272</v>
      </c>
      <c r="G168" s="87" t="n">
        <v>11.140929519045</v>
      </c>
      <c r="H168" s="87" t="n">
        <v>19.098057682272</v>
      </c>
      <c r="I168" s="87" t="n">
        <v>19.239494226088</v>
      </c>
      <c r="J168" s="87" t="n">
        <v>19.058425245663</v>
      </c>
      <c r="K168" s="87" t="n">
        <v>14.44669361836</v>
      </c>
      <c r="L168" s="87" t="n">
        <v>19.911111114216</v>
      </c>
      <c r="M168" s="87" t="n">
        <v>48.492236</v>
      </c>
    </row>
    <row r="170" customFormat="false" ht="15" hidden="false" customHeight="false" outlineLevel="0" collapsed="false">
      <c r="A170" s="3" t="s">
        <v>1082</v>
      </c>
    </row>
    <row r="171" customFormat="false" ht="15" hidden="false" customHeight="false" outlineLevel="0" collapsed="false">
      <c r="B171" s="4" t="s">
        <v>1083</v>
      </c>
      <c r="C171" s="75" t="str">
        <f aca="false">IF(OR(C157&lt;3030*0.95-0.5,C157&gt;3030*1.05+0.5),"MISSED","ok")</f>
        <v>ok</v>
      </c>
      <c r="D171" s="75" t="str">
        <f aca="false">IF(OR(D157&lt;3030*0.95-0.5,D157&gt;3030*1.05+0.5),"MISSED","ok")</f>
        <v>ok</v>
      </c>
      <c r="E171" s="75" t="str">
        <f aca="false">IF(OR(E157&lt;3030*0.95-0.5,E157&gt;3030*1.05+0.5),"MISSED","ok")</f>
        <v>ok</v>
      </c>
      <c r="F171" s="75" t="str">
        <f aca="false">IF(OR(F157&lt;3030*0.95-0.5,F157&gt;3030*1.05+0.5),"MISSED","ok")</f>
        <v>ok</v>
      </c>
      <c r="G171" s="75" t="str">
        <f aca="false">IF(OR(G157&lt;3030*0.95-0.5,G157&gt;3030*1.05+0.5),"MISSED","ok")</f>
        <v>ok</v>
      </c>
      <c r="H171" s="75" t="str">
        <f aca="false">IF(OR(H157&lt;3030*0.95-0.5,H157&gt;3030*1.05+0.5),"MISSED","ok")</f>
        <v>ok</v>
      </c>
      <c r="I171" s="75" t="str">
        <f aca="false">IF(OR(I157&lt;3030*0.95-0.5,I157&gt;3030*1.05+0.5),"MISSED","ok")</f>
        <v>ok</v>
      </c>
      <c r="J171" s="75" t="str">
        <f aca="false">IF(OR(J157&lt;3030*0.95-0.5,J157&gt;3030*1.05+0.5),"MISSED","ok")</f>
        <v>ok</v>
      </c>
      <c r="K171" s="75" t="str">
        <f aca="false">IF(OR(K157&lt;3030*0.95-0.5,K157&gt;3030*1.05+0.5),"MISSED","ok")</f>
        <v>ok</v>
      </c>
      <c r="L171" s="75" t="str">
        <f aca="false">IF(OR(L157&lt;3030*0.95-0.5,L157&gt;3030*1.05+0.5),"MISSED","ok")</f>
        <v>ok</v>
      </c>
      <c r="M171" s="75" t="str">
        <f aca="false">IF(OR(M157&lt;3030*0.95-0.5,M157&gt;3030*1.05+0.5),"MISSED","ok")</f>
        <v>ok</v>
      </c>
    </row>
    <row r="172" customFormat="false" ht="15" hidden="false" customHeight="false" outlineLevel="0" collapsed="false">
      <c r="B172" s="4" t="s">
        <v>1084</v>
      </c>
      <c r="C172" s="75" t="str">
        <f aca="false">IF(C158&lt;112-0.01,"MISSED","ok")</f>
        <v>ok</v>
      </c>
      <c r="D172" s="75" t="str">
        <f aca="false">IF(D158&lt;112-0.01,"MISSED","ok")</f>
        <v>ok</v>
      </c>
      <c r="E172" s="75" t="str">
        <f aca="false">IF(E158&lt;112-0.01,"MISSED","ok")</f>
        <v>ok</v>
      </c>
      <c r="F172" s="75" t="str">
        <f aca="false">IF(F158&lt;112-0.01,"MISSED","ok")</f>
        <v>ok</v>
      </c>
      <c r="G172" s="75" t="str">
        <f aca="false">IF(G158&lt;112-0.01,"MISSED","ok")</f>
        <v>ok</v>
      </c>
      <c r="H172" s="75" t="str">
        <f aca="false">IF(H158&lt;112-0.01,"MISSED","ok")</f>
        <v>ok</v>
      </c>
      <c r="I172" s="75" t="str">
        <f aca="false">IF(I158&lt;112-0.01,"MISSED","ok")</f>
        <v>ok</v>
      </c>
      <c r="J172" s="75" t="str">
        <f aca="false">IF(J158&lt;112-0.01,"MISSED","ok")</f>
        <v>ok</v>
      </c>
      <c r="K172" s="75" t="str">
        <f aca="false">IF(K158&lt;112-0.01,"MISSED","ok")</f>
        <v>ok</v>
      </c>
      <c r="L172" s="75" t="str">
        <f aca="false">IF(L158&lt;112-0.01,"MISSED","ok")</f>
        <v>ok</v>
      </c>
      <c r="M172" s="75" t="str">
        <f aca="false">IF(M158&lt;112-0.01,"MISSED","ok")</f>
        <v>MISSED</v>
      </c>
    </row>
    <row r="173" customFormat="false" ht="15" hidden="false" customHeight="false" outlineLevel="0" collapsed="false">
      <c r="B173" s="4" t="s">
        <v>1085</v>
      </c>
      <c r="C173" s="75" t="str">
        <f aca="false">IF(C161&lt;42-0.01,"MISSED","ok")</f>
        <v>ok</v>
      </c>
      <c r="D173" s="75" t="str">
        <f aca="false">IF(D161&lt;42-0.01,"MISSED","ok")</f>
        <v>ok</v>
      </c>
      <c r="E173" s="75" t="str">
        <f aca="false">IF(E161&lt;42-0.01,"MISSED","ok")</f>
        <v>ok</v>
      </c>
      <c r="F173" s="75" t="str">
        <f aca="false">IF(F161&lt;42-0.01,"MISSED","ok")</f>
        <v>ok</v>
      </c>
      <c r="G173" s="75" t="str">
        <f aca="false">IF(G161&lt;42-0.01,"MISSED","ok")</f>
        <v>ok</v>
      </c>
      <c r="H173" s="75" t="str">
        <f aca="false">IF(H161&lt;42-0.01,"MISSED","ok")</f>
        <v>ok</v>
      </c>
      <c r="I173" s="75" t="str">
        <f aca="false">IF(I161&lt;42-0.01,"MISSED","ok")</f>
        <v>ok</v>
      </c>
      <c r="J173" s="75" t="str">
        <f aca="false">IF(J161&lt;42-0.01,"MISSED","ok")</f>
        <v>ok</v>
      </c>
      <c r="K173" s="75" t="str">
        <f aca="false">IF(K161&lt;42-0.01,"MISSED","ok")</f>
        <v>ok</v>
      </c>
      <c r="L173" s="75" t="str">
        <f aca="false">IF(L161&lt;42-0.01,"MISSED","ok")</f>
        <v>ok</v>
      </c>
      <c r="M173" s="75" t="str">
        <f aca="false">IF(M161&lt;42-0.01,"MISSED","ok")</f>
        <v>MISSED</v>
      </c>
    </row>
    <row r="174" customFormat="false" ht="15" hidden="false" customHeight="false" outlineLevel="0" collapsed="false">
      <c r="B174" s="4" t="s">
        <v>1086</v>
      </c>
      <c r="C174" s="75" t="str">
        <f aca="false">IF(C163&lt;1000-0.01,"MISSED","ok")</f>
        <v>ok</v>
      </c>
      <c r="D174" s="75" t="str">
        <f aca="false">IF(D163&lt;1000-0.01,"MISSED","ok")</f>
        <v>ok</v>
      </c>
      <c r="E174" s="75" t="str">
        <f aca="false">IF(E163&lt;1000-0.01,"MISSED","ok")</f>
        <v>ok</v>
      </c>
      <c r="F174" s="75" t="str">
        <f aca="false">IF(F163&lt;1000-0.01,"MISSED","ok")</f>
        <v>ok</v>
      </c>
      <c r="G174" s="75" t="str">
        <f aca="false">IF(G163&lt;1000-0.01,"MISSED","ok")</f>
        <v>ok</v>
      </c>
      <c r="H174" s="75" t="str">
        <f aca="false">IF(H163&lt;1000-0.01,"MISSED","ok")</f>
        <v>ok</v>
      </c>
      <c r="I174" s="75" t="str">
        <f aca="false">IF(I163&lt;1000-0.01,"MISSED","ok")</f>
        <v>ok</v>
      </c>
      <c r="J174" s="75" t="str">
        <f aca="false">IF(J163&lt;1000-0.01,"MISSED","ok")</f>
        <v>ok</v>
      </c>
      <c r="K174" s="75" t="str">
        <f aca="false">IF(K163&lt;1000-0.01,"MISSED","ok")</f>
        <v>ok</v>
      </c>
      <c r="L174" s="75" t="str">
        <f aca="false">IF(L163&lt;1000-0.01,"MISSED","ok")</f>
        <v>ok</v>
      </c>
      <c r="M174" s="75" t="str">
        <f aca="false">IF(M163&lt;1000-0.01,"MISSED","ok")</f>
        <v>ok</v>
      </c>
    </row>
    <row r="175" customFormat="false" ht="15" hidden="false" customHeight="false" outlineLevel="0" collapsed="false">
      <c r="B175" s="4" t="s">
        <v>1087</v>
      </c>
      <c r="C175" s="75" t="str">
        <f aca="false">IF(C165&lt;3400-0.01,"MISSED","ok")</f>
        <v>ok</v>
      </c>
      <c r="D175" s="75" t="str">
        <f aca="false">IF(D165&lt;3400-0.01,"MISSED","ok")</f>
        <v>ok</v>
      </c>
      <c r="E175" s="75" t="str">
        <f aca="false">IF(E165&lt;3400-0.01,"MISSED","ok")</f>
        <v>ok</v>
      </c>
      <c r="F175" s="75" t="str">
        <f aca="false">IF(F165&lt;3400-0.01,"MISSED","ok")</f>
        <v>ok</v>
      </c>
      <c r="G175" s="75" t="str">
        <f aca="false">IF(G165&lt;3400-0.01,"MISSED","ok")</f>
        <v>ok</v>
      </c>
      <c r="H175" s="75" t="str">
        <f aca="false">IF(H165&lt;3400-0.01,"MISSED","ok")</f>
        <v>ok</v>
      </c>
      <c r="I175" s="75" t="str">
        <f aca="false">IF(I165&lt;3400-0.01,"MISSED","ok")</f>
        <v>ok</v>
      </c>
      <c r="J175" s="75" t="str">
        <f aca="false">IF(J165&lt;3400-0.01,"MISSED","ok")</f>
        <v>ok</v>
      </c>
      <c r="K175" s="75" t="str">
        <f aca="false">IF(K165&lt;3400-0.01,"MISSED","ok")</f>
        <v>ok</v>
      </c>
      <c r="L175" s="75" t="str">
        <f aca="false">IF(L165&lt;3400-0.01,"MISSED","ok")</f>
        <v>ok</v>
      </c>
      <c r="M175" s="75" t="str">
        <f aca="false">IF(M165&lt;3400-0.01,"MISSED","ok")</f>
        <v>MISSED</v>
      </c>
    </row>
    <row r="176" customFormat="false" ht="15" hidden="false" customHeight="false" outlineLevel="0" collapsed="false">
      <c r="B176" s="4" t="s">
        <v>1088</v>
      </c>
      <c r="C176" s="75" t="str">
        <f aca="false">IF(C167&lt;90-0.01,"MISSED","ok")</f>
        <v>ok</v>
      </c>
      <c r="D176" s="75" t="str">
        <f aca="false">IF(D167&lt;90-0.01,"MISSED","ok")</f>
        <v>ok</v>
      </c>
      <c r="E176" s="75" t="str">
        <f aca="false">IF(E167&lt;90-0.01,"MISSED","ok")</f>
        <v>ok</v>
      </c>
      <c r="F176" s="75" t="str">
        <f aca="false">IF(F167&lt;90-0.01,"MISSED","ok")</f>
        <v>ok</v>
      </c>
      <c r="G176" s="75" t="str">
        <f aca="false">IF(G167&lt;90-0.01,"MISSED","ok")</f>
        <v>ok</v>
      </c>
      <c r="H176" s="75" t="str">
        <f aca="false">IF(H167&lt;90-0.01,"MISSED","ok")</f>
        <v>ok</v>
      </c>
      <c r="I176" s="75" t="str">
        <f aca="false">IF(I167&lt;90-0.01,"MISSED","ok")</f>
        <v>ok</v>
      </c>
      <c r="J176" s="75" t="str">
        <f aca="false">IF(J167&lt;90-0.01,"MISSED","ok")</f>
        <v>ok</v>
      </c>
      <c r="K176" s="75" t="str">
        <f aca="false">IF(K167&lt;90-0.01,"MISSED","ok")</f>
        <v>ok</v>
      </c>
      <c r="L176" s="75" t="str">
        <f aca="false">IF(L167&lt;90-0.01,"MISSED","ok")</f>
        <v>ok</v>
      </c>
      <c r="M176" s="75" t="str">
        <f aca="false">IF(M167&lt;90-0.01,"MISSED","ok")</f>
        <v>ok</v>
      </c>
    </row>
    <row r="177" customFormat="false" ht="15" hidden="false" customHeight="false" outlineLevel="0" collapsed="false">
      <c r="B177" s="4" t="s">
        <v>1089</v>
      </c>
      <c r="C177" s="75" t="str">
        <f aca="false">IF(C166&gt;2300+0.01,"MISSED","ok")</f>
        <v>ok</v>
      </c>
      <c r="D177" s="75" t="str">
        <f aca="false">IF(D166&gt;2300+0.01,"MISSED","ok")</f>
        <v>ok</v>
      </c>
      <c r="E177" s="75" t="str">
        <f aca="false">IF(E166&gt;2300+0.01,"MISSED","ok")</f>
        <v>ok</v>
      </c>
      <c r="F177" s="75" t="str">
        <f aca="false">IF(F166&gt;2300+0.01,"MISSED","ok")</f>
        <v>ok</v>
      </c>
      <c r="G177" s="75" t="str">
        <f aca="false">IF(G166&gt;2300+0.01,"MISSED","ok")</f>
        <v>ok</v>
      </c>
      <c r="H177" s="75" t="str">
        <f aca="false">IF(H166&gt;2300+0.01,"MISSED","ok")</f>
        <v>ok</v>
      </c>
      <c r="I177" s="75" t="str">
        <f aca="false">IF(I166&gt;2300+0.01,"MISSED","ok")</f>
        <v>ok</v>
      </c>
      <c r="J177" s="75" t="str">
        <f aca="false">IF(J166&gt;2300+0.01,"MISSED","ok")</f>
        <v>ok</v>
      </c>
      <c r="K177" s="75" t="str">
        <f aca="false">IF(K166&gt;2300+0.01,"MISSED","ok")</f>
        <v>ok</v>
      </c>
      <c r="L177" s="75" t="str">
        <f aca="false">IF(L166&gt;1500+0.01,"MISSED","ok")</f>
        <v>ok</v>
      </c>
      <c r="M177" s="75" t="str">
        <f aca="false">IF(M166&gt;2300+0.01,"MISSED","ok")</f>
        <v>MISSED</v>
      </c>
    </row>
    <row r="178" customFormat="false" ht="15" hidden="false" customHeight="false" outlineLevel="0" collapsed="false">
      <c r="B178" s="4" t="s">
        <v>1090</v>
      </c>
      <c r="C178" s="75" t="str">
        <f aca="false">IF(C160*9&gt;C157*0.35+0.01,"MISSED","ok")</f>
        <v>ok</v>
      </c>
      <c r="D178" s="75" t="str">
        <f aca="false">IF(D160*9&gt;D157*0.3+0.01,"MISSED","ok")</f>
        <v>ok</v>
      </c>
      <c r="E178" s="75" t="str">
        <f aca="false">IF(E160*9&gt;E157*0.5+0.01,"MISSED","ok")</f>
        <v>ok</v>
      </c>
      <c r="F178" s="75" t="str">
        <f aca="false">IF(F160*9&gt;F157*0.35+0.01,"MISSED","ok")</f>
        <v>ok</v>
      </c>
      <c r="G178" s="75" t="str">
        <f aca="false">IF(G160*9&gt;G157*0.35+0.01,"MISSED","ok")</f>
        <v>ok</v>
      </c>
      <c r="H178" s="75" t="str">
        <f aca="false">IF(H160*9&gt;H157*0.35+0.01,"MISSED","ok")</f>
        <v>ok</v>
      </c>
      <c r="I178" s="75" t="str">
        <f aca="false">IF(I160*9&gt;I157*0.35+0.01,"MISSED","ok")</f>
        <v>ok</v>
      </c>
      <c r="J178" s="75" t="str">
        <f aca="false">IF(J160*9&gt;J157*0.35+0.01,"MISSED","ok")</f>
        <v>ok</v>
      </c>
      <c r="K178" s="75" t="str">
        <f aca="false">IF(K160*9&gt;K157*0.35+0.01,"MISSED","ok")</f>
        <v>ok</v>
      </c>
      <c r="L178" s="75" t="str">
        <f aca="false">IF(L160*9&gt;L157*0.3+0.01,"MISSED","ok")</f>
        <v>ok</v>
      </c>
      <c r="M178" s="75" t="str">
        <f aca="false">IF(M160*9&gt;M157*0.35+0.01,"MISSED","ok")</f>
        <v>MISSED</v>
      </c>
    </row>
    <row r="180" customFormat="false" ht="15" hidden="false" customHeight="false" outlineLevel="0" collapsed="false">
      <c r="A180" s="3" t="s">
        <v>1091</v>
      </c>
    </row>
    <row r="181" customFormat="false" ht="15" hidden="false" customHeight="false" outlineLevel="0" collapsed="false">
      <c r="A181" s="7" t="s">
        <v>1092</v>
      </c>
    </row>
    <row r="182" customFormat="false" ht="15" hidden="false" customHeight="false" outlineLevel="0" collapsed="false">
      <c r="A182" s="7" t="s">
        <v>1093</v>
      </c>
    </row>
    <row r="183" customFormat="false" ht="15" hidden="false" customHeight="false" outlineLevel="0" collapsed="false">
      <c r="A183" s="7" t="s">
        <v>1094</v>
      </c>
    </row>
    <row r="184" customFormat="false" ht="15" hidden="false" customHeight="false" outlineLevel="0" collapsed="false">
      <c r="A184" s="7" t="s">
        <v>1095</v>
      </c>
    </row>
    <row r="185" customFormat="false" ht="15" hidden="false" customHeight="false" outlineLevel="0" collapsed="false">
      <c r="A185" s="7" t="s">
        <v>1096</v>
      </c>
    </row>
  </sheetData>
  <conditionalFormatting sqref="C171:M178">
    <cfRule type="expression" priority="2" aboveAverage="0" equalAverage="0" bottom="0" percent="0" rank="0" text="" dxfId="16">
      <formula>C171="MISSED"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5" min="2" style="0" width="14"/>
  </cols>
  <sheetData>
    <row r="1" customFormat="false" ht="17.35" hidden="false" customHeight="false" outlineLevel="0" collapsed="false">
      <c r="A1" s="1" t="s">
        <v>1097</v>
      </c>
    </row>
    <row r="2" customFormat="false" ht="15" hidden="false" customHeight="false" outlineLevel="0" collapsed="false">
      <c r="A2" s="2" t="s">
        <v>1098</v>
      </c>
    </row>
    <row r="3" customFormat="false" ht="15" hidden="false" customHeight="false" outlineLevel="0" collapsed="false">
      <c r="A3" s="2" t="s">
        <v>1099</v>
      </c>
    </row>
    <row r="4" customFormat="false" ht="15" hidden="false" customHeight="false" outlineLevel="0" collapsed="false">
      <c r="A4" s="2" t="s">
        <v>1100</v>
      </c>
    </row>
    <row r="6" customFormat="false" ht="15" hidden="false" customHeight="false" outlineLevel="0" collapsed="false">
      <c r="A6" s="15" t="s">
        <v>1101</v>
      </c>
    </row>
    <row r="7" customFormat="false" ht="57.75" hidden="false" customHeight="true" outlineLevel="0" collapsed="false">
      <c r="A7" s="16" t="s">
        <v>1102</v>
      </c>
      <c r="B7" s="16" t="s">
        <v>1103</v>
      </c>
      <c r="C7" s="16" t="s">
        <v>1104</v>
      </c>
      <c r="F7" s="74" t="str">
        <f aca="false">'Matrix Model'!F13</f>
        <v>Chicken breast (boneless, skinless)</v>
      </c>
      <c r="G7" s="74" t="str">
        <f aca="false">'Matrix Model'!G13</f>
        <v>Chicken drumsticks (bone-in)</v>
      </c>
      <c r="H7" s="74" t="str">
        <f aca="false">'Matrix Model'!H13</f>
        <v>Chicken thighs (boneless, skinless)</v>
      </c>
      <c r="I7" s="74" t="str">
        <f aca="false">'Matrix Model'!I13</f>
        <v>Deli turkey breast (sliced)</v>
      </c>
      <c r="J7" s="74" t="str">
        <f aca="false">'Matrix Model'!J13</f>
        <v>Ground turkey 93/7</v>
      </c>
      <c r="K7" s="74" t="str">
        <f aca="false">'Matrix Model'!K13</f>
        <v>Whole chicken</v>
      </c>
      <c r="L7" s="74" t="str">
        <f aca="false">'Matrix Model'!L13</f>
        <v>Bacon</v>
      </c>
      <c r="M7" s="74" t="str">
        <f aca="false">'Matrix Model'!M13</f>
        <v>Beef for stew (boneless)</v>
      </c>
      <c r="N7" s="74" t="str">
        <f aca="false">'Matrix Model'!N13</f>
        <v>Ground beef 80/20</v>
      </c>
      <c r="O7" s="74" t="str">
        <f aca="false">'Matrix Model'!O13</f>
        <v>Ground beef 93/7 (lean)</v>
      </c>
      <c r="P7" s="74" t="str">
        <f aca="false">'Matrix Model'!P13</f>
        <v>Ham (sliced, cooked)</v>
      </c>
      <c r="Q7" s="74" t="str">
        <f aca="false">'Matrix Model'!Q13</f>
        <v>Pork loin chops (boneless)</v>
      </c>
      <c r="R7" s="74" t="str">
        <f aca="false">'Matrix Model'!R13</f>
        <v>Round steak (boneless)</v>
      </c>
      <c r="S7" s="74" t="str">
        <f aca="false">'Matrix Model'!S13</f>
        <v>Top sirloin steak</v>
      </c>
      <c r="T7" s="74" t="str">
        <f aca="false">'Matrix Model'!T13</f>
        <v>Canned light tuna (in water)</v>
      </c>
      <c r="U7" s="74" t="str">
        <f aca="false">'Matrix Model'!U13</f>
        <v>Salmon (Atlantic, fillet)</v>
      </c>
      <c r="V7" s="74" t="str">
        <f aca="false">'Matrix Model'!V13</f>
        <v>Shrimp (raw, peeled)</v>
      </c>
      <c r="W7" s="74" t="str">
        <f aca="false">'Matrix Model'!W13</f>
        <v>Tilapia (fillet)</v>
      </c>
      <c r="X7" s="74" t="str">
        <f aca="false">'Matrix Model'!X13</f>
        <v>Eggs (large)</v>
      </c>
      <c r="Y7" s="74" t="str">
        <f aca="false">'Matrix Model'!Y13</f>
        <v>Black beans (canned)</v>
      </c>
      <c r="Z7" s="74" t="str">
        <f aca="false">'Matrix Model'!Z13</f>
        <v>Black beans (dry)</v>
      </c>
      <c r="AA7" s="74" t="str">
        <f aca="false">'Matrix Model'!AA13</f>
        <v>Black-eyed peas (canned)</v>
      </c>
      <c r="AB7" s="74" t="str">
        <f aca="false">'Matrix Model'!AB13</f>
        <v>Black-eyed peas (dry)</v>
      </c>
      <c r="AC7" s="74" t="str">
        <f aca="false">'Matrix Model'!AC13</f>
        <v>Chickpeas (canned)</v>
      </c>
      <c r="AD7" s="74" t="str">
        <f aca="false">'Matrix Model'!AD13</f>
        <v>Great northern beans (canned)</v>
      </c>
      <c r="AE7" s="74" t="str">
        <f aca="false">'Matrix Model'!AE13</f>
        <v>Great northern beans (dry)</v>
      </c>
      <c r="AF7" s="74" t="str">
        <f aca="false">'Matrix Model'!AF13</f>
        <v>Kidney beans (canned)</v>
      </c>
      <c r="AG7" s="74" t="str">
        <f aca="false">'Matrix Model'!AG13</f>
        <v>Kidney beans (dry)</v>
      </c>
      <c r="AH7" s="74" t="str">
        <f aca="false">'Matrix Model'!AH13</f>
        <v>Lentils (dry)</v>
      </c>
      <c r="AI7" s="74" t="str">
        <f aca="false">'Matrix Model'!AI13</f>
        <v>Lima beans (dry)</v>
      </c>
      <c r="AJ7" s="74" t="str">
        <f aca="false">'Matrix Model'!AJ13</f>
        <v>Navy beans (canned)</v>
      </c>
      <c r="AK7" s="74" t="str">
        <f aca="false">'Matrix Model'!AK13</f>
        <v>Navy beans (dry)</v>
      </c>
      <c r="AL7" s="74" t="str">
        <f aca="false">'Matrix Model'!AL13</f>
        <v>Peanut butter</v>
      </c>
      <c r="AM7" s="74" t="str">
        <f aca="false">'Matrix Model'!AM13</f>
        <v>Pinto beans (canned)</v>
      </c>
      <c r="AN7" s="74" t="str">
        <f aca="false">'Matrix Model'!AN13</f>
        <v>Pinto beans (dry)</v>
      </c>
      <c r="AO7" s="74" t="str">
        <f aca="false">'Matrix Model'!AO13</f>
        <v>Tofu (extra firm)</v>
      </c>
      <c r="AP7" s="74" t="str">
        <f aca="false">'Matrix Model'!AP13</f>
        <v>2% milk</v>
      </c>
      <c r="AQ7" s="74" t="str">
        <f aca="false">'Matrix Model'!AQ13</f>
        <v>Greek yogurt (plain, nonfat)</v>
      </c>
      <c r="AR7" s="74" t="str">
        <f aca="false">'Matrix Model'!AR13</f>
        <v>Soy milk (calcium-fortified)</v>
      </c>
      <c r="AS7" s="74" t="str">
        <f aca="false">'Matrix Model'!AS13</f>
        <v>Whole milk</v>
      </c>
      <c r="AT7" s="74" t="str">
        <f aca="false">'Matrix Model'!AT13</f>
        <v>American cheese (singles)</v>
      </c>
      <c r="AU7" s="74" t="str">
        <f aca="false">'Matrix Model'!AU13</f>
        <v>Cheddar cheese</v>
      </c>
      <c r="AV7" s="74" t="str">
        <f aca="false">'Matrix Model'!AV13</f>
        <v>Cottage cheese (2%)</v>
      </c>
      <c r="AW7" s="74" t="str">
        <f aca="false">'Matrix Model'!AW13</f>
        <v>Mozzarella string cheese</v>
      </c>
      <c r="AX7" s="74" t="str">
        <f aca="false">'Matrix Model'!AX13</f>
        <v>Bagels (plain)</v>
      </c>
      <c r="AY7" s="74" t="str">
        <f aca="false">'Matrix Model'!AY13</f>
        <v>Brown rice (dry)</v>
      </c>
      <c r="AZ7" s="74" t="str">
        <f aca="false">'Matrix Model'!AZ13</f>
        <v>Cheerios</v>
      </c>
      <c r="BA7" s="74" t="str">
        <f aca="false">'Matrix Model'!BA13</f>
        <v>Corn tortillas</v>
      </c>
      <c r="BB7" s="74" t="str">
        <f aca="false">'Matrix Model'!BB13</f>
        <v>Flour tortillas</v>
      </c>
      <c r="BC7" s="74" t="str">
        <f aca="false">'Matrix Model'!BC13</f>
        <v>Quinoa (dry)</v>
      </c>
      <c r="BD7" s="74" t="str">
        <f aca="false">'Matrix Model'!BD13</f>
        <v>Rolled oats (dry)</v>
      </c>
      <c r="BE7" s="74" t="str">
        <f aca="false">'Matrix Model'!BE13</f>
        <v>Spaghetti (dry)</v>
      </c>
      <c r="BF7" s="74" t="str">
        <f aca="false">'Matrix Model'!BF13</f>
        <v>White bread</v>
      </c>
      <c r="BG7" s="74" t="str">
        <f aca="false">'Matrix Model'!BG13</f>
        <v>White rice (dry)</v>
      </c>
      <c r="BH7" s="74" t="str">
        <f aca="false">'Matrix Model'!BH13</f>
        <v>Whole-wheat bread</v>
      </c>
      <c r="BI7" s="74" t="str">
        <f aca="false">'Matrix Model'!BI13</f>
        <v>Whole-wheat spaghetti (dry)</v>
      </c>
      <c r="BJ7" s="74" t="str">
        <f aca="false">'Matrix Model'!BJ13</f>
        <v>Baby lima beans (frozen)</v>
      </c>
      <c r="BK7" s="74" t="str">
        <f aca="false">'Matrix Model'!BK13</f>
        <v>Corn (canned)</v>
      </c>
      <c r="BL7" s="74" t="str">
        <f aca="false">'Matrix Model'!BL13</f>
        <v>Corn (frozen)</v>
      </c>
      <c r="BM7" s="74" t="str">
        <f aca="false">'Matrix Model'!BM13</f>
        <v>French fries (frozen)</v>
      </c>
      <c r="BN7" s="74" t="str">
        <f aca="false">'Matrix Model'!BN13</f>
        <v>Green peas (canned)</v>
      </c>
      <c r="BO7" s="74" t="str">
        <f aca="false">'Matrix Model'!BO13</f>
        <v>Green peas (frozen)</v>
      </c>
      <c r="BP7" s="74" t="str">
        <f aca="false">'Matrix Model'!BP13</f>
        <v>Potatoes (russet)</v>
      </c>
      <c r="BQ7" s="74" t="str">
        <f aca="false">'Matrix Model'!BQ13</f>
        <v>Sweet potatoes</v>
      </c>
      <c r="BR7" s="74" t="str">
        <f aca="false">'Matrix Model'!BR13</f>
        <v>Apples (Gala)</v>
      </c>
      <c r="BS7" s="74" t="str">
        <f aca="false">'Matrix Model'!BS13</f>
        <v>Applesauce (unsweetened)</v>
      </c>
      <c r="BT7" s="74" t="str">
        <f aca="false">'Matrix Model'!BT13</f>
        <v>Bananas</v>
      </c>
      <c r="BU7" s="74" t="str">
        <f aca="false">'Matrix Model'!BU13</f>
        <v>Blackberries</v>
      </c>
      <c r="BV7" s="74" t="str">
        <f aca="false">'Matrix Model'!BV13</f>
        <v>Blueberries (frozen)</v>
      </c>
      <c r="BW7" s="74" t="str">
        <f aca="false">'Matrix Model'!BW13</f>
        <v>Cantaloupe</v>
      </c>
      <c r="BX7" s="74" t="str">
        <f aca="false">'Matrix Model'!BX13</f>
        <v>Cherries</v>
      </c>
      <c r="BY7" s="74" t="str">
        <f aca="false">'Matrix Model'!BY13</f>
        <v>Clementines</v>
      </c>
      <c r="BZ7" s="74" t="str">
        <f aca="false">'Matrix Model'!BZ13</f>
        <v>Dates (pitted)</v>
      </c>
      <c r="CA7" s="74" t="str">
        <f aca="false">'Matrix Model'!CA13</f>
        <v>Dried apricots</v>
      </c>
      <c r="CB7" s="74" t="str">
        <f aca="false">'Matrix Model'!CB13</f>
        <v>Dried cranberries (sweetened)</v>
      </c>
      <c r="CC7" s="74" t="str">
        <f aca="false">'Matrix Model'!CC13</f>
        <v>Fruit cocktail (canned in juice)</v>
      </c>
      <c r="CD7" s="74" t="str">
        <f aca="false">'Matrix Model'!CD13</f>
        <v>Grapefruit</v>
      </c>
      <c r="CE7" s="74" t="str">
        <f aca="false">'Matrix Model'!CE13</f>
        <v>Grapes (red seedless)</v>
      </c>
      <c r="CF7" s="74" t="str">
        <f aca="false">'Matrix Model'!CF13</f>
        <v>Honeydew melon</v>
      </c>
      <c r="CG7" s="74" t="str">
        <f aca="false">'Matrix Model'!CG13</f>
        <v>Kiwifruit</v>
      </c>
      <c r="CH7" s="74" t="str">
        <f aca="false">'Matrix Model'!CH13</f>
        <v>Mango</v>
      </c>
      <c r="CI7" s="74" t="str">
        <f aca="false">'Matrix Model'!CI13</f>
        <v>Nectarines</v>
      </c>
      <c r="CJ7" s="74" t="str">
        <f aca="false">'Matrix Model'!CJ13</f>
        <v>Orange juice (100%)</v>
      </c>
      <c r="CK7" s="74" t="str">
        <f aca="false">'Matrix Model'!CK13</f>
        <v>Oranges (navel)</v>
      </c>
      <c r="CL7" s="74" t="str">
        <f aca="false">'Matrix Model'!CL13</f>
        <v>Papaya</v>
      </c>
      <c r="CM7" s="74" t="str">
        <f aca="false">'Matrix Model'!CM13</f>
        <v>Peaches</v>
      </c>
      <c r="CN7" s="74" t="str">
        <f aca="false">'Matrix Model'!CN13</f>
        <v>Peaches (canned in juice)</v>
      </c>
      <c r="CO7" s="74" t="str">
        <f aca="false">'Matrix Model'!CO13</f>
        <v>Pears</v>
      </c>
      <c r="CP7" s="74" t="str">
        <f aca="false">'Matrix Model'!CP13</f>
        <v>Pears (canned in juice)</v>
      </c>
      <c r="CQ7" s="74" t="str">
        <f aca="false">'Matrix Model'!CQ13</f>
        <v>Pineapple</v>
      </c>
      <c r="CR7" s="74" t="str">
        <f aca="false">'Matrix Model'!CR13</f>
        <v>Pineapple (canned in juice)</v>
      </c>
      <c r="CS7" s="74" t="str">
        <f aca="false">'Matrix Model'!CS13</f>
        <v>Plums</v>
      </c>
      <c r="CT7" s="74" t="str">
        <f aca="false">'Matrix Model'!CT13</f>
        <v>Prunes (pitted)</v>
      </c>
      <c r="CU7" s="74" t="str">
        <f aca="false">'Matrix Model'!CU13</f>
        <v>Raisins</v>
      </c>
      <c r="CV7" s="74" t="str">
        <f aca="false">'Matrix Model'!CV13</f>
        <v>Raspberries</v>
      </c>
      <c r="CW7" s="74" t="str">
        <f aca="false">'Matrix Model'!CW13</f>
        <v>Strawberries</v>
      </c>
      <c r="CX7" s="74" t="str">
        <f aca="false">'Matrix Model'!CX13</f>
        <v>Strawberries (frozen)</v>
      </c>
      <c r="CY7" s="74" t="str">
        <f aca="false">'Matrix Model'!CY13</f>
        <v>Watermelon</v>
      </c>
      <c r="CZ7" s="74" t="str">
        <f aca="false">'Matrix Model'!CZ13</f>
        <v>Acorn squash</v>
      </c>
      <c r="DA7" s="74" t="str">
        <f aca="false">'Matrix Model'!DA13</f>
        <v>Asparagus</v>
      </c>
      <c r="DB7" s="74" t="str">
        <f aca="false">'Matrix Model'!DB13</f>
        <v>Baby carrots</v>
      </c>
      <c r="DC7" s="74" t="str">
        <f aca="false">'Matrix Model'!DC13</f>
        <v>Beets (canned)</v>
      </c>
      <c r="DD7" s="74" t="str">
        <f aca="false">'Matrix Model'!DD13</f>
        <v>Broccoli (frozen)</v>
      </c>
      <c r="DE7" s="74" t="str">
        <f aca="false">'Matrix Model'!DE13</f>
        <v>Brussels sprouts (frozen)</v>
      </c>
      <c r="DF7" s="74" t="str">
        <f aca="false">'Matrix Model'!DF13</f>
        <v>Butternut squash</v>
      </c>
      <c r="DG7" s="74" t="str">
        <f aca="false">'Matrix Model'!DG13</f>
        <v>Cabbage (green)</v>
      </c>
      <c r="DH7" s="74" t="str">
        <f aca="false">'Matrix Model'!DH13</f>
        <v>Cabbage (red)</v>
      </c>
      <c r="DI7" s="74" t="str">
        <f aca="false">'Matrix Model'!DI13</f>
        <v>Carrots</v>
      </c>
      <c r="DJ7" s="74" t="str">
        <f aca="false">'Matrix Model'!DJ13</f>
        <v>Carrots (canned)</v>
      </c>
      <c r="DK7" s="74" t="str">
        <f aca="false">'Matrix Model'!DK13</f>
        <v>Carrots (frozen)</v>
      </c>
      <c r="DL7" s="74" t="str">
        <f aca="false">'Matrix Model'!DL13</f>
        <v>Cauliflower (frozen)</v>
      </c>
      <c r="DM7" s="74" t="str">
        <f aca="false">'Matrix Model'!DM13</f>
        <v>Celery</v>
      </c>
      <c r="DN7" s="74" t="str">
        <f aca="false">'Matrix Model'!DN13</f>
        <v>Collard greens</v>
      </c>
      <c r="DO7" s="74" t="str">
        <f aca="false">'Matrix Model'!DO13</f>
        <v>Collard greens (frozen)</v>
      </c>
      <c r="DP7" s="74" t="str">
        <f aca="false">'Matrix Model'!DP13</f>
        <v>Cucumber</v>
      </c>
      <c r="DQ7" s="74" t="str">
        <f aca="false">'Matrix Model'!DQ13</f>
        <v>Green beans (canned)</v>
      </c>
      <c r="DR7" s="74" t="str">
        <f aca="false">'Matrix Model'!DR13</f>
        <v>Green beans (frozen)</v>
      </c>
      <c r="DS7" s="74" t="str">
        <f aca="false">'Matrix Model'!DS13</f>
        <v>Green bell pepper</v>
      </c>
      <c r="DT7" s="74" t="str">
        <f aca="false">'Matrix Model'!DT13</f>
        <v>Iceberg lettuce</v>
      </c>
      <c r="DU7" s="74" t="str">
        <f aca="false">'Matrix Model'!DU13</f>
        <v>Kale (frozen)</v>
      </c>
      <c r="DV7" s="74" t="str">
        <f aca="false">'Matrix Model'!DV13</f>
        <v>Mixed vegetables (frozen)</v>
      </c>
      <c r="DW7" s="74" t="str">
        <f aca="false">'Matrix Model'!DW13</f>
        <v>Mushrooms (white)</v>
      </c>
      <c r="DX7" s="74" t="str">
        <f aca="false">'Matrix Model'!DX13</f>
        <v>Mustard greens (frozen)</v>
      </c>
      <c r="DY7" s="74" t="str">
        <f aca="false">'Matrix Model'!DY13</f>
        <v>Okra (frozen)</v>
      </c>
      <c r="DZ7" s="74" t="str">
        <f aca="false">'Matrix Model'!DZ13</f>
        <v>Onions (yellow)</v>
      </c>
      <c r="EA7" s="74" t="str">
        <f aca="false">'Matrix Model'!EA13</f>
        <v>Pumpkin (canned)</v>
      </c>
      <c r="EB7" s="74" t="str">
        <f aca="false">'Matrix Model'!EB13</f>
        <v>Radishes</v>
      </c>
      <c r="EC7" s="74" t="str">
        <f aca="false">'Matrix Model'!EC13</f>
        <v>Red bell pepper</v>
      </c>
      <c r="ED7" s="74" t="str">
        <f aca="false">'Matrix Model'!ED13</f>
        <v>Romaine lettuce</v>
      </c>
      <c r="EE7" s="74" t="str">
        <f aca="false">'Matrix Model'!EE13</f>
        <v>Sauerkraut (canned)</v>
      </c>
      <c r="EF7" s="74" t="str">
        <f aca="false">'Matrix Model'!EF13</f>
        <v>Spinach (canned)</v>
      </c>
      <c r="EG7" s="74" t="str">
        <f aca="false">'Matrix Model'!EG13</f>
        <v>Spinach (fresh)</v>
      </c>
      <c r="EH7" s="74" t="str">
        <f aca="false">'Matrix Model'!EH13</f>
        <v>Spinach (frozen)</v>
      </c>
      <c r="EI7" s="74" t="str">
        <f aca="false">'Matrix Model'!EI13</f>
        <v>Tomatoes (canned)</v>
      </c>
      <c r="EJ7" s="74" t="str">
        <f aca="false">'Matrix Model'!EJ13</f>
        <v>Tomatoes (roma)</v>
      </c>
      <c r="EK7" s="74" t="str">
        <f aca="false">'Matrix Model'!EK13</f>
        <v>Turnip greens (frozen)</v>
      </c>
      <c r="EL7" s="74" t="str">
        <f aca="false">'Matrix Model'!EL13</f>
        <v>Zucchini</v>
      </c>
      <c r="EM7" s="74" t="str">
        <f aca="false">'Matrix Model'!EM13</f>
        <v>Butter (salted)</v>
      </c>
      <c r="EN7" s="74" t="str">
        <f aca="false">'Matrix Model'!EN13</f>
        <v>Canola oil</v>
      </c>
      <c r="EO7" s="74" t="str">
        <f aca="false">'Matrix Model'!EO13</f>
        <v>Olive oil (extra virgin)</v>
      </c>
      <c r="EP7" s="74" t="str">
        <f aca="false">'Matrix Model'!EP13</f>
        <v>Almonds</v>
      </c>
      <c r="EQ7" s="74" t="str">
        <f aca="false">'Matrix Model'!EQ13</f>
        <v>Avocado (Hass)</v>
      </c>
      <c r="ER7" s="74" t="str">
        <f aca="false">'Matrix Model'!ER13</f>
        <v>Chocolate chip cookies</v>
      </c>
      <c r="ES7" s="74" t="str">
        <f aca="false">'Matrix Model'!ES13</f>
        <v>Granola bars (chocolate chip)</v>
      </c>
      <c r="ET7" s="74" t="str">
        <f aca="false">'Matrix Model'!ET13</f>
        <v>Potato chips</v>
      </c>
      <c r="EU7" s="74" t="str">
        <f aca="false">'Matrix Model'!EU13</f>
        <v>Vanilla ice cream</v>
      </c>
    </row>
    <row r="8" customFormat="false" ht="15" hidden="false" customHeight="false" outlineLevel="0" collapsed="false">
      <c r="A8" s="4" t="s">
        <v>1105</v>
      </c>
      <c r="B8" s="75" t="s">
        <v>1106</v>
      </c>
      <c r="C8" s="78" t="n">
        <v>2878.5</v>
      </c>
      <c r="F8" s="24" t="n">
        <f aca="false">'Food Data'!$AL$6</f>
        <v>120</v>
      </c>
      <c r="G8" s="24" t="n">
        <f aca="false">'Food Data'!$AL$7</f>
        <v>161</v>
      </c>
      <c r="H8" s="24" t="n">
        <f aca="false">'Food Data'!$AL$8</f>
        <v>121</v>
      </c>
      <c r="I8" s="24" t="n">
        <f aca="false">'Food Data'!$AL$9</f>
        <v>100</v>
      </c>
      <c r="J8" s="24" t="n">
        <f aca="false">'Food Data'!$AL$10</f>
        <v>150</v>
      </c>
      <c r="K8" s="24" t="n">
        <f aca="false">'Food Data'!$AL$11</f>
        <v>215</v>
      </c>
      <c r="L8" s="24" t="n">
        <f aca="false">'Food Data'!$AL$12</f>
        <v>417</v>
      </c>
      <c r="M8" s="24" t="n">
        <f aca="false">'Food Data'!$AL$13</f>
        <v>128</v>
      </c>
      <c r="N8" s="24" t="n">
        <f aca="false">'Food Data'!$AL$14</f>
        <v>254</v>
      </c>
      <c r="O8" s="24" t="n">
        <f aca="false">'Food Data'!$AL$15</f>
        <v>152</v>
      </c>
      <c r="P8" s="24" t="n">
        <f aca="false">'Food Data'!$AL$16</f>
        <v>163</v>
      </c>
      <c r="Q8" s="24" t="n">
        <f aca="false">'Food Data'!$AL$17</f>
        <v>201</v>
      </c>
      <c r="R8" s="24" t="n">
        <f aca="false">'Food Data'!$AL$18</f>
        <v>168</v>
      </c>
      <c r="S8" s="24" t="n">
        <f aca="false">'Food Data'!$AL$19</f>
        <v>214</v>
      </c>
      <c r="T8" s="24" t="n">
        <f aca="false">'Food Data'!$AL$20</f>
        <v>86</v>
      </c>
      <c r="U8" s="24" t="n">
        <f aca="false">'Food Data'!$AL$21</f>
        <v>208</v>
      </c>
      <c r="V8" s="24" t="n">
        <f aca="false">'Food Data'!$AL$22</f>
        <v>71</v>
      </c>
      <c r="W8" s="24" t="n">
        <f aca="false">'Food Data'!$AL$23</f>
        <v>96</v>
      </c>
      <c r="X8" s="24" t="n">
        <f aca="false">'Food Data'!$AL$24</f>
        <v>143</v>
      </c>
      <c r="Y8" s="24" t="n">
        <f aca="false">'Food Data'!$AL$25</f>
        <v>91</v>
      </c>
      <c r="Z8" s="24" t="n">
        <f aca="false">'Food Data'!$AL$26</f>
        <v>341</v>
      </c>
      <c r="AA8" s="24" t="n">
        <f aca="false">'Food Data'!$AL$27</f>
        <v>77</v>
      </c>
      <c r="AB8" s="24" t="n">
        <f aca="false">'Food Data'!$AL$28</f>
        <v>336</v>
      </c>
      <c r="AC8" s="24" t="n">
        <f aca="false">'Food Data'!$AL$29</f>
        <v>88</v>
      </c>
      <c r="AD8" s="24" t="n">
        <f aca="false">'Food Data'!$AL$30</f>
        <v>114</v>
      </c>
      <c r="AE8" s="24" t="n">
        <f aca="false">'Food Data'!$AL$31</f>
        <v>339</v>
      </c>
      <c r="AF8" s="24" t="n">
        <f aca="false">'Food Data'!$AL$32</f>
        <v>81</v>
      </c>
      <c r="AG8" s="24" t="n">
        <f aca="false">'Food Data'!$AL$33</f>
        <v>333</v>
      </c>
      <c r="AH8" s="24" t="n">
        <f aca="false">'Food Data'!$AL$34</f>
        <v>352</v>
      </c>
      <c r="AI8" s="24" t="n">
        <f aca="false">'Food Data'!$AL$35</f>
        <v>338</v>
      </c>
      <c r="AJ8" s="24" t="n">
        <f aca="false">'Food Data'!$AL$36</f>
        <v>113</v>
      </c>
      <c r="AK8" s="24" t="n">
        <f aca="false">'Food Data'!$AL$37</f>
        <v>337</v>
      </c>
      <c r="AL8" s="24" t="n">
        <f aca="false">'Food Data'!$AL$38</f>
        <v>598</v>
      </c>
      <c r="AM8" s="24" t="n">
        <f aca="false">'Food Data'!$AL$39</f>
        <v>82</v>
      </c>
      <c r="AN8" s="24" t="n">
        <f aca="false">'Food Data'!$AL$40</f>
        <v>347</v>
      </c>
      <c r="AO8" s="24" t="n">
        <f aca="false">'Food Data'!$AL$41</f>
        <v>98</v>
      </c>
      <c r="AP8" s="24" t="n">
        <f aca="false">'Food Data'!$AL$42</f>
        <v>50</v>
      </c>
      <c r="AQ8" s="24" t="n">
        <f aca="false">'Food Data'!$AL$43</f>
        <v>59</v>
      </c>
      <c r="AR8" s="24" t="n">
        <f aca="false">'Food Data'!$AL$44</f>
        <v>43</v>
      </c>
      <c r="AS8" s="24" t="n">
        <f aca="false">'Food Data'!$AL$45</f>
        <v>61</v>
      </c>
      <c r="AT8" s="24" t="n">
        <f aca="false">'Food Data'!$AL$46</f>
        <v>366</v>
      </c>
      <c r="AU8" s="24" t="n">
        <f aca="false">'Food Data'!$AL$47</f>
        <v>404</v>
      </c>
      <c r="AV8" s="24" t="n">
        <f aca="false">'Food Data'!$AL$48</f>
        <v>81</v>
      </c>
      <c r="AW8" s="24" t="n">
        <f aca="false">'Food Data'!$AL$49</f>
        <v>295</v>
      </c>
      <c r="AX8" s="24" t="n">
        <f aca="false">'Food Data'!$AL$50</f>
        <v>264</v>
      </c>
      <c r="AY8" s="24" t="n">
        <f aca="false">'Food Data'!$AL$51</f>
        <v>367</v>
      </c>
      <c r="AZ8" s="24" t="n">
        <f aca="false">'Food Data'!$AL$52</f>
        <v>376</v>
      </c>
      <c r="BA8" s="24" t="n">
        <f aca="false">'Food Data'!$AL$53</f>
        <v>218</v>
      </c>
      <c r="BB8" s="24" t="n">
        <f aca="false">'Food Data'!$AL$54</f>
        <v>297</v>
      </c>
      <c r="BC8" s="24" t="n">
        <f aca="false">'Food Data'!$AL$55</f>
        <v>368</v>
      </c>
      <c r="BD8" s="24" t="n">
        <f aca="false">'Food Data'!$AL$56</f>
        <v>379</v>
      </c>
      <c r="BE8" s="24" t="n">
        <f aca="false">'Food Data'!$AL$57</f>
        <v>371</v>
      </c>
      <c r="BF8" s="24" t="n">
        <f aca="false">'Food Data'!$AL$58</f>
        <v>266</v>
      </c>
      <c r="BG8" s="24" t="n">
        <f aca="false">'Food Data'!$AL$59</f>
        <v>365</v>
      </c>
      <c r="BH8" s="24" t="n">
        <f aca="false">'Food Data'!$AL$60</f>
        <v>252</v>
      </c>
      <c r="BI8" s="24" t="n">
        <f aca="false">'Food Data'!$AL$61</f>
        <v>352</v>
      </c>
      <c r="BJ8" s="24" t="n">
        <f aca="false">'Food Data'!$AL$62</f>
        <v>132</v>
      </c>
      <c r="BK8" s="24" t="n">
        <f aca="false">'Food Data'!$AL$63</f>
        <v>61</v>
      </c>
      <c r="BL8" s="24" t="n">
        <f aca="false">'Food Data'!$AL$64</f>
        <v>88</v>
      </c>
      <c r="BM8" s="24" t="n">
        <f aca="false">'Food Data'!$AL$65</f>
        <v>150</v>
      </c>
      <c r="BN8" s="24" t="n">
        <f aca="false">'Food Data'!$AL$66</f>
        <v>58</v>
      </c>
      <c r="BO8" s="24" t="n">
        <f aca="false">'Food Data'!$AL$67</f>
        <v>77</v>
      </c>
      <c r="BP8" s="24" t="n">
        <f aca="false">'Food Data'!$AL$68</f>
        <v>77</v>
      </c>
      <c r="BQ8" s="24" t="n">
        <f aca="false">'Food Data'!$AL$69</f>
        <v>86</v>
      </c>
      <c r="BR8" s="24" t="n">
        <f aca="false">'Food Data'!$AL$70</f>
        <v>52</v>
      </c>
      <c r="BS8" s="24" t="n">
        <f aca="false">'Food Data'!$AL$71</f>
        <v>42</v>
      </c>
      <c r="BT8" s="24" t="n">
        <f aca="false">'Food Data'!$AL$72</f>
        <v>89</v>
      </c>
      <c r="BU8" s="24" t="n">
        <f aca="false">'Food Data'!$AL$73</f>
        <v>43</v>
      </c>
      <c r="BV8" s="24" t="n">
        <f aca="false">'Food Data'!$AL$74</f>
        <v>51</v>
      </c>
      <c r="BW8" s="24" t="n">
        <f aca="false">'Food Data'!$AL$75</f>
        <v>34</v>
      </c>
      <c r="BX8" s="24" t="n">
        <f aca="false">'Food Data'!$AL$76</f>
        <v>63</v>
      </c>
      <c r="BY8" s="24" t="n">
        <f aca="false">'Food Data'!$AL$77</f>
        <v>47</v>
      </c>
      <c r="BZ8" s="24" t="n">
        <f aca="false">'Food Data'!$AL$78</f>
        <v>282</v>
      </c>
      <c r="CA8" s="24" t="n">
        <f aca="false">'Food Data'!$AL$79</f>
        <v>241</v>
      </c>
      <c r="CB8" s="24" t="n">
        <f aca="false">'Food Data'!$AL$80</f>
        <v>308</v>
      </c>
      <c r="CC8" s="24" t="n">
        <f aca="false">'Food Data'!$AL$81</f>
        <v>46</v>
      </c>
      <c r="CD8" s="24" t="n">
        <f aca="false">'Food Data'!$AL$82</f>
        <v>32</v>
      </c>
      <c r="CE8" s="24" t="n">
        <f aca="false">'Food Data'!$AL$83</f>
        <v>69</v>
      </c>
      <c r="CF8" s="24" t="n">
        <f aca="false">'Food Data'!$AL$84</f>
        <v>36</v>
      </c>
      <c r="CG8" s="24" t="n">
        <f aca="false">'Food Data'!$AL$85</f>
        <v>61</v>
      </c>
      <c r="CH8" s="24" t="n">
        <f aca="false">'Food Data'!$AL$86</f>
        <v>60</v>
      </c>
      <c r="CI8" s="24" t="n">
        <f aca="false">'Food Data'!$AL$87</f>
        <v>44</v>
      </c>
      <c r="CJ8" s="24" t="n">
        <f aca="false">'Food Data'!$AL$88</f>
        <v>49</v>
      </c>
      <c r="CK8" s="24" t="n">
        <f aca="false">'Food Data'!$AL$89</f>
        <v>49</v>
      </c>
      <c r="CL8" s="24" t="n">
        <f aca="false">'Food Data'!$AL$90</f>
        <v>43</v>
      </c>
      <c r="CM8" s="24" t="n">
        <f aca="false">'Food Data'!$AL$91</f>
        <v>39</v>
      </c>
      <c r="CN8" s="24" t="n">
        <f aca="false">'Food Data'!$AL$92</f>
        <v>44</v>
      </c>
      <c r="CO8" s="24" t="n">
        <f aca="false">'Food Data'!$AL$93</f>
        <v>57</v>
      </c>
      <c r="CP8" s="24" t="n">
        <f aca="false">'Food Data'!$AL$94</f>
        <v>50</v>
      </c>
      <c r="CQ8" s="24" t="n">
        <f aca="false">'Food Data'!$AL$95</f>
        <v>50</v>
      </c>
      <c r="CR8" s="24" t="n">
        <f aca="false">'Food Data'!$AL$96</f>
        <v>60</v>
      </c>
      <c r="CS8" s="24" t="n">
        <f aca="false">'Food Data'!$AL$97</f>
        <v>46</v>
      </c>
      <c r="CT8" s="24" t="n">
        <f aca="false">'Food Data'!$AL$98</f>
        <v>240</v>
      </c>
      <c r="CU8" s="24" t="n">
        <f aca="false">'Food Data'!$AL$99</f>
        <v>299</v>
      </c>
      <c r="CV8" s="24" t="n">
        <f aca="false">'Food Data'!$AL$100</f>
        <v>52</v>
      </c>
      <c r="CW8" s="24" t="n">
        <f aca="false">'Food Data'!$AL$101</f>
        <v>32</v>
      </c>
      <c r="CX8" s="24" t="n">
        <f aca="false">'Food Data'!$AL$102</f>
        <v>35</v>
      </c>
      <c r="CY8" s="24" t="n">
        <f aca="false">'Food Data'!$AL$103</f>
        <v>30</v>
      </c>
      <c r="CZ8" s="24" t="n">
        <f aca="false">'Food Data'!$AL$104</f>
        <v>40</v>
      </c>
      <c r="DA8" s="24" t="n">
        <f aca="false">'Food Data'!$AL$105</f>
        <v>20</v>
      </c>
      <c r="DB8" s="24" t="n">
        <f aca="false">'Food Data'!$AL$106</f>
        <v>35</v>
      </c>
      <c r="DC8" s="24" t="n">
        <f aca="false">'Food Data'!$AL$107</f>
        <v>30</v>
      </c>
      <c r="DD8" s="24" t="n">
        <f aca="false">'Food Data'!$AL$108</f>
        <v>29</v>
      </c>
      <c r="DE8" s="24" t="n">
        <f aca="false">'Food Data'!$AL$109</f>
        <v>41</v>
      </c>
      <c r="DF8" s="24" t="n">
        <f aca="false">'Food Data'!$AL$110</f>
        <v>45</v>
      </c>
      <c r="DG8" s="24" t="n">
        <f aca="false">'Food Data'!$AL$111</f>
        <v>25</v>
      </c>
      <c r="DH8" s="24" t="n">
        <f aca="false">'Food Data'!$AL$112</f>
        <v>31</v>
      </c>
      <c r="DI8" s="24" t="n">
        <f aca="false">'Food Data'!$AL$113</f>
        <v>41</v>
      </c>
      <c r="DJ8" s="24" t="n">
        <f aca="false">'Food Data'!$AL$114</f>
        <v>23</v>
      </c>
      <c r="DK8" s="24" t="n">
        <f aca="false">'Food Data'!$AL$115</f>
        <v>36</v>
      </c>
      <c r="DL8" s="24" t="n">
        <f aca="false">'Food Data'!$AL$116</f>
        <v>24</v>
      </c>
      <c r="DM8" s="24" t="n">
        <f aca="false">'Food Data'!$AL$117</f>
        <v>16</v>
      </c>
      <c r="DN8" s="24" t="n">
        <f aca="false">'Food Data'!$AL$118</f>
        <v>32</v>
      </c>
      <c r="DO8" s="24" t="n">
        <f aca="false">'Food Data'!$AL$119</f>
        <v>33</v>
      </c>
      <c r="DP8" s="24" t="n">
        <f aca="false">'Food Data'!$AL$120</f>
        <v>15</v>
      </c>
      <c r="DQ8" s="24" t="n">
        <f aca="false">'Food Data'!$AL$121</f>
        <v>15</v>
      </c>
      <c r="DR8" s="24" t="n">
        <f aca="false">'Food Data'!$AL$122</f>
        <v>39</v>
      </c>
      <c r="DS8" s="24" t="n">
        <f aca="false">'Food Data'!$AL$123</f>
        <v>20</v>
      </c>
      <c r="DT8" s="24" t="n">
        <f aca="false">'Food Data'!$AL$124</f>
        <v>14</v>
      </c>
      <c r="DU8" s="24" t="n">
        <f aca="false">'Food Data'!$AL$125</f>
        <v>28</v>
      </c>
      <c r="DV8" s="24" t="n">
        <f aca="false">'Food Data'!$AL$126</f>
        <v>72</v>
      </c>
      <c r="DW8" s="24" t="n">
        <f aca="false">'Food Data'!$AL$127</f>
        <v>22</v>
      </c>
      <c r="DX8" s="24" t="n">
        <f aca="false">'Food Data'!$AL$128</f>
        <v>20</v>
      </c>
      <c r="DY8" s="24" t="n">
        <f aca="false">'Food Data'!$AL$129</f>
        <v>30</v>
      </c>
      <c r="DZ8" s="24" t="n">
        <f aca="false">'Food Data'!$AL$130</f>
        <v>40</v>
      </c>
      <c r="EA8" s="24" t="n">
        <f aca="false">'Food Data'!$AL$131</f>
        <v>34</v>
      </c>
      <c r="EB8" s="24" t="n">
        <f aca="false">'Food Data'!$AL$132</f>
        <v>16</v>
      </c>
      <c r="EC8" s="24" t="n">
        <f aca="false">'Food Data'!$AL$133</f>
        <v>31</v>
      </c>
      <c r="ED8" s="24" t="n">
        <f aca="false">'Food Data'!$AL$134</f>
        <v>17</v>
      </c>
      <c r="EE8" s="24" t="n">
        <f aca="false">'Food Data'!$AL$135</f>
        <v>19</v>
      </c>
      <c r="EF8" s="24" t="n">
        <f aca="false">'Food Data'!$AL$136</f>
        <v>19</v>
      </c>
      <c r="EG8" s="24" t="n">
        <f aca="false">'Food Data'!$AL$137</f>
        <v>23</v>
      </c>
      <c r="EH8" s="24" t="n">
        <f aca="false">'Food Data'!$AL$138</f>
        <v>29</v>
      </c>
      <c r="EI8" s="24" t="n">
        <f aca="false">'Food Data'!$AL$139</f>
        <v>16</v>
      </c>
      <c r="EJ8" s="24" t="n">
        <f aca="false">'Food Data'!$AL$140</f>
        <v>18</v>
      </c>
      <c r="EK8" s="24" t="n">
        <f aca="false">'Food Data'!$AL$141</f>
        <v>22</v>
      </c>
      <c r="EL8" s="24" t="n">
        <f aca="false">'Food Data'!$AL$142</f>
        <v>17</v>
      </c>
      <c r="EM8" s="24" t="n">
        <f aca="false">'Food Data'!$AL$143</f>
        <v>717</v>
      </c>
      <c r="EN8" s="24" t="n">
        <f aca="false">'Food Data'!$AL$144</f>
        <v>884</v>
      </c>
      <c r="EO8" s="24" t="n">
        <f aca="false">'Food Data'!$AL$145</f>
        <v>884</v>
      </c>
      <c r="EP8" s="24" t="n">
        <f aca="false">'Food Data'!$AL$146</f>
        <v>579</v>
      </c>
      <c r="EQ8" s="24" t="n">
        <f aca="false">'Food Data'!$AL$147</f>
        <v>167</v>
      </c>
      <c r="ER8" s="24" t="n">
        <f aca="false">'Food Data'!$AL$148</f>
        <v>492</v>
      </c>
      <c r="ES8" s="24" t="n">
        <f aca="false">'Food Data'!$AL$149</f>
        <v>418</v>
      </c>
      <c r="ET8" s="24" t="n">
        <f aca="false">'Food Data'!$AL$150</f>
        <v>532</v>
      </c>
      <c r="EU8" s="24" t="n">
        <f aca="false">'Food Data'!$AL$151</f>
        <v>207</v>
      </c>
    </row>
    <row r="9" customFormat="false" ht="15" hidden="false" customHeight="false" outlineLevel="0" collapsed="false">
      <c r="A9" s="4" t="s">
        <v>1107</v>
      </c>
      <c r="B9" s="75" t="s">
        <v>1106</v>
      </c>
      <c r="C9" s="78" t="n">
        <v>112</v>
      </c>
      <c r="F9" s="24" t="n">
        <f aca="false">'Food Data'!$AM$6</f>
        <v>22.5</v>
      </c>
      <c r="G9" s="24" t="n">
        <f aca="false">'Food Data'!$AM$7</f>
        <v>18.08</v>
      </c>
      <c r="H9" s="24" t="n">
        <f aca="false">'Food Data'!$AM$8</f>
        <v>19.66</v>
      </c>
      <c r="I9" s="24" t="n">
        <f aca="false">'Food Data'!$AM$9</f>
        <v>16.33</v>
      </c>
      <c r="J9" s="24" t="n">
        <f aca="false">'Food Data'!$AM$10</f>
        <v>18.73</v>
      </c>
      <c r="K9" s="24" t="n">
        <f aca="false">'Food Data'!$AM$11</f>
        <v>18.6</v>
      </c>
      <c r="L9" s="24" t="n">
        <f aca="false">'Food Data'!$AM$12</f>
        <v>12.62</v>
      </c>
      <c r="M9" s="24" t="n">
        <f aca="false">'Food Data'!$AM$13</f>
        <v>21.75</v>
      </c>
      <c r="N9" s="24" t="n">
        <f aca="false">'Food Data'!$AM$14</f>
        <v>17.17</v>
      </c>
      <c r="O9" s="24" t="n">
        <f aca="false">'Food Data'!$AM$15</f>
        <v>20.85</v>
      </c>
      <c r="P9" s="24" t="n">
        <f aca="false">'Food Data'!$AM$16</f>
        <v>16.6</v>
      </c>
      <c r="Q9" s="24" t="n">
        <f aca="false">'Food Data'!$AM$17</f>
        <v>21.14</v>
      </c>
      <c r="R9" s="24" t="n">
        <f aca="false">'Food Data'!$AM$18</f>
        <v>21.94</v>
      </c>
      <c r="S9" s="24" t="n">
        <f aca="false">'Food Data'!$AM$19</f>
        <v>19.92</v>
      </c>
      <c r="T9" s="24" t="n">
        <f aca="false">'Food Data'!$AM$20</f>
        <v>19.44</v>
      </c>
      <c r="U9" s="24" t="n">
        <f aca="false">'Food Data'!$AM$21</f>
        <v>20.42</v>
      </c>
      <c r="V9" s="24" t="n">
        <f aca="false">'Food Data'!$AM$22</f>
        <v>13.61</v>
      </c>
      <c r="W9" s="24" t="n">
        <f aca="false">'Food Data'!$AM$23</f>
        <v>20.08</v>
      </c>
      <c r="X9" s="24" t="n">
        <f aca="false">'Food Data'!$AM$24</f>
        <v>12.56</v>
      </c>
      <c r="Y9" s="24" t="n">
        <f aca="false">'Food Data'!$AM$25</f>
        <v>6.03</v>
      </c>
      <c r="Z9" s="24" t="n">
        <f aca="false">'Food Data'!$AM$26</f>
        <v>21.6</v>
      </c>
      <c r="AA9" s="24" t="n">
        <f aca="false">'Food Data'!$AM$27</f>
        <v>4.74</v>
      </c>
      <c r="AB9" s="24" t="n">
        <f aca="false">'Food Data'!$AM$28</f>
        <v>23.52</v>
      </c>
      <c r="AC9" s="24" t="n">
        <f aca="false">'Food Data'!$AM$29</f>
        <v>4.92</v>
      </c>
      <c r="AD9" s="24" t="n">
        <f aca="false">'Food Data'!$AM$30</f>
        <v>7.37</v>
      </c>
      <c r="AE9" s="24" t="n">
        <f aca="false">'Food Data'!$AM$31</f>
        <v>21.86</v>
      </c>
      <c r="AF9" s="24" t="n">
        <f aca="false">'Food Data'!$AM$32</f>
        <v>5.22</v>
      </c>
      <c r="AG9" s="24" t="n">
        <f aca="false">'Food Data'!$AM$33</f>
        <v>23.58</v>
      </c>
      <c r="AH9" s="24" t="n">
        <f aca="false">'Food Data'!$AM$34</f>
        <v>24.63</v>
      </c>
      <c r="AI9" s="24" t="n">
        <f aca="false">'Food Data'!$AM$35</f>
        <v>21.46</v>
      </c>
      <c r="AJ9" s="24" t="n">
        <f aca="false">'Food Data'!$AM$36</f>
        <v>7.53</v>
      </c>
      <c r="AK9" s="24" t="n">
        <f aca="false">'Food Data'!$AM$37</f>
        <v>22.33</v>
      </c>
      <c r="AL9" s="24" t="n">
        <f aca="false">'Food Data'!$AM$38</f>
        <v>22.21</v>
      </c>
      <c r="AM9" s="24" t="n">
        <f aca="false">'Food Data'!$AM$39</f>
        <v>4.6</v>
      </c>
      <c r="AN9" s="24" t="n">
        <f aca="false">'Food Data'!$AM$40</f>
        <v>21.42</v>
      </c>
      <c r="AO9" s="24" t="n">
        <f aca="false">'Food Data'!$AM$41</f>
        <v>10.1</v>
      </c>
      <c r="AP9" s="24" t="n">
        <f aca="false">'Food Data'!$AM$42</f>
        <v>3.3</v>
      </c>
      <c r="AQ9" s="24" t="n">
        <f aca="false">'Food Data'!$AM$43</f>
        <v>10.19</v>
      </c>
      <c r="AR9" s="24" t="n">
        <f aca="false">'Food Data'!$AM$44</f>
        <v>2.6</v>
      </c>
      <c r="AS9" s="24" t="n">
        <f aca="false">'Food Data'!$AM$45</f>
        <v>3.15</v>
      </c>
      <c r="AT9" s="24" t="n">
        <f aca="false">'Food Data'!$AM$46</f>
        <v>18.13</v>
      </c>
      <c r="AU9" s="24" t="n">
        <f aca="false">'Food Data'!$AM$47</f>
        <v>22.87</v>
      </c>
      <c r="AV9" s="24" t="n">
        <f aca="false">'Food Data'!$AM$48</f>
        <v>10.45</v>
      </c>
      <c r="AW9" s="24" t="n">
        <f aca="false">'Food Data'!$AM$49</f>
        <v>23.75</v>
      </c>
      <c r="AX9" s="24" t="n">
        <f aca="false">'Food Data'!$AM$50</f>
        <v>10.56</v>
      </c>
      <c r="AY9" s="24" t="n">
        <f aca="false">'Food Data'!$AM$51</f>
        <v>7.54</v>
      </c>
      <c r="AZ9" s="24" t="n">
        <f aca="false">'Food Data'!$AM$52</f>
        <v>12.09</v>
      </c>
      <c r="BA9" s="24" t="n">
        <f aca="false">'Food Data'!$AM$53</f>
        <v>5.7</v>
      </c>
      <c r="BB9" s="24" t="n">
        <f aca="false">'Food Data'!$AM$54</f>
        <v>8.01</v>
      </c>
      <c r="BC9" s="24" t="n">
        <f aca="false">'Food Data'!$AM$55</f>
        <v>14.12</v>
      </c>
      <c r="BD9" s="24" t="n">
        <f aca="false">'Food Data'!$AM$56</f>
        <v>13.15</v>
      </c>
      <c r="BE9" s="24" t="n">
        <f aca="false">'Food Data'!$AM$57</f>
        <v>13.04</v>
      </c>
      <c r="BF9" s="24" t="n">
        <f aca="false">'Food Data'!$AM$58</f>
        <v>8.85</v>
      </c>
      <c r="BG9" s="24" t="n">
        <f aca="false">'Food Data'!$AM$59</f>
        <v>7.13</v>
      </c>
      <c r="BH9" s="24" t="n">
        <f aca="false">'Food Data'!$AM$60</f>
        <v>12.45</v>
      </c>
      <c r="BI9" s="24" t="n">
        <f aca="false">'Food Data'!$AM$61</f>
        <v>13.87</v>
      </c>
      <c r="BJ9" s="24" t="n">
        <f aca="false">'Food Data'!$AM$62</f>
        <v>7.59</v>
      </c>
      <c r="BK9" s="24" t="n">
        <f aca="false">'Food Data'!$AM$63</f>
        <v>1.95</v>
      </c>
      <c r="BL9" s="24" t="n">
        <f aca="false">'Food Data'!$AM$64</f>
        <v>3.02</v>
      </c>
      <c r="BM9" s="24" t="n">
        <f aca="false">'Food Data'!$AM$65</f>
        <v>2.24</v>
      </c>
      <c r="BN9" s="24" t="n">
        <f aca="false">'Food Data'!$AM$66</f>
        <v>3.01</v>
      </c>
      <c r="BO9" s="24" t="n">
        <f aca="false">'Food Data'!$AM$67</f>
        <v>5.22</v>
      </c>
      <c r="BP9" s="24" t="n">
        <f aca="false">'Food Data'!$AM$68</f>
        <v>2.05</v>
      </c>
      <c r="BQ9" s="24" t="n">
        <f aca="false">'Food Data'!$AM$69</f>
        <v>1.57</v>
      </c>
      <c r="BR9" s="24" t="n">
        <f aca="false">'Food Data'!$AM$70</f>
        <v>0.26</v>
      </c>
      <c r="BS9" s="24" t="n">
        <f aca="false">'Food Data'!$AM$71</f>
        <v>0.17</v>
      </c>
      <c r="BT9" s="24" t="n">
        <f aca="false">'Food Data'!$AM$72</f>
        <v>1.09</v>
      </c>
      <c r="BU9" s="24" t="n">
        <f aca="false">'Food Data'!$AM$73</f>
        <v>1.39</v>
      </c>
      <c r="BV9" s="24" t="n">
        <f aca="false">'Food Data'!$AM$74</f>
        <v>0.42</v>
      </c>
      <c r="BW9" s="24" t="n">
        <f aca="false">'Food Data'!$AM$75</f>
        <v>0.84</v>
      </c>
      <c r="BX9" s="24" t="n">
        <f aca="false">'Food Data'!$AM$76</f>
        <v>1.06</v>
      </c>
      <c r="BY9" s="24" t="n">
        <f aca="false">'Food Data'!$AM$77</f>
        <v>0.85</v>
      </c>
      <c r="BZ9" s="24" t="n">
        <f aca="false">'Food Data'!$AM$78</f>
        <v>2.45</v>
      </c>
      <c r="CA9" s="24" t="n">
        <f aca="false">'Food Data'!$AM$79</f>
        <v>3.39</v>
      </c>
      <c r="CB9" s="24" t="n">
        <f aca="false">'Food Data'!$AM$80</f>
        <v>0.17</v>
      </c>
      <c r="CC9" s="24" t="n">
        <f aca="false">'Food Data'!$AM$81</f>
        <v>0.46</v>
      </c>
      <c r="CD9" s="24" t="n">
        <f aca="false">'Food Data'!$AM$82</f>
        <v>0.63</v>
      </c>
      <c r="CE9" s="24" t="n">
        <f aca="false">'Food Data'!$AM$83</f>
        <v>0.72</v>
      </c>
      <c r="CF9" s="24" t="n">
        <f aca="false">'Food Data'!$AM$84</f>
        <v>0.54</v>
      </c>
      <c r="CG9" s="24" t="n">
        <f aca="false">'Food Data'!$AM$85</f>
        <v>1.14</v>
      </c>
      <c r="CH9" s="24" t="n">
        <f aca="false">'Food Data'!$AM$86</f>
        <v>0.82</v>
      </c>
      <c r="CI9" s="24" t="n">
        <f aca="false">'Food Data'!$AM$87</f>
        <v>1.06</v>
      </c>
      <c r="CJ9" s="24" t="n">
        <f aca="false">'Food Data'!$AM$88</f>
        <v>0.68</v>
      </c>
      <c r="CK9" s="24" t="n">
        <f aca="false">'Food Data'!$AM$89</f>
        <v>0.91</v>
      </c>
      <c r="CL9" s="24" t="n">
        <f aca="false">'Food Data'!$AM$90</f>
        <v>0.47</v>
      </c>
      <c r="CM9" s="24" t="n">
        <f aca="false">'Food Data'!$AM$91</f>
        <v>0.91</v>
      </c>
      <c r="CN9" s="24" t="n">
        <f aca="false">'Food Data'!$AM$92</f>
        <v>0.63</v>
      </c>
      <c r="CO9" s="24" t="n">
        <f aca="false">'Food Data'!$AM$93</f>
        <v>0.36</v>
      </c>
      <c r="CP9" s="24" t="n">
        <f aca="false">'Food Data'!$AM$94</f>
        <v>0.34</v>
      </c>
      <c r="CQ9" s="24" t="n">
        <f aca="false">'Food Data'!$AM$95</f>
        <v>0.54</v>
      </c>
      <c r="CR9" s="24" t="n">
        <f aca="false">'Food Data'!$AM$96</f>
        <v>0.42</v>
      </c>
      <c r="CS9" s="24" t="n">
        <f aca="false">'Food Data'!$AM$97</f>
        <v>0.7</v>
      </c>
      <c r="CT9" s="24" t="n">
        <f aca="false">'Food Data'!$AM$98</f>
        <v>2.18</v>
      </c>
      <c r="CU9" s="24" t="n">
        <f aca="false">'Food Data'!$AM$99</f>
        <v>3.07</v>
      </c>
      <c r="CV9" s="24" t="n">
        <f aca="false">'Food Data'!$AM$100</f>
        <v>1.2</v>
      </c>
      <c r="CW9" s="24" t="n">
        <f aca="false">'Food Data'!$AM$101</f>
        <v>0.67</v>
      </c>
      <c r="CX9" s="24" t="n">
        <f aca="false">'Food Data'!$AM$102</f>
        <v>0.43</v>
      </c>
      <c r="CY9" s="24" t="n">
        <f aca="false">'Food Data'!$AM$103</f>
        <v>0.61</v>
      </c>
      <c r="CZ9" s="24" t="n">
        <f aca="false">'Food Data'!$AM$104</f>
        <v>0.8</v>
      </c>
      <c r="DA9" s="24" t="n">
        <f aca="false">'Food Data'!$AM$105</f>
        <v>2.2</v>
      </c>
      <c r="DB9" s="24" t="n">
        <f aca="false">'Food Data'!$AM$106</f>
        <v>0.64</v>
      </c>
      <c r="DC9" s="24" t="n">
        <f aca="false">'Food Data'!$AM$107</f>
        <v>0.73</v>
      </c>
      <c r="DD9" s="24" t="n">
        <f aca="false">'Food Data'!$AM$108</f>
        <v>3.06</v>
      </c>
      <c r="DE9" s="24" t="n">
        <f aca="false">'Food Data'!$AM$109</f>
        <v>3.78</v>
      </c>
      <c r="DF9" s="24" t="n">
        <f aca="false">'Food Data'!$AM$110</f>
        <v>1</v>
      </c>
      <c r="DG9" s="24" t="n">
        <f aca="false">'Food Data'!$AM$111</f>
        <v>1.28</v>
      </c>
      <c r="DH9" s="24" t="n">
        <f aca="false">'Food Data'!$AM$112</f>
        <v>1.43</v>
      </c>
      <c r="DI9" s="24" t="n">
        <f aca="false">'Food Data'!$AM$113</f>
        <v>0.93</v>
      </c>
      <c r="DJ9" s="24" t="n">
        <f aca="false">'Food Data'!$AM$114</f>
        <v>0.58</v>
      </c>
      <c r="DK9" s="24" t="n">
        <f aca="false">'Food Data'!$AM$115</f>
        <v>0.78</v>
      </c>
      <c r="DL9" s="24" t="n">
        <f aca="false">'Food Data'!$AM$116</f>
        <v>2.01</v>
      </c>
      <c r="DM9" s="24" t="n">
        <f aca="false">'Food Data'!$AM$117</f>
        <v>0.69</v>
      </c>
      <c r="DN9" s="24" t="n">
        <f aca="false">'Food Data'!$AM$118</f>
        <v>3.02</v>
      </c>
      <c r="DO9" s="24" t="n">
        <f aca="false">'Food Data'!$AM$119</f>
        <v>2.69</v>
      </c>
      <c r="DP9" s="24" t="n">
        <f aca="false">'Food Data'!$AM$120</f>
        <v>0.65</v>
      </c>
      <c r="DQ9" s="24" t="n">
        <f aca="false">'Food Data'!$AM$121</f>
        <v>0.72</v>
      </c>
      <c r="DR9" s="24" t="n">
        <f aca="false">'Food Data'!$AM$122</f>
        <v>1.79</v>
      </c>
      <c r="DS9" s="24" t="n">
        <f aca="false">'Food Data'!$AM$123</f>
        <v>0.86</v>
      </c>
      <c r="DT9" s="24" t="n">
        <f aca="false">'Food Data'!$AM$124</f>
        <v>0.9</v>
      </c>
      <c r="DU9" s="24" t="n">
        <f aca="false">'Food Data'!$AM$125</f>
        <v>2.66</v>
      </c>
      <c r="DV9" s="24" t="n">
        <f aca="false">'Food Data'!$AM$126</f>
        <v>3.33</v>
      </c>
      <c r="DW9" s="24" t="n">
        <f aca="false">'Food Data'!$AM$127</f>
        <v>3.09</v>
      </c>
      <c r="DX9" s="24" t="n">
        <f aca="false">'Food Data'!$AM$128</f>
        <v>2.49</v>
      </c>
      <c r="DY9" s="24" t="n">
        <f aca="false">'Food Data'!$AM$129</f>
        <v>1.69</v>
      </c>
      <c r="DZ9" s="24" t="n">
        <f aca="false">'Food Data'!$AM$130</f>
        <v>1.1</v>
      </c>
      <c r="EA9" s="24" t="n">
        <f aca="false">'Food Data'!$AM$131</f>
        <v>1.1</v>
      </c>
      <c r="EB9" s="24" t="n">
        <f aca="false">'Food Data'!$AM$132</f>
        <v>0.68</v>
      </c>
      <c r="EC9" s="24" t="n">
        <f aca="false">'Food Data'!$AM$133</f>
        <v>0.99</v>
      </c>
      <c r="ED9" s="24" t="n">
        <f aca="false">'Food Data'!$AM$134</f>
        <v>1.23</v>
      </c>
      <c r="EE9" s="24" t="n">
        <f aca="false">'Food Data'!$AM$135</f>
        <v>0.91</v>
      </c>
      <c r="EF9" s="24" t="n">
        <f aca="false">'Food Data'!$AM$136</f>
        <v>2.11</v>
      </c>
      <c r="EG9" s="24" t="n">
        <f aca="false">'Food Data'!$AM$137</f>
        <v>2.86</v>
      </c>
      <c r="EH9" s="24" t="n">
        <f aca="false">'Food Data'!$AM$138</f>
        <v>3.63</v>
      </c>
      <c r="EI9" s="24" t="n">
        <f aca="false">'Food Data'!$AM$139</f>
        <v>0.79</v>
      </c>
      <c r="EJ9" s="24" t="n">
        <f aca="false">'Food Data'!$AM$140</f>
        <v>0.88</v>
      </c>
      <c r="EK9" s="24" t="n">
        <f aca="false">'Food Data'!$AM$141</f>
        <v>2.47</v>
      </c>
      <c r="EL9" s="24" t="n">
        <f aca="false">'Food Data'!$AM$142</f>
        <v>1.21</v>
      </c>
      <c r="EM9" s="24" t="n">
        <f aca="false">'Food Data'!$AM$143</f>
        <v>0.85</v>
      </c>
      <c r="EN9" s="24" t="n">
        <f aca="false">'Food Data'!$AM$144</f>
        <v>0</v>
      </c>
      <c r="EO9" s="24" t="n">
        <f aca="false">'Food Data'!$AM$145</f>
        <v>0</v>
      </c>
      <c r="EP9" s="24" t="n">
        <f aca="false">'Food Data'!$AM$146</f>
        <v>21.15</v>
      </c>
      <c r="EQ9" s="24" t="n">
        <f aca="false">'Food Data'!$AM$147</f>
        <v>1.96</v>
      </c>
      <c r="ER9" s="24" t="n">
        <f aca="false">'Food Data'!$AM$148</f>
        <v>5.1</v>
      </c>
      <c r="ES9" s="24" t="n">
        <f aca="false">'Food Data'!$AM$149</f>
        <v>5.65</v>
      </c>
      <c r="ET9" s="24" t="n">
        <f aca="false">'Food Data'!$AM$150</f>
        <v>6.39</v>
      </c>
      <c r="EU9" s="24" t="n">
        <f aca="false">'Food Data'!$AM$151</f>
        <v>3.5</v>
      </c>
    </row>
    <row r="10" customFormat="false" ht="15" hidden="false" customHeight="false" outlineLevel="0" collapsed="false">
      <c r="A10" s="4" t="s">
        <v>1108</v>
      </c>
      <c r="B10" s="75" t="s">
        <v>1106</v>
      </c>
      <c r="C10" s="78" t="n">
        <v>1000</v>
      </c>
      <c r="F10" s="24" t="n">
        <f aca="false">'Food Data'!$AR$6</f>
        <v>5</v>
      </c>
      <c r="G10" s="24" t="n">
        <f aca="false">'Food Data'!$AR$7</f>
        <v>8</v>
      </c>
      <c r="H10" s="24" t="n">
        <f aca="false">'Food Data'!$AR$8</f>
        <v>7</v>
      </c>
      <c r="I10" s="24" t="n">
        <f aca="false">'Food Data'!$AR$9</f>
        <v>7</v>
      </c>
      <c r="J10" s="24" t="n">
        <f aca="false">'Food Data'!$AR$10</f>
        <v>21</v>
      </c>
      <c r="K10" s="24" t="n">
        <f aca="false">'Food Data'!$AR$11</f>
        <v>11</v>
      </c>
      <c r="L10" s="24" t="n">
        <f aca="false">'Food Data'!$AR$12</f>
        <v>5</v>
      </c>
      <c r="M10" s="24" t="n">
        <f aca="false">'Food Data'!$AR$13</f>
        <v>13</v>
      </c>
      <c r="N10" s="24" t="n">
        <f aca="false">'Food Data'!$AR$14</f>
        <v>18</v>
      </c>
      <c r="O10" s="24" t="n">
        <f aca="false">'Food Data'!$AR$15</f>
        <v>10</v>
      </c>
      <c r="P10" s="24" t="n">
        <f aca="false">'Food Data'!$AR$16</f>
        <v>24</v>
      </c>
      <c r="Q10" s="24" t="n">
        <f aca="false">'Food Data'!$AR$17</f>
        <v>9</v>
      </c>
      <c r="R10" s="24" t="n">
        <f aca="false">'Food Data'!$AR$18</f>
        <v>17</v>
      </c>
      <c r="S10" s="24" t="n">
        <f aca="false">'Food Data'!$AR$19</f>
        <v>25</v>
      </c>
      <c r="T10" s="24" t="n">
        <f aca="false">'Food Data'!$AR$20</f>
        <v>17</v>
      </c>
      <c r="U10" s="24" t="n">
        <f aca="false">'Food Data'!$AR$21</f>
        <v>9</v>
      </c>
      <c r="V10" s="24" t="n">
        <f aca="false">'Food Data'!$AR$22</f>
        <v>54</v>
      </c>
      <c r="W10" s="24" t="n">
        <f aca="false">'Food Data'!$AR$23</f>
        <v>10</v>
      </c>
      <c r="X10" s="24" t="n">
        <f aca="false">'Food Data'!$AR$24</f>
        <v>56</v>
      </c>
      <c r="Y10" s="24" t="n">
        <f aca="false">'Food Data'!$AR$25</f>
        <v>35</v>
      </c>
      <c r="Z10" s="24" t="n">
        <f aca="false">'Food Data'!$AR$26</f>
        <v>123</v>
      </c>
      <c r="AA10" s="24" t="n">
        <f aca="false">'Food Data'!$AR$27</f>
        <v>20</v>
      </c>
      <c r="AB10" s="24" t="n">
        <f aca="false">'Food Data'!$AR$28</f>
        <v>110</v>
      </c>
      <c r="AC10" s="24" t="n">
        <f aca="false">'Food Data'!$AR$29</f>
        <v>35</v>
      </c>
      <c r="AD10" s="24" t="n">
        <f aca="false">'Food Data'!$AR$30</f>
        <v>53</v>
      </c>
      <c r="AE10" s="24" t="n">
        <f aca="false">'Food Data'!$AR$31</f>
        <v>175</v>
      </c>
      <c r="AF10" s="24" t="n">
        <f aca="false">'Food Data'!$AR$32</f>
        <v>29</v>
      </c>
      <c r="AG10" s="24" t="n">
        <f aca="false">'Food Data'!$AR$33</f>
        <v>143</v>
      </c>
      <c r="AH10" s="24" t="n">
        <f aca="false">'Food Data'!$AR$34</f>
        <v>35</v>
      </c>
      <c r="AI10" s="24" t="n">
        <f aca="false">'Food Data'!$AR$35</f>
        <v>81</v>
      </c>
      <c r="AJ10" s="24" t="n">
        <f aca="false">'Food Data'!$AR$36</f>
        <v>47</v>
      </c>
      <c r="AK10" s="24" t="n">
        <f aca="false">'Food Data'!$AR$37</f>
        <v>147</v>
      </c>
      <c r="AL10" s="24" t="n">
        <f aca="false">'Food Data'!$AR$38</f>
        <v>49</v>
      </c>
      <c r="AM10" s="24" t="n">
        <f aca="false">'Food Data'!$AR$39</f>
        <v>47</v>
      </c>
      <c r="AN10" s="24" t="n">
        <f aca="false">'Food Data'!$AR$40</f>
        <v>113</v>
      </c>
      <c r="AO10" s="24" t="n">
        <f aca="false">'Food Data'!$AR$41</f>
        <v>77</v>
      </c>
      <c r="AP10" s="24" t="n">
        <f aca="false">'Food Data'!$AR$42</f>
        <v>120</v>
      </c>
      <c r="AQ10" s="24" t="n">
        <f aca="false">'Food Data'!$AR$43</f>
        <v>110</v>
      </c>
      <c r="AR10" s="24" t="n">
        <f aca="false">'Food Data'!$AR$44</f>
        <v>123</v>
      </c>
      <c r="AS10" s="24" t="n">
        <f aca="false">'Food Data'!$AR$45</f>
        <v>113</v>
      </c>
      <c r="AT10" s="24" t="n">
        <f aca="false">'Food Data'!$AR$46</f>
        <v>1045</v>
      </c>
      <c r="AU10" s="24" t="n">
        <f aca="false">'Food Data'!$AR$47</f>
        <v>710</v>
      </c>
      <c r="AV10" s="24" t="n">
        <f aca="false">'Food Data'!$AR$48</f>
        <v>111</v>
      </c>
      <c r="AW10" s="24" t="n">
        <f aca="false">'Food Data'!$AR$49</f>
        <v>697</v>
      </c>
      <c r="AX10" s="24" t="n">
        <f aca="false">'Food Data'!$AR$50</f>
        <v>219</v>
      </c>
      <c r="AY10" s="24" t="n">
        <f aca="false">'Food Data'!$AR$51</f>
        <v>9</v>
      </c>
      <c r="AZ10" s="24" t="n">
        <f aca="false">'Food Data'!$AR$52</f>
        <v>401</v>
      </c>
      <c r="BA10" s="24" t="n">
        <f aca="false">'Food Data'!$AR$53</f>
        <v>81</v>
      </c>
      <c r="BB10" s="24" t="n">
        <f aca="false">'Food Data'!$AR$54</f>
        <v>163</v>
      </c>
      <c r="BC10" s="24" t="n">
        <f aca="false">'Food Data'!$AR$55</f>
        <v>47</v>
      </c>
      <c r="BD10" s="24" t="n">
        <f aca="false">'Food Data'!$AR$56</f>
        <v>52</v>
      </c>
      <c r="BE10" s="24" t="n">
        <f aca="false">'Food Data'!$AR$57</f>
        <v>21</v>
      </c>
      <c r="BF10" s="24" t="n">
        <f aca="false">'Food Data'!$AR$58</f>
        <v>144</v>
      </c>
      <c r="BG10" s="24" t="n">
        <f aca="false">'Food Data'!$AR$59</f>
        <v>28</v>
      </c>
      <c r="BH10" s="24" t="n">
        <f aca="false">'Food Data'!$AR$60</f>
        <v>161</v>
      </c>
      <c r="BI10" s="24" t="n">
        <f aca="false">'Food Data'!$AR$61</f>
        <v>29</v>
      </c>
      <c r="BJ10" s="24" t="n">
        <f aca="false">'Food Data'!$AR$62</f>
        <v>35</v>
      </c>
      <c r="BK10" s="24" t="n">
        <f aca="false">'Food Data'!$AR$63</f>
        <v>4</v>
      </c>
      <c r="BL10" s="24" t="n">
        <f aca="false">'Food Data'!$AR$64</f>
        <v>4</v>
      </c>
      <c r="BM10" s="24" t="n">
        <f aca="false">'Food Data'!$AR$65</f>
        <v>9</v>
      </c>
      <c r="BN10" s="24" t="n">
        <f aca="false">'Food Data'!$AR$66</f>
        <v>20</v>
      </c>
      <c r="BO10" s="24" t="n">
        <f aca="false">'Food Data'!$AR$67</f>
        <v>22</v>
      </c>
      <c r="BP10" s="24" t="n">
        <f aca="false">'Food Data'!$AR$68</f>
        <v>12</v>
      </c>
      <c r="BQ10" s="24" t="n">
        <f aca="false">'Food Data'!$AR$69</f>
        <v>30</v>
      </c>
      <c r="BR10" s="24" t="n">
        <f aca="false">'Food Data'!$AR$70</f>
        <v>6</v>
      </c>
      <c r="BS10" s="24" t="n">
        <f aca="false">'Food Data'!$AR$71</f>
        <v>4</v>
      </c>
      <c r="BT10" s="24" t="n">
        <f aca="false">'Food Data'!$AR$72</f>
        <v>5</v>
      </c>
      <c r="BU10" s="24" t="n">
        <f aca="false">'Food Data'!$AR$73</f>
        <v>29</v>
      </c>
      <c r="BV10" s="24" t="n">
        <f aca="false">'Food Data'!$AR$74</f>
        <v>8</v>
      </c>
      <c r="BW10" s="24" t="n">
        <f aca="false">'Food Data'!$AR$75</f>
        <v>9</v>
      </c>
      <c r="BX10" s="24" t="n">
        <f aca="false">'Food Data'!$AR$76</f>
        <v>13</v>
      </c>
      <c r="BY10" s="24" t="n">
        <f aca="false">'Food Data'!$AR$77</f>
        <v>30</v>
      </c>
      <c r="BZ10" s="24" t="n">
        <f aca="false">'Food Data'!$AR$78</f>
        <v>39</v>
      </c>
      <c r="CA10" s="24" t="n">
        <f aca="false">'Food Data'!$AR$79</f>
        <v>55</v>
      </c>
      <c r="CB10" s="24" t="n">
        <f aca="false">'Food Data'!$AR$80</f>
        <v>9</v>
      </c>
      <c r="CC10" s="24" t="n">
        <f aca="false">'Food Data'!$AR$81</f>
        <v>8</v>
      </c>
      <c r="CD10" s="24" t="n">
        <f aca="false">'Food Data'!$AR$82</f>
        <v>12</v>
      </c>
      <c r="CE10" s="24" t="n">
        <f aca="false">'Food Data'!$AR$83</f>
        <v>10</v>
      </c>
      <c r="CF10" s="24" t="n">
        <f aca="false">'Food Data'!$AR$84</f>
        <v>6</v>
      </c>
      <c r="CG10" s="24" t="n">
        <f aca="false">'Food Data'!$AR$85</f>
        <v>34</v>
      </c>
      <c r="CH10" s="24" t="n">
        <f aca="false">'Food Data'!$AR$86</f>
        <v>11</v>
      </c>
      <c r="CI10" s="24" t="n">
        <f aca="false">'Food Data'!$AR$87</f>
        <v>6</v>
      </c>
      <c r="CJ10" s="24" t="n">
        <f aca="false">'Food Data'!$AR$88</f>
        <v>11</v>
      </c>
      <c r="CK10" s="24" t="n">
        <f aca="false">'Food Data'!$AR$89</f>
        <v>43</v>
      </c>
      <c r="CL10" s="24" t="n">
        <f aca="false">'Food Data'!$AR$90</f>
        <v>20</v>
      </c>
      <c r="CM10" s="24" t="n">
        <f aca="false">'Food Data'!$AR$91</f>
        <v>6</v>
      </c>
      <c r="CN10" s="24" t="n">
        <f aca="false">'Food Data'!$AR$92</f>
        <v>6</v>
      </c>
      <c r="CO10" s="24" t="n">
        <f aca="false">'Food Data'!$AR$93</f>
        <v>9</v>
      </c>
      <c r="CP10" s="24" t="n">
        <f aca="false">'Food Data'!$AR$94</f>
        <v>9</v>
      </c>
      <c r="CQ10" s="24" t="n">
        <f aca="false">'Food Data'!$AR$95</f>
        <v>13</v>
      </c>
      <c r="CR10" s="24" t="n">
        <f aca="false">'Food Data'!$AR$96</f>
        <v>14</v>
      </c>
      <c r="CS10" s="24" t="n">
        <f aca="false">'Food Data'!$AR$97</f>
        <v>6</v>
      </c>
      <c r="CT10" s="24" t="n">
        <f aca="false">'Food Data'!$AR$98</f>
        <v>43</v>
      </c>
      <c r="CU10" s="24" t="n">
        <f aca="false">'Food Data'!$AR$99</f>
        <v>50</v>
      </c>
      <c r="CV10" s="24" t="n">
        <f aca="false">'Food Data'!$AR$100</f>
        <v>25</v>
      </c>
      <c r="CW10" s="24" t="n">
        <f aca="false">'Food Data'!$AR$101</f>
        <v>16</v>
      </c>
      <c r="CX10" s="24" t="n">
        <f aca="false">'Food Data'!$AR$102</f>
        <v>16</v>
      </c>
      <c r="CY10" s="24" t="n">
        <f aca="false">'Food Data'!$AR$103</f>
        <v>7</v>
      </c>
      <c r="CZ10" s="24" t="n">
        <f aca="false">'Food Data'!$AR$104</f>
        <v>33</v>
      </c>
      <c r="DA10" s="24" t="n">
        <f aca="false">'Food Data'!$AR$105</f>
        <v>24</v>
      </c>
      <c r="DB10" s="24" t="n">
        <f aca="false">'Food Data'!$AR$106</f>
        <v>32</v>
      </c>
      <c r="DC10" s="24" t="n">
        <f aca="false">'Food Data'!$AR$107</f>
        <v>18</v>
      </c>
      <c r="DD10" s="24" t="n">
        <f aca="false">'Food Data'!$AR$108</f>
        <v>41</v>
      </c>
      <c r="DE10" s="24" t="n">
        <f aca="false">'Food Data'!$AR$109</f>
        <v>26</v>
      </c>
      <c r="DF10" s="24" t="n">
        <f aca="false">'Food Data'!$AR$110</f>
        <v>48</v>
      </c>
      <c r="DG10" s="24" t="n">
        <f aca="false">'Food Data'!$AR$111</f>
        <v>40</v>
      </c>
      <c r="DH10" s="24" t="n">
        <f aca="false">'Food Data'!$AR$112</f>
        <v>45</v>
      </c>
      <c r="DI10" s="24" t="n">
        <f aca="false">'Food Data'!$AR$113</f>
        <v>33</v>
      </c>
      <c r="DJ10" s="24" t="n">
        <f aca="false">'Food Data'!$AR$114</f>
        <v>31</v>
      </c>
      <c r="DK10" s="24" t="n">
        <f aca="false">'Food Data'!$AR$115</f>
        <v>36</v>
      </c>
      <c r="DL10" s="24" t="n">
        <f aca="false">'Food Data'!$AR$116</f>
        <v>22</v>
      </c>
      <c r="DM10" s="24" t="n">
        <f aca="false">'Food Data'!$AR$117</f>
        <v>40</v>
      </c>
      <c r="DN10" s="24" t="n">
        <f aca="false">'Food Data'!$AR$118</f>
        <v>232</v>
      </c>
      <c r="DO10" s="24" t="n">
        <f aca="false">'Food Data'!$AR$119</f>
        <v>201</v>
      </c>
      <c r="DP10" s="24" t="n">
        <f aca="false">'Food Data'!$AR$120</f>
        <v>16</v>
      </c>
      <c r="DQ10" s="24" t="n">
        <f aca="false">'Food Data'!$AR$121</f>
        <v>29</v>
      </c>
      <c r="DR10" s="24" t="n">
        <f aca="false">'Food Data'!$AR$122</f>
        <v>42</v>
      </c>
      <c r="DS10" s="24" t="n">
        <f aca="false">'Food Data'!$AR$123</f>
        <v>10</v>
      </c>
      <c r="DT10" s="24" t="n">
        <f aca="false">'Food Data'!$AR$124</f>
        <v>18</v>
      </c>
      <c r="DU10" s="24" t="n">
        <f aca="false">'Food Data'!$AR$125</f>
        <v>136</v>
      </c>
      <c r="DV10" s="24" t="n">
        <f aca="false">'Food Data'!$AR$126</f>
        <v>25</v>
      </c>
      <c r="DW10" s="24" t="n">
        <f aca="false">'Food Data'!$AR$127</f>
        <v>3</v>
      </c>
      <c r="DX10" s="24" t="n">
        <f aca="false">'Food Data'!$AR$128</f>
        <v>116</v>
      </c>
      <c r="DY10" s="24" t="n">
        <f aca="false">'Food Data'!$AR$129</f>
        <v>81</v>
      </c>
      <c r="DZ10" s="24" t="n">
        <f aca="false">'Food Data'!$AR$130</f>
        <v>23</v>
      </c>
      <c r="EA10" s="24" t="n">
        <f aca="false">'Food Data'!$AR$131</f>
        <v>26</v>
      </c>
      <c r="EB10" s="24" t="n">
        <f aca="false">'Food Data'!$AR$132</f>
        <v>25</v>
      </c>
      <c r="EC10" s="24" t="n">
        <f aca="false">'Food Data'!$AR$133</f>
        <v>7</v>
      </c>
      <c r="ED10" s="24" t="n">
        <f aca="false">'Food Data'!$AR$134</f>
        <v>33</v>
      </c>
      <c r="EE10" s="24" t="n">
        <f aca="false">'Food Data'!$AR$135</f>
        <v>30</v>
      </c>
      <c r="EF10" s="24" t="n">
        <f aca="false">'Food Data'!$AR$136</f>
        <v>83</v>
      </c>
      <c r="EG10" s="24" t="n">
        <f aca="false">'Food Data'!$AR$137</f>
        <v>99</v>
      </c>
      <c r="EH10" s="24" t="n">
        <f aca="false">'Food Data'!$AR$138</f>
        <v>129</v>
      </c>
      <c r="EI10" s="24" t="n">
        <f aca="false">'Food Data'!$AR$139</f>
        <v>33</v>
      </c>
      <c r="EJ10" s="24" t="n">
        <f aca="false">'Food Data'!$AR$140</f>
        <v>10</v>
      </c>
      <c r="EK10" s="24" t="n">
        <f aca="false">'Food Data'!$AR$141</f>
        <v>118</v>
      </c>
      <c r="EL10" s="24" t="n">
        <f aca="false">'Food Data'!$AR$142</f>
        <v>16</v>
      </c>
      <c r="EM10" s="24" t="n">
        <f aca="false">'Food Data'!$AR$143</f>
        <v>24</v>
      </c>
      <c r="EN10" s="24" t="n">
        <f aca="false">'Food Data'!$AR$144</f>
        <v>0</v>
      </c>
      <c r="EO10" s="24" t="n">
        <f aca="false">'Food Data'!$AR$145</f>
        <v>1</v>
      </c>
      <c r="EP10" s="24" t="n">
        <f aca="false">'Food Data'!$AR$146</f>
        <v>269</v>
      </c>
      <c r="EQ10" s="24" t="n">
        <f aca="false">'Food Data'!$AR$147</f>
        <v>13</v>
      </c>
      <c r="ER10" s="24" t="n">
        <f aca="false">'Food Data'!$AR$148</f>
        <v>21</v>
      </c>
      <c r="ES10" s="24" t="n">
        <f aca="false">'Food Data'!$AR$149</f>
        <v>41</v>
      </c>
      <c r="ET10" s="24" t="n">
        <f aca="false">'Food Data'!$AR$150</f>
        <v>21</v>
      </c>
      <c r="EU10" s="24" t="n">
        <f aca="false">'Food Data'!$AR$151</f>
        <v>128</v>
      </c>
    </row>
    <row r="11" customFormat="false" ht="15" hidden="false" customHeight="false" outlineLevel="0" collapsed="false">
      <c r="A11" s="4" t="s">
        <v>1109</v>
      </c>
      <c r="B11" s="75" t="s">
        <v>1110</v>
      </c>
      <c r="C11" s="78" t="n">
        <v>0</v>
      </c>
      <c r="F11" s="24" t="n">
        <f aca="false">4*'Food Data'!$AN$6-0.65*'Food Data'!$AL$6</f>
        <v>-78</v>
      </c>
      <c r="G11" s="24" t="n">
        <f aca="false">4*'Food Data'!$AN$7-0.65*'Food Data'!$AL$7</f>
        <v>-104.21</v>
      </c>
      <c r="H11" s="24" t="n">
        <f aca="false">4*'Food Data'!$AN$8-0.65*'Food Data'!$AL$8</f>
        <v>-78.65</v>
      </c>
      <c r="I11" s="24" t="n">
        <f aca="false">4*'Food Data'!$AN$9-0.65*'Food Data'!$AL$9</f>
        <v>-55.64</v>
      </c>
      <c r="J11" s="24" t="n">
        <f aca="false">4*'Food Data'!$AN$10-0.65*'Food Data'!$AL$10</f>
        <v>-97.5</v>
      </c>
      <c r="K11" s="24" t="n">
        <f aca="false">4*'Food Data'!$AN$11-0.65*'Food Data'!$AL$11</f>
        <v>-139.75</v>
      </c>
      <c r="L11" s="24" t="n">
        <f aca="false">4*'Food Data'!$AN$12-0.65*'Food Data'!$AL$12</f>
        <v>-265.93</v>
      </c>
      <c r="M11" s="24" t="n">
        <f aca="false">4*'Food Data'!$AN$13-0.65*'Food Data'!$AL$13</f>
        <v>-82.56</v>
      </c>
      <c r="N11" s="24" t="n">
        <f aca="false">4*'Food Data'!$AN$14-0.65*'Food Data'!$AL$14</f>
        <v>-165.1</v>
      </c>
      <c r="O11" s="24" t="n">
        <f aca="false">4*'Food Data'!$AN$15-0.65*'Food Data'!$AL$15</f>
        <v>-98.8</v>
      </c>
      <c r="P11" s="24" t="n">
        <f aca="false">4*'Food Data'!$AN$16-0.65*'Food Data'!$AL$16</f>
        <v>-90.63</v>
      </c>
      <c r="Q11" s="24" t="n">
        <f aca="false">4*'Food Data'!$AN$17-0.65*'Food Data'!$AL$17</f>
        <v>-130.65</v>
      </c>
      <c r="R11" s="24" t="n">
        <f aca="false">4*'Food Data'!$AN$18-0.65*'Food Data'!$AL$18</f>
        <v>-109.2</v>
      </c>
      <c r="S11" s="24" t="n">
        <f aca="false">4*'Food Data'!$AN$19-0.65*'Food Data'!$AL$19</f>
        <v>-139.1</v>
      </c>
      <c r="T11" s="24" t="n">
        <f aca="false">4*'Food Data'!$AN$20-0.65*'Food Data'!$AL$20</f>
        <v>-55.9</v>
      </c>
      <c r="U11" s="24" t="n">
        <f aca="false">4*'Food Data'!$AN$21-0.65*'Food Data'!$AL$21</f>
        <v>-135.2</v>
      </c>
      <c r="V11" s="24" t="n">
        <f aca="false">4*'Food Data'!$AN$22-0.65*'Food Data'!$AL$22</f>
        <v>-42.51</v>
      </c>
      <c r="W11" s="24" t="n">
        <f aca="false">4*'Food Data'!$AN$23-0.65*'Food Data'!$AL$23</f>
        <v>-62.4</v>
      </c>
      <c r="X11" s="24" t="n">
        <f aca="false">4*'Food Data'!$AN$24-0.65*'Food Data'!$AL$24</f>
        <v>-90.07</v>
      </c>
      <c r="Y11" s="24" t="n">
        <f aca="false">4*'Food Data'!$AN$25-0.65*'Food Data'!$AL$25</f>
        <v>7.05</v>
      </c>
      <c r="Z11" s="24" t="n">
        <f aca="false">4*'Food Data'!$AN$26-0.65*'Food Data'!$AL$26</f>
        <v>27.79</v>
      </c>
      <c r="AA11" s="24" t="n">
        <f aca="false">4*'Food Data'!$AN$27-0.65*'Food Data'!$AL$27</f>
        <v>4.47</v>
      </c>
      <c r="AB11" s="24" t="n">
        <f aca="false">4*'Food Data'!$AN$28-0.65*'Food Data'!$AL$28</f>
        <v>21.72</v>
      </c>
      <c r="AC11" s="24" t="n">
        <f aca="false">4*'Food Data'!$AN$29-0.65*'Food Data'!$AL$29</f>
        <v>-3.24</v>
      </c>
      <c r="AD11" s="24" t="n">
        <f aca="false">4*'Food Data'!$AN$30-0.65*'Food Data'!$AL$30</f>
        <v>9.97999999999999</v>
      </c>
      <c r="AE11" s="24" t="n">
        <f aca="false">4*'Food Data'!$AN$31-0.65*'Food Data'!$AL$31</f>
        <v>29.13</v>
      </c>
      <c r="AF11" s="24" t="n">
        <f aca="false">4*'Food Data'!$AN$32-0.65*'Food Data'!$AL$32</f>
        <v>6.67</v>
      </c>
      <c r="AG11" s="24" t="n">
        <f aca="false">4*'Food Data'!$AN$33-0.65*'Food Data'!$AL$33</f>
        <v>23.59</v>
      </c>
      <c r="AH11" s="24" t="n">
        <f aca="false">4*'Food Data'!$AN$34-0.65*'Food Data'!$AL$34</f>
        <v>24.6</v>
      </c>
      <c r="AI11" s="24" t="n">
        <f aca="false">4*'Food Data'!$AN$35-0.65*'Food Data'!$AL$35</f>
        <v>33.82</v>
      </c>
      <c r="AJ11" s="24" t="n">
        <f aca="false">4*'Food Data'!$AN$36-0.65*'Food Data'!$AL$36</f>
        <v>8.34999999999999</v>
      </c>
      <c r="AK11" s="24" t="n">
        <f aca="false">4*'Food Data'!$AN$37-0.65*'Food Data'!$AL$37</f>
        <v>23.95</v>
      </c>
      <c r="AL11" s="24" t="n">
        <f aca="false">4*'Food Data'!$AN$38-0.65*'Food Data'!$AL$38</f>
        <v>-299.46</v>
      </c>
      <c r="AM11" s="24" t="n">
        <f aca="false">4*'Food Data'!$AN$39-0.65*'Food Data'!$AL$39</f>
        <v>7.42</v>
      </c>
      <c r="AN11" s="24" t="n">
        <f aca="false">4*'Food Data'!$AN$40-0.65*'Food Data'!$AL$40</f>
        <v>24.65</v>
      </c>
      <c r="AO11" s="24" t="n">
        <f aca="false">4*'Food Data'!$AN$41-0.65*'Food Data'!$AL$41</f>
        <v>-53.3</v>
      </c>
      <c r="AP11" s="24" t="n">
        <f aca="false">4*'Food Data'!$AN$42-0.65*'Food Data'!$AL$42</f>
        <v>-13.3</v>
      </c>
      <c r="AQ11" s="24" t="n">
        <f aca="false">4*'Food Data'!$AN$43-0.65*'Food Data'!$AL$43</f>
        <v>-23.95</v>
      </c>
      <c r="AR11" s="24" t="n">
        <f aca="false">4*'Food Data'!$AN$44-0.65*'Food Data'!$AL$44</f>
        <v>-8.27</v>
      </c>
      <c r="AS11" s="24" t="n">
        <f aca="false">4*'Food Data'!$AN$45-0.65*'Food Data'!$AL$45</f>
        <v>-20.45</v>
      </c>
      <c r="AT11" s="24" t="n">
        <f aca="false">4*'Food Data'!$AN$46-0.65*'Food Data'!$AL$46</f>
        <v>-218.78</v>
      </c>
      <c r="AU11" s="24" t="n">
        <f aca="false">4*'Food Data'!$AN$47-0.65*'Food Data'!$AL$47</f>
        <v>-250.24</v>
      </c>
      <c r="AV11" s="24" t="n">
        <f aca="false">4*'Food Data'!$AN$48-0.65*'Food Data'!$AL$48</f>
        <v>-33.61</v>
      </c>
      <c r="AW11" s="24" t="n">
        <f aca="false">4*'Food Data'!$AN$49-0.65*'Food Data'!$AL$49</f>
        <v>-169.43</v>
      </c>
      <c r="AX11" s="24" t="n">
        <f aca="false">4*'Food Data'!$AN$50-0.65*'Food Data'!$AL$50</f>
        <v>37.92</v>
      </c>
      <c r="AY11" s="24" t="n">
        <f aca="false">4*'Food Data'!$AN$51-0.65*'Food Data'!$AL$51</f>
        <v>66.45</v>
      </c>
      <c r="AZ11" s="24" t="n">
        <f aca="false">4*'Food Data'!$AN$52-0.65*'Food Data'!$AL$52</f>
        <v>48.52</v>
      </c>
      <c r="BA11" s="24" t="n">
        <f aca="false">4*'Food Data'!$AN$53-0.65*'Food Data'!$AL$53</f>
        <v>36.86</v>
      </c>
      <c r="BB11" s="24" t="n">
        <f aca="false">4*'Food Data'!$AN$54-0.65*'Food Data'!$AL$54</f>
        <v>4.03</v>
      </c>
      <c r="BC11" s="24" t="n">
        <f aca="false">4*'Food Data'!$AN$55-0.65*'Food Data'!$AL$55</f>
        <v>17.44</v>
      </c>
      <c r="BD11" s="24" t="n">
        <f aca="false">4*'Food Data'!$AN$56-0.65*'Food Data'!$AL$56</f>
        <v>24.45</v>
      </c>
      <c r="BE11" s="24" t="n">
        <f aca="false">4*'Food Data'!$AN$57-0.65*'Food Data'!$AL$57</f>
        <v>57.53</v>
      </c>
      <c r="BF11" s="24" t="n">
        <f aca="false">4*'Food Data'!$AN$58-0.65*'Food Data'!$AL$58</f>
        <v>24.78</v>
      </c>
      <c r="BG11" s="24" t="n">
        <f aca="false">4*'Food Data'!$AN$59-0.65*'Food Data'!$AL$59</f>
        <v>82.55</v>
      </c>
      <c r="BH11" s="24" t="n">
        <f aca="false">4*'Food Data'!$AN$60-0.65*'Food Data'!$AL$60</f>
        <v>7.03999999999999</v>
      </c>
      <c r="BI11" s="24" t="n">
        <f aca="false">4*'Food Data'!$AN$61-0.65*'Food Data'!$AL$61</f>
        <v>64.68</v>
      </c>
      <c r="BJ11" s="24" t="n">
        <f aca="false">4*'Food Data'!$AN$62-0.65*'Food Data'!$AL$62</f>
        <v>14.76</v>
      </c>
      <c r="BK11" s="24" t="n">
        <f aca="false">4*'Food Data'!$AN$63-0.65*'Food Data'!$AL$63</f>
        <v>15.79</v>
      </c>
      <c r="BL11" s="24" t="n">
        <f aca="false">4*'Food Data'!$AN$64-0.65*'Food Data'!$AL$64</f>
        <v>25.64</v>
      </c>
      <c r="BM11" s="24" t="n">
        <f aca="false">4*'Food Data'!$AN$65-0.65*'Food Data'!$AL$65</f>
        <v>1.73999999999999</v>
      </c>
      <c r="BN11" s="24" t="n">
        <f aca="false">4*'Food Data'!$AN$66-0.65*'Food Data'!$AL$66</f>
        <v>4.7</v>
      </c>
      <c r="BO11" s="24" t="n">
        <f aca="false">4*'Food Data'!$AN$67-0.65*'Food Data'!$AL$67</f>
        <v>4.42999999999999</v>
      </c>
      <c r="BP11" s="24" t="n">
        <f aca="false">4*'Food Data'!$AN$68-0.65*'Food Data'!$AL$68</f>
        <v>19.91</v>
      </c>
      <c r="BQ11" s="24" t="n">
        <f aca="false">4*'Food Data'!$AN$69-0.65*'Food Data'!$AL$69</f>
        <v>24.58</v>
      </c>
      <c r="BR11" s="24" t="n">
        <f aca="false">4*'Food Data'!$AN$70-0.65*'Food Data'!$AL$70</f>
        <v>21.44</v>
      </c>
      <c r="BS11" s="24" t="n">
        <f aca="false">4*'Food Data'!$AN$71-0.65*'Food Data'!$AL$71</f>
        <v>17.78</v>
      </c>
      <c r="BT11" s="24" t="n">
        <f aca="false">4*'Food Data'!$AN$72-0.65*'Food Data'!$AL$72</f>
        <v>33.51</v>
      </c>
      <c r="BU11" s="24" t="n">
        <f aca="false">4*'Food Data'!$AN$73-0.65*'Food Data'!$AL$73</f>
        <v>10.49</v>
      </c>
      <c r="BV11" s="24" t="n">
        <f aca="false">4*'Food Data'!$AN$74-0.65*'Food Data'!$AL$74</f>
        <v>15.53</v>
      </c>
      <c r="BW11" s="24" t="n">
        <f aca="false">4*'Food Data'!$AN$75-0.65*'Food Data'!$AL$75</f>
        <v>10.54</v>
      </c>
      <c r="BX11" s="24" t="n">
        <f aca="false">4*'Food Data'!$AN$76-0.65*'Food Data'!$AL$76</f>
        <v>23.09</v>
      </c>
      <c r="BY11" s="24" t="n">
        <f aca="false">4*'Food Data'!$AN$77-0.65*'Food Data'!$AL$77</f>
        <v>17.53</v>
      </c>
      <c r="BZ11" s="24" t="n">
        <f aca="false">4*'Food Data'!$AN$78-0.65*'Food Data'!$AL$78</f>
        <v>116.82</v>
      </c>
      <c r="CA11" s="24" t="n">
        <f aca="false">4*'Food Data'!$AN$79-0.65*'Food Data'!$AL$79</f>
        <v>93.91</v>
      </c>
      <c r="CB11" s="24" t="n">
        <f aca="false">4*'Food Data'!$AN$80-0.65*'Food Data'!$AL$80</f>
        <v>131</v>
      </c>
      <c r="CC11" s="24" t="n">
        <f aca="false">4*'Food Data'!$AN$81-0.65*'Food Data'!$AL$81</f>
        <v>17.54</v>
      </c>
      <c r="CD11" s="24" t="n">
        <f aca="false">4*'Food Data'!$AN$82-0.65*'Food Data'!$AL$82</f>
        <v>11.52</v>
      </c>
      <c r="CE11" s="24" t="n">
        <f aca="false">4*'Food Data'!$AN$83-0.65*'Food Data'!$AL$83</f>
        <v>27.55</v>
      </c>
      <c r="CF11" s="24" t="n">
        <f aca="false">4*'Food Data'!$AN$84-0.65*'Food Data'!$AL$84</f>
        <v>12.96</v>
      </c>
      <c r="CG11" s="24" t="n">
        <f aca="false">4*'Food Data'!$AN$85-0.65*'Food Data'!$AL$85</f>
        <v>18.99</v>
      </c>
      <c r="CH11" s="24" t="n">
        <f aca="false">4*'Food Data'!$AN$86-0.65*'Food Data'!$AL$86</f>
        <v>20.92</v>
      </c>
      <c r="CI11" s="24" t="n">
        <f aca="false">4*'Food Data'!$AN$87-0.65*'Food Data'!$AL$87</f>
        <v>13.6</v>
      </c>
      <c r="CJ11" s="24" t="n">
        <f aca="false">4*'Food Data'!$AN$88-0.65*'Food Data'!$AL$88</f>
        <v>14.31</v>
      </c>
      <c r="CK11" s="24" t="n">
        <f aca="false">4*'Food Data'!$AN$89-0.65*'Food Data'!$AL$89</f>
        <v>18.31</v>
      </c>
      <c r="CL11" s="24" t="n">
        <f aca="false">4*'Food Data'!$AN$90-0.65*'Food Data'!$AL$90</f>
        <v>15.33</v>
      </c>
      <c r="CM11" s="24" t="n">
        <f aca="false">4*'Food Data'!$AN$91-0.65*'Food Data'!$AL$91</f>
        <v>12.81</v>
      </c>
      <c r="CN11" s="24" t="n">
        <f aca="false">4*'Food Data'!$AN$92-0.65*'Food Data'!$AL$92</f>
        <v>17.68</v>
      </c>
      <c r="CO11" s="24" t="n">
        <f aca="false">4*'Food Data'!$AN$93-0.65*'Food Data'!$AL$93</f>
        <v>23.87</v>
      </c>
      <c r="CP11" s="24" t="n">
        <f aca="false">4*'Food Data'!$AN$94-0.65*'Food Data'!$AL$94</f>
        <v>19.26</v>
      </c>
      <c r="CQ11" s="24" t="n">
        <f aca="false">4*'Food Data'!$AN$95-0.65*'Food Data'!$AL$95</f>
        <v>19.98</v>
      </c>
      <c r="CR11" s="24" t="n">
        <f aca="false">4*'Food Data'!$AN$96-0.65*'Food Data'!$AL$96</f>
        <v>23.8</v>
      </c>
      <c r="CS11" s="24" t="n">
        <f aca="false">4*'Food Data'!$AN$97-0.65*'Food Data'!$AL$97</f>
        <v>15.78</v>
      </c>
      <c r="CT11" s="24" t="n">
        <f aca="false">4*'Food Data'!$AN$98-0.65*'Food Data'!$AL$98</f>
        <v>99.52</v>
      </c>
      <c r="CU11" s="24" t="n">
        <f aca="false">4*'Food Data'!$AN$99-0.65*'Food Data'!$AL$99</f>
        <v>122.37</v>
      </c>
      <c r="CV11" s="24" t="n">
        <f aca="false">4*'Food Data'!$AN$100-0.65*'Food Data'!$AL$100</f>
        <v>13.96</v>
      </c>
      <c r="CW11" s="24" t="n">
        <f aca="false">4*'Food Data'!$AN$101-0.65*'Food Data'!$AL$101</f>
        <v>9.92</v>
      </c>
      <c r="CX11" s="24" t="n">
        <f aca="false">4*'Food Data'!$AN$102-0.65*'Food Data'!$AL$102</f>
        <v>13.77</v>
      </c>
      <c r="CY11" s="24" t="n">
        <f aca="false">4*'Food Data'!$AN$103-0.65*'Food Data'!$AL$103</f>
        <v>10.7</v>
      </c>
      <c r="CZ11" s="24" t="n">
        <f aca="false">4*'Food Data'!$AN$104-0.65*'Food Data'!$AL$104</f>
        <v>15.68</v>
      </c>
      <c r="DA11" s="24" t="n">
        <f aca="false">4*'Food Data'!$AN$105-0.65*'Food Data'!$AL$105</f>
        <v>2.52</v>
      </c>
      <c r="DB11" s="24" t="n">
        <f aca="false">4*'Food Data'!$AN$106-0.65*'Food Data'!$AL$106</f>
        <v>10.21</v>
      </c>
      <c r="DC11" s="24" t="n">
        <f aca="false">4*'Food Data'!$AN$107-0.65*'Food Data'!$AL$107</f>
        <v>9.06</v>
      </c>
      <c r="DD11" s="24" t="n">
        <f aca="false">4*'Food Data'!$AN$108-0.65*'Food Data'!$AL$108</f>
        <v>2.55</v>
      </c>
      <c r="DE11" s="24" t="n">
        <f aca="false">4*'Food Data'!$AN$109-0.65*'Food Data'!$AL$109</f>
        <v>4.79</v>
      </c>
      <c r="DF11" s="24" t="n">
        <f aca="false">4*'Food Data'!$AN$110-0.65*'Food Data'!$AL$110</f>
        <v>17.51</v>
      </c>
      <c r="DG11" s="24" t="n">
        <f aca="false">4*'Food Data'!$AN$111-0.65*'Food Data'!$AL$111</f>
        <v>6.95</v>
      </c>
      <c r="DH11" s="24" t="n">
        <f aca="false">4*'Food Data'!$AN$112-0.65*'Food Data'!$AL$112</f>
        <v>9.33</v>
      </c>
      <c r="DI11" s="24" t="n">
        <f aca="false">4*'Food Data'!$AN$113-0.65*'Food Data'!$AL$113</f>
        <v>11.67</v>
      </c>
      <c r="DJ11" s="24" t="n">
        <f aca="false">4*'Food Data'!$AN$114-0.65*'Food Data'!$AL$114</f>
        <v>6.53</v>
      </c>
      <c r="DK11" s="24" t="n">
        <f aca="false">4*'Food Data'!$AN$115-0.65*'Food Data'!$AL$115</f>
        <v>8.2</v>
      </c>
      <c r="DL11" s="24" t="n">
        <f aca="false">4*'Food Data'!$AN$116-0.65*'Food Data'!$AL$116</f>
        <v>3.12</v>
      </c>
      <c r="DM11" s="24" t="n">
        <f aca="false">4*'Food Data'!$AN$117-0.65*'Food Data'!$AL$117</f>
        <v>1.48</v>
      </c>
      <c r="DN11" s="24" t="n">
        <f aca="false">4*'Food Data'!$AN$118-0.65*'Food Data'!$AL$118</f>
        <v>0.879999999999999</v>
      </c>
      <c r="DO11" s="24" t="n">
        <f aca="false">4*'Food Data'!$AN$119-0.65*'Food Data'!$AL$119</f>
        <v>4.39</v>
      </c>
      <c r="DP11" s="24" t="n">
        <f aca="false">4*'Food Data'!$AN$120-0.65*'Food Data'!$AL$120</f>
        <v>4.77</v>
      </c>
      <c r="DQ11" s="24" t="n">
        <f aca="false">4*'Food Data'!$AN$121-0.65*'Food Data'!$AL$121</f>
        <v>3.33</v>
      </c>
      <c r="DR11" s="24" t="n">
        <f aca="false">4*'Food Data'!$AN$122-0.65*'Food Data'!$AL$122</f>
        <v>4.81</v>
      </c>
      <c r="DS11" s="24" t="n">
        <f aca="false">4*'Food Data'!$AN$123-0.65*'Food Data'!$AL$123</f>
        <v>5.56</v>
      </c>
      <c r="DT11" s="24" t="n">
        <f aca="false">4*'Food Data'!$AN$124-0.65*'Food Data'!$AL$124</f>
        <v>2.78</v>
      </c>
      <c r="DU11" s="24" t="n">
        <f aca="false">4*'Food Data'!$AN$125-0.65*'Food Data'!$AL$125</f>
        <v>1.4</v>
      </c>
      <c r="DV11" s="24" t="n">
        <f aca="false">4*'Food Data'!$AN$126-0.65*'Food Data'!$AL$126</f>
        <v>7.08</v>
      </c>
      <c r="DW11" s="24" t="n">
        <f aca="false">4*'Food Data'!$AN$127-0.65*'Food Data'!$AL$127</f>
        <v>-1.26</v>
      </c>
      <c r="DX11" s="24" t="n">
        <f aca="false">4*'Food Data'!$AN$128-0.65*'Food Data'!$AL$128</f>
        <v>0.640000000000001</v>
      </c>
      <c r="DY11" s="24" t="n">
        <f aca="false">4*'Food Data'!$AN$129-0.65*'Food Data'!$AL$129</f>
        <v>7.02</v>
      </c>
      <c r="DZ11" s="24" t="n">
        <f aca="false">4*'Food Data'!$AN$130-0.65*'Food Data'!$AL$130</f>
        <v>11.36</v>
      </c>
      <c r="EA11" s="24" t="n">
        <f aca="false">4*'Food Data'!$AN$131-0.65*'Food Data'!$AL$131</f>
        <v>10.26</v>
      </c>
      <c r="EB11" s="24" t="n">
        <f aca="false">4*'Food Data'!$AN$132-0.65*'Food Data'!$AL$132</f>
        <v>3.2</v>
      </c>
      <c r="EC11" s="24" t="n">
        <f aca="false">4*'Food Data'!$AN$133-0.65*'Food Data'!$AL$133</f>
        <v>3.97</v>
      </c>
      <c r="ED11" s="24" t="n">
        <f aca="false">4*'Food Data'!$AN$134-0.65*'Food Data'!$AL$134</f>
        <v>2.11</v>
      </c>
      <c r="EE11" s="24" t="n">
        <f aca="false">4*'Food Data'!$AN$135-0.65*'Food Data'!$AL$135</f>
        <v>4.77</v>
      </c>
      <c r="EF11" s="24" t="n">
        <f aca="false">4*'Food Data'!$AN$136-0.65*'Food Data'!$AL$136</f>
        <v>-0.67</v>
      </c>
      <c r="EG11" s="24" t="n">
        <f aca="false">4*'Food Data'!$AN$137-0.65*'Food Data'!$AL$137</f>
        <v>-0.430000000000002</v>
      </c>
      <c r="EH11" s="24" t="n">
        <f aca="false">4*'Food Data'!$AN$138-0.65*'Food Data'!$AL$138</f>
        <v>-2.01</v>
      </c>
      <c r="EI11" s="24" t="n">
        <f aca="false">4*'Food Data'!$AN$139-0.65*'Food Data'!$AL$139</f>
        <v>3.48</v>
      </c>
      <c r="EJ11" s="24" t="n">
        <f aca="false">4*'Food Data'!$AN$140-0.65*'Food Data'!$AL$140</f>
        <v>3.86</v>
      </c>
      <c r="EK11" s="24" t="n">
        <f aca="false">4*'Food Data'!$AN$141-0.65*'Food Data'!$AL$141</f>
        <v>0.379999999999999</v>
      </c>
      <c r="EL11" s="24" t="n">
        <f aca="false">4*'Food Data'!$AN$142-0.65*'Food Data'!$AL$142</f>
        <v>1.39</v>
      </c>
      <c r="EM11" s="24" t="n">
        <f aca="false">4*'Food Data'!$AN$143-0.65*'Food Data'!$AL$143</f>
        <v>-465.81</v>
      </c>
      <c r="EN11" s="24" t="n">
        <f aca="false">4*'Food Data'!$AN$144-0.65*'Food Data'!$AL$144</f>
        <v>-574.6</v>
      </c>
      <c r="EO11" s="24" t="n">
        <f aca="false">4*'Food Data'!$AN$145-0.65*'Food Data'!$AL$145</f>
        <v>-574.6</v>
      </c>
      <c r="EP11" s="24" t="n">
        <f aca="false">4*'Food Data'!$AN$146-0.65*'Food Data'!$AL$146</f>
        <v>-290.15</v>
      </c>
      <c r="EQ11" s="24" t="n">
        <f aca="false">4*'Food Data'!$AN$147-0.65*'Food Data'!$AL$147</f>
        <v>-73.99</v>
      </c>
      <c r="ER11" s="24" t="n">
        <f aca="false">4*'Food Data'!$AN$148-0.65*'Food Data'!$AL$148</f>
        <v>-58.36</v>
      </c>
      <c r="ES11" s="24" t="n">
        <f aca="false">4*'Food Data'!$AN$149-0.65*'Food Data'!$AL$149</f>
        <v>9.10000000000002</v>
      </c>
      <c r="ET11" s="24" t="n">
        <f aca="false">4*'Food Data'!$AN$150-0.65*'Food Data'!$AL$150</f>
        <v>-130.48</v>
      </c>
      <c r="EU11" s="24" t="n">
        <f aca="false">4*'Food Data'!$AN$151-0.65*'Food Data'!$AL$151</f>
        <v>-40.15</v>
      </c>
    </row>
    <row r="12" customFormat="false" ht="15" hidden="false" customHeight="false" outlineLevel="0" collapsed="false">
      <c r="A12" s="4" t="s">
        <v>1111</v>
      </c>
      <c r="B12" s="75" t="s">
        <v>1106</v>
      </c>
      <c r="C12" s="78" t="n">
        <v>2.5</v>
      </c>
      <c r="F12" s="24" t="n">
        <f aca="false">IF('Food Data'!$C$6="Vegetables",100/'Food Data'!$AJ$6,0)</f>
        <v>0</v>
      </c>
      <c r="G12" s="24" t="n">
        <f aca="false">IF('Food Data'!$C$7="Vegetables",100/'Food Data'!$AJ$7,0)</f>
        <v>0</v>
      </c>
      <c r="H12" s="24" t="n">
        <f aca="false">IF('Food Data'!$C$8="Vegetables",100/'Food Data'!$AJ$8,0)</f>
        <v>0</v>
      </c>
      <c r="I12" s="24" t="n">
        <f aca="false">IF('Food Data'!$C$9="Vegetables",100/'Food Data'!$AJ$9,0)</f>
        <v>0</v>
      </c>
      <c r="J12" s="24" t="n">
        <f aca="false">IF('Food Data'!$C$10="Vegetables",100/'Food Data'!$AJ$10,0)</f>
        <v>0</v>
      </c>
      <c r="K12" s="24" t="n">
        <f aca="false">IF('Food Data'!$C$11="Vegetables",100/'Food Data'!$AJ$11,0)</f>
        <v>0</v>
      </c>
      <c r="L12" s="24" t="n">
        <f aca="false">IF('Food Data'!$C$12="Vegetables",100/'Food Data'!$AJ$12,0)</f>
        <v>0</v>
      </c>
      <c r="M12" s="24" t="n">
        <f aca="false">IF('Food Data'!$C$13="Vegetables",100/'Food Data'!$AJ$13,0)</f>
        <v>0</v>
      </c>
      <c r="N12" s="24" t="n">
        <f aca="false">IF('Food Data'!$C$14="Vegetables",100/'Food Data'!$AJ$14,0)</f>
        <v>0</v>
      </c>
      <c r="O12" s="24" t="n">
        <f aca="false">IF('Food Data'!$C$15="Vegetables",100/'Food Data'!$AJ$15,0)</f>
        <v>0</v>
      </c>
      <c r="P12" s="24" t="n">
        <f aca="false">IF('Food Data'!$C$16="Vegetables",100/'Food Data'!$AJ$16,0)</f>
        <v>0</v>
      </c>
      <c r="Q12" s="24" t="n">
        <f aca="false">IF('Food Data'!$C$17="Vegetables",100/'Food Data'!$AJ$17,0)</f>
        <v>0</v>
      </c>
      <c r="R12" s="24" t="n">
        <f aca="false">IF('Food Data'!$C$18="Vegetables",100/'Food Data'!$AJ$18,0)</f>
        <v>0</v>
      </c>
      <c r="S12" s="24" t="n">
        <f aca="false">IF('Food Data'!$C$19="Vegetables",100/'Food Data'!$AJ$19,0)</f>
        <v>0</v>
      </c>
      <c r="T12" s="24" t="n">
        <f aca="false">IF('Food Data'!$C$20="Vegetables",100/'Food Data'!$AJ$20,0)</f>
        <v>0</v>
      </c>
      <c r="U12" s="24" t="n">
        <f aca="false">IF('Food Data'!$C$21="Vegetables",100/'Food Data'!$AJ$21,0)</f>
        <v>0</v>
      </c>
      <c r="V12" s="24" t="n">
        <f aca="false">IF('Food Data'!$C$22="Vegetables",100/'Food Data'!$AJ$22,0)</f>
        <v>0</v>
      </c>
      <c r="W12" s="24" t="n">
        <f aca="false">IF('Food Data'!$C$23="Vegetables",100/'Food Data'!$AJ$23,0)</f>
        <v>0</v>
      </c>
      <c r="X12" s="24" t="n">
        <f aca="false">IF('Food Data'!$C$24="Vegetables",100/'Food Data'!$AJ$24,0)</f>
        <v>0</v>
      </c>
      <c r="Y12" s="24" t="n">
        <f aca="false">IF('Food Data'!$C$25="Vegetables",100/'Food Data'!$AJ$25,0)</f>
        <v>0</v>
      </c>
      <c r="Z12" s="24" t="n">
        <f aca="false">IF('Food Data'!$C$26="Vegetables",100/'Food Data'!$AJ$26,0)</f>
        <v>0</v>
      </c>
      <c r="AA12" s="24" t="n">
        <f aca="false">IF('Food Data'!$C$27="Vegetables",100/'Food Data'!$AJ$27,0)</f>
        <v>0</v>
      </c>
      <c r="AB12" s="24" t="n">
        <f aca="false">IF('Food Data'!$C$28="Vegetables",100/'Food Data'!$AJ$28,0)</f>
        <v>0</v>
      </c>
      <c r="AC12" s="24" t="n">
        <f aca="false">IF('Food Data'!$C$29="Vegetables",100/'Food Data'!$AJ$29,0)</f>
        <v>0</v>
      </c>
      <c r="AD12" s="24" t="n">
        <f aca="false">IF('Food Data'!$C$30="Vegetables",100/'Food Data'!$AJ$30,0)</f>
        <v>0</v>
      </c>
      <c r="AE12" s="24" t="n">
        <f aca="false">IF('Food Data'!$C$31="Vegetables",100/'Food Data'!$AJ$31,0)</f>
        <v>0</v>
      </c>
      <c r="AF12" s="24" t="n">
        <f aca="false">IF('Food Data'!$C$32="Vegetables",100/'Food Data'!$AJ$32,0)</f>
        <v>0</v>
      </c>
      <c r="AG12" s="24" t="n">
        <f aca="false">IF('Food Data'!$C$33="Vegetables",100/'Food Data'!$AJ$33,0)</f>
        <v>0</v>
      </c>
      <c r="AH12" s="24" t="n">
        <f aca="false">IF('Food Data'!$C$34="Vegetables",100/'Food Data'!$AJ$34,0)</f>
        <v>0</v>
      </c>
      <c r="AI12" s="24" t="n">
        <f aca="false">IF('Food Data'!$C$35="Vegetables",100/'Food Data'!$AJ$35,0)</f>
        <v>0</v>
      </c>
      <c r="AJ12" s="24" t="n">
        <f aca="false">IF('Food Data'!$C$36="Vegetables",100/'Food Data'!$AJ$36,0)</f>
        <v>0</v>
      </c>
      <c r="AK12" s="24" t="n">
        <f aca="false">IF('Food Data'!$C$37="Vegetables",100/'Food Data'!$AJ$37,0)</f>
        <v>0</v>
      </c>
      <c r="AL12" s="24" t="n">
        <f aca="false">IF('Food Data'!$C$38="Vegetables",100/'Food Data'!$AJ$38,0)</f>
        <v>0</v>
      </c>
      <c r="AM12" s="24" t="n">
        <f aca="false">IF('Food Data'!$C$39="Vegetables",100/'Food Data'!$AJ$39,0)</f>
        <v>0</v>
      </c>
      <c r="AN12" s="24" t="n">
        <f aca="false">IF('Food Data'!$C$40="Vegetables",100/'Food Data'!$AJ$40,0)</f>
        <v>0</v>
      </c>
      <c r="AO12" s="24" t="n">
        <f aca="false">IF('Food Data'!$C$41="Vegetables",100/'Food Data'!$AJ$41,0)</f>
        <v>0</v>
      </c>
      <c r="AP12" s="24" t="n">
        <f aca="false">IF('Food Data'!$C$42="Vegetables",100/'Food Data'!$AJ$42,0)</f>
        <v>0</v>
      </c>
      <c r="AQ12" s="24" t="n">
        <f aca="false">IF('Food Data'!$C$43="Vegetables",100/'Food Data'!$AJ$43,0)</f>
        <v>0</v>
      </c>
      <c r="AR12" s="24" t="n">
        <f aca="false">IF('Food Data'!$C$44="Vegetables",100/'Food Data'!$AJ$44,0)</f>
        <v>0</v>
      </c>
      <c r="AS12" s="24" t="n">
        <f aca="false">IF('Food Data'!$C$45="Vegetables",100/'Food Data'!$AJ$45,0)</f>
        <v>0</v>
      </c>
      <c r="AT12" s="24" t="n">
        <f aca="false">IF('Food Data'!$C$46="Vegetables",100/'Food Data'!$AJ$46,0)</f>
        <v>0</v>
      </c>
      <c r="AU12" s="24" t="n">
        <f aca="false">IF('Food Data'!$C$47="Vegetables",100/'Food Data'!$AJ$47,0)</f>
        <v>0</v>
      </c>
      <c r="AV12" s="24" t="n">
        <f aca="false">IF('Food Data'!$C$48="Vegetables",100/'Food Data'!$AJ$48,0)</f>
        <v>0</v>
      </c>
      <c r="AW12" s="24" t="n">
        <f aca="false">IF('Food Data'!$C$49="Vegetables",100/'Food Data'!$AJ$49,0)</f>
        <v>0</v>
      </c>
      <c r="AX12" s="24" t="n">
        <f aca="false">IF('Food Data'!$C$50="Vegetables",100/'Food Data'!$AJ$50,0)</f>
        <v>0</v>
      </c>
      <c r="AY12" s="24" t="n">
        <f aca="false">IF('Food Data'!$C$51="Vegetables",100/'Food Data'!$AJ$51,0)</f>
        <v>0</v>
      </c>
      <c r="AZ12" s="24" t="n">
        <f aca="false">IF('Food Data'!$C$52="Vegetables",100/'Food Data'!$AJ$52,0)</f>
        <v>0</v>
      </c>
      <c r="BA12" s="24" t="n">
        <f aca="false">IF('Food Data'!$C$53="Vegetables",100/'Food Data'!$AJ$53,0)</f>
        <v>0</v>
      </c>
      <c r="BB12" s="24" t="n">
        <f aca="false">IF('Food Data'!$C$54="Vegetables",100/'Food Data'!$AJ$54,0)</f>
        <v>0</v>
      </c>
      <c r="BC12" s="24" t="n">
        <f aca="false">IF('Food Data'!$C$55="Vegetables",100/'Food Data'!$AJ$55,0)</f>
        <v>0</v>
      </c>
      <c r="BD12" s="24" t="n">
        <f aca="false">IF('Food Data'!$C$56="Vegetables",100/'Food Data'!$AJ$56,0)</f>
        <v>0</v>
      </c>
      <c r="BE12" s="24" t="n">
        <f aca="false">IF('Food Data'!$C$57="Vegetables",100/'Food Data'!$AJ$57,0)</f>
        <v>0</v>
      </c>
      <c r="BF12" s="24" t="n">
        <f aca="false">IF('Food Data'!$C$58="Vegetables",100/'Food Data'!$AJ$58,0)</f>
        <v>0</v>
      </c>
      <c r="BG12" s="24" t="n">
        <f aca="false">IF('Food Data'!$C$59="Vegetables",100/'Food Data'!$AJ$59,0)</f>
        <v>0</v>
      </c>
      <c r="BH12" s="24" t="n">
        <f aca="false">IF('Food Data'!$C$60="Vegetables",100/'Food Data'!$AJ$60,0)</f>
        <v>0</v>
      </c>
      <c r="BI12" s="24" t="n">
        <f aca="false">IF('Food Data'!$C$61="Vegetables",100/'Food Data'!$AJ$61,0)</f>
        <v>0</v>
      </c>
      <c r="BJ12" s="24" t="n">
        <f aca="false">IF('Food Data'!$C$62="Vegetables",100/'Food Data'!$AJ$62,0)</f>
        <v>0</v>
      </c>
      <c r="BK12" s="24" t="n">
        <f aca="false">IF('Food Data'!$C$63="Vegetables",100/'Food Data'!$AJ$63,0)</f>
        <v>0</v>
      </c>
      <c r="BL12" s="24" t="n">
        <f aca="false">IF('Food Data'!$C$64="Vegetables",100/'Food Data'!$AJ$64,0)</f>
        <v>0</v>
      </c>
      <c r="BM12" s="24" t="n">
        <f aca="false">IF('Food Data'!$C$65="Vegetables",100/'Food Data'!$AJ$65,0)</f>
        <v>0</v>
      </c>
      <c r="BN12" s="24" t="n">
        <f aca="false">IF('Food Data'!$C$66="Vegetables",100/'Food Data'!$AJ$66,0)</f>
        <v>0</v>
      </c>
      <c r="BO12" s="24" t="n">
        <f aca="false">IF('Food Data'!$C$67="Vegetables",100/'Food Data'!$AJ$67,0)</f>
        <v>0</v>
      </c>
      <c r="BP12" s="24" t="n">
        <f aca="false">IF('Food Data'!$C$68="Vegetables",100/'Food Data'!$AJ$68,0)</f>
        <v>0</v>
      </c>
      <c r="BQ12" s="24" t="n">
        <f aca="false">IF('Food Data'!$C$69="Vegetables",100/'Food Data'!$AJ$69,0)</f>
        <v>0</v>
      </c>
      <c r="BR12" s="24" t="n">
        <f aca="false">IF('Food Data'!$C$70="Vegetables",100/'Food Data'!$AJ$70,0)</f>
        <v>0</v>
      </c>
      <c r="BS12" s="24" t="n">
        <f aca="false">IF('Food Data'!$C$71="Vegetables",100/'Food Data'!$AJ$71,0)</f>
        <v>0</v>
      </c>
      <c r="BT12" s="24" t="n">
        <f aca="false">IF('Food Data'!$C$72="Vegetables",100/'Food Data'!$AJ$72,0)</f>
        <v>0</v>
      </c>
      <c r="BU12" s="24" t="n">
        <f aca="false">IF('Food Data'!$C$73="Vegetables",100/'Food Data'!$AJ$73,0)</f>
        <v>0</v>
      </c>
      <c r="BV12" s="24" t="n">
        <f aca="false">IF('Food Data'!$C$74="Vegetables",100/'Food Data'!$AJ$74,0)</f>
        <v>0</v>
      </c>
      <c r="BW12" s="24" t="n">
        <f aca="false">IF('Food Data'!$C$75="Vegetables",100/'Food Data'!$AJ$75,0)</f>
        <v>0</v>
      </c>
      <c r="BX12" s="24" t="n">
        <f aca="false">IF('Food Data'!$C$76="Vegetables",100/'Food Data'!$AJ$76,0)</f>
        <v>0</v>
      </c>
      <c r="BY12" s="24" t="n">
        <f aca="false">IF('Food Data'!$C$77="Vegetables",100/'Food Data'!$AJ$77,0)</f>
        <v>0</v>
      </c>
      <c r="BZ12" s="24" t="n">
        <f aca="false">IF('Food Data'!$C$78="Vegetables",100/'Food Data'!$AJ$78,0)</f>
        <v>0</v>
      </c>
      <c r="CA12" s="24" t="n">
        <f aca="false">IF('Food Data'!$C$79="Vegetables",100/'Food Data'!$AJ$79,0)</f>
        <v>0</v>
      </c>
      <c r="CB12" s="24" t="n">
        <f aca="false">IF('Food Data'!$C$80="Vegetables",100/'Food Data'!$AJ$80,0)</f>
        <v>0</v>
      </c>
      <c r="CC12" s="24" t="n">
        <f aca="false">IF('Food Data'!$C$81="Vegetables",100/'Food Data'!$AJ$81,0)</f>
        <v>0</v>
      </c>
      <c r="CD12" s="24" t="n">
        <f aca="false">IF('Food Data'!$C$82="Vegetables",100/'Food Data'!$AJ$82,0)</f>
        <v>0</v>
      </c>
      <c r="CE12" s="24" t="n">
        <f aca="false">IF('Food Data'!$C$83="Vegetables",100/'Food Data'!$AJ$83,0)</f>
        <v>0</v>
      </c>
      <c r="CF12" s="24" t="n">
        <f aca="false">IF('Food Data'!$C$84="Vegetables",100/'Food Data'!$AJ$84,0)</f>
        <v>0</v>
      </c>
      <c r="CG12" s="24" t="n">
        <f aca="false">IF('Food Data'!$C$85="Vegetables",100/'Food Data'!$AJ$85,0)</f>
        <v>0</v>
      </c>
      <c r="CH12" s="24" t="n">
        <f aca="false">IF('Food Data'!$C$86="Vegetables",100/'Food Data'!$AJ$86,0)</f>
        <v>0</v>
      </c>
      <c r="CI12" s="24" t="n">
        <f aca="false">IF('Food Data'!$C$87="Vegetables",100/'Food Data'!$AJ$87,0)</f>
        <v>0</v>
      </c>
      <c r="CJ12" s="24" t="n">
        <f aca="false">IF('Food Data'!$C$88="Vegetables",100/'Food Data'!$AJ$88,0)</f>
        <v>0</v>
      </c>
      <c r="CK12" s="24" t="n">
        <f aca="false">IF('Food Data'!$C$89="Vegetables",100/'Food Data'!$AJ$89,0)</f>
        <v>0</v>
      </c>
      <c r="CL12" s="24" t="n">
        <f aca="false">IF('Food Data'!$C$90="Vegetables",100/'Food Data'!$AJ$90,0)</f>
        <v>0</v>
      </c>
      <c r="CM12" s="24" t="n">
        <f aca="false">IF('Food Data'!$C$91="Vegetables",100/'Food Data'!$AJ$91,0)</f>
        <v>0</v>
      </c>
      <c r="CN12" s="24" t="n">
        <f aca="false">IF('Food Data'!$C$92="Vegetables",100/'Food Data'!$AJ$92,0)</f>
        <v>0</v>
      </c>
      <c r="CO12" s="24" t="n">
        <f aca="false">IF('Food Data'!$C$93="Vegetables",100/'Food Data'!$AJ$93,0)</f>
        <v>0</v>
      </c>
      <c r="CP12" s="24" t="n">
        <f aca="false">IF('Food Data'!$C$94="Vegetables",100/'Food Data'!$AJ$94,0)</f>
        <v>0</v>
      </c>
      <c r="CQ12" s="24" t="n">
        <f aca="false">IF('Food Data'!$C$95="Vegetables",100/'Food Data'!$AJ$95,0)</f>
        <v>0</v>
      </c>
      <c r="CR12" s="24" t="n">
        <f aca="false">IF('Food Data'!$C$96="Vegetables",100/'Food Data'!$AJ$96,0)</f>
        <v>0</v>
      </c>
      <c r="CS12" s="24" t="n">
        <f aca="false">IF('Food Data'!$C$97="Vegetables",100/'Food Data'!$AJ$97,0)</f>
        <v>0</v>
      </c>
      <c r="CT12" s="24" t="n">
        <f aca="false">IF('Food Data'!$C$98="Vegetables",100/'Food Data'!$AJ$98,0)</f>
        <v>0</v>
      </c>
      <c r="CU12" s="24" t="n">
        <f aca="false">IF('Food Data'!$C$99="Vegetables",100/'Food Data'!$AJ$99,0)</f>
        <v>0</v>
      </c>
      <c r="CV12" s="24" t="n">
        <f aca="false">IF('Food Data'!$C$100="Vegetables",100/'Food Data'!$AJ$100,0)</f>
        <v>0</v>
      </c>
      <c r="CW12" s="24" t="n">
        <f aca="false">IF('Food Data'!$C$101="Vegetables",100/'Food Data'!$AJ$101,0)</f>
        <v>0</v>
      </c>
      <c r="CX12" s="24" t="n">
        <f aca="false">IF('Food Data'!$C$102="Vegetables",100/'Food Data'!$AJ$102,0)</f>
        <v>0</v>
      </c>
      <c r="CY12" s="24" t="n">
        <f aca="false">IF('Food Data'!$C$103="Vegetables",100/'Food Data'!$AJ$103,0)</f>
        <v>0</v>
      </c>
      <c r="CZ12" s="24" t="n">
        <f aca="false">IF('Food Data'!$C$104="Vegetables",100/'Food Data'!$AJ$104,0)</f>
        <v>0.714285714285714</v>
      </c>
      <c r="DA12" s="24" t="n">
        <f aca="false">IF('Food Data'!$C$105="Vegetables",100/'Food Data'!$AJ$105,0)</f>
        <v>0.746268656716418</v>
      </c>
      <c r="DB12" s="24" t="n">
        <f aca="false">IF('Food Data'!$C$106="Vegetables",100/'Food Data'!$AJ$106,0)</f>
        <v>0.8</v>
      </c>
      <c r="DC12" s="24" t="n">
        <f aca="false">IF('Food Data'!$C$107="Vegetables",100/'Food Data'!$AJ$107,0)</f>
        <v>0.40650406504065</v>
      </c>
      <c r="DD12" s="24" t="n">
        <f aca="false">IF('Food Data'!$C$108="Vegetables",100/'Food Data'!$AJ$108,0)</f>
        <v>1.0989010989011</v>
      </c>
      <c r="DE12" s="24" t="n">
        <f aca="false">IF('Food Data'!$C$109="Vegetables",100/'Food Data'!$AJ$109,0)</f>
        <v>0.617283950617284</v>
      </c>
      <c r="DF12" s="24" t="n">
        <f aca="false">IF('Food Data'!$C$110="Vegetables",100/'Food Data'!$AJ$110,0)</f>
        <v>0.714285714285714</v>
      </c>
      <c r="DG12" s="24" t="n">
        <f aca="false">IF('Food Data'!$C$111="Vegetables",100/'Food Data'!$AJ$111,0)</f>
        <v>1.12359550561798</v>
      </c>
      <c r="DH12" s="24" t="n">
        <f aca="false">IF('Food Data'!$C$112="Vegetables",100/'Food Data'!$AJ$112,0)</f>
        <v>1.12359550561798</v>
      </c>
      <c r="DI12" s="24" t="n">
        <f aca="false">IF('Food Data'!$C$113="Vegetables",100/'Food Data'!$AJ$113,0)</f>
        <v>0.78125</v>
      </c>
      <c r="DJ12" s="24" t="n">
        <f aca="false">IF('Food Data'!$C$114="Vegetables",100/'Food Data'!$AJ$114,0)</f>
        <v>0.40650406504065</v>
      </c>
      <c r="DK12" s="24" t="n">
        <f aca="false">IF('Food Data'!$C$115="Vegetables",100/'Food Data'!$AJ$115,0)</f>
        <v>0.78125</v>
      </c>
      <c r="DL12" s="24" t="n">
        <f aca="false">IF('Food Data'!$C$116="Vegetables",100/'Food Data'!$AJ$116,0)</f>
        <v>0.757575757575758</v>
      </c>
      <c r="DM12" s="24" t="n">
        <f aca="false">IF('Food Data'!$C$117="Vegetables",100/'Food Data'!$AJ$117,0)</f>
        <v>0.99009900990099</v>
      </c>
      <c r="DN12" s="24" t="n">
        <f aca="false">IF('Food Data'!$C$118="Vegetables",100/'Food Data'!$AJ$118,0)</f>
        <v>1.38888888888889</v>
      </c>
      <c r="DO12" s="24" t="n">
        <f aca="false">IF('Food Data'!$C$119="Vegetables",100/'Food Data'!$AJ$119,0)</f>
        <v>0.53475935828877</v>
      </c>
      <c r="DP12" s="24" t="n">
        <f aca="false">IF('Food Data'!$C$120="Vegetables",100/'Food Data'!$AJ$120,0)</f>
        <v>0.961538461538462</v>
      </c>
      <c r="DQ12" s="24" t="n">
        <f aca="false">IF('Food Data'!$C$121="Vegetables",100/'Food Data'!$AJ$121,0)</f>
        <v>0.425531914893617</v>
      </c>
      <c r="DR12" s="24" t="n">
        <f aca="false">IF('Food Data'!$C$122="Vegetables",100/'Food Data'!$AJ$122,0)</f>
        <v>0.826446280991736</v>
      </c>
      <c r="DS12" s="24" t="n">
        <f aca="false">IF('Food Data'!$C$123="Vegetables",100/'Food Data'!$AJ$123,0)</f>
        <v>0.671140939597316</v>
      </c>
      <c r="DT12" s="24" t="n">
        <f aca="false">IF('Food Data'!$C$124="Vegetables",100/'Food Data'!$AJ$124,0)</f>
        <v>0.694444444444444</v>
      </c>
      <c r="DU12" s="24" t="n">
        <f aca="false">IF('Food Data'!$C$125="Vegetables",100/'Food Data'!$AJ$125,0)</f>
        <v>0.546448087431694</v>
      </c>
      <c r="DV12" s="24" t="n">
        <f aca="false">IF('Food Data'!$C$126="Vegetables",100/'Food Data'!$AJ$126,0)</f>
        <v>0.735294117647059</v>
      </c>
      <c r="DW12" s="24" t="n">
        <f aca="false">IF('Food Data'!$C$127="Vegetables",100/'Food Data'!$AJ$127,0)</f>
        <v>1.42857142857143</v>
      </c>
      <c r="DX12" s="24" t="n">
        <f aca="false">IF('Food Data'!$C$128="Vegetables",100/'Food Data'!$AJ$128,0)</f>
        <v>0.684931506849315</v>
      </c>
      <c r="DY12" s="24" t="n">
        <f aca="false">IF('Food Data'!$C$129="Vegetables",100/'Food Data'!$AJ$129,0)</f>
        <v>0.529100529100529</v>
      </c>
      <c r="DZ12" s="24" t="n">
        <f aca="false">IF('Food Data'!$C$130="Vegetables",100/'Food Data'!$AJ$130,0)</f>
        <v>0.625</v>
      </c>
      <c r="EA12" s="24" t="n">
        <f aca="false">IF('Food Data'!$C$131="Vegetables",100/'Food Data'!$AJ$131,0)</f>
        <v>0.408163265306122</v>
      </c>
      <c r="EB12" s="24" t="n">
        <f aca="false">IF('Food Data'!$C$132="Vegetables",100/'Food Data'!$AJ$132,0)</f>
        <v>0.862068965517241</v>
      </c>
      <c r="EC12" s="24" t="n">
        <f aca="false">IF('Food Data'!$C$133="Vegetables",100/'Food Data'!$AJ$133,0)</f>
        <v>0.671140939597316</v>
      </c>
      <c r="ED12" s="24" t="n">
        <f aca="false">IF('Food Data'!$C$134="Vegetables",100/'Food Data'!$AJ$134,0)</f>
        <v>1.06382978723404</v>
      </c>
      <c r="EE12" s="24" t="n">
        <f aca="false">IF('Food Data'!$C$135="Vegetables",100/'Food Data'!$AJ$135,0)</f>
        <v>0.423728813559322</v>
      </c>
      <c r="EF12" s="24" t="n">
        <f aca="false">IF('Food Data'!$C$136="Vegetables",100/'Food Data'!$AJ$136,0)</f>
        <v>0.427350427350427</v>
      </c>
      <c r="EG12" s="24" t="n">
        <f aca="false">IF('Food Data'!$C$137="Vegetables",100/'Food Data'!$AJ$137,0)</f>
        <v>1.66666666666667</v>
      </c>
      <c r="EH12" s="24" t="n">
        <f aca="false">IF('Food Data'!$C$138="Vegetables",100/'Food Data'!$AJ$138,0)</f>
        <v>0.641025641025641</v>
      </c>
      <c r="EI12" s="24" t="n">
        <f aca="false">IF('Food Data'!$C$139="Vegetables",100/'Food Data'!$AJ$139,0)</f>
        <v>0.416666666666667</v>
      </c>
      <c r="EJ12" s="24" t="n">
        <f aca="false">IF('Food Data'!$C$140="Vegetables",100/'Food Data'!$AJ$140,0)</f>
        <v>0.555555555555556</v>
      </c>
      <c r="EK12" s="24" t="n">
        <f aca="false">IF('Food Data'!$C$141="Vegetables",100/'Food Data'!$AJ$141,0)</f>
        <v>0.609756097560976</v>
      </c>
      <c r="EL12" s="24" t="n">
        <f aca="false">IF('Food Data'!$C$142="Vegetables",100/'Food Data'!$AJ$142,0)</f>
        <v>0.806451612903226</v>
      </c>
      <c r="EM12" s="24" t="n">
        <f aca="false">IF('Food Data'!$C$143="Vegetables",100/'Food Data'!$AJ$143,0)</f>
        <v>0</v>
      </c>
      <c r="EN12" s="24" t="n">
        <f aca="false">IF('Food Data'!$C$144="Vegetables",100/'Food Data'!$AJ$144,0)</f>
        <v>0</v>
      </c>
      <c r="EO12" s="24" t="n">
        <f aca="false">IF('Food Data'!$C$145="Vegetables",100/'Food Data'!$AJ$145,0)</f>
        <v>0</v>
      </c>
      <c r="EP12" s="24" t="n">
        <f aca="false">IF('Food Data'!$C$146="Vegetables",100/'Food Data'!$AJ$146,0)</f>
        <v>0</v>
      </c>
      <c r="EQ12" s="24" t="n">
        <f aca="false">IF('Food Data'!$C$147="Vegetables",100/'Food Data'!$AJ$147,0)</f>
        <v>0</v>
      </c>
      <c r="ER12" s="24" t="n">
        <f aca="false">IF('Food Data'!$C$148="Vegetables",100/'Food Data'!$AJ$148,0)</f>
        <v>0</v>
      </c>
      <c r="ES12" s="24" t="n">
        <f aca="false">IF('Food Data'!$C$149="Vegetables",100/'Food Data'!$AJ$149,0)</f>
        <v>0</v>
      </c>
      <c r="ET12" s="24" t="n">
        <f aca="false">IF('Food Data'!$C$150="Vegetables",100/'Food Data'!$AJ$150,0)</f>
        <v>0</v>
      </c>
      <c r="EU12" s="24" t="n">
        <f aca="false">IF('Food Data'!$C$151="Vegetables",100/'Food Data'!$AJ$151,0)</f>
        <v>0</v>
      </c>
    </row>
    <row r="13" customFormat="false" ht="15" hidden="false" customHeight="false" outlineLevel="0" collapsed="false">
      <c r="A13" s="4" t="s">
        <v>1112</v>
      </c>
      <c r="B13" s="75" t="s">
        <v>1106</v>
      </c>
      <c r="C13" s="78" t="n">
        <v>2</v>
      </c>
      <c r="F13" s="24" t="n">
        <f aca="false">IF('Food Data'!$C$6="Fruit",100/'Food Data'!$AJ$6,0)</f>
        <v>0</v>
      </c>
      <c r="G13" s="24" t="n">
        <f aca="false">IF('Food Data'!$C$7="Fruit",100/'Food Data'!$AJ$7,0)</f>
        <v>0</v>
      </c>
      <c r="H13" s="24" t="n">
        <f aca="false">IF('Food Data'!$C$8="Fruit",100/'Food Data'!$AJ$8,0)</f>
        <v>0</v>
      </c>
      <c r="I13" s="24" t="n">
        <f aca="false">IF('Food Data'!$C$9="Fruit",100/'Food Data'!$AJ$9,0)</f>
        <v>0</v>
      </c>
      <c r="J13" s="24" t="n">
        <f aca="false">IF('Food Data'!$C$10="Fruit",100/'Food Data'!$AJ$10,0)</f>
        <v>0</v>
      </c>
      <c r="K13" s="24" t="n">
        <f aca="false">IF('Food Data'!$C$11="Fruit",100/'Food Data'!$AJ$11,0)</f>
        <v>0</v>
      </c>
      <c r="L13" s="24" t="n">
        <f aca="false">IF('Food Data'!$C$12="Fruit",100/'Food Data'!$AJ$12,0)</f>
        <v>0</v>
      </c>
      <c r="M13" s="24" t="n">
        <f aca="false">IF('Food Data'!$C$13="Fruit",100/'Food Data'!$AJ$13,0)</f>
        <v>0</v>
      </c>
      <c r="N13" s="24" t="n">
        <f aca="false">IF('Food Data'!$C$14="Fruit",100/'Food Data'!$AJ$14,0)</f>
        <v>0</v>
      </c>
      <c r="O13" s="24" t="n">
        <f aca="false">IF('Food Data'!$C$15="Fruit",100/'Food Data'!$AJ$15,0)</f>
        <v>0</v>
      </c>
      <c r="P13" s="24" t="n">
        <f aca="false">IF('Food Data'!$C$16="Fruit",100/'Food Data'!$AJ$16,0)</f>
        <v>0</v>
      </c>
      <c r="Q13" s="24" t="n">
        <f aca="false">IF('Food Data'!$C$17="Fruit",100/'Food Data'!$AJ$17,0)</f>
        <v>0</v>
      </c>
      <c r="R13" s="24" t="n">
        <f aca="false">IF('Food Data'!$C$18="Fruit",100/'Food Data'!$AJ$18,0)</f>
        <v>0</v>
      </c>
      <c r="S13" s="24" t="n">
        <f aca="false">IF('Food Data'!$C$19="Fruit",100/'Food Data'!$AJ$19,0)</f>
        <v>0</v>
      </c>
      <c r="T13" s="24" t="n">
        <f aca="false">IF('Food Data'!$C$20="Fruit",100/'Food Data'!$AJ$20,0)</f>
        <v>0</v>
      </c>
      <c r="U13" s="24" t="n">
        <f aca="false">IF('Food Data'!$C$21="Fruit",100/'Food Data'!$AJ$21,0)</f>
        <v>0</v>
      </c>
      <c r="V13" s="24" t="n">
        <f aca="false">IF('Food Data'!$C$22="Fruit",100/'Food Data'!$AJ$22,0)</f>
        <v>0</v>
      </c>
      <c r="W13" s="24" t="n">
        <f aca="false">IF('Food Data'!$C$23="Fruit",100/'Food Data'!$AJ$23,0)</f>
        <v>0</v>
      </c>
      <c r="X13" s="24" t="n">
        <f aca="false">IF('Food Data'!$C$24="Fruit",100/'Food Data'!$AJ$24,0)</f>
        <v>0</v>
      </c>
      <c r="Y13" s="24" t="n">
        <f aca="false">IF('Food Data'!$C$25="Fruit",100/'Food Data'!$AJ$25,0)</f>
        <v>0</v>
      </c>
      <c r="Z13" s="24" t="n">
        <f aca="false">IF('Food Data'!$C$26="Fruit",100/'Food Data'!$AJ$26,0)</f>
        <v>0</v>
      </c>
      <c r="AA13" s="24" t="n">
        <f aca="false">IF('Food Data'!$C$27="Fruit",100/'Food Data'!$AJ$27,0)</f>
        <v>0</v>
      </c>
      <c r="AB13" s="24" t="n">
        <f aca="false">IF('Food Data'!$C$28="Fruit",100/'Food Data'!$AJ$28,0)</f>
        <v>0</v>
      </c>
      <c r="AC13" s="24" t="n">
        <f aca="false">IF('Food Data'!$C$29="Fruit",100/'Food Data'!$AJ$29,0)</f>
        <v>0</v>
      </c>
      <c r="AD13" s="24" t="n">
        <f aca="false">IF('Food Data'!$C$30="Fruit",100/'Food Data'!$AJ$30,0)</f>
        <v>0</v>
      </c>
      <c r="AE13" s="24" t="n">
        <f aca="false">IF('Food Data'!$C$31="Fruit",100/'Food Data'!$AJ$31,0)</f>
        <v>0</v>
      </c>
      <c r="AF13" s="24" t="n">
        <f aca="false">IF('Food Data'!$C$32="Fruit",100/'Food Data'!$AJ$32,0)</f>
        <v>0</v>
      </c>
      <c r="AG13" s="24" t="n">
        <f aca="false">IF('Food Data'!$C$33="Fruit",100/'Food Data'!$AJ$33,0)</f>
        <v>0</v>
      </c>
      <c r="AH13" s="24" t="n">
        <f aca="false">IF('Food Data'!$C$34="Fruit",100/'Food Data'!$AJ$34,0)</f>
        <v>0</v>
      </c>
      <c r="AI13" s="24" t="n">
        <f aca="false">IF('Food Data'!$C$35="Fruit",100/'Food Data'!$AJ$35,0)</f>
        <v>0</v>
      </c>
      <c r="AJ13" s="24" t="n">
        <f aca="false">IF('Food Data'!$C$36="Fruit",100/'Food Data'!$AJ$36,0)</f>
        <v>0</v>
      </c>
      <c r="AK13" s="24" t="n">
        <f aca="false">IF('Food Data'!$C$37="Fruit",100/'Food Data'!$AJ$37,0)</f>
        <v>0</v>
      </c>
      <c r="AL13" s="24" t="n">
        <f aca="false">IF('Food Data'!$C$38="Fruit",100/'Food Data'!$AJ$38,0)</f>
        <v>0</v>
      </c>
      <c r="AM13" s="24" t="n">
        <f aca="false">IF('Food Data'!$C$39="Fruit",100/'Food Data'!$AJ$39,0)</f>
        <v>0</v>
      </c>
      <c r="AN13" s="24" t="n">
        <f aca="false">IF('Food Data'!$C$40="Fruit",100/'Food Data'!$AJ$40,0)</f>
        <v>0</v>
      </c>
      <c r="AO13" s="24" t="n">
        <f aca="false">IF('Food Data'!$C$41="Fruit",100/'Food Data'!$AJ$41,0)</f>
        <v>0</v>
      </c>
      <c r="AP13" s="24" t="n">
        <f aca="false">IF('Food Data'!$C$42="Fruit",100/'Food Data'!$AJ$42,0)</f>
        <v>0</v>
      </c>
      <c r="AQ13" s="24" t="n">
        <f aca="false">IF('Food Data'!$C$43="Fruit",100/'Food Data'!$AJ$43,0)</f>
        <v>0</v>
      </c>
      <c r="AR13" s="24" t="n">
        <f aca="false">IF('Food Data'!$C$44="Fruit",100/'Food Data'!$AJ$44,0)</f>
        <v>0</v>
      </c>
      <c r="AS13" s="24" t="n">
        <f aca="false">IF('Food Data'!$C$45="Fruit",100/'Food Data'!$AJ$45,0)</f>
        <v>0</v>
      </c>
      <c r="AT13" s="24" t="n">
        <f aca="false">IF('Food Data'!$C$46="Fruit",100/'Food Data'!$AJ$46,0)</f>
        <v>0</v>
      </c>
      <c r="AU13" s="24" t="n">
        <f aca="false">IF('Food Data'!$C$47="Fruit",100/'Food Data'!$AJ$47,0)</f>
        <v>0</v>
      </c>
      <c r="AV13" s="24" t="n">
        <f aca="false">IF('Food Data'!$C$48="Fruit",100/'Food Data'!$AJ$48,0)</f>
        <v>0</v>
      </c>
      <c r="AW13" s="24" t="n">
        <f aca="false">IF('Food Data'!$C$49="Fruit",100/'Food Data'!$AJ$49,0)</f>
        <v>0</v>
      </c>
      <c r="AX13" s="24" t="n">
        <f aca="false">IF('Food Data'!$C$50="Fruit",100/'Food Data'!$AJ$50,0)</f>
        <v>0</v>
      </c>
      <c r="AY13" s="24" t="n">
        <f aca="false">IF('Food Data'!$C$51="Fruit",100/'Food Data'!$AJ$51,0)</f>
        <v>0</v>
      </c>
      <c r="AZ13" s="24" t="n">
        <f aca="false">IF('Food Data'!$C$52="Fruit",100/'Food Data'!$AJ$52,0)</f>
        <v>0</v>
      </c>
      <c r="BA13" s="24" t="n">
        <f aca="false">IF('Food Data'!$C$53="Fruit",100/'Food Data'!$AJ$53,0)</f>
        <v>0</v>
      </c>
      <c r="BB13" s="24" t="n">
        <f aca="false">IF('Food Data'!$C$54="Fruit",100/'Food Data'!$AJ$54,0)</f>
        <v>0</v>
      </c>
      <c r="BC13" s="24" t="n">
        <f aca="false">IF('Food Data'!$C$55="Fruit",100/'Food Data'!$AJ$55,0)</f>
        <v>0</v>
      </c>
      <c r="BD13" s="24" t="n">
        <f aca="false">IF('Food Data'!$C$56="Fruit",100/'Food Data'!$AJ$56,0)</f>
        <v>0</v>
      </c>
      <c r="BE13" s="24" t="n">
        <f aca="false">IF('Food Data'!$C$57="Fruit",100/'Food Data'!$AJ$57,0)</f>
        <v>0</v>
      </c>
      <c r="BF13" s="24" t="n">
        <f aca="false">IF('Food Data'!$C$58="Fruit",100/'Food Data'!$AJ$58,0)</f>
        <v>0</v>
      </c>
      <c r="BG13" s="24" t="n">
        <f aca="false">IF('Food Data'!$C$59="Fruit",100/'Food Data'!$AJ$59,0)</f>
        <v>0</v>
      </c>
      <c r="BH13" s="24" t="n">
        <f aca="false">IF('Food Data'!$C$60="Fruit",100/'Food Data'!$AJ$60,0)</f>
        <v>0</v>
      </c>
      <c r="BI13" s="24" t="n">
        <f aca="false">IF('Food Data'!$C$61="Fruit",100/'Food Data'!$AJ$61,0)</f>
        <v>0</v>
      </c>
      <c r="BJ13" s="24" t="n">
        <f aca="false">IF('Food Data'!$C$62="Fruit",100/'Food Data'!$AJ$62,0)</f>
        <v>0</v>
      </c>
      <c r="BK13" s="24" t="n">
        <f aca="false">IF('Food Data'!$C$63="Fruit",100/'Food Data'!$AJ$63,0)</f>
        <v>0</v>
      </c>
      <c r="BL13" s="24" t="n">
        <f aca="false">IF('Food Data'!$C$64="Fruit",100/'Food Data'!$AJ$64,0)</f>
        <v>0</v>
      </c>
      <c r="BM13" s="24" t="n">
        <f aca="false">IF('Food Data'!$C$65="Fruit",100/'Food Data'!$AJ$65,0)</f>
        <v>0</v>
      </c>
      <c r="BN13" s="24" t="n">
        <f aca="false">IF('Food Data'!$C$66="Fruit",100/'Food Data'!$AJ$66,0)</f>
        <v>0</v>
      </c>
      <c r="BO13" s="24" t="n">
        <f aca="false">IF('Food Data'!$C$67="Fruit",100/'Food Data'!$AJ$67,0)</f>
        <v>0</v>
      </c>
      <c r="BP13" s="24" t="n">
        <f aca="false">IF('Food Data'!$C$68="Fruit",100/'Food Data'!$AJ$68,0)</f>
        <v>0</v>
      </c>
      <c r="BQ13" s="24" t="n">
        <f aca="false">IF('Food Data'!$C$69="Fruit",100/'Food Data'!$AJ$69,0)</f>
        <v>0</v>
      </c>
      <c r="BR13" s="24" t="n">
        <f aca="false">IF('Food Data'!$C$70="Fruit",100/'Food Data'!$AJ$70,0)</f>
        <v>0.8</v>
      </c>
      <c r="BS13" s="24" t="n">
        <f aca="false">IF('Food Data'!$C$71="Fruit",100/'Food Data'!$AJ$71,0)</f>
        <v>0.409836065573771</v>
      </c>
      <c r="BT13" s="24" t="n">
        <f aca="false">IF('Food Data'!$C$72="Fruit",100/'Food Data'!$AJ$72,0)</f>
        <v>0.847457627118644</v>
      </c>
      <c r="BU13" s="24" t="n">
        <f aca="false">IF('Food Data'!$C$73="Fruit",100/'Food Data'!$AJ$73,0)</f>
        <v>0.694444444444444</v>
      </c>
      <c r="BV13" s="24" t="n">
        <f aca="false">IF('Food Data'!$C$74="Fruit",100/'Food Data'!$AJ$74,0)</f>
        <v>0.645161290322581</v>
      </c>
      <c r="BW13" s="24" t="n">
        <f aca="false">IF('Food Data'!$C$75="Fruit",100/'Food Data'!$AJ$75,0)</f>
        <v>0.625</v>
      </c>
      <c r="BX13" s="24" t="n">
        <f aca="false">IF('Food Data'!$C$76="Fruit",100/'Food Data'!$AJ$76,0)</f>
        <v>0.649350649350649</v>
      </c>
      <c r="BY13" s="24" t="n">
        <f aca="false">IF('Food Data'!$C$77="Fruit",100/'Food Data'!$AJ$77,0)</f>
        <v>0.476190476190476</v>
      </c>
      <c r="BZ13" s="24" t="n">
        <f aca="false">IF('Food Data'!$C$78="Fruit",100/'Food Data'!$AJ$78,0)</f>
        <v>1.36054421768707</v>
      </c>
      <c r="CA13" s="24" t="n">
        <f aca="false">IF('Food Data'!$C$79="Fruit",100/'Food Data'!$AJ$79,0)</f>
        <v>1.53846153846154</v>
      </c>
      <c r="CB13" s="24" t="n">
        <f aca="false">IF('Food Data'!$C$80="Fruit",100/'Food Data'!$AJ$80,0)</f>
        <v>1.25</v>
      </c>
      <c r="CC13" s="24" t="n">
        <f aca="false">IF('Food Data'!$C$81="Fruit",100/'Food Data'!$AJ$81,0)</f>
        <v>0.421940928270042</v>
      </c>
      <c r="CD13" s="24" t="n">
        <f aca="false">IF('Food Data'!$C$82="Fruit",100/'Food Data'!$AJ$82,0)</f>
        <v>0.434782608695652</v>
      </c>
      <c r="CE13" s="24" t="n">
        <f aca="false">IF('Food Data'!$C$83="Fruit",100/'Food Data'!$AJ$83,0)</f>
        <v>0.662251655629139</v>
      </c>
      <c r="CF13" s="24" t="n">
        <f aca="false">IF('Food Data'!$C$84="Fruit",100/'Food Data'!$AJ$84,0)</f>
        <v>0.588235294117647</v>
      </c>
      <c r="CG13" s="24" t="n">
        <f aca="false">IF('Food Data'!$C$85="Fruit",100/'Food Data'!$AJ$85,0)</f>
        <v>0.555555555555556</v>
      </c>
      <c r="CH13" s="24" t="n">
        <f aca="false">IF('Food Data'!$C$86="Fruit",100/'Food Data'!$AJ$86,0)</f>
        <v>0.606060606060606</v>
      </c>
      <c r="CI13" s="24" t="n">
        <f aca="false">IF('Food Data'!$C$87="Fruit",100/'Food Data'!$AJ$87,0)</f>
        <v>0.699300699300699</v>
      </c>
      <c r="CJ13" s="24" t="n">
        <f aca="false">IF('Food Data'!$C$88="Fruit",100/'Food Data'!$AJ$88,0)</f>
        <v>0.401606425702811</v>
      </c>
      <c r="CK13" s="24" t="n">
        <f aca="false">IF('Food Data'!$C$89="Fruit",100/'Food Data'!$AJ$89,0)</f>
        <v>0.714285714285714</v>
      </c>
      <c r="CL13" s="24" t="n">
        <f aca="false">IF('Food Data'!$C$90="Fruit",100/'Food Data'!$AJ$90,0)</f>
        <v>0.689655172413793</v>
      </c>
      <c r="CM13" s="24" t="n">
        <f aca="false">IF('Food Data'!$C$91="Fruit",100/'Food Data'!$AJ$91,0)</f>
        <v>0.649350649350649</v>
      </c>
      <c r="CN13" s="24" t="n">
        <f aca="false">IF('Food Data'!$C$92="Fruit",100/'Food Data'!$AJ$92,0)</f>
        <v>0.4</v>
      </c>
      <c r="CO13" s="24" t="n">
        <f aca="false">IF('Food Data'!$C$93="Fruit",100/'Food Data'!$AJ$93,0)</f>
        <v>0.714285714285714</v>
      </c>
      <c r="CP13" s="24" t="n">
        <f aca="false">IF('Food Data'!$C$94="Fruit",100/'Food Data'!$AJ$94,0)</f>
        <v>0.403225806451613</v>
      </c>
      <c r="CQ13" s="24" t="n">
        <f aca="false">IF('Food Data'!$C$95="Fruit",100/'Food Data'!$AJ$95,0)</f>
        <v>0.606060606060606</v>
      </c>
      <c r="CR13" s="24" t="n">
        <f aca="false">IF('Food Data'!$C$96="Fruit",100/'Food Data'!$AJ$96,0)</f>
        <v>0.401606425702811</v>
      </c>
      <c r="CS13" s="24" t="n">
        <f aca="false">IF('Food Data'!$C$97="Fruit",100/'Food Data'!$AJ$97,0)</f>
        <v>0.606060606060606</v>
      </c>
      <c r="CT13" s="24" t="n">
        <f aca="false">IF('Food Data'!$C$98="Fruit",100/'Food Data'!$AJ$98,0)</f>
        <v>1.14942528735632</v>
      </c>
      <c r="CU13" s="24" t="n">
        <f aca="false">IF('Food Data'!$C$99="Fruit",100/'Food Data'!$AJ$99,0)</f>
        <v>1.21951219512195</v>
      </c>
      <c r="CV13" s="24" t="n">
        <f aca="false">IF('Food Data'!$C$100="Fruit",100/'Food Data'!$AJ$100,0)</f>
        <v>0.813008130081301</v>
      </c>
      <c r="CW13" s="24" t="n">
        <f aca="false">IF('Food Data'!$C$101="Fruit",100/'Food Data'!$AJ$101,0)</f>
        <v>0.657894736842105</v>
      </c>
      <c r="CX13" s="24" t="n">
        <f aca="false">IF('Food Data'!$C$102="Fruit",100/'Food Data'!$AJ$102,0)</f>
        <v>0.671140939597316</v>
      </c>
      <c r="CY13" s="24" t="n">
        <f aca="false">IF('Food Data'!$C$103="Fruit",100/'Food Data'!$AJ$103,0)</f>
        <v>0.657894736842105</v>
      </c>
      <c r="CZ13" s="24" t="n">
        <f aca="false">IF('Food Data'!$C$104="Fruit",100/'Food Data'!$AJ$104,0)</f>
        <v>0</v>
      </c>
      <c r="DA13" s="24" t="n">
        <f aca="false">IF('Food Data'!$C$105="Fruit",100/'Food Data'!$AJ$105,0)</f>
        <v>0</v>
      </c>
      <c r="DB13" s="24" t="n">
        <f aca="false">IF('Food Data'!$C$106="Fruit",100/'Food Data'!$AJ$106,0)</f>
        <v>0</v>
      </c>
      <c r="DC13" s="24" t="n">
        <f aca="false">IF('Food Data'!$C$107="Fruit",100/'Food Data'!$AJ$107,0)</f>
        <v>0</v>
      </c>
      <c r="DD13" s="24" t="n">
        <f aca="false">IF('Food Data'!$C$108="Fruit",100/'Food Data'!$AJ$108,0)</f>
        <v>0</v>
      </c>
      <c r="DE13" s="24" t="n">
        <f aca="false">IF('Food Data'!$C$109="Fruit",100/'Food Data'!$AJ$109,0)</f>
        <v>0</v>
      </c>
      <c r="DF13" s="24" t="n">
        <f aca="false">IF('Food Data'!$C$110="Fruit",100/'Food Data'!$AJ$110,0)</f>
        <v>0</v>
      </c>
      <c r="DG13" s="24" t="n">
        <f aca="false">IF('Food Data'!$C$111="Fruit",100/'Food Data'!$AJ$111,0)</f>
        <v>0</v>
      </c>
      <c r="DH13" s="24" t="n">
        <f aca="false">IF('Food Data'!$C$112="Fruit",100/'Food Data'!$AJ$112,0)</f>
        <v>0</v>
      </c>
      <c r="DI13" s="24" t="n">
        <f aca="false">IF('Food Data'!$C$113="Fruit",100/'Food Data'!$AJ$113,0)</f>
        <v>0</v>
      </c>
      <c r="DJ13" s="24" t="n">
        <f aca="false">IF('Food Data'!$C$114="Fruit",100/'Food Data'!$AJ$114,0)</f>
        <v>0</v>
      </c>
      <c r="DK13" s="24" t="n">
        <f aca="false">IF('Food Data'!$C$115="Fruit",100/'Food Data'!$AJ$115,0)</f>
        <v>0</v>
      </c>
      <c r="DL13" s="24" t="n">
        <f aca="false">IF('Food Data'!$C$116="Fruit",100/'Food Data'!$AJ$116,0)</f>
        <v>0</v>
      </c>
      <c r="DM13" s="24" t="n">
        <f aca="false">IF('Food Data'!$C$117="Fruit",100/'Food Data'!$AJ$117,0)</f>
        <v>0</v>
      </c>
      <c r="DN13" s="24" t="n">
        <f aca="false">IF('Food Data'!$C$118="Fruit",100/'Food Data'!$AJ$118,0)</f>
        <v>0</v>
      </c>
      <c r="DO13" s="24" t="n">
        <f aca="false">IF('Food Data'!$C$119="Fruit",100/'Food Data'!$AJ$119,0)</f>
        <v>0</v>
      </c>
      <c r="DP13" s="24" t="n">
        <f aca="false">IF('Food Data'!$C$120="Fruit",100/'Food Data'!$AJ$120,0)</f>
        <v>0</v>
      </c>
      <c r="DQ13" s="24" t="n">
        <f aca="false">IF('Food Data'!$C$121="Fruit",100/'Food Data'!$AJ$121,0)</f>
        <v>0</v>
      </c>
      <c r="DR13" s="24" t="n">
        <f aca="false">IF('Food Data'!$C$122="Fruit",100/'Food Data'!$AJ$122,0)</f>
        <v>0</v>
      </c>
      <c r="DS13" s="24" t="n">
        <f aca="false">IF('Food Data'!$C$123="Fruit",100/'Food Data'!$AJ$123,0)</f>
        <v>0</v>
      </c>
      <c r="DT13" s="24" t="n">
        <f aca="false">IF('Food Data'!$C$124="Fruit",100/'Food Data'!$AJ$124,0)</f>
        <v>0</v>
      </c>
      <c r="DU13" s="24" t="n">
        <f aca="false">IF('Food Data'!$C$125="Fruit",100/'Food Data'!$AJ$125,0)</f>
        <v>0</v>
      </c>
      <c r="DV13" s="24" t="n">
        <f aca="false">IF('Food Data'!$C$126="Fruit",100/'Food Data'!$AJ$126,0)</f>
        <v>0</v>
      </c>
      <c r="DW13" s="24" t="n">
        <f aca="false">IF('Food Data'!$C$127="Fruit",100/'Food Data'!$AJ$127,0)</f>
        <v>0</v>
      </c>
      <c r="DX13" s="24" t="n">
        <f aca="false">IF('Food Data'!$C$128="Fruit",100/'Food Data'!$AJ$128,0)</f>
        <v>0</v>
      </c>
      <c r="DY13" s="24" t="n">
        <f aca="false">IF('Food Data'!$C$129="Fruit",100/'Food Data'!$AJ$129,0)</f>
        <v>0</v>
      </c>
      <c r="DZ13" s="24" t="n">
        <f aca="false">IF('Food Data'!$C$130="Fruit",100/'Food Data'!$AJ$130,0)</f>
        <v>0</v>
      </c>
      <c r="EA13" s="24" t="n">
        <f aca="false">IF('Food Data'!$C$131="Fruit",100/'Food Data'!$AJ$131,0)</f>
        <v>0</v>
      </c>
      <c r="EB13" s="24" t="n">
        <f aca="false">IF('Food Data'!$C$132="Fruit",100/'Food Data'!$AJ$132,0)</f>
        <v>0</v>
      </c>
      <c r="EC13" s="24" t="n">
        <f aca="false">IF('Food Data'!$C$133="Fruit",100/'Food Data'!$AJ$133,0)</f>
        <v>0</v>
      </c>
      <c r="ED13" s="24" t="n">
        <f aca="false">IF('Food Data'!$C$134="Fruit",100/'Food Data'!$AJ$134,0)</f>
        <v>0</v>
      </c>
      <c r="EE13" s="24" t="n">
        <f aca="false">IF('Food Data'!$C$135="Fruit",100/'Food Data'!$AJ$135,0)</f>
        <v>0</v>
      </c>
      <c r="EF13" s="24" t="n">
        <f aca="false">IF('Food Data'!$C$136="Fruit",100/'Food Data'!$AJ$136,0)</f>
        <v>0</v>
      </c>
      <c r="EG13" s="24" t="n">
        <f aca="false">IF('Food Data'!$C$137="Fruit",100/'Food Data'!$AJ$137,0)</f>
        <v>0</v>
      </c>
      <c r="EH13" s="24" t="n">
        <f aca="false">IF('Food Data'!$C$138="Fruit",100/'Food Data'!$AJ$138,0)</f>
        <v>0</v>
      </c>
      <c r="EI13" s="24" t="n">
        <f aca="false">IF('Food Data'!$C$139="Fruit",100/'Food Data'!$AJ$139,0)</f>
        <v>0</v>
      </c>
      <c r="EJ13" s="24" t="n">
        <f aca="false">IF('Food Data'!$C$140="Fruit",100/'Food Data'!$AJ$140,0)</f>
        <v>0</v>
      </c>
      <c r="EK13" s="24" t="n">
        <f aca="false">IF('Food Data'!$C$141="Fruit",100/'Food Data'!$AJ$141,0)</f>
        <v>0</v>
      </c>
      <c r="EL13" s="24" t="n">
        <f aca="false">IF('Food Data'!$C$142="Fruit",100/'Food Data'!$AJ$142,0)</f>
        <v>0</v>
      </c>
      <c r="EM13" s="24" t="n">
        <f aca="false">IF('Food Data'!$C$143="Fruit",100/'Food Data'!$AJ$143,0)</f>
        <v>0</v>
      </c>
      <c r="EN13" s="24" t="n">
        <f aca="false">IF('Food Data'!$C$144="Fruit",100/'Food Data'!$AJ$144,0)</f>
        <v>0</v>
      </c>
      <c r="EO13" s="24" t="n">
        <f aca="false">IF('Food Data'!$C$145="Fruit",100/'Food Data'!$AJ$145,0)</f>
        <v>0</v>
      </c>
      <c r="EP13" s="24" t="n">
        <f aca="false">IF('Food Data'!$C$146="Fruit",100/'Food Data'!$AJ$146,0)</f>
        <v>0</v>
      </c>
      <c r="EQ13" s="24" t="n">
        <f aca="false">IF('Food Data'!$C$147="Fruit",100/'Food Data'!$AJ$147,0)</f>
        <v>0</v>
      </c>
      <c r="ER13" s="24" t="n">
        <f aca="false">IF('Food Data'!$C$148="Fruit",100/'Food Data'!$AJ$148,0)</f>
        <v>0</v>
      </c>
      <c r="ES13" s="24" t="n">
        <f aca="false">IF('Food Data'!$C$149="Fruit",100/'Food Data'!$AJ$149,0)</f>
        <v>0</v>
      </c>
      <c r="ET13" s="24" t="n">
        <f aca="false">IF('Food Data'!$C$150="Fruit",100/'Food Data'!$AJ$150,0)</f>
        <v>0</v>
      </c>
      <c r="EU13" s="24" t="n">
        <f aca="false">IF('Food Data'!$C$151="Fruit",100/'Food Data'!$AJ$151,0)</f>
        <v>0</v>
      </c>
    </row>
    <row r="14" customFormat="false" ht="15" hidden="false" customHeight="false" outlineLevel="0" collapsed="false">
      <c r="A14" s="4" t="s">
        <v>1113</v>
      </c>
      <c r="B14" s="75" t="s">
        <v>1110</v>
      </c>
      <c r="C14" s="78" t="n">
        <v>3</v>
      </c>
      <c r="F14" s="24" t="n">
        <f aca="false">IF('Food Data'!$AK$6="Beans &amp; lentils",100/'Food Data'!$N$6,0)</f>
        <v>0</v>
      </c>
      <c r="G14" s="24" t="n">
        <f aca="false">IF('Food Data'!$AK$7="Beans &amp; lentils",100/'Food Data'!$N$7,0)</f>
        <v>0</v>
      </c>
      <c r="H14" s="24" t="n">
        <f aca="false">IF('Food Data'!$AK$8="Beans &amp; lentils",100/'Food Data'!$N$8,0)</f>
        <v>0</v>
      </c>
      <c r="I14" s="24" t="n">
        <f aca="false">IF('Food Data'!$AK$9="Beans &amp; lentils",100/'Food Data'!$N$9,0)</f>
        <v>0</v>
      </c>
      <c r="J14" s="24" t="n">
        <f aca="false">IF('Food Data'!$AK$10="Beans &amp; lentils",100/'Food Data'!$N$10,0)</f>
        <v>0</v>
      </c>
      <c r="K14" s="24" t="n">
        <f aca="false">IF('Food Data'!$AK$11="Beans &amp; lentils",100/'Food Data'!$N$11,0)</f>
        <v>0</v>
      </c>
      <c r="L14" s="24" t="n">
        <f aca="false">IF('Food Data'!$AK$12="Beans &amp; lentils",100/'Food Data'!$N$12,0)</f>
        <v>0</v>
      </c>
      <c r="M14" s="24" t="n">
        <f aca="false">IF('Food Data'!$AK$13="Beans &amp; lentils",100/'Food Data'!$N$13,0)</f>
        <v>0</v>
      </c>
      <c r="N14" s="24" t="n">
        <f aca="false">IF('Food Data'!$AK$14="Beans &amp; lentils",100/'Food Data'!$N$14,0)</f>
        <v>0</v>
      </c>
      <c r="O14" s="24" t="n">
        <f aca="false">IF('Food Data'!$AK$15="Beans &amp; lentils",100/'Food Data'!$N$15,0)</f>
        <v>0</v>
      </c>
      <c r="P14" s="24" t="n">
        <f aca="false">IF('Food Data'!$AK$16="Beans &amp; lentils",100/'Food Data'!$N$16,0)</f>
        <v>0</v>
      </c>
      <c r="Q14" s="24" t="n">
        <f aca="false">IF('Food Data'!$AK$17="Beans &amp; lentils",100/'Food Data'!$N$17,0)</f>
        <v>0</v>
      </c>
      <c r="R14" s="24" t="n">
        <f aca="false">IF('Food Data'!$AK$18="Beans &amp; lentils",100/'Food Data'!$N$18,0)</f>
        <v>0</v>
      </c>
      <c r="S14" s="24" t="n">
        <f aca="false">IF('Food Data'!$AK$19="Beans &amp; lentils",100/'Food Data'!$N$19,0)</f>
        <v>0</v>
      </c>
      <c r="T14" s="24" t="n">
        <f aca="false">IF('Food Data'!$AK$20="Beans &amp; lentils",100/'Food Data'!$N$20,0)</f>
        <v>0</v>
      </c>
      <c r="U14" s="24" t="n">
        <f aca="false">IF('Food Data'!$AK$21="Beans &amp; lentils",100/'Food Data'!$N$21,0)</f>
        <v>0</v>
      </c>
      <c r="V14" s="24" t="n">
        <f aca="false">IF('Food Data'!$AK$22="Beans &amp; lentils",100/'Food Data'!$N$22,0)</f>
        <v>0</v>
      </c>
      <c r="W14" s="24" t="n">
        <f aca="false">IF('Food Data'!$AK$23="Beans &amp; lentils",100/'Food Data'!$N$23,0)</f>
        <v>0</v>
      </c>
      <c r="X14" s="24" t="n">
        <f aca="false">IF('Food Data'!$AK$24="Beans &amp; lentils",100/'Food Data'!$N$24,0)</f>
        <v>0</v>
      </c>
      <c r="Y14" s="24" t="n">
        <f aca="false">IF('Food Data'!$AK$25="Beans &amp; lentils",100/'Food Data'!$N$25,0)</f>
        <v>0.833333333333333</v>
      </c>
      <c r="Z14" s="24" t="n">
        <f aca="false">IF('Food Data'!$AK$26="Beans &amp; lentils",100/'Food Data'!$N$26,0)</f>
        <v>2.08333333333333</v>
      </c>
      <c r="AA14" s="24" t="n">
        <f aca="false">IF('Food Data'!$AK$27="Beans &amp; lentils",100/'Food Data'!$N$27,0)</f>
        <v>0.833333333333333</v>
      </c>
      <c r="AB14" s="24" t="n">
        <f aca="false">IF('Food Data'!$AK$28="Beans &amp; lentils",100/'Food Data'!$N$28,0)</f>
        <v>2.08333333333333</v>
      </c>
      <c r="AC14" s="24" t="n">
        <f aca="false">IF('Food Data'!$AK$29="Beans &amp; lentils",100/'Food Data'!$N$29,0)</f>
        <v>0.833333333333333</v>
      </c>
      <c r="AD14" s="24" t="n">
        <f aca="false">IF('Food Data'!$AK$30="Beans &amp; lentils",100/'Food Data'!$N$30,0)</f>
        <v>0.833333333333333</v>
      </c>
      <c r="AE14" s="24" t="n">
        <f aca="false">IF('Food Data'!$AK$31="Beans &amp; lentils",100/'Food Data'!$N$31,0)</f>
        <v>2.08333333333333</v>
      </c>
      <c r="AF14" s="24" t="n">
        <f aca="false">IF('Food Data'!$AK$32="Beans &amp; lentils",100/'Food Data'!$N$32,0)</f>
        <v>0.833333333333333</v>
      </c>
      <c r="AG14" s="24" t="n">
        <f aca="false">IF('Food Data'!$AK$33="Beans &amp; lentils",100/'Food Data'!$N$33,0)</f>
        <v>2.08333333333333</v>
      </c>
      <c r="AH14" s="24" t="n">
        <f aca="false">IF('Food Data'!$AK$34="Beans &amp; lentils",100/'Food Data'!$N$34,0)</f>
        <v>2.08333333333333</v>
      </c>
      <c r="AI14" s="24" t="n">
        <f aca="false">IF('Food Data'!$AK$35="Beans &amp; lentils",100/'Food Data'!$N$35,0)</f>
        <v>2.08333333333333</v>
      </c>
      <c r="AJ14" s="24" t="n">
        <f aca="false">IF('Food Data'!$AK$36="Beans &amp; lentils",100/'Food Data'!$N$36,0)</f>
        <v>0.833333333333333</v>
      </c>
      <c r="AK14" s="24" t="n">
        <f aca="false">IF('Food Data'!$AK$37="Beans &amp; lentils",100/'Food Data'!$N$37,0)</f>
        <v>2.08333333333333</v>
      </c>
      <c r="AL14" s="24" t="n">
        <f aca="false">IF('Food Data'!$AK$38="Beans &amp; lentils",100/'Food Data'!$N$38,0)</f>
        <v>0</v>
      </c>
      <c r="AM14" s="24" t="n">
        <f aca="false">IF('Food Data'!$AK$39="Beans &amp; lentils",100/'Food Data'!$N$39,0)</f>
        <v>0.833333333333333</v>
      </c>
      <c r="AN14" s="24" t="n">
        <f aca="false">IF('Food Data'!$AK$40="Beans &amp; lentils",100/'Food Data'!$N$40,0)</f>
        <v>2.08333333333333</v>
      </c>
      <c r="AO14" s="24" t="n">
        <f aca="false">IF('Food Data'!$AK$41="Beans &amp; lentils",100/'Food Data'!$N$41,0)</f>
        <v>0</v>
      </c>
      <c r="AP14" s="24" t="n">
        <f aca="false">IF('Food Data'!$AK$42="Beans &amp; lentils",100/'Food Data'!$N$42,0)</f>
        <v>0</v>
      </c>
      <c r="AQ14" s="24" t="n">
        <f aca="false">IF('Food Data'!$AK$43="Beans &amp; lentils",100/'Food Data'!$N$43,0)</f>
        <v>0</v>
      </c>
      <c r="AR14" s="24" t="n">
        <f aca="false">IF('Food Data'!$AK$44="Beans &amp; lentils",100/'Food Data'!$N$44,0)</f>
        <v>0</v>
      </c>
      <c r="AS14" s="24" t="n">
        <f aca="false">IF('Food Data'!$AK$45="Beans &amp; lentils",100/'Food Data'!$N$45,0)</f>
        <v>0</v>
      </c>
      <c r="AT14" s="24" t="n">
        <f aca="false">IF('Food Data'!$AK$46="Beans &amp; lentils",100/'Food Data'!$N$46,0)</f>
        <v>0</v>
      </c>
      <c r="AU14" s="24" t="n">
        <f aca="false">IF('Food Data'!$AK$47="Beans &amp; lentils",100/'Food Data'!$N$47,0)</f>
        <v>0</v>
      </c>
      <c r="AV14" s="24" t="n">
        <f aca="false">IF('Food Data'!$AK$48="Beans &amp; lentils",100/'Food Data'!$N$48,0)</f>
        <v>0</v>
      </c>
      <c r="AW14" s="24" t="n">
        <f aca="false">IF('Food Data'!$AK$49="Beans &amp; lentils",100/'Food Data'!$N$49,0)</f>
        <v>0</v>
      </c>
      <c r="AX14" s="24" t="n">
        <f aca="false">IF('Food Data'!$AK$50="Beans &amp; lentils",100/'Food Data'!$N$50,0)</f>
        <v>0</v>
      </c>
      <c r="AY14" s="24" t="n">
        <f aca="false">IF('Food Data'!$AK$51="Beans &amp; lentils",100/'Food Data'!$N$51,0)</f>
        <v>0</v>
      </c>
      <c r="AZ14" s="24" t="n">
        <f aca="false">IF('Food Data'!$AK$52="Beans &amp; lentils",100/'Food Data'!$N$52,0)</f>
        <v>0</v>
      </c>
      <c r="BA14" s="24" t="n">
        <f aca="false">IF('Food Data'!$AK$53="Beans &amp; lentils",100/'Food Data'!$N$53,0)</f>
        <v>0</v>
      </c>
      <c r="BB14" s="24" t="n">
        <f aca="false">IF('Food Data'!$AK$54="Beans &amp; lentils",100/'Food Data'!$N$54,0)</f>
        <v>0</v>
      </c>
      <c r="BC14" s="24" t="n">
        <f aca="false">IF('Food Data'!$AK$55="Beans &amp; lentils",100/'Food Data'!$N$55,0)</f>
        <v>0</v>
      </c>
      <c r="BD14" s="24" t="n">
        <f aca="false">IF('Food Data'!$AK$56="Beans &amp; lentils",100/'Food Data'!$N$56,0)</f>
        <v>0</v>
      </c>
      <c r="BE14" s="24" t="n">
        <f aca="false">IF('Food Data'!$AK$57="Beans &amp; lentils",100/'Food Data'!$N$57,0)</f>
        <v>0</v>
      </c>
      <c r="BF14" s="24" t="n">
        <f aca="false">IF('Food Data'!$AK$58="Beans &amp; lentils",100/'Food Data'!$N$58,0)</f>
        <v>0</v>
      </c>
      <c r="BG14" s="24" t="n">
        <f aca="false">IF('Food Data'!$AK$59="Beans &amp; lentils",100/'Food Data'!$N$59,0)</f>
        <v>0</v>
      </c>
      <c r="BH14" s="24" t="n">
        <f aca="false">IF('Food Data'!$AK$60="Beans &amp; lentils",100/'Food Data'!$N$60,0)</f>
        <v>0</v>
      </c>
      <c r="BI14" s="24" t="n">
        <f aca="false">IF('Food Data'!$AK$61="Beans &amp; lentils",100/'Food Data'!$N$61,0)</f>
        <v>0</v>
      </c>
      <c r="BJ14" s="24" t="n">
        <f aca="false">IF('Food Data'!$AK$62="Beans &amp; lentils",100/'Food Data'!$N$62,0)</f>
        <v>0</v>
      </c>
      <c r="BK14" s="24" t="n">
        <f aca="false">IF('Food Data'!$AK$63="Beans &amp; lentils",100/'Food Data'!$N$63,0)</f>
        <v>0</v>
      </c>
      <c r="BL14" s="24" t="n">
        <f aca="false">IF('Food Data'!$AK$64="Beans &amp; lentils",100/'Food Data'!$N$64,0)</f>
        <v>0</v>
      </c>
      <c r="BM14" s="24" t="n">
        <f aca="false">IF('Food Data'!$AK$65="Beans &amp; lentils",100/'Food Data'!$N$65,0)</f>
        <v>0</v>
      </c>
      <c r="BN14" s="24" t="n">
        <f aca="false">IF('Food Data'!$AK$66="Beans &amp; lentils",100/'Food Data'!$N$66,0)</f>
        <v>0</v>
      </c>
      <c r="BO14" s="24" t="n">
        <f aca="false">IF('Food Data'!$AK$67="Beans &amp; lentils",100/'Food Data'!$N$67,0)</f>
        <v>0</v>
      </c>
      <c r="BP14" s="24" t="n">
        <f aca="false">IF('Food Data'!$AK$68="Beans &amp; lentils",100/'Food Data'!$N$68,0)</f>
        <v>0</v>
      </c>
      <c r="BQ14" s="24" t="n">
        <f aca="false">IF('Food Data'!$AK$69="Beans &amp; lentils",100/'Food Data'!$N$69,0)</f>
        <v>0</v>
      </c>
      <c r="BR14" s="24" t="n">
        <f aca="false">IF('Food Data'!$AK$70="Beans &amp; lentils",100/'Food Data'!$N$70,0)</f>
        <v>0</v>
      </c>
      <c r="BS14" s="24" t="n">
        <f aca="false">IF('Food Data'!$AK$71="Beans &amp; lentils",100/'Food Data'!$N$71,0)</f>
        <v>0</v>
      </c>
      <c r="BT14" s="24" t="n">
        <f aca="false">IF('Food Data'!$AK$72="Beans &amp; lentils",100/'Food Data'!$N$72,0)</f>
        <v>0</v>
      </c>
      <c r="BU14" s="24" t="n">
        <f aca="false">IF('Food Data'!$AK$73="Beans &amp; lentils",100/'Food Data'!$N$73,0)</f>
        <v>0</v>
      </c>
      <c r="BV14" s="24" t="n">
        <f aca="false">IF('Food Data'!$AK$74="Beans &amp; lentils",100/'Food Data'!$N$74,0)</f>
        <v>0</v>
      </c>
      <c r="BW14" s="24" t="n">
        <f aca="false">IF('Food Data'!$AK$75="Beans &amp; lentils",100/'Food Data'!$N$75,0)</f>
        <v>0</v>
      </c>
      <c r="BX14" s="24" t="n">
        <f aca="false">IF('Food Data'!$AK$76="Beans &amp; lentils",100/'Food Data'!$N$76,0)</f>
        <v>0</v>
      </c>
      <c r="BY14" s="24" t="n">
        <f aca="false">IF('Food Data'!$AK$77="Beans &amp; lentils",100/'Food Data'!$N$77,0)</f>
        <v>0</v>
      </c>
      <c r="BZ14" s="24" t="n">
        <f aca="false">IF('Food Data'!$AK$78="Beans &amp; lentils",100/'Food Data'!$N$78,0)</f>
        <v>0</v>
      </c>
      <c r="CA14" s="24" t="n">
        <f aca="false">IF('Food Data'!$AK$79="Beans &amp; lentils",100/'Food Data'!$N$79,0)</f>
        <v>0</v>
      </c>
      <c r="CB14" s="24" t="n">
        <f aca="false">IF('Food Data'!$AK$80="Beans &amp; lentils",100/'Food Data'!$N$80,0)</f>
        <v>0</v>
      </c>
      <c r="CC14" s="24" t="n">
        <f aca="false">IF('Food Data'!$AK$81="Beans &amp; lentils",100/'Food Data'!$N$81,0)</f>
        <v>0</v>
      </c>
      <c r="CD14" s="24" t="n">
        <f aca="false">IF('Food Data'!$AK$82="Beans &amp; lentils",100/'Food Data'!$N$82,0)</f>
        <v>0</v>
      </c>
      <c r="CE14" s="24" t="n">
        <f aca="false">IF('Food Data'!$AK$83="Beans &amp; lentils",100/'Food Data'!$N$83,0)</f>
        <v>0</v>
      </c>
      <c r="CF14" s="24" t="n">
        <f aca="false">IF('Food Data'!$AK$84="Beans &amp; lentils",100/'Food Data'!$N$84,0)</f>
        <v>0</v>
      </c>
      <c r="CG14" s="24" t="n">
        <f aca="false">IF('Food Data'!$AK$85="Beans &amp; lentils",100/'Food Data'!$N$85,0)</f>
        <v>0</v>
      </c>
      <c r="CH14" s="24" t="n">
        <f aca="false">IF('Food Data'!$AK$86="Beans &amp; lentils",100/'Food Data'!$N$86,0)</f>
        <v>0</v>
      </c>
      <c r="CI14" s="24" t="n">
        <f aca="false">IF('Food Data'!$AK$87="Beans &amp; lentils",100/'Food Data'!$N$87,0)</f>
        <v>0</v>
      </c>
      <c r="CJ14" s="24" t="n">
        <f aca="false">IF('Food Data'!$AK$88="Beans &amp; lentils",100/'Food Data'!$N$88,0)</f>
        <v>0</v>
      </c>
      <c r="CK14" s="24" t="n">
        <f aca="false">IF('Food Data'!$AK$89="Beans &amp; lentils",100/'Food Data'!$N$89,0)</f>
        <v>0</v>
      </c>
      <c r="CL14" s="24" t="n">
        <f aca="false">IF('Food Data'!$AK$90="Beans &amp; lentils",100/'Food Data'!$N$90,0)</f>
        <v>0</v>
      </c>
      <c r="CM14" s="24" t="n">
        <f aca="false">IF('Food Data'!$AK$91="Beans &amp; lentils",100/'Food Data'!$N$91,0)</f>
        <v>0</v>
      </c>
      <c r="CN14" s="24" t="n">
        <f aca="false">IF('Food Data'!$AK$92="Beans &amp; lentils",100/'Food Data'!$N$92,0)</f>
        <v>0</v>
      </c>
      <c r="CO14" s="24" t="n">
        <f aca="false">IF('Food Data'!$AK$93="Beans &amp; lentils",100/'Food Data'!$N$93,0)</f>
        <v>0</v>
      </c>
      <c r="CP14" s="24" t="n">
        <f aca="false">IF('Food Data'!$AK$94="Beans &amp; lentils",100/'Food Data'!$N$94,0)</f>
        <v>0</v>
      </c>
      <c r="CQ14" s="24" t="n">
        <f aca="false">IF('Food Data'!$AK$95="Beans &amp; lentils",100/'Food Data'!$N$95,0)</f>
        <v>0</v>
      </c>
      <c r="CR14" s="24" t="n">
        <f aca="false">IF('Food Data'!$AK$96="Beans &amp; lentils",100/'Food Data'!$N$96,0)</f>
        <v>0</v>
      </c>
      <c r="CS14" s="24" t="n">
        <f aca="false">IF('Food Data'!$AK$97="Beans &amp; lentils",100/'Food Data'!$N$97,0)</f>
        <v>0</v>
      </c>
      <c r="CT14" s="24" t="n">
        <f aca="false">IF('Food Data'!$AK$98="Beans &amp; lentils",100/'Food Data'!$N$98,0)</f>
        <v>0</v>
      </c>
      <c r="CU14" s="24" t="n">
        <f aca="false">IF('Food Data'!$AK$99="Beans &amp; lentils",100/'Food Data'!$N$99,0)</f>
        <v>0</v>
      </c>
      <c r="CV14" s="24" t="n">
        <f aca="false">IF('Food Data'!$AK$100="Beans &amp; lentils",100/'Food Data'!$N$100,0)</f>
        <v>0</v>
      </c>
      <c r="CW14" s="24" t="n">
        <f aca="false">IF('Food Data'!$AK$101="Beans &amp; lentils",100/'Food Data'!$N$101,0)</f>
        <v>0</v>
      </c>
      <c r="CX14" s="24" t="n">
        <f aca="false">IF('Food Data'!$AK$102="Beans &amp; lentils",100/'Food Data'!$N$102,0)</f>
        <v>0</v>
      </c>
      <c r="CY14" s="24" t="n">
        <f aca="false">IF('Food Data'!$AK$103="Beans &amp; lentils",100/'Food Data'!$N$103,0)</f>
        <v>0</v>
      </c>
      <c r="CZ14" s="24" t="n">
        <f aca="false">IF('Food Data'!$AK$104="Beans &amp; lentils",100/'Food Data'!$N$104,0)</f>
        <v>0</v>
      </c>
      <c r="DA14" s="24" t="n">
        <f aca="false">IF('Food Data'!$AK$105="Beans &amp; lentils",100/'Food Data'!$N$105,0)</f>
        <v>0</v>
      </c>
      <c r="DB14" s="24" t="n">
        <f aca="false">IF('Food Data'!$AK$106="Beans &amp; lentils",100/'Food Data'!$N$106,0)</f>
        <v>0</v>
      </c>
      <c r="DC14" s="24" t="n">
        <f aca="false">IF('Food Data'!$AK$107="Beans &amp; lentils",100/'Food Data'!$N$107,0)</f>
        <v>0</v>
      </c>
      <c r="DD14" s="24" t="n">
        <f aca="false">IF('Food Data'!$AK$108="Beans &amp; lentils",100/'Food Data'!$N$108,0)</f>
        <v>0</v>
      </c>
      <c r="DE14" s="24" t="n">
        <f aca="false">IF('Food Data'!$AK$109="Beans &amp; lentils",100/'Food Data'!$N$109,0)</f>
        <v>0</v>
      </c>
      <c r="DF14" s="24" t="n">
        <f aca="false">IF('Food Data'!$AK$110="Beans &amp; lentils",100/'Food Data'!$N$110,0)</f>
        <v>0</v>
      </c>
      <c r="DG14" s="24" t="n">
        <f aca="false">IF('Food Data'!$AK$111="Beans &amp; lentils",100/'Food Data'!$N$111,0)</f>
        <v>0</v>
      </c>
      <c r="DH14" s="24" t="n">
        <f aca="false">IF('Food Data'!$AK$112="Beans &amp; lentils",100/'Food Data'!$N$112,0)</f>
        <v>0</v>
      </c>
      <c r="DI14" s="24" t="n">
        <f aca="false">IF('Food Data'!$AK$113="Beans &amp; lentils",100/'Food Data'!$N$113,0)</f>
        <v>0</v>
      </c>
      <c r="DJ14" s="24" t="n">
        <f aca="false">IF('Food Data'!$AK$114="Beans &amp; lentils",100/'Food Data'!$N$114,0)</f>
        <v>0</v>
      </c>
      <c r="DK14" s="24" t="n">
        <f aca="false">IF('Food Data'!$AK$115="Beans &amp; lentils",100/'Food Data'!$N$115,0)</f>
        <v>0</v>
      </c>
      <c r="DL14" s="24" t="n">
        <f aca="false">IF('Food Data'!$AK$116="Beans &amp; lentils",100/'Food Data'!$N$116,0)</f>
        <v>0</v>
      </c>
      <c r="DM14" s="24" t="n">
        <f aca="false">IF('Food Data'!$AK$117="Beans &amp; lentils",100/'Food Data'!$N$117,0)</f>
        <v>0</v>
      </c>
      <c r="DN14" s="24" t="n">
        <f aca="false">IF('Food Data'!$AK$118="Beans &amp; lentils",100/'Food Data'!$N$118,0)</f>
        <v>0</v>
      </c>
      <c r="DO14" s="24" t="n">
        <f aca="false">IF('Food Data'!$AK$119="Beans &amp; lentils",100/'Food Data'!$N$119,0)</f>
        <v>0</v>
      </c>
      <c r="DP14" s="24" t="n">
        <f aca="false">IF('Food Data'!$AK$120="Beans &amp; lentils",100/'Food Data'!$N$120,0)</f>
        <v>0</v>
      </c>
      <c r="DQ14" s="24" t="n">
        <f aca="false">IF('Food Data'!$AK$121="Beans &amp; lentils",100/'Food Data'!$N$121,0)</f>
        <v>0</v>
      </c>
      <c r="DR14" s="24" t="n">
        <f aca="false">IF('Food Data'!$AK$122="Beans &amp; lentils",100/'Food Data'!$N$122,0)</f>
        <v>0</v>
      </c>
      <c r="DS14" s="24" t="n">
        <f aca="false">IF('Food Data'!$AK$123="Beans &amp; lentils",100/'Food Data'!$N$123,0)</f>
        <v>0</v>
      </c>
      <c r="DT14" s="24" t="n">
        <f aca="false">IF('Food Data'!$AK$124="Beans &amp; lentils",100/'Food Data'!$N$124,0)</f>
        <v>0</v>
      </c>
      <c r="DU14" s="24" t="n">
        <f aca="false">IF('Food Data'!$AK$125="Beans &amp; lentils",100/'Food Data'!$N$125,0)</f>
        <v>0</v>
      </c>
      <c r="DV14" s="24" t="n">
        <f aca="false">IF('Food Data'!$AK$126="Beans &amp; lentils",100/'Food Data'!$N$126,0)</f>
        <v>0</v>
      </c>
      <c r="DW14" s="24" t="n">
        <f aca="false">IF('Food Data'!$AK$127="Beans &amp; lentils",100/'Food Data'!$N$127,0)</f>
        <v>0</v>
      </c>
      <c r="DX14" s="24" t="n">
        <f aca="false">IF('Food Data'!$AK$128="Beans &amp; lentils",100/'Food Data'!$N$128,0)</f>
        <v>0</v>
      </c>
      <c r="DY14" s="24" t="n">
        <f aca="false">IF('Food Data'!$AK$129="Beans &amp; lentils",100/'Food Data'!$N$129,0)</f>
        <v>0</v>
      </c>
      <c r="DZ14" s="24" t="n">
        <f aca="false">IF('Food Data'!$AK$130="Beans &amp; lentils",100/'Food Data'!$N$130,0)</f>
        <v>0</v>
      </c>
      <c r="EA14" s="24" t="n">
        <f aca="false">IF('Food Data'!$AK$131="Beans &amp; lentils",100/'Food Data'!$N$131,0)</f>
        <v>0</v>
      </c>
      <c r="EB14" s="24" t="n">
        <f aca="false">IF('Food Data'!$AK$132="Beans &amp; lentils",100/'Food Data'!$N$132,0)</f>
        <v>0</v>
      </c>
      <c r="EC14" s="24" t="n">
        <f aca="false">IF('Food Data'!$AK$133="Beans &amp; lentils",100/'Food Data'!$N$133,0)</f>
        <v>0</v>
      </c>
      <c r="ED14" s="24" t="n">
        <f aca="false">IF('Food Data'!$AK$134="Beans &amp; lentils",100/'Food Data'!$N$134,0)</f>
        <v>0</v>
      </c>
      <c r="EE14" s="24" t="n">
        <f aca="false">IF('Food Data'!$AK$135="Beans &amp; lentils",100/'Food Data'!$N$135,0)</f>
        <v>0</v>
      </c>
      <c r="EF14" s="24" t="n">
        <f aca="false">IF('Food Data'!$AK$136="Beans &amp; lentils",100/'Food Data'!$N$136,0)</f>
        <v>0</v>
      </c>
      <c r="EG14" s="24" t="n">
        <f aca="false">IF('Food Data'!$AK$137="Beans &amp; lentils",100/'Food Data'!$N$137,0)</f>
        <v>0</v>
      </c>
      <c r="EH14" s="24" t="n">
        <f aca="false">IF('Food Data'!$AK$138="Beans &amp; lentils",100/'Food Data'!$N$138,0)</f>
        <v>0</v>
      </c>
      <c r="EI14" s="24" t="n">
        <f aca="false">IF('Food Data'!$AK$139="Beans &amp; lentils",100/'Food Data'!$N$139,0)</f>
        <v>0</v>
      </c>
      <c r="EJ14" s="24" t="n">
        <f aca="false">IF('Food Data'!$AK$140="Beans &amp; lentils",100/'Food Data'!$N$140,0)</f>
        <v>0</v>
      </c>
      <c r="EK14" s="24" t="n">
        <f aca="false">IF('Food Data'!$AK$141="Beans &amp; lentils",100/'Food Data'!$N$141,0)</f>
        <v>0</v>
      </c>
      <c r="EL14" s="24" t="n">
        <f aca="false">IF('Food Data'!$AK$142="Beans &amp; lentils",100/'Food Data'!$N$142,0)</f>
        <v>0</v>
      </c>
      <c r="EM14" s="24" t="n">
        <f aca="false">IF('Food Data'!$AK$143="Beans &amp; lentils",100/'Food Data'!$N$143,0)</f>
        <v>0</v>
      </c>
      <c r="EN14" s="24" t="n">
        <f aca="false">IF('Food Data'!$AK$144="Beans &amp; lentils",100/'Food Data'!$N$144,0)</f>
        <v>0</v>
      </c>
      <c r="EO14" s="24" t="n">
        <f aca="false">IF('Food Data'!$AK$145="Beans &amp; lentils",100/'Food Data'!$N$145,0)</f>
        <v>0</v>
      </c>
      <c r="EP14" s="24" t="n">
        <f aca="false">IF('Food Data'!$AK$146="Beans &amp; lentils",100/'Food Data'!$N$146,0)</f>
        <v>0</v>
      </c>
      <c r="EQ14" s="24" t="n">
        <f aca="false">IF('Food Data'!$AK$147="Beans &amp; lentils",100/'Food Data'!$N$147,0)</f>
        <v>0</v>
      </c>
      <c r="ER14" s="24" t="n">
        <f aca="false">IF('Food Data'!$AK$148="Beans &amp; lentils",100/'Food Data'!$N$148,0)</f>
        <v>0</v>
      </c>
      <c r="ES14" s="24" t="n">
        <f aca="false">IF('Food Data'!$AK$149="Beans &amp; lentils",100/'Food Data'!$N$149,0)</f>
        <v>0</v>
      </c>
      <c r="ET14" s="24" t="n">
        <f aca="false">IF('Food Data'!$AK$150="Beans &amp; lentils",100/'Food Data'!$N$150,0)</f>
        <v>0</v>
      </c>
      <c r="EU14" s="24" t="n">
        <f aca="false">IF('Food Data'!$AK$151="Beans &amp; lentils",100/'Food Data'!$N$151,0)</f>
        <v>0</v>
      </c>
    </row>
    <row r="16" customFormat="false" ht="15" hidden="false" customHeight="false" outlineLevel="0" collapsed="false">
      <c r="A16" s="62" t="s">
        <v>1114</v>
      </c>
      <c r="F16" s="88" t="n">
        <f aca="false">'Food Data'!I6</f>
        <v>0.72310405643739</v>
      </c>
      <c r="G16" s="88" t="n">
        <f aca="false">'Food Data'!I7</f>
        <v>0.397318960751797</v>
      </c>
      <c r="H16" s="88" t="n">
        <f aca="false">'Food Data'!I8</f>
        <v>0.725308641975309</v>
      </c>
      <c r="I16" s="88" t="n">
        <f aca="false">'Food Data'!I9</f>
        <v>1.31613756613757</v>
      </c>
      <c r="J16" s="88" t="n">
        <f aca="false">'Food Data'!I10</f>
        <v>1.22574955908289</v>
      </c>
      <c r="K16" s="88" t="n">
        <f aca="false">'Food Data'!I11</f>
        <v>0.669156551509493</v>
      </c>
      <c r="L16" s="88" t="n">
        <f aca="false">'Food Data'!I12</f>
        <v>0.934744268077602</v>
      </c>
      <c r="M16" s="88" t="n">
        <f aca="false">'Food Data'!I13</f>
        <v>1.88117283950617</v>
      </c>
      <c r="N16" s="88" t="n">
        <f aca="false">'Food Data'!I14</f>
        <v>1.41754850088183</v>
      </c>
      <c r="O16" s="88" t="n">
        <f aca="false">'Food Data'!I15</f>
        <v>1.73500881834215</v>
      </c>
      <c r="P16" s="88" t="n">
        <f aca="false">'Food Data'!I16</f>
        <v>1.09567901234568</v>
      </c>
      <c r="Q16" s="88" t="n">
        <f aca="false">'Food Data'!I17</f>
        <v>0.919312169312169</v>
      </c>
      <c r="R16" s="88" t="n">
        <f aca="false">'Food Data'!I18</f>
        <v>2.16887125220459</v>
      </c>
      <c r="S16" s="88" t="n">
        <f aca="false">'Food Data'!I19</f>
        <v>2.94096256295569</v>
      </c>
      <c r="T16" s="88" t="n">
        <f aca="false">'Food Data'!I20</f>
        <v>0.857579303752803</v>
      </c>
      <c r="U16" s="88" t="n">
        <f aca="false">'Food Data'!I21</f>
        <v>2.418430335097</v>
      </c>
      <c r="V16" s="88" t="n">
        <f aca="false">'Food Data'!I22</f>
        <v>1.75925925925926</v>
      </c>
      <c r="W16" s="88" t="n">
        <f aca="false">'Food Data'!I23</f>
        <v>0.977733686067019</v>
      </c>
      <c r="X16" s="88" t="n">
        <f aca="false">'Food Data'!I24</f>
        <v>0.278340755753487</v>
      </c>
      <c r="Y16" s="88" t="n">
        <f aca="false">'Food Data'!I25</f>
        <v>0.216368767638758</v>
      </c>
      <c r="Z16" s="88" t="n">
        <f aca="false">'Food Data'!I26</f>
        <v>0.394620811287478</v>
      </c>
      <c r="AA16" s="88" t="n">
        <f aca="false">'Food Data'!I27</f>
        <v>0.345679012345679</v>
      </c>
      <c r="AB16" s="88" t="n">
        <f aca="false">'Food Data'!I28</f>
        <v>0.505731922398589</v>
      </c>
      <c r="AC16" s="88" t="n">
        <f aca="false">'Food Data'!I29</f>
        <v>0.209376422394174</v>
      </c>
      <c r="AD16" s="88" t="n">
        <f aca="false">'Food Data'!I30</f>
        <v>0.283950617283951</v>
      </c>
      <c r="AE16" s="88" t="n">
        <f aca="false">'Food Data'!I31</f>
        <v>0.445767195767196</v>
      </c>
      <c r="AF16" s="88" t="n">
        <f aca="false">'Food Data'!I32</f>
        <v>0.291887125220459</v>
      </c>
      <c r="AG16" s="88" t="n">
        <f aca="false">'Food Data'!I33</f>
        <v>0.475088183421517</v>
      </c>
      <c r="AH16" s="88" t="n">
        <f aca="false">'Food Data'!I34</f>
        <v>0.423280423280423</v>
      </c>
      <c r="AI16" s="88" t="n">
        <f aca="false">'Food Data'!I35</f>
        <v>0.631613756613757</v>
      </c>
      <c r="AJ16" s="88" t="n">
        <f aca="false">'Food Data'!I36</f>
        <v>0.30026455026455</v>
      </c>
      <c r="AK16" s="88" t="n">
        <f aca="false">'Food Data'!I37</f>
        <v>0.405864197530864</v>
      </c>
      <c r="AL16" s="88" t="n">
        <f aca="false">'Food Data'!I38</f>
        <v>0.350970017636684</v>
      </c>
      <c r="AM16" s="88" t="n">
        <f aca="false">'Food Data'!I39</f>
        <v>0.294753086419753</v>
      </c>
      <c r="AN16" s="88" t="n">
        <f aca="false">'Food Data'!I40</f>
        <v>0.218253968253968</v>
      </c>
      <c r="AO16" s="88" t="n">
        <f aca="false">'Food Data'!I41</f>
        <v>0.748299319727891</v>
      </c>
      <c r="AP16" s="88" t="n">
        <f aca="false">'Food Data'!I42</f>
        <v>0.0847848360655738</v>
      </c>
      <c r="AQ16" s="88" t="n">
        <f aca="false">'Food Data'!I43</f>
        <v>0.361552028218695</v>
      </c>
      <c r="AR16" s="88" t="n">
        <f aca="false">'Food Data'!I44</f>
        <v>0.235082304526749</v>
      </c>
      <c r="AS16" s="88" t="n">
        <f aca="false">'Food Data'!I45</f>
        <v>0.0891393442622951</v>
      </c>
      <c r="AT16" s="88" t="n">
        <f aca="false">'Food Data'!I46</f>
        <v>0.54673721340388</v>
      </c>
      <c r="AU16" s="88" t="n">
        <f aca="false">'Food Data'!I47</f>
        <v>0.824514991181658</v>
      </c>
      <c r="AV16" s="88" t="n">
        <f aca="false">'Food Data'!I48</f>
        <v>0.421810699588477</v>
      </c>
      <c r="AW16" s="88" t="n">
        <f aca="false">'Food Data'!I49</f>
        <v>0.96413874191652</v>
      </c>
      <c r="AX16" s="88" t="n">
        <f aca="false">'Food Data'!I50</f>
        <v>0.377425044091711</v>
      </c>
      <c r="AY16" s="88" t="n">
        <f aca="false">'Food Data'!I51</f>
        <v>0.189594356261023</v>
      </c>
      <c r="AZ16" s="88" t="n">
        <f aca="false">'Food Data'!I52</f>
        <v>0.973936899862826</v>
      </c>
      <c r="BA16" s="88" t="n">
        <f aca="false">'Food Data'!I53</f>
        <v>0.313527180783818</v>
      </c>
      <c r="BB16" s="88" t="n">
        <f aca="false">'Food Data'!I54</f>
        <v>0.436507936507937</v>
      </c>
      <c r="BC16" s="88" t="n">
        <f aca="false">'Food Data'!I55</f>
        <v>0.758377425044092</v>
      </c>
      <c r="BD16" s="88" t="n">
        <f aca="false">'Food Data'!I56</f>
        <v>0.36785084404132</v>
      </c>
      <c r="BE16" s="88" t="n">
        <f aca="false">'Food Data'!I57</f>
        <v>0.299823633156967</v>
      </c>
      <c r="BF16" s="88" t="n">
        <f aca="false">'Food Data'!I58</f>
        <v>0.268077601410935</v>
      </c>
      <c r="BG16" s="88" t="n">
        <f aca="false">'Food Data'!I59</f>
        <v>0.109347442680776</v>
      </c>
      <c r="BH16" s="88" t="n">
        <f aca="false">'Food Data'!I60</f>
        <v>0.35626102292769</v>
      </c>
      <c r="BI16" s="88" t="n">
        <f aca="false">'Food Data'!I61</f>
        <v>0.383597883597884</v>
      </c>
      <c r="BJ16" s="88" t="n">
        <f aca="false">'Food Data'!I62</f>
        <v>0.637345679012346</v>
      </c>
      <c r="BK16" s="88" t="n">
        <f aca="false">'Food Data'!I63</f>
        <v>0.296516754850088</v>
      </c>
      <c r="BL16" s="88" t="n">
        <f aca="false">'Food Data'!I64</f>
        <v>0.288065843621399</v>
      </c>
      <c r="BM16" s="88" t="n">
        <f aca="false">'Food Data'!I65</f>
        <v>0.566798941798942</v>
      </c>
      <c r="BN16" s="88" t="n">
        <f aca="false">'Food Data'!I66</f>
        <v>0.345899470899471</v>
      </c>
      <c r="BO16" s="88" t="n">
        <f aca="false">'Food Data'!I67</f>
        <v>0.492724867724868</v>
      </c>
      <c r="BP16" s="88" t="n">
        <f aca="false">'Food Data'!I68</f>
        <v>0.285714285714286</v>
      </c>
      <c r="BQ16" s="88" t="n">
        <f aca="false">'Food Data'!I69</f>
        <v>0.369472205891959</v>
      </c>
      <c r="BR16" s="88" t="n">
        <f aca="false">'Food Data'!I70</f>
        <v>0.320073159579332</v>
      </c>
      <c r="BS16" s="88" t="n">
        <f aca="false">'Food Data'!I71</f>
        <v>0.293871252204586</v>
      </c>
      <c r="BT16" s="88" t="n">
        <f aca="false">'Food Data'!I72</f>
        <v>0.172233245149912</v>
      </c>
      <c r="BU16" s="88" t="n">
        <f aca="false">'Food Data'!I73</f>
        <v>1.66469172545561</v>
      </c>
      <c r="BV16" s="88" t="n">
        <f aca="false">'Food Data'!I74</f>
        <v>0.585684891240447</v>
      </c>
      <c r="BW16" s="88" t="n">
        <f aca="false">'Food Data'!I75</f>
        <v>0.363108206245461</v>
      </c>
      <c r="BX16" s="88" t="n">
        <f aca="false">'Food Data'!I76</f>
        <v>0.930239245456637</v>
      </c>
      <c r="BY16" s="88" t="n">
        <f aca="false">'Food Data'!I77</f>
        <v>0.48157310062072</v>
      </c>
      <c r="BZ16" s="88" t="n">
        <f aca="false">'Food Data'!I78</f>
        <v>1.40123456790123</v>
      </c>
      <c r="CA16" s="88" t="n">
        <f aca="false">'Food Data'!I79</f>
        <v>2.05467372134039</v>
      </c>
      <c r="CB16" s="88" t="n">
        <f aca="false">'Food Data'!I80</f>
        <v>1.2526455026455</v>
      </c>
      <c r="CC16" s="88" t="n">
        <f aca="false">'Food Data'!I81</f>
        <v>0.64484126984127</v>
      </c>
      <c r="CD16" s="88" t="n">
        <f aca="false">'Food Data'!I82</f>
        <v>0.71604938271605</v>
      </c>
      <c r="CE16" s="88" t="n">
        <f aca="false">'Food Data'!I83</f>
        <v>0.429434891240447</v>
      </c>
      <c r="CF16" s="88" t="n">
        <f aca="false">'Food Data'!I84</f>
        <v>0.635495744191396</v>
      </c>
      <c r="CG16" s="88" t="n">
        <f aca="false">'Food Data'!I85</f>
        <v>0.871971595655806</v>
      </c>
      <c r="CH16" s="88" t="n">
        <f aca="false">'Food Data'!I86</f>
        <v>0.480351243262041</v>
      </c>
      <c r="CI16" s="88" t="n">
        <f aca="false">'Food Data'!I87</f>
        <v>0.635938135938136</v>
      </c>
      <c r="CJ16" s="88" t="n">
        <f aca="false">'Food Data'!I88</f>
        <v>0.244670991658943</v>
      </c>
      <c r="CK16" s="88" t="n">
        <f aca="false">'Food Data'!I89</f>
        <v>0.483874105197635</v>
      </c>
      <c r="CL16" s="88" t="n">
        <f aca="false">'Food Data'!I90</f>
        <v>0.49247596290607</v>
      </c>
      <c r="CM16" s="88" t="n">
        <f aca="false">'Food Data'!I91</f>
        <v>0.598453115814227</v>
      </c>
      <c r="CN16" s="88" t="n">
        <f aca="false">'Food Data'!I92</f>
        <v>0.604938271604938</v>
      </c>
      <c r="CO16" s="88" t="n">
        <f aca="false">'Food Data'!I93</f>
        <v>0.497991377621007</v>
      </c>
      <c r="CP16" s="88" t="n">
        <f aca="false">'Food Data'!I94</f>
        <v>0.56657848324515</v>
      </c>
      <c r="CQ16" s="88" t="n">
        <f aca="false">'Food Data'!I95</f>
        <v>0.306480616938133</v>
      </c>
      <c r="CR16" s="88" t="n">
        <f aca="false">'Food Data'!I96</f>
        <v>0.418650793650794</v>
      </c>
      <c r="CS16" s="88" t="n">
        <f aca="false">'Food Data'!I97</f>
        <v>0.661141130999287</v>
      </c>
      <c r="CT16" s="88" t="n">
        <f aca="false">'Food Data'!I98</f>
        <v>1.64351851851852</v>
      </c>
      <c r="CU16" s="88" t="n">
        <f aca="false">'Food Data'!I99</f>
        <v>0.772486772486772</v>
      </c>
      <c r="CV16" s="88" t="n">
        <f aca="false">'Food Data'!I100</f>
        <v>1.94049456202234</v>
      </c>
      <c r="CW16" s="88" t="n">
        <f aca="false">'Food Data'!I101</f>
        <v>0.696555217831814</v>
      </c>
      <c r="CX16" s="88" t="n">
        <f aca="false">'Food Data'!I102</f>
        <v>0.779541446208113</v>
      </c>
      <c r="CY16" s="88" t="n">
        <f aca="false">'Food Data'!I103</f>
        <v>0.182302265635599</v>
      </c>
      <c r="CZ16" s="88" t="n">
        <f aca="false">'Food Data'!I104</f>
        <v>0.38174139051332</v>
      </c>
      <c r="DA16" s="88" t="n">
        <f aca="false">'Food Data'!I105</f>
        <v>1.41675817776447</v>
      </c>
      <c r="DB16" s="88" t="n">
        <f aca="false">'Food Data'!I106</f>
        <v>0.341931216931217</v>
      </c>
      <c r="DC16" s="88" t="n">
        <f aca="false">'Food Data'!I107</f>
        <v>0.305996472663139</v>
      </c>
      <c r="DD16" s="88" t="n">
        <f aca="false">'Food Data'!I108</f>
        <v>0.340975896531452</v>
      </c>
      <c r="DE16" s="88" t="n">
        <f aca="false">'Food Data'!I109</f>
        <v>0.648589065255732</v>
      </c>
      <c r="DF16" s="88" t="n">
        <f aca="false">'Food Data'!I110</f>
        <v>0.353783488704124</v>
      </c>
      <c r="DG16" s="88" t="n">
        <f aca="false">'Food Data'!I111</f>
        <v>0.241402116402116</v>
      </c>
      <c r="DH16" s="88" t="n">
        <f aca="false">'Food Data'!I112</f>
        <v>0.368441358024691</v>
      </c>
      <c r="DI16" s="88" t="n">
        <f aca="false">'Food Data'!I113</f>
        <v>0.279908051443632</v>
      </c>
      <c r="DJ16" s="88" t="n">
        <f aca="false">'Food Data'!I114</f>
        <v>0.32120811287478</v>
      </c>
      <c r="DK16" s="88" t="n">
        <f aca="false">'Food Data'!I115</f>
        <v>0.458112874779541</v>
      </c>
      <c r="DL16" s="88" t="n">
        <f aca="false">'Food Data'!I116</f>
        <v>0.611331569664903</v>
      </c>
      <c r="DM16" s="88" t="n">
        <f aca="false">'Food Data'!I117</f>
        <v>0.34877038622357</v>
      </c>
      <c r="DN16" s="88" t="n">
        <f aca="false">'Food Data'!I118</f>
        <v>1.01836381076147</v>
      </c>
      <c r="DO16" s="88" t="n">
        <f aca="false">'Food Data'!I119</f>
        <v>0.612433862433862</v>
      </c>
      <c r="DP16" s="88" t="n">
        <f aca="false">'Food Data'!I120</f>
        <v>0.263413880252368</v>
      </c>
      <c r="DQ16" s="88" t="n">
        <f aca="false">'Food Data'!I121</f>
        <v>0.204329846752615</v>
      </c>
      <c r="DR16" s="88" t="n">
        <f aca="false">'Food Data'!I122</f>
        <v>0.488756613756614</v>
      </c>
      <c r="DS16" s="88" t="n">
        <f aca="false">'Food Data'!I123</f>
        <v>0.723296888141295</v>
      </c>
      <c r="DT16" s="88" t="n">
        <f aca="false">'Food Data'!I124</f>
        <v>0.379652835793187</v>
      </c>
      <c r="DU16" s="88" t="n">
        <f aca="false">'Food Data'!I125</f>
        <v>0.512786596119929</v>
      </c>
      <c r="DV16" s="88" t="n">
        <f aca="false">'Food Data'!I126</f>
        <v>0.284391534391534</v>
      </c>
      <c r="DW16" s="88" t="n">
        <f aca="false">'Food Data'!I127</f>
        <v>1.00115456644666</v>
      </c>
      <c r="DX16" s="88" t="n">
        <f aca="false">'Food Data'!I128</f>
        <v>0.65652557319224</v>
      </c>
      <c r="DY16" s="88" t="n">
        <f aca="false">'Food Data'!I129</f>
        <v>0.596560846560847</v>
      </c>
      <c r="DZ16" s="88" t="n">
        <f aca="false">'Food Data'!I130</f>
        <v>0.241687896008884</v>
      </c>
      <c r="EA16" s="88" t="n">
        <f aca="false">'Food Data'!I131</f>
        <v>0.506172839506173</v>
      </c>
      <c r="EB16" s="88" t="n">
        <f aca="false">'Food Data'!I132</f>
        <v>0.480844601214972</v>
      </c>
      <c r="EC16" s="88" t="n">
        <f aca="false">'Food Data'!I133</f>
        <v>0.486084225921624</v>
      </c>
      <c r="ED16" s="88" t="n">
        <f aca="false">'Food Data'!I134</f>
        <v>0.776764606551841</v>
      </c>
      <c r="EE16" s="88" t="n">
        <f aca="false">'Food Data'!I135</f>
        <v>0.396604938271605</v>
      </c>
      <c r="EF16" s="88" t="n">
        <f aca="false">'Food Data'!I136</f>
        <v>0.40652557319224</v>
      </c>
      <c r="EG16" s="88" t="n">
        <f aca="false">'Food Data'!I137</f>
        <v>0.694885361552028</v>
      </c>
      <c r="EH16" s="88" t="n">
        <f aca="false">'Food Data'!I138</f>
        <v>0.555114638447972</v>
      </c>
      <c r="EI16" s="88" t="n">
        <f aca="false">'Food Data'!I139</f>
        <v>0.293871252204586</v>
      </c>
      <c r="EJ16" s="88" t="n">
        <f aca="false">'Food Data'!I140</f>
        <v>0.205922824970444</v>
      </c>
      <c r="EK16" s="88" t="n">
        <f aca="false">'Food Data'!I141</f>
        <v>0.65652557319224</v>
      </c>
      <c r="EL16" s="88" t="n">
        <f aca="false">'Food Data'!I142</f>
        <v>0.403323122621368</v>
      </c>
      <c r="EM16" s="88" t="n">
        <f aca="false">'Food Data'!I143</f>
        <v>0.656966490299824</v>
      </c>
      <c r="EN16" s="88" t="n">
        <f aca="false">'Food Data'!I144</f>
        <v>0.311926605504587</v>
      </c>
      <c r="EO16" s="88" t="n">
        <f aca="false">'Food Data'!I145</f>
        <v>1.29774872912128</v>
      </c>
      <c r="EP16" s="88" t="n">
        <f aca="false">'Food Data'!I146</f>
        <v>2.08994708994709</v>
      </c>
      <c r="EQ16" s="88" t="n">
        <f aca="false">'Food Data'!I147</f>
        <v>0.639658848614072</v>
      </c>
      <c r="ER16" s="88" t="n">
        <f aca="false">'Food Data'!I148</f>
        <v>0.819538670284939</v>
      </c>
      <c r="ES16" s="88" t="n">
        <f aca="false">'Food Data'!I149</f>
        <v>0.957580848383032</v>
      </c>
      <c r="ET16" s="88" t="n">
        <f aca="false">'Food Data'!I150</f>
        <v>0.824514991181658</v>
      </c>
      <c r="EU16" s="88" t="n">
        <f aca="false">'Food Data'!I151</f>
        <v>0.393939393939394</v>
      </c>
    </row>
    <row r="17" customFormat="false" ht="15" hidden="false" customHeight="false" outlineLevel="0" collapsed="false">
      <c r="A17" s="62" t="s">
        <v>1115</v>
      </c>
      <c r="F17" s="88" t="n">
        <f aca="false">'Diet Comparison'!C6</f>
        <v>0</v>
      </c>
      <c r="G17" s="88" t="n">
        <f aca="false">'Diet Comparison'!C7</f>
        <v>0.011160812</v>
      </c>
      <c r="H17" s="88" t="n">
        <f aca="false">'Diet Comparison'!C8</f>
        <v>0</v>
      </c>
      <c r="I17" s="88" t="n">
        <f aca="false">'Diet Comparison'!C9</f>
        <v>0</v>
      </c>
      <c r="J17" s="88" t="n">
        <f aca="false">'Diet Comparison'!C10</f>
        <v>0</v>
      </c>
      <c r="K17" s="88" t="n">
        <f aca="false">'Diet Comparison'!C11</f>
        <v>0</v>
      </c>
      <c r="L17" s="88" t="n">
        <f aca="false">'Diet Comparison'!C12</f>
        <v>0</v>
      </c>
      <c r="M17" s="88" t="n">
        <f aca="false">'Diet Comparison'!C13</f>
        <v>0</v>
      </c>
      <c r="N17" s="88" t="n">
        <f aca="false">'Diet Comparison'!C14</f>
        <v>0</v>
      </c>
      <c r="O17" s="88" t="n">
        <f aca="false">'Diet Comparison'!C15</f>
        <v>0</v>
      </c>
      <c r="P17" s="88" t="n">
        <f aca="false">'Diet Comparison'!C16</f>
        <v>0</v>
      </c>
      <c r="Q17" s="88" t="n">
        <f aca="false">'Diet Comparison'!C17</f>
        <v>0</v>
      </c>
      <c r="R17" s="88" t="n">
        <f aca="false">'Diet Comparison'!C18</f>
        <v>0</v>
      </c>
      <c r="S17" s="88" t="n">
        <f aca="false">'Diet Comparison'!C19</f>
        <v>0</v>
      </c>
      <c r="T17" s="88" t="n">
        <f aca="false">'Diet Comparison'!C20</f>
        <v>0</v>
      </c>
      <c r="U17" s="88" t="n">
        <f aca="false">'Diet Comparison'!C21</f>
        <v>0</v>
      </c>
      <c r="V17" s="88" t="n">
        <f aca="false">'Diet Comparison'!C22</f>
        <v>0</v>
      </c>
      <c r="W17" s="88" t="n">
        <f aca="false">'Diet Comparison'!C23</f>
        <v>0</v>
      </c>
      <c r="X17" s="88" t="n">
        <f aca="false">'Diet Comparison'!C24</f>
        <v>1.5</v>
      </c>
      <c r="Y17" s="88" t="n">
        <f aca="false">'Diet Comparison'!C25</f>
        <v>0</v>
      </c>
      <c r="Z17" s="88" t="n">
        <f aca="false">'Diet Comparison'!C26</f>
        <v>0</v>
      </c>
      <c r="AA17" s="88" t="n">
        <f aca="false">'Diet Comparison'!C27</f>
        <v>0</v>
      </c>
      <c r="AB17" s="88" t="n">
        <f aca="false">'Diet Comparison'!C28</f>
        <v>0</v>
      </c>
      <c r="AC17" s="88" t="n">
        <f aca="false">'Diet Comparison'!C29</f>
        <v>0</v>
      </c>
      <c r="AD17" s="88" t="n">
        <f aca="false">'Diet Comparison'!C30</f>
        <v>0</v>
      </c>
      <c r="AE17" s="88" t="n">
        <f aca="false">'Diet Comparison'!C31</f>
        <v>0</v>
      </c>
      <c r="AF17" s="88" t="n">
        <f aca="false">'Diet Comparison'!C32</f>
        <v>0</v>
      </c>
      <c r="AG17" s="88" t="n">
        <f aca="false">'Diet Comparison'!C33</f>
        <v>0</v>
      </c>
      <c r="AH17" s="88" t="n">
        <f aca="false">'Diet Comparison'!C34</f>
        <v>0</v>
      </c>
      <c r="AI17" s="88" t="n">
        <f aca="false">'Diet Comparison'!C35</f>
        <v>0</v>
      </c>
      <c r="AJ17" s="88" t="n">
        <f aca="false">'Diet Comparison'!C36</f>
        <v>0</v>
      </c>
      <c r="AK17" s="88" t="n">
        <f aca="false">'Diet Comparison'!C37</f>
        <v>0</v>
      </c>
      <c r="AL17" s="88" t="n">
        <f aca="false">'Diet Comparison'!C38</f>
        <v>0.64</v>
      </c>
      <c r="AM17" s="88" t="n">
        <f aca="false">'Diet Comparison'!C39</f>
        <v>0</v>
      </c>
      <c r="AN17" s="88" t="n">
        <f aca="false">'Diet Comparison'!C40</f>
        <v>1.44</v>
      </c>
      <c r="AO17" s="88" t="n">
        <f aca="false">'Diet Comparison'!C41</f>
        <v>0</v>
      </c>
      <c r="AP17" s="88" t="n">
        <f aca="false">'Diet Comparison'!C42</f>
        <v>4.599080976</v>
      </c>
      <c r="AQ17" s="88" t="n">
        <f aca="false">'Diet Comparison'!C43</f>
        <v>0</v>
      </c>
      <c r="AR17" s="88" t="n">
        <f aca="false">'Diet Comparison'!C44</f>
        <v>0</v>
      </c>
      <c r="AS17" s="88" t="n">
        <f aca="false">'Diet Comparison'!C45</f>
        <v>0</v>
      </c>
      <c r="AT17" s="88" t="n">
        <f aca="false">'Diet Comparison'!C46</f>
        <v>0</v>
      </c>
      <c r="AU17" s="88" t="n">
        <f aca="false">'Diet Comparison'!C47</f>
        <v>0</v>
      </c>
      <c r="AV17" s="88" t="n">
        <f aca="false">'Diet Comparison'!C48</f>
        <v>0</v>
      </c>
      <c r="AW17" s="88" t="n">
        <f aca="false">'Diet Comparison'!C49</f>
        <v>0</v>
      </c>
      <c r="AX17" s="88" t="n">
        <f aca="false">'Diet Comparison'!C50</f>
        <v>0</v>
      </c>
      <c r="AY17" s="88" t="n">
        <f aca="false">'Diet Comparison'!C51</f>
        <v>1.511128803</v>
      </c>
      <c r="AZ17" s="88" t="n">
        <f aca="false">'Diet Comparison'!C52</f>
        <v>0</v>
      </c>
      <c r="BA17" s="88" t="n">
        <f aca="false">'Diet Comparison'!C53</f>
        <v>0</v>
      </c>
      <c r="BB17" s="88" t="n">
        <f aca="false">'Diet Comparison'!C54</f>
        <v>0</v>
      </c>
      <c r="BC17" s="88" t="n">
        <f aca="false">'Diet Comparison'!C55</f>
        <v>0</v>
      </c>
      <c r="BD17" s="88" t="n">
        <f aca="false">'Diet Comparison'!C56</f>
        <v>0</v>
      </c>
      <c r="BE17" s="88" t="n">
        <f aca="false">'Diet Comparison'!C57</f>
        <v>0.15075415</v>
      </c>
      <c r="BF17" s="88" t="n">
        <f aca="false">'Diet Comparison'!C58</f>
        <v>0</v>
      </c>
      <c r="BG17" s="88" t="n">
        <f aca="false">'Diet Comparison'!C59</f>
        <v>1.84</v>
      </c>
      <c r="BH17" s="88" t="n">
        <f aca="false">'Diet Comparison'!C60</f>
        <v>0</v>
      </c>
      <c r="BI17" s="88" t="n">
        <f aca="false">'Diet Comparison'!C61</f>
        <v>0</v>
      </c>
      <c r="BJ17" s="88" t="n">
        <f aca="false">'Diet Comparison'!C62</f>
        <v>0</v>
      </c>
      <c r="BK17" s="88" t="n">
        <f aca="false">'Diet Comparison'!C63</f>
        <v>0</v>
      </c>
      <c r="BL17" s="88" t="n">
        <f aca="false">'Diet Comparison'!C64</f>
        <v>0</v>
      </c>
      <c r="BM17" s="88" t="n">
        <f aca="false">'Diet Comparison'!C65</f>
        <v>0</v>
      </c>
      <c r="BN17" s="88" t="n">
        <f aca="false">'Diet Comparison'!C66</f>
        <v>0</v>
      </c>
      <c r="BO17" s="88" t="n">
        <f aca="false">'Diet Comparison'!C67</f>
        <v>0</v>
      </c>
      <c r="BP17" s="88" t="n">
        <f aca="false">'Diet Comparison'!C68</f>
        <v>0</v>
      </c>
      <c r="BQ17" s="88" t="n">
        <f aca="false">'Diet Comparison'!C69</f>
        <v>0</v>
      </c>
      <c r="BR17" s="88" t="n">
        <f aca="false">'Diet Comparison'!C70</f>
        <v>0</v>
      </c>
      <c r="BS17" s="88" t="n">
        <f aca="false">'Diet Comparison'!C71</f>
        <v>0</v>
      </c>
      <c r="BT17" s="88" t="n">
        <f aca="false">'Diet Comparison'!C72</f>
        <v>2.36</v>
      </c>
      <c r="BU17" s="88" t="n">
        <f aca="false">'Diet Comparison'!C73</f>
        <v>0</v>
      </c>
      <c r="BV17" s="88" t="n">
        <f aca="false">'Diet Comparison'!C74</f>
        <v>0</v>
      </c>
      <c r="BW17" s="88" t="n">
        <f aca="false">'Diet Comparison'!C75</f>
        <v>0</v>
      </c>
      <c r="BX17" s="88" t="n">
        <f aca="false">'Diet Comparison'!C76</f>
        <v>0</v>
      </c>
      <c r="BY17" s="88" t="n">
        <f aca="false">'Diet Comparison'!C77</f>
        <v>0</v>
      </c>
      <c r="BZ17" s="88" t="n">
        <f aca="false">'Diet Comparison'!C78</f>
        <v>0</v>
      </c>
      <c r="CA17" s="88" t="n">
        <f aca="false">'Diet Comparison'!C79</f>
        <v>0</v>
      </c>
      <c r="CB17" s="88" t="n">
        <f aca="false">'Diet Comparison'!C80</f>
        <v>0</v>
      </c>
      <c r="CC17" s="88" t="n">
        <f aca="false">'Diet Comparison'!C81</f>
        <v>0</v>
      </c>
      <c r="CD17" s="88" t="n">
        <f aca="false">'Diet Comparison'!C82</f>
        <v>0</v>
      </c>
      <c r="CE17" s="88" t="n">
        <f aca="false">'Diet Comparison'!C83</f>
        <v>0</v>
      </c>
      <c r="CF17" s="88" t="n">
        <f aca="false">'Diet Comparison'!C84</f>
        <v>0</v>
      </c>
      <c r="CG17" s="88" t="n">
        <f aca="false">'Diet Comparison'!C85</f>
        <v>0</v>
      </c>
      <c r="CH17" s="88" t="n">
        <f aca="false">'Diet Comparison'!C86</f>
        <v>0</v>
      </c>
      <c r="CI17" s="88" t="n">
        <f aca="false">'Diet Comparison'!C87</f>
        <v>0</v>
      </c>
      <c r="CJ17" s="88" t="n">
        <f aca="false">'Diet Comparison'!C88</f>
        <v>0</v>
      </c>
      <c r="CK17" s="88" t="n">
        <f aca="false">'Diet Comparison'!C89</f>
        <v>0</v>
      </c>
      <c r="CL17" s="88" t="n">
        <f aca="false">'Diet Comparison'!C90</f>
        <v>0</v>
      </c>
      <c r="CM17" s="88" t="n">
        <f aca="false">'Diet Comparison'!C91</f>
        <v>0</v>
      </c>
      <c r="CN17" s="88" t="n">
        <f aca="false">'Diet Comparison'!C92</f>
        <v>0</v>
      </c>
      <c r="CO17" s="88" t="n">
        <f aca="false">'Diet Comparison'!C93</f>
        <v>0</v>
      </c>
      <c r="CP17" s="88" t="n">
        <f aca="false">'Diet Comparison'!C94</f>
        <v>0</v>
      </c>
      <c r="CQ17" s="88" t="n">
        <f aca="false">'Diet Comparison'!C95</f>
        <v>0</v>
      </c>
      <c r="CR17" s="88" t="n">
        <f aca="false">'Diet Comparison'!C96</f>
        <v>0</v>
      </c>
      <c r="CS17" s="88" t="n">
        <f aca="false">'Diet Comparison'!C97</f>
        <v>0</v>
      </c>
      <c r="CT17" s="88" t="n">
        <f aca="false">'Diet Comparison'!C98</f>
        <v>0</v>
      </c>
      <c r="CU17" s="88" t="n">
        <f aca="false">'Diet Comparison'!C99</f>
        <v>0</v>
      </c>
      <c r="CV17" s="88" t="n">
        <f aca="false">'Diet Comparison'!C100</f>
        <v>0</v>
      </c>
      <c r="CW17" s="88" t="n">
        <f aca="false">'Diet Comparison'!C101</f>
        <v>0</v>
      </c>
      <c r="CX17" s="88" t="n">
        <f aca="false">'Diet Comparison'!C102</f>
        <v>0</v>
      </c>
      <c r="CY17" s="88" t="n">
        <f aca="false">'Diet Comparison'!C103</f>
        <v>0</v>
      </c>
      <c r="CZ17" s="88" t="n">
        <f aca="false">'Diet Comparison'!C104</f>
        <v>0</v>
      </c>
      <c r="DA17" s="88" t="n">
        <f aca="false">'Diet Comparison'!C105</f>
        <v>0</v>
      </c>
      <c r="DB17" s="88" t="n">
        <f aca="false">'Diet Comparison'!C106</f>
        <v>0</v>
      </c>
      <c r="DC17" s="88" t="n">
        <f aca="false">'Diet Comparison'!C107</f>
        <v>0</v>
      </c>
      <c r="DD17" s="88" t="n">
        <f aca="false">'Diet Comparison'!C108</f>
        <v>0.455</v>
      </c>
      <c r="DE17" s="88" t="n">
        <f aca="false">'Diet Comparison'!C109</f>
        <v>0</v>
      </c>
      <c r="DF17" s="88" t="n">
        <f aca="false">'Diet Comparison'!C110</f>
        <v>0</v>
      </c>
      <c r="DG17" s="88" t="n">
        <f aca="false">'Diet Comparison'!C111</f>
        <v>1.78</v>
      </c>
      <c r="DH17" s="88" t="n">
        <f aca="false">'Diet Comparison'!C112</f>
        <v>0</v>
      </c>
      <c r="DI17" s="88" t="n">
        <f aca="false">'Diet Comparison'!C113</f>
        <v>0</v>
      </c>
      <c r="DJ17" s="88" t="n">
        <f aca="false">'Diet Comparison'!C114</f>
        <v>0</v>
      </c>
      <c r="DK17" s="88" t="n">
        <f aca="false">'Diet Comparison'!C115</f>
        <v>0</v>
      </c>
      <c r="DL17" s="88" t="n">
        <f aca="false">'Diet Comparison'!C116</f>
        <v>0</v>
      </c>
      <c r="DM17" s="88" t="n">
        <f aca="false">'Diet Comparison'!C117</f>
        <v>0</v>
      </c>
      <c r="DN17" s="88" t="n">
        <f aca="false">'Diet Comparison'!C118</f>
        <v>0</v>
      </c>
      <c r="DO17" s="88" t="n">
        <f aca="false">'Diet Comparison'!C119</f>
        <v>0</v>
      </c>
      <c r="DP17" s="88" t="n">
        <f aca="false">'Diet Comparison'!C120</f>
        <v>0</v>
      </c>
      <c r="DQ17" s="88" t="n">
        <f aca="false">'Diet Comparison'!C121</f>
        <v>0</v>
      </c>
      <c r="DR17" s="88" t="n">
        <f aca="false">'Diet Comparison'!C122</f>
        <v>0</v>
      </c>
      <c r="DS17" s="88" t="n">
        <f aca="false">'Diet Comparison'!C123</f>
        <v>0</v>
      </c>
      <c r="DT17" s="88" t="n">
        <f aca="false">'Diet Comparison'!C124</f>
        <v>0</v>
      </c>
      <c r="DU17" s="88" t="n">
        <f aca="false">'Diet Comparison'!C125</f>
        <v>0</v>
      </c>
      <c r="DV17" s="88" t="n">
        <f aca="false">'Diet Comparison'!C126</f>
        <v>0</v>
      </c>
      <c r="DW17" s="88" t="n">
        <f aca="false">'Diet Comparison'!C127</f>
        <v>0</v>
      </c>
      <c r="DX17" s="88" t="n">
        <f aca="false">'Diet Comparison'!C128</f>
        <v>0</v>
      </c>
      <c r="DY17" s="88" t="n">
        <f aca="false">'Diet Comparison'!C129</f>
        <v>0</v>
      </c>
      <c r="DZ17" s="88" t="n">
        <f aca="false">'Diet Comparison'!C130</f>
        <v>0</v>
      </c>
      <c r="EA17" s="88" t="n">
        <f aca="false">'Diet Comparison'!C131</f>
        <v>0</v>
      </c>
      <c r="EB17" s="88" t="n">
        <f aca="false">'Diet Comparison'!C132</f>
        <v>0</v>
      </c>
      <c r="EC17" s="88" t="n">
        <f aca="false">'Diet Comparison'!C133</f>
        <v>0</v>
      </c>
      <c r="ED17" s="88" t="n">
        <f aca="false">'Diet Comparison'!C134</f>
        <v>0</v>
      </c>
      <c r="EE17" s="88" t="n">
        <f aca="false">'Diet Comparison'!C135</f>
        <v>0</v>
      </c>
      <c r="EF17" s="88" t="n">
        <f aca="false">'Diet Comparison'!C136</f>
        <v>0</v>
      </c>
      <c r="EG17" s="88" t="n">
        <f aca="false">'Diet Comparison'!C137</f>
        <v>0</v>
      </c>
      <c r="EH17" s="88" t="n">
        <f aca="false">'Diet Comparison'!C138</f>
        <v>0</v>
      </c>
      <c r="EI17" s="88" t="n">
        <f aca="false">'Diet Comparison'!C139</f>
        <v>0</v>
      </c>
      <c r="EJ17" s="88" t="n">
        <f aca="false">'Diet Comparison'!C140</f>
        <v>0</v>
      </c>
      <c r="EK17" s="88" t="n">
        <f aca="false">'Diet Comparison'!C141</f>
        <v>0</v>
      </c>
      <c r="EL17" s="88" t="n">
        <f aca="false">'Diet Comparison'!C142</f>
        <v>0</v>
      </c>
      <c r="EM17" s="88" t="n">
        <f aca="false">'Diet Comparison'!C143</f>
        <v>0</v>
      </c>
      <c r="EN17" s="88" t="n">
        <f aca="false">'Diet Comparison'!C144</f>
        <v>0</v>
      </c>
      <c r="EO17" s="88" t="n">
        <f aca="false">'Diet Comparison'!C145</f>
        <v>0</v>
      </c>
      <c r="EP17" s="88" t="n">
        <f aca="false">'Diet Comparison'!C146</f>
        <v>0</v>
      </c>
      <c r="EQ17" s="88" t="n">
        <f aca="false">'Diet Comparison'!C147</f>
        <v>0</v>
      </c>
      <c r="ER17" s="88" t="n">
        <f aca="false">'Diet Comparison'!C148</f>
        <v>0</v>
      </c>
      <c r="ES17" s="88" t="n">
        <f aca="false">'Diet Comparison'!C149</f>
        <v>0</v>
      </c>
      <c r="ET17" s="88" t="n">
        <f aca="false">'Diet Comparison'!C150</f>
        <v>0</v>
      </c>
      <c r="EU17" s="88" t="n">
        <f aca="false">'Diet Comparison'!C151</f>
        <v>0</v>
      </c>
    </row>
    <row r="18" customFormat="false" ht="15" hidden="false" customHeight="false" outlineLevel="0" collapsed="false">
      <c r="A18" s="62" t="s">
        <v>1116</v>
      </c>
      <c r="F18" s="88" t="n">
        <f aca="false">'Food Data'!N6*'Food Data'!P6/100</f>
        <v>2.26</v>
      </c>
      <c r="G18" s="88" t="n">
        <f aca="false">'Food Data'!N7*'Food Data'!P7/100</f>
        <v>2</v>
      </c>
      <c r="H18" s="88" t="n">
        <f aca="false">'Food Data'!N8*'Food Data'!P8/100</f>
        <v>2.26</v>
      </c>
      <c r="I18" s="88" t="n">
        <f aca="false">'Food Data'!N9*'Food Data'!P9/100</f>
        <v>1.12</v>
      </c>
      <c r="J18" s="88" t="n">
        <f aca="false">'Food Data'!N10*'Food Data'!P10/100</f>
        <v>2.26</v>
      </c>
      <c r="K18" s="88" t="n">
        <f aca="false">'Food Data'!N11*'Food Data'!P11/100</f>
        <v>2.26</v>
      </c>
      <c r="L18" s="88" t="n">
        <f aca="false">'Food Data'!N12*'Food Data'!P12/100</f>
        <v>0.84</v>
      </c>
      <c r="M18" s="88" t="n">
        <f aca="false">'Food Data'!N13*'Food Data'!P13/100</f>
        <v>2.26</v>
      </c>
      <c r="N18" s="88" t="n">
        <f aca="false">'Food Data'!N14*'Food Data'!P14/100</f>
        <v>2.26</v>
      </c>
      <c r="O18" s="88" t="n">
        <f aca="false">'Food Data'!N15*'Food Data'!P15/100</f>
        <v>2.26</v>
      </c>
      <c r="P18" s="88" t="n">
        <f aca="false">'Food Data'!N16*'Food Data'!P16/100</f>
        <v>1.12</v>
      </c>
      <c r="Q18" s="88" t="n">
        <f aca="false">'Food Data'!N17*'Food Data'!P17/100</f>
        <v>2.26</v>
      </c>
      <c r="R18" s="88" t="n">
        <f aca="false">'Food Data'!N18*'Food Data'!P18/100</f>
        <v>2.26</v>
      </c>
      <c r="S18" s="88" t="n">
        <f aca="false">'Food Data'!N19*'Food Data'!P19/100</f>
        <v>2.26</v>
      </c>
      <c r="T18" s="88" t="n">
        <f aca="false">'Food Data'!N20*'Food Data'!P20/100</f>
        <v>1.7</v>
      </c>
      <c r="U18" s="88" t="n">
        <f aca="false">'Food Data'!N21*'Food Data'!P21/100</f>
        <v>2.26</v>
      </c>
      <c r="V18" s="88" t="n">
        <f aca="false">'Food Data'!N22*'Food Data'!P22/100</f>
        <v>2.26</v>
      </c>
      <c r="W18" s="88" t="n">
        <f aca="false">'Food Data'!N23*'Food Data'!P23/100</f>
        <v>2.26</v>
      </c>
      <c r="X18" s="88" t="n">
        <f aca="false">'Food Data'!N24*'Food Data'!P24/100</f>
        <v>1.5</v>
      </c>
      <c r="Y18" s="88" t="n">
        <f aca="false">'Food Data'!N25*'Food Data'!P25/100</f>
        <v>3.6</v>
      </c>
      <c r="Z18" s="88" t="n">
        <f aca="false">'Food Data'!N26*'Food Data'!P26/100</f>
        <v>1.44</v>
      </c>
      <c r="AA18" s="88" t="n">
        <f aca="false">'Food Data'!N27*'Food Data'!P27/100</f>
        <v>3.6</v>
      </c>
      <c r="AB18" s="88" t="n">
        <f aca="false">'Food Data'!N28*'Food Data'!P28/100</f>
        <v>1.44</v>
      </c>
      <c r="AC18" s="88" t="n">
        <f aca="false">'Food Data'!N29*'Food Data'!P29/100</f>
        <v>3.6</v>
      </c>
      <c r="AD18" s="88" t="n">
        <f aca="false">'Food Data'!N30*'Food Data'!P30/100</f>
        <v>3.6</v>
      </c>
      <c r="AE18" s="88" t="n">
        <f aca="false">'Food Data'!N31*'Food Data'!P31/100</f>
        <v>1.44</v>
      </c>
      <c r="AF18" s="88" t="n">
        <f aca="false">'Food Data'!N32*'Food Data'!P32/100</f>
        <v>3.6</v>
      </c>
      <c r="AG18" s="88" t="n">
        <f aca="false">'Food Data'!N33*'Food Data'!P33/100</f>
        <v>1.44</v>
      </c>
      <c r="AH18" s="88" t="n">
        <f aca="false">'Food Data'!N34*'Food Data'!P34/100</f>
        <v>1.44</v>
      </c>
      <c r="AI18" s="88" t="n">
        <f aca="false">'Food Data'!N35*'Food Data'!P35/100</f>
        <v>1.44</v>
      </c>
      <c r="AJ18" s="88" t="n">
        <f aca="false">'Food Data'!N36*'Food Data'!P36/100</f>
        <v>3.6</v>
      </c>
      <c r="AK18" s="88" t="n">
        <f aca="false">'Food Data'!N37*'Food Data'!P37/100</f>
        <v>1.44</v>
      </c>
      <c r="AL18" s="88" t="n">
        <f aca="false">'Food Data'!N38*'Food Data'!P38/100</f>
        <v>0.64</v>
      </c>
      <c r="AM18" s="88" t="n">
        <f aca="false">'Food Data'!N39*'Food Data'!P39/100</f>
        <v>3.6</v>
      </c>
      <c r="AN18" s="88" t="n">
        <f aca="false">'Food Data'!N40*'Food Data'!P40/100</f>
        <v>1.44</v>
      </c>
      <c r="AO18" s="88" t="n">
        <f aca="false">'Food Data'!N41*'Food Data'!P41/100</f>
        <v>2.55</v>
      </c>
      <c r="AP18" s="88" t="n">
        <f aca="false">'Food Data'!N42*'Food Data'!P42/100</f>
        <v>7.32</v>
      </c>
      <c r="AQ18" s="88" t="n">
        <f aca="false">'Food Data'!N43*'Food Data'!P43/100</f>
        <v>3.4</v>
      </c>
      <c r="AR18" s="88" t="n">
        <f aca="false">'Food Data'!N44*'Food Data'!P44/100</f>
        <v>7.29</v>
      </c>
      <c r="AS18" s="88" t="n">
        <f aca="false">'Food Data'!N45*'Food Data'!P45/100</f>
        <v>7.32</v>
      </c>
      <c r="AT18" s="88" t="n">
        <f aca="false">'Food Data'!N46*'Food Data'!P46/100</f>
        <v>0.57</v>
      </c>
      <c r="AU18" s="88" t="n">
        <f aca="false">'Food Data'!N47*'Food Data'!P47/100</f>
        <v>0.56</v>
      </c>
      <c r="AV18" s="88" t="n">
        <f aca="false">'Food Data'!N48*'Food Data'!P48/100</f>
        <v>2.26</v>
      </c>
      <c r="AW18" s="88" t="n">
        <f aca="false">'Food Data'!N49*'Food Data'!P49/100</f>
        <v>0.56</v>
      </c>
      <c r="AX18" s="88" t="n">
        <f aca="false">'Food Data'!N50*'Food Data'!P50/100</f>
        <v>0.94</v>
      </c>
      <c r="AY18" s="88" t="n">
        <f aca="false">'Food Data'!N51*'Food Data'!P51/100</f>
        <v>1.84</v>
      </c>
      <c r="AZ18" s="88" t="n">
        <f aca="false">'Food Data'!N52*'Food Data'!P52/100</f>
        <v>0.56</v>
      </c>
      <c r="BA18" s="88" t="n">
        <f aca="false">'Food Data'!N53*'Food Data'!P53/100</f>
        <v>1.56</v>
      </c>
      <c r="BB18" s="88" t="n">
        <f aca="false">'Food Data'!N54*'Food Data'!P54/100</f>
        <v>1.35</v>
      </c>
      <c r="BC18" s="88" t="n">
        <f aca="false">'Food Data'!N55*'Food Data'!P55/100</f>
        <v>1.29</v>
      </c>
      <c r="BD18" s="88" t="n">
        <f aca="false">'Food Data'!N56*'Food Data'!P56/100</f>
        <v>0.8</v>
      </c>
      <c r="BE18" s="88" t="n">
        <f aca="false">'Food Data'!N57*'Food Data'!P57/100</f>
        <v>1.71</v>
      </c>
      <c r="BF18" s="88" t="n">
        <f aca="false">'Food Data'!N58*'Food Data'!P58/100</f>
        <v>1.12</v>
      </c>
      <c r="BG18" s="88" t="n">
        <f aca="false">'Food Data'!N59*'Food Data'!P59/100</f>
        <v>1.84</v>
      </c>
      <c r="BH18" s="88" t="n">
        <f aca="false">'Food Data'!N60*'Food Data'!P60/100</f>
        <v>1.28</v>
      </c>
      <c r="BI18" s="88" t="n">
        <f aca="false">'Food Data'!N61*'Food Data'!P61/100</f>
        <v>1.71</v>
      </c>
      <c r="BJ18" s="88" t="n">
        <f aca="false">'Food Data'!N62*'Food Data'!P62/100</f>
        <v>1.64</v>
      </c>
      <c r="BK18" s="88" t="n">
        <f aca="false">'Food Data'!N63*'Food Data'!P63/100</f>
        <v>2.56</v>
      </c>
      <c r="BL18" s="88" t="n">
        <f aca="false">'Food Data'!N64*'Food Data'!P64/100</f>
        <v>2.04</v>
      </c>
      <c r="BM18" s="88" t="n">
        <f aca="false">'Food Data'!N65*'Food Data'!P65/100</f>
        <v>0.85</v>
      </c>
      <c r="BN18" s="88" t="n">
        <f aca="false">'Food Data'!N66*'Food Data'!P66/100</f>
        <v>2.48</v>
      </c>
      <c r="BO18" s="88" t="n">
        <f aca="false">'Food Data'!N67*'Food Data'!P67/100</f>
        <v>2.01</v>
      </c>
      <c r="BP18" s="88" t="n">
        <f aca="false">'Food Data'!N68*'Food Data'!P68/100</f>
        <v>3</v>
      </c>
      <c r="BQ18" s="88" t="n">
        <f aca="false">'Food Data'!N69*'Food Data'!P69/100</f>
        <v>2.66</v>
      </c>
      <c r="BR18" s="88" t="n">
        <f aca="false">'Food Data'!N70*'Food Data'!P70/100</f>
        <v>2.5</v>
      </c>
      <c r="BS18" s="88" t="n">
        <f aca="false">'Food Data'!N71*'Food Data'!P71/100</f>
        <v>2.44</v>
      </c>
      <c r="BT18" s="88" t="n">
        <f aca="false">'Food Data'!N72*'Food Data'!P72/100</f>
        <v>2.36</v>
      </c>
      <c r="BU18" s="88" t="n">
        <f aca="false">'Food Data'!N73*'Food Data'!P73/100</f>
        <v>1.44</v>
      </c>
      <c r="BV18" s="88" t="n">
        <f aca="false">'Food Data'!N74*'Food Data'!P74/100</f>
        <v>1.55</v>
      </c>
      <c r="BW18" s="88" t="n">
        <f aca="false">'Food Data'!N75*'Food Data'!P75/100</f>
        <v>3.2</v>
      </c>
      <c r="BX18" s="88" t="n">
        <f aca="false">'Food Data'!N76*'Food Data'!P76/100</f>
        <v>1.54</v>
      </c>
      <c r="BY18" s="88" t="n">
        <f aca="false">'Food Data'!N77*'Food Data'!P77/100</f>
        <v>4.2</v>
      </c>
      <c r="BZ18" s="88" t="n">
        <f aca="false">'Food Data'!N78*'Food Data'!P78/100</f>
        <v>0.37</v>
      </c>
      <c r="CA18" s="88" t="n">
        <f aca="false">'Food Data'!N79*'Food Data'!P79/100</f>
        <v>0.33</v>
      </c>
      <c r="CB18" s="88" t="n">
        <f aca="false">'Food Data'!N80*'Food Data'!P80/100</f>
        <v>0.4</v>
      </c>
      <c r="CC18" s="88" t="n">
        <f aca="false">'Food Data'!N81*'Food Data'!P81/100</f>
        <v>2.38</v>
      </c>
      <c r="CD18" s="88" t="n">
        <f aca="false">'Food Data'!N82*'Food Data'!P82/100</f>
        <v>4.6</v>
      </c>
      <c r="CE18" s="88" t="n">
        <f aca="false">'Food Data'!N83*'Food Data'!P83/100</f>
        <v>3.02</v>
      </c>
      <c r="CF18" s="88" t="n">
        <f aca="false">'Food Data'!N84*'Food Data'!P84/100</f>
        <v>3.4</v>
      </c>
      <c r="CG18" s="88" t="n">
        <f aca="false">'Food Data'!N85*'Food Data'!P85/100</f>
        <v>3.6</v>
      </c>
      <c r="CH18" s="88" t="n">
        <f aca="false">'Food Data'!N86*'Food Data'!P86/100</f>
        <v>3.3</v>
      </c>
      <c r="CI18" s="88" t="n">
        <f aca="false">'Food Data'!N87*'Food Data'!P87/100</f>
        <v>2.86</v>
      </c>
      <c r="CJ18" s="88" t="n">
        <f aca="false">'Food Data'!N88*'Food Data'!P88/100</f>
        <v>2.49</v>
      </c>
      <c r="CK18" s="88" t="n">
        <f aca="false">'Food Data'!N89*'Food Data'!P89/100</f>
        <v>2.8</v>
      </c>
      <c r="CL18" s="88" t="n">
        <f aca="false">'Food Data'!N90*'Food Data'!P90/100</f>
        <v>2.9</v>
      </c>
      <c r="CM18" s="88" t="n">
        <f aca="false">'Food Data'!N91*'Food Data'!P91/100</f>
        <v>3.08</v>
      </c>
      <c r="CN18" s="88" t="n">
        <f aca="false">'Food Data'!N92*'Food Data'!P92/100</f>
        <v>2.5</v>
      </c>
      <c r="CO18" s="88" t="n">
        <f aca="false">'Food Data'!N93*'Food Data'!P93/100</f>
        <v>2.8</v>
      </c>
      <c r="CP18" s="88" t="n">
        <f aca="false">'Food Data'!N94*'Food Data'!P94/100</f>
        <v>2.48</v>
      </c>
      <c r="CQ18" s="88" t="n">
        <f aca="false">'Food Data'!N95*'Food Data'!P95/100</f>
        <v>3.3</v>
      </c>
      <c r="CR18" s="88" t="n">
        <f aca="false">'Food Data'!N96*'Food Data'!P96/100</f>
        <v>2.5</v>
      </c>
      <c r="CS18" s="88" t="n">
        <f aca="false">'Food Data'!N97*'Food Data'!P97/100</f>
        <v>3.3</v>
      </c>
      <c r="CT18" s="88" t="n">
        <f aca="false">'Food Data'!N98*'Food Data'!P98/100</f>
        <v>0.44</v>
      </c>
      <c r="CU18" s="88" t="n">
        <f aca="false">'Food Data'!N99*'Food Data'!P99/100</f>
        <v>0.41</v>
      </c>
      <c r="CV18" s="88" t="n">
        <f aca="false">'Food Data'!N100*'Food Data'!P100/100</f>
        <v>1.23</v>
      </c>
      <c r="CW18" s="88" t="n">
        <f aca="false">'Food Data'!N101*'Food Data'!P101/100</f>
        <v>3.04</v>
      </c>
      <c r="CX18" s="88" t="n">
        <f aca="false">'Food Data'!N102*'Food Data'!P102/100</f>
        <v>2.98</v>
      </c>
      <c r="CY18" s="88" t="n">
        <f aca="false">'Food Data'!N103*'Food Data'!P103/100</f>
        <v>3.04</v>
      </c>
      <c r="CZ18" s="88" t="n">
        <f aca="false">'Food Data'!N104*'Food Data'!P104/100</f>
        <v>2.8</v>
      </c>
      <c r="DA18" s="88" t="n">
        <f aca="false">'Food Data'!N105*'Food Data'!P105/100</f>
        <v>1.34</v>
      </c>
      <c r="DB18" s="88" t="n">
        <f aca="false">'Food Data'!N106*'Food Data'!P106/100</f>
        <v>2.5</v>
      </c>
      <c r="DC18" s="88" t="n">
        <f aca="false">'Food Data'!N107*'Food Data'!P107/100</f>
        <v>2.46</v>
      </c>
      <c r="DD18" s="88" t="n">
        <f aca="false">'Food Data'!N108*'Food Data'!P108/100</f>
        <v>1.9</v>
      </c>
      <c r="DE18" s="88" t="n">
        <f aca="false">'Food Data'!N109*'Food Data'!P109/100</f>
        <v>3.24</v>
      </c>
      <c r="DF18" s="88" t="n">
        <f aca="false">'Food Data'!N110*'Food Data'!P110/100</f>
        <v>2.8</v>
      </c>
      <c r="DG18" s="88" t="n">
        <f aca="false">'Food Data'!N111*'Food Data'!P111/100</f>
        <v>1.78</v>
      </c>
      <c r="DH18" s="88" t="n">
        <f aca="false">'Food Data'!N112*'Food Data'!P112/100</f>
        <v>1.78</v>
      </c>
      <c r="DI18" s="88" t="n">
        <f aca="false">'Food Data'!N113*'Food Data'!P113/100</f>
        <v>2.56</v>
      </c>
      <c r="DJ18" s="88" t="n">
        <f aca="false">'Food Data'!N114*'Food Data'!P114/100</f>
        <v>4.92</v>
      </c>
      <c r="DK18" s="88" t="n">
        <f aca="false">'Food Data'!N115*'Food Data'!P115/100</f>
        <v>2.56</v>
      </c>
      <c r="DL18" s="88" t="n">
        <f aca="false">'Food Data'!N116*'Food Data'!P116/100</f>
        <v>2.64</v>
      </c>
      <c r="DM18" s="88" t="n">
        <f aca="false">'Food Data'!N117*'Food Data'!P117/100</f>
        <v>2.02</v>
      </c>
      <c r="DN18" s="88" t="n">
        <f aca="false">'Food Data'!N118*'Food Data'!P118/100</f>
        <v>1.44</v>
      </c>
      <c r="DO18" s="88" t="n">
        <f aca="false">'Food Data'!N119*'Food Data'!P119/100</f>
        <v>3.74</v>
      </c>
      <c r="DP18" s="88" t="n">
        <f aca="false">'Food Data'!N120*'Food Data'!P120/100</f>
        <v>2.08</v>
      </c>
      <c r="DQ18" s="88" t="n">
        <f aca="false">'Food Data'!N121*'Food Data'!P121/100</f>
        <v>3.6</v>
      </c>
      <c r="DR18" s="88" t="n">
        <f aca="false">'Food Data'!N122*'Food Data'!P122/100</f>
        <v>2.42</v>
      </c>
      <c r="DS18" s="88" t="n">
        <f aca="false">'Food Data'!N123*'Food Data'!P123/100</f>
        <v>1.49</v>
      </c>
      <c r="DT18" s="88" t="n">
        <f aca="false">'Food Data'!N124*'Food Data'!P124/100</f>
        <v>2.88</v>
      </c>
      <c r="DU18" s="88" t="n">
        <f aca="false">'Food Data'!N125*'Food Data'!P125/100</f>
        <v>3.66</v>
      </c>
      <c r="DV18" s="88" t="n">
        <f aca="false">'Food Data'!N126*'Food Data'!P126/100</f>
        <v>2.85</v>
      </c>
      <c r="DW18" s="88" t="n">
        <f aca="false">'Food Data'!N127*'Food Data'!P127/100</f>
        <v>1.4</v>
      </c>
      <c r="DX18" s="88" t="n">
        <f aca="false">'Food Data'!N128*'Food Data'!P128/100</f>
        <v>2.92</v>
      </c>
      <c r="DY18" s="88" t="n">
        <f aca="false">'Food Data'!N129*'Food Data'!P129/100</f>
        <v>3.78</v>
      </c>
      <c r="DZ18" s="88" t="n">
        <f aca="false">'Food Data'!N130*'Food Data'!P130/100</f>
        <v>1.6</v>
      </c>
      <c r="EA18" s="88" t="n">
        <f aca="false">'Food Data'!N131*'Food Data'!P131/100</f>
        <v>2.45</v>
      </c>
      <c r="EB18" s="88" t="n">
        <f aca="false">'Food Data'!N132*'Food Data'!P132/100</f>
        <v>1.16</v>
      </c>
      <c r="EC18" s="88" t="n">
        <f aca="false">'Food Data'!N133*'Food Data'!P133/100</f>
        <v>1.49</v>
      </c>
      <c r="ED18" s="88" t="n">
        <f aca="false">'Food Data'!N134*'Food Data'!P134/100</f>
        <v>1.88</v>
      </c>
      <c r="EE18" s="88" t="n">
        <f aca="false">'Food Data'!N135*'Food Data'!P135/100</f>
        <v>2.36</v>
      </c>
      <c r="EF18" s="88" t="n">
        <f aca="false">'Food Data'!N136*'Food Data'!P136/100</f>
        <v>4.68</v>
      </c>
      <c r="EG18" s="88" t="n">
        <f aca="false">'Food Data'!N137*'Food Data'!P137/100</f>
        <v>1.8</v>
      </c>
      <c r="EH18" s="88" t="n">
        <f aca="false">'Food Data'!N138*'Food Data'!P138/100</f>
        <v>3.12</v>
      </c>
      <c r="EI18" s="88" t="n">
        <f aca="false">'Food Data'!N139*'Food Data'!P139/100</f>
        <v>4.8</v>
      </c>
      <c r="EJ18" s="88" t="n">
        <f aca="false">'Food Data'!N140*'Food Data'!P140/100</f>
        <v>3.6</v>
      </c>
      <c r="EK18" s="88" t="n">
        <f aca="false">'Food Data'!N141*'Food Data'!P141/100</f>
        <v>3.28</v>
      </c>
      <c r="EL18" s="88" t="n">
        <f aca="false">'Food Data'!N142*'Food Data'!P142/100</f>
        <v>2.48</v>
      </c>
      <c r="EM18" s="88" t="n">
        <f aca="false">'Food Data'!N143*'Food Data'!P143/100</f>
        <v>0.284</v>
      </c>
      <c r="EN18" s="88" t="n">
        <f aca="false">'Food Data'!N144*'Food Data'!P144/100</f>
        <v>0.42</v>
      </c>
      <c r="EO18" s="88" t="n">
        <f aca="false">'Food Data'!N145*'Food Data'!P145/100</f>
        <v>0.405</v>
      </c>
      <c r="EP18" s="88" t="n">
        <f aca="false">'Food Data'!N146*'Food Data'!P146/100</f>
        <v>0.56</v>
      </c>
      <c r="EQ18" s="88" t="n">
        <f aca="false">'Food Data'!N147*'Food Data'!P147/100</f>
        <v>1.36</v>
      </c>
      <c r="ER18" s="88" t="n">
        <f aca="false">'Food Data'!N148*'Food Data'!P148/100</f>
        <v>0.26</v>
      </c>
      <c r="ES18" s="88" t="n">
        <f aca="false">'Food Data'!N149*'Food Data'!P149/100</f>
        <v>0.48</v>
      </c>
      <c r="ET18" s="88" t="n">
        <f aca="false">'Food Data'!N150*'Food Data'!P150/100</f>
        <v>0.28</v>
      </c>
      <c r="EU18" s="88" t="n">
        <f aca="false">'Food Data'!N151*'Food Data'!P151/100</f>
        <v>0.66</v>
      </c>
    </row>
    <row r="20" customFormat="false" ht="15" hidden="false" customHeight="false" outlineLevel="0" collapsed="false">
      <c r="A20" s="3" t="s">
        <v>1117</v>
      </c>
    </row>
    <row r="21" customFormat="false" ht="57.75" hidden="false" customHeight="true" outlineLevel="0" collapsed="false">
      <c r="A21" s="16" t="s">
        <v>1102</v>
      </c>
      <c r="B21" s="16" t="s">
        <v>1118</v>
      </c>
      <c r="C21" s="16" t="s">
        <v>1119</v>
      </c>
      <c r="D21" s="16" t="s">
        <v>1120</v>
      </c>
      <c r="E21" s="16" t="s">
        <v>1121</v>
      </c>
      <c r="F21" s="16" t="s">
        <v>1122</v>
      </c>
      <c r="G21" s="16" t="s">
        <v>1123</v>
      </c>
      <c r="H21" s="16" t="s">
        <v>1124</v>
      </c>
      <c r="J21" s="89" t="s">
        <v>1125</v>
      </c>
      <c r="K21" s="89" t="s">
        <v>1126</v>
      </c>
      <c r="L21" s="89" t="s">
        <v>1127</v>
      </c>
      <c r="M21" s="89" t="s">
        <v>1128</v>
      </c>
      <c r="N21" s="89" t="s">
        <v>1129</v>
      </c>
      <c r="P21" s="16" t="s">
        <v>1104</v>
      </c>
      <c r="Q21" s="16" t="s">
        <v>1130</v>
      </c>
    </row>
    <row r="22" customFormat="false" ht="15" hidden="false" customHeight="false" outlineLevel="0" collapsed="false">
      <c r="A22" s="4" t="str">
        <f aca="false">A8</f>
        <v>kcal &gt;= min</v>
      </c>
      <c r="B22" s="71" t="n">
        <f aca="false">G8</f>
        <v>161</v>
      </c>
      <c r="C22" s="71" t="n">
        <f aca="false">AH8</f>
        <v>352</v>
      </c>
      <c r="D22" s="71" t="n">
        <f aca="false">AP8</f>
        <v>50</v>
      </c>
      <c r="E22" s="71" t="n">
        <f aca="false">AY8</f>
        <v>367</v>
      </c>
      <c r="F22" s="71" t="n">
        <f aca="false">BE8</f>
        <v>371</v>
      </c>
      <c r="G22" s="71" t="n">
        <f aca="false">BT8</f>
        <v>89</v>
      </c>
      <c r="H22" s="71" t="n">
        <f aca="false">DD8</f>
        <v>29</v>
      </c>
      <c r="J22" s="90" t="n">
        <f aca="false">X8</f>
        <v>143</v>
      </c>
      <c r="K22" s="90" t="n">
        <f aca="false">AL8</f>
        <v>598</v>
      </c>
      <c r="L22" s="90" t="n">
        <f aca="false">AN8</f>
        <v>347</v>
      </c>
      <c r="M22" s="90" t="n">
        <f aca="false">BG8</f>
        <v>365</v>
      </c>
      <c r="N22" s="90" t="n">
        <f aca="false">DG8</f>
        <v>25</v>
      </c>
      <c r="P22" s="91" t="n">
        <f aca="false">C8</f>
        <v>2878.5</v>
      </c>
      <c r="Q22" s="92" t="n">
        <f aca="false" t="array" ref="Q22:Q28">P22:P28-MMULT(J22:N28,TRANSPOSE(J30:N30))</f>
        <v>1065.5</v>
      </c>
    </row>
    <row r="23" customFormat="false" ht="15" hidden="false" customHeight="false" outlineLevel="0" collapsed="false">
      <c r="A23" s="4" t="str">
        <f aca="false">A9</f>
        <v>protein &gt;= min</v>
      </c>
      <c r="B23" s="71" t="n">
        <f aca="false">G9</f>
        <v>18.08</v>
      </c>
      <c r="C23" s="71" t="n">
        <f aca="false">AH9</f>
        <v>24.63</v>
      </c>
      <c r="D23" s="71" t="n">
        <f aca="false">AP9</f>
        <v>3.3</v>
      </c>
      <c r="E23" s="71" t="n">
        <f aca="false">AY9</f>
        <v>7.54</v>
      </c>
      <c r="F23" s="71" t="n">
        <f aca="false">BE9</f>
        <v>13.04</v>
      </c>
      <c r="G23" s="71" t="n">
        <f aca="false">BT9</f>
        <v>1.09</v>
      </c>
      <c r="H23" s="71" t="n">
        <f aca="false">DD9</f>
        <v>3.06</v>
      </c>
      <c r="J23" s="90" t="n">
        <f aca="false">X9</f>
        <v>12.56</v>
      </c>
      <c r="K23" s="90" t="n">
        <f aca="false">AL9</f>
        <v>22.21</v>
      </c>
      <c r="L23" s="90" t="n">
        <f aca="false">AN9</f>
        <v>21.42</v>
      </c>
      <c r="M23" s="90" t="n">
        <f aca="false">BG9</f>
        <v>7.13</v>
      </c>
      <c r="N23" s="90" t="n">
        <f aca="false">DG9</f>
        <v>1.28</v>
      </c>
      <c r="P23" s="91" t="n">
        <f aca="false">C9</f>
        <v>112</v>
      </c>
      <c r="Q23" s="92" t="n">
        <v>32.7032</v>
      </c>
    </row>
    <row r="24" customFormat="false" ht="15" hidden="false" customHeight="false" outlineLevel="0" collapsed="false">
      <c r="A24" s="4" t="str">
        <f aca="false">A10</f>
        <v>calcium &gt;= min</v>
      </c>
      <c r="B24" s="71" t="n">
        <f aca="false">G10</f>
        <v>8</v>
      </c>
      <c r="C24" s="71" t="n">
        <f aca="false">AH10</f>
        <v>35</v>
      </c>
      <c r="D24" s="71" t="n">
        <f aca="false">AP10</f>
        <v>120</v>
      </c>
      <c r="E24" s="71" t="n">
        <f aca="false">AY10</f>
        <v>9</v>
      </c>
      <c r="F24" s="71" t="n">
        <f aca="false">BE10</f>
        <v>21</v>
      </c>
      <c r="G24" s="71" t="n">
        <f aca="false">BT10</f>
        <v>5</v>
      </c>
      <c r="H24" s="71" t="n">
        <f aca="false">DD10</f>
        <v>41</v>
      </c>
      <c r="J24" s="90" t="n">
        <f aca="false">X10</f>
        <v>56</v>
      </c>
      <c r="K24" s="90" t="n">
        <f aca="false">AL10</f>
        <v>49</v>
      </c>
      <c r="L24" s="90" t="n">
        <f aca="false">AN10</f>
        <v>113</v>
      </c>
      <c r="M24" s="90" t="n">
        <f aca="false">BG10</f>
        <v>28</v>
      </c>
      <c r="N24" s="90" t="n">
        <f aca="false">DG10</f>
        <v>40</v>
      </c>
      <c r="P24" s="91" t="n">
        <f aca="false">C10</f>
        <v>1000</v>
      </c>
      <c r="Q24" s="92" t="n">
        <v>599.2</v>
      </c>
    </row>
    <row r="25" customFormat="false" ht="15" hidden="false" customHeight="false" outlineLevel="0" collapsed="false">
      <c r="A25" s="4" t="str">
        <f aca="false">A11</f>
        <v>carb% &lt;= 65% of kcal</v>
      </c>
      <c r="B25" s="71" t="n">
        <f aca="false">G11</f>
        <v>-104.21</v>
      </c>
      <c r="C25" s="71" t="n">
        <f aca="false">AH11</f>
        <v>24.6</v>
      </c>
      <c r="D25" s="71" t="n">
        <f aca="false">AP11</f>
        <v>-13.3</v>
      </c>
      <c r="E25" s="71" t="n">
        <f aca="false">AY11</f>
        <v>66.45</v>
      </c>
      <c r="F25" s="71" t="n">
        <f aca="false">BE11</f>
        <v>57.53</v>
      </c>
      <c r="G25" s="71" t="n">
        <f aca="false">BT11</f>
        <v>33.51</v>
      </c>
      <c r="H25" s="71" t="n">
        <f aca="false">DD11</f>
        <v>2.55</v>
      </c>
      <c r="J25" s="90" t="n">
        <f aca="false">X11</f>
        <v>-90.07</v>
      </c>
      <c r="K25" s="90" t="n">
        <f aca="false">AL11</f>
        <v>-299.46</v>
      </c>
      <c r="L25" s="90" t="n">
        <f aca="false">AN11</f>
        <v>24.65</v>
      </c>
      <c r="M25" s="90" t="n">
        <f aca="false">BG11</f>
        <v>82.55</v>
      </c>
      <c r="N25" s="90" t="n">
        <f aca="false">DG11</f>
        <v>6.95</v>
      </c>
      <c r="P25" s="91" t="n">
        <f aca="false">C11</f>
        <v>0</v>
      </c>
      <c r="Q25" s="92" t="n">
        <v>127.0004</v>
      </c>
    </row>
    <row r="26" customFormat="false" ht="15" hidden="false" customHeight="false" outlineLevel="0" collapsed="false">
      <c r="A26" s="4" t="str">
        <f aca="false">A12</f>
        <v>vegetables &gt;= 2.5 cup-eq</v>
      </c>
      <c r="B26" s="71" t="n">
        <f aca="false">G12</f>
        <v>0</v>
      </c>
      <c r="C26" s="71" t="n">
        <f aca="false">AH12</f>
        <v>0</v>
      </c>
      <c r="D26" s="71" t="n">
        <f aca="false">AP12</f>
        <v>0</v>
      </c>
      <c r="E26" s="71" t="n">
        <f aca="false">AY12</f>
        <v>0</v>
      </c>
      <c r="F26" s="71" t="n">
        <f aca="false">BE12</f>
        <v>0</v>
      </c>
      <c r="G26" s="71" t="n">
        <f aca="false">BT12</f>
        <v>0</v>
      </c>
      <c r="H26" s="71" t="n">
        <f aca="false">DD12</f>
        <v>1.0989010989011</v>
      </c>
      <c r="J26" s="90" t="n">
        <f aca="false">X12</f>
        <v>0</v>
      </c>
      <c r="K26" s="90" t="n">
        <f aca="false">AL12</f>
        <v>0</v>
      </c>
      <c r="L26" s="90" t="n">
        <f aca="false">AN12</f>
        <v>0</v>
      </c>
      <c r="M26" s="90" t="n">
        <f aca="false">BG12</f>
        <v>0</v>
      </c>
      <c r="N26" s="90" t="n">
        <f aca="false">DG12</f>
        <v>1.12359550561798</v>
      </c>
      <c r="P26" s="91" t="n">
        <f aca="false">C12</f>
        <v>2.5</v>
      </c>
      <c r="Q26" s="92" t="n">
        <v>0.5</v>
      </c>
    </row>
    <row r="27" customFormat="false" ht="15" hidden="false" customHeight="false" outlineLevel="0" collapsed="false">
      <c r="A27" s="4" t="str">
        <f aca="false">A13</f>
        <v>fruit &gt;= 2 cup-eq</v>
      </c>
      <c r="B27" s="71" t="n">
        <f aca="false">G13</f>
        <v>0</v>
      </c>
      <c r="C27" s="71" t="n">
        <f aca="false">AH13</f>
        <v>0</v>
      </c>
      <c r="D27" s="71" t="n">
        <f aca="false">AP13</f>
        <v>0</v>
      </c>
      <c r="E27" s="71" t="n">
        <f aca="false">AY13</f>
        <v>0</v>
      </c>
      <c r="F27" s="71" t="n">
        <f aca="false">BE13</f>
        <v>0</v>
      </c>
      <c r="G27" s="71" t="n">
        <f aca="false">BT13</f>
        <v>0.847457627118644</v>
      </c>
      <c r="H27" s="71" t="n">
        <f aca="false">DD13</f>
        <v>0</v>
      </c>
      <c r="J27" s="90" t="n">
        <f aca="false">X13</f>
        <v>0</v>
      </c>
      <c r="K27" s="90" t="n">
        <f aca="false">AL13</f>
        <v>0</v>
      </c>
      <c r="L27" s="90" t="n">
        <f aca="false">AN13</f>
        <v>0</v>
      </c>
      <c r="M27" s="90" t="n">
        <f aca="false">BG13</f>
        <v>0</v>
      </c>
      <c r="N27" s="90" t="n">
        <f aca="false">DG13</f>
        <v>0</v>
      </c>
      <c r="P27" s="91" t="n">
        <f aca="false">C13</f>
        <v>2</v>
      </c>
      <c r="Q27" s="92" t="n">
        <v>2</v>
      </c>
    </row>
    <row r="28" customFormat="false" ht="15" hidden="false" customHeight="false" outlineLevel="0" collapsed="false">
      <c r="A28" s="4" t="str">
        <f aca="false">A14</f>
        <v>legumes &lt;= 3 servings</v>
      </c>
      <c r="B28" s="71" t="n">
        <f aca="false">G14</f>
        <v>0</v>
      </c>
      <c r="C28" s="71" t="n">
        <f aca="false">AH14</f>
        <v>2.08333333333333</v>
      </c>
      <c r="D28" s="71" t="n">
        <f aca="false">AP14</f>
        <v>0</v>
      </c>
      <c r="E28" s="71" t="n">
        <f aca="false">AY14</f>
        <v>0</v>
      </c>
      <c r="F28" s="71" t="n">
        <f aca="false">BE14</f>
        <v>0</v>
      </c>
      <c r="G28" s="71" t="n">
        <f aca="false">BT14</f>
        <v>0</v>
      </c>
      <c r="H28" s="71" t="n">
        <f aca="false">DD14</f>
        <v>0</v>
      </c>
      <c r="J28" s="90" t="n">
        <f aca="false">X14</f>
        <v>0</v>
      </c>
      <c r="K28" s="90" t="n">
        <f aca="false">AL14</f>
        <v>0</v>
      </c>
      <c r="L28" s="90" t="n">
        <f aca="false">AN14</f>
        <v>2.08333333333333</v>
      </c>
      <c r="M28" s="90" t="n">
        <f aca="false">BG14</f>
        <v>0</v>
      </c>
      <c r="N28" s="90" t="n">
        <f aca="false">DG14</f>
        <v>0</v>
      </c>
      <c r="P28" s="91" t="n">
        <f aca="false">C14</f>
        <v>3</v>
      </c>
      <c r="Q28" s="92" t="n">
        <v>0</v>
      </c>
    </row>
    <row r="30" customFormat="false" ht="15" hidden="false" customHeight="false" outlineLevel="0" collapsed="false">
      <c r="A30" s="15" t="s">
        <v>1131</v>
      </c>
      <c r="J30" s="90" t="n">
        <f aca="false">X18</f>
        <v>1.5</v>
      </c>
      <c r="K30" s="90" t="n">
        <f aca="false">AL18</f>
        <v>0.64</v>
      </c>
      <c r="L30" s="90" t="n">
        <f aca="false">AN18</f>
        <v>1.44</v>
      </c>
      <c r="M30" s="90" t="n">
        <f aca="false">BG18</f>
        <v>1.84</v>
      </c>
      <c r="N30" s="90" t="n">
        <f aca="false">DG18</f>
        <v>1.78</v>
      </c>
    </row>
    <row r="32" customFormat="false" ht="15" hidden="false" customHeight="false" outlineLevel="0" collapsed="false">
      <c r="A32" s="3" t="s">
        <v>1132</v>
      </c>
    </row>
    <row r="33" customFormat="false" ht="15" hidden="false" customHeight="false" outlineLevel="0" collapsed="false">
      <c r="A33" s="4" t="str">
        <f aca="false">A22</f>
        <v>kcal &gt;= min</v>
      </c>
      <c r="B33" s="93" t="n">
        <f aca="false" t="array" ref="B33:H39">MINVERSE(B22:H28)</f>
        <v>0.00191982180375466</v>
      </c>
      <c r="C33" s="93" t="n">
        <v>-0.0127794690626221</v>
      </c>
      <c r="D33" s="93" t="n">
        <v>-0.0014413128185313</v>
      </c>
      <c r="E33" s="93" t="n">
        <v>-0.00895779668741924</v>
      </c>
      <c r="F33" s="93" t="n">
        <v>0.0594835606232511</v>
      </c>
      <c r="G33" s="93" t="n">
        <v>0.177528417961959</v>
      </c>
      <c r="H33" s="93" t="n">
        <v>-0.0433013782800711</v>
      </c>
    </row>
    <row r="34" customFormat="false" ht="15" hidden="false" customHeight="false" outlineLevel="0" collapsed="false">
      <c r="A34" s="4" t="str">
        <f aca="false">A23</f>
        <v>protein &gt;= min</v>
      </c>
      <c r="B34" s="93" t="n">
        <v>0</v>
      </c>
      <c r="C34" s="93" t="n">
        <v>0</v>
      </c>
      <c r="D34" s="93" t="n">
        <v>0</v>
      </c>
      <c r="E34" s="93" t="n">
        <v>0</v>
      </c>
      <c r="F34" s="93" t="n">
        <v>0</v>
      </c>
      <c r="G34" s="93" t="n">
        <v>0</v>
      </c>
      <c r="H34" s="93" t="n">
        <v>0.48</v>
      </c>
    </row>
    <row r="35" customFormat="false" ht="15" hidden="false" customHeight="false" outlineLevel="0" collapsed="false">
      <c r="A35" s="4" t="str">
        <f aca="false">A24</f>
        <v>calcium &gt;= min</v>
      </c>
      <c r="B35" s="93" t="n">
        <v>0.000660331240145942</v>
      </c>
      <c r="C35" s="93" t="n">
        <v>-0.0224971117328635</v>
      </c>
      <c r="D35" s="93" t="n">
        <v>0.0084290548381426</v>
      </c>
      <c r="E35" s="93" t="n">
        <v>-0.00223588918301059</v>
      </c>
      <c r="F35" s="93" t="n">
        <v>-0.264080339258044</v>
      </c>
      <c r="G35" s="93" t="n">
        <v>-0.0017325423775909</v>
      </c>
      <c r="H35" s="93" t="n">
        <v>0.03919354560774</v>
      </c>
    </row>
    <row r="36" customFormat="false" ht="15" hidden="false" customHeight="false" outlineLevel="0" collapsed="false">
      <c r="A36" s="4" t="str">
        <f aca="false">A25</f>
        <v>carb% &lt;= 65% of kcal</v>
      </c>
      <c r="B36" s="93" t="n">
        <v>0.0111977364020589</v>
      </c>
      <c r="C36" s="93" t="n">
        <v>-0.222681210234595</v>
      </c>
      <c r="D36" s="93" t="n">
        <v>-0.000914314100706952</v>
      </c>
      <c r="E36" s="93" t="n">
        <v>-0.0214044259966956</v>
      </c>
      <c r="F36" s="93" t="n">
        <v>0.408351863991627</v>
      </c>
      <c r="G36" s="93" t="n">
        <v>-0.0378097192701844</v>
      </c>
      <c r="H36" s="93" t="n">
        <v>1.00876073644646</v>
      </c>
    </row>
    <row r="37" customFormat="false" ht="15" hidden="false" customHeight="false" outlineLevel="0" collapsed="false">
      <c r="A37" s="4" t="str">
        <f aca="false">A26</f>
        <v>vegetables &gt;= 2.5 cup-eq</v>
      </c>
      <c r="B37" s="93" t="n">
        <v>-0.00930371194600385</v>
      </c>
      <c r="C37" s="93" t="n">
        <v>0.22885809774076</v>
      </c>
      <c r="D37" s="93" t="n">
        <v>0.000393940422738169</v>
      </c>
      <c r="E37" s="93" t="n">
        <v>0.0253623290205184</v>
      </c>
      <c r="F37" s="93" t="n">
        <v>-0.465304502378351</v>
      </c>
      <c r="G37" s="93" t="n">
        <v>-0.322477846902529</v>
      </c>
      <c r="H37" s="93" t="n">
        <v>-1.43979338450983</v>
      </c>
    </row>
    <row r="38" customFormat="false" ht="15" hidden="false" customHeight="false" outlineLevel="0" collapsed="false">
      <c r="A38" s="4" t="str">
        <f aca="false">A27</f>
        <v>fruit &gt;= 2 cup-eq</v>
      </c>
      <c r="B38" s="93" t="n">
        <v>0</v>
      </c>
      <c r="C38" s="93" t="n">
        <v>0</v>
      </c>
      <c r="D38" s="93" t="n">
        <v>0</v>
      </c>
      <c r="E38" s="93" t="n">
        <v>0</v>
      </c>
      <c r="F38" s="93" t="n">
        <v>0</v>
      </c>
      <c r="G38" s="93" t="n">
        <v>1.18</v>
      </c>
      <c r="H38" s="93" t="n">
        <v>0</v>
      </c>
    </row>
    <row r="39" customFormat="false" ht="15" hidden="false" customHeight="false" outlineLevel="0" collapsed="false">
      <c r="A39" s="4" t="str">
        <f aca="false">A28</f>
        <v>legumes &lt;= 3 servings</v>
      </c>
      <c r="B39" s="93" t="n">
        <v>0</v>
      </c>
      <c r="C39" s="93" t="n">
        <v>0</v>
      </c>
      <c r="D39" s="93" t="n">
        <v>0</v>
      </c>
      <c r="E39" s="93" t="n">
        <v>0</v>
      </c>
      <c r="F39" s="93" t="n">
        <v>0.91</v>
      </c>
      <c r="G39" s="93" t="n">
        <v>0</v>
      </c>
      <c r="H39" s="93" t="n">
        <v>0</v>
      </c>
    </row>
    <row r="41" customFormat="false" ht="15" hidden="false" customHeight="false" outlineLevel="0" collapsed="false">
      <c r="A41" s="14" t="s">
        <v>1133</v>
      </c>
      <c r="B41" s="94" t="n">
        <f aca="false">MDETERM(B22:H28)</f>
        <v>48999846.9609488</v>
      </c>
      <c r="C41" s="2" t="str">
        <f aca="false">IF(ABS(B41)&gt;0.000000000001,"det ≠ 0 → B is invertible → the corner is unique","det = 0 → singular")</f>
        <v>det ≠ 0 → B is invertible → the corner is unique</v>
      </c>
    </row>
    <row r="43" customFormat="false" ht="15" hidden="false" customHeight="false" outlineLevel="0" collapsed="false">
      <c r="A43" s="16" t="s">
        <v>1134</v>
      </c>
      <c r="B43" s="16" t="s">
        <v>1135</v>
      </c>
      <c r="C43" s="16" t="s">
        <v>1136</v>
      </c>
      <c r="D43" s="16" t="s">
        <v>1137</v>
      </c>
    </row>
    <row r="44" customFormat="false" ht="15" hidden="false" customHeight="false" outlineLevel="0" collapsed="false">
      <c r="A44" s="4" t="s">
        <v>221</v>
      </c>
      <c r="B44" s="95" t="n">
        <f aca="false" t="array" ref="B44:B50">MMULT(B33:H39,Q22:Q28)</f>
        <v>0.0111608122025173</v>
      </c>
      <c r="C44" s="96" t="n">
        <f aca="false">G17</f>
        <v>0.011160812</v>
      </c>
      <c r="D44" s="97" t="n">
        <f aca="false">B44-C44</f>
        <v>2.0251730674381E-010</v>
      </c>
    </row>
    <row r="45" customFormat="false" ht="15" hidden="false" customHeight="false" outlineLevel="0" collapsed="false">
      <c r="A45" s="4" t="s">
        <v>353</v>
      </c>
      <c r="B45" s="95" t="n">
        <v>0</v>
      </c>
      <c r="C45" s="96" t="n">
        <f aca="false">AH17</f>
        <v>0</v>
      </c>
      <c r="D45" s="97" t="n">
        <f aca="false">B45-C45</f>
        <v>0</v>
      </c>
    </row>
    <row r="46" customFormat="false" ht="15" hidden="false" customHeight="false" outlineLevel="0" collapsed="false">
      <c r="A46" s="4" t="s">
        <v>390</v>
      </c>
      <c r="B46" s="95" t="n">
        <v>4.59908097598614</v>
      </c>
      <c r="C46" s="96" t="n">
        <f aca="false">AP17</f>
        <v>4.599080976</v>
      </c>
      <c r="D46" s="97" t="n">
        <f aca="false">B46-C46</f>
        <v>-1.38582478825811E-011</v>
      </c>
    </row>
    <row r="47" customFormat="false" ht="15" hidden="false" customHeight="false" outlineLevel="0" collapsed="false">
      <c r="A47" s="4" t="s">
        <v>438</v>
      </c>
      <c r="B47" s="95" t="n">
        <v>1.51112880281088</v>
      </c>
      <c r="C47" s="96" t="n">
        <f aca="false">AY17</f>
        <v>1.511128803</v>
      </c>
      <c r="D47" s="97" t="n">
        <f aca="false">B47-C47</f>
        <v>-1.89117832505303E-010</v>
      </c>
    </row>
    <row r="48" customFormat="false" ht="15" hidden="false" customHeight="false" outlineLevel="0" collapsed="false">
      <c r="A48" s="4" t="s">
        <v>467</v>
      </c>
      <c r="B48" s="95" t="n">
        <v>0.150754150416425</v>
      </c>
      <c r="C48" s="96" t="n">
        <f aca="false">BE17</f>
        <v>0.15075415</v>
      </c>
      <c r="D48" s="97" t="n">
        <f aca="false">B48-C48</f>
        <v>4.16425033344936E-010</v>
      </c>
    </row>
    <row r="49" customFormat="false" ht="15" hidden="false" customHeight="false" outlineLevel="0" collapsed="false">
      <c r="A49" s="4" t="s">
        <v>537</v>
      </c>
      <c r="B49" s="95" t="n">
        <v>2.36</v>
      </c>
      <c r="C49" s="96" t="n">
        <f aca="false">BT17</f>
        <v>2.36</v>
      </c>
      <c r="D49" s="97" t="n">
        <f aca="false">B49-C49</f>
        <v>0</v>
      </c>
    </row>
    <row r="50" customFormat="false" ht="15" hidden="false" customHeight="false" outlineLevel="0" collapsed="false">
      <c r="A50" s="4" t="s">
        <v>699</v>
      </c>
      <c r="B50" s="95" t="n">
        <v>0.455</v>
      </c>
      <c r="C50" s="96" t="n">
        <f aca="false">DD17</f>
        <v>0.455</v>
      </c>
      <c r="D50" s="97" t="n">
        <f aca="false">B50-C50</f>
        <v>0</v>
      </c>
    </row>
    <row r="51" customFormat="false" ht="15" hidden="false" customHeight="false" outlineLevel="0" collapsed="false">
      <c r="A51" s="15" t="s">
        <v>1138</v>
      </c>
      <c r="B51" s="15" t="str">
        <f aca="false">IF(MAX(D44:D50)-MIN(D44:D50)&lt;0.000001,"✓ B⁻¹r reproduces the Simplex answer","✗ mismatch")</f>
        <v>✓ B⁻¹r reproduces the Simplex answer</v>
      </c>
    </row>
    <row r="53" customFormat="false" ht="15" hidden="false" customHeight="false" outlineLevel="0" collapsed="false">
      <c r="A53" s="3" t="s">
        <v>1139</v>
      </c>
    </row>
    <row r="54" customFormat="false" ht="15" hidden="false" customHeight="false" outlineLevel="0" collapsed="false">
      <c r="A54" s="16" t="s">
        <v>1102</v>
      </c>
      <c r="B54" s="16" t="s">
        <v>1103</v>
      </c>
      <c r="C54" s="16" t="s">
        <v>1140</v>
      </c>
      <c r="D54" s="16" t="s">
        <v>1141</v>
      </c>
      <c r="E54" s="16" t="s">
        <v>1142</v>
      </c>
      <c r="G54" s="15" t="s">
        <v>1143</v>
      </c>
      <c r="H54" s="98" t="n">
        <f aca="false">G16</f>
        <v>0.397318960751797</v>
      </c>
      <c r="I54" s="98" t="n">
        <f aca="false">AH16</f>
        <v>0.423280423280423</v>
      </c>
      <c r="J54" s="98" t="n">
        <f aca="false">AP16</f>
        <v>0.0847848360655738</v>
      </c>
      <c r="K54" s="98" t="n">
        <f aca="false">AY16</f>
        <v>0.189594356261023</v>
      </c>
      <c r="L54" s="98" t="n">
        <f aca="false">BE16</f>
        <v>0.299823633156967</v>
      </c>
      <c r="M54" s="98" t="n">
        <f aca="false">BT16</f>
        <v>0.172233245149912</v>
      </c>
      <c r="N54" s="98" t="n">
        <f aca="false">DD16</f>
        <v>0.340975896531452</v>
      </c>
    </row>
    <row r="55" customFormat="false" ht="15" hidden="false" customHeight="false" outlineLevel="0" collapsed="false">
      <c r="A55" s="4" t="str">
        <f aca="false">A8</f>
        <v>kcal &gt;= min</v>
      </c>
      <c r="B55" s="75" t="str">
        <f aca="false">B8</f>
        <v>≥</v>
      </c>
      <c r="C55" s="99" t="n">
        <f aca="false">INDEX($H$55:$N$55,1,1)</f>
        <v>0.000152322587073434</v>
      </c>
      <c r="D55" s="75" t="str">
        <f aca="false">IF(B55="≥",IF(C55&gt;=-0.000000001,"✓","✗"),IF(C55&lt;=0.000000001,"✓","✗"))</f>
        <v>✓</v>
      </c>
      <c r="E55" s="4" t="str">
        <f aca="false">TEXT(C55*100,"$0.000")&amp;" per +100 kcal"</f>
        <v>$0.015 per +100 kcal</v>
      </c>
      <c r="G55" s="15" t="s">
        <v>1144</v>
      </c>
      <c r="H55" s="93" t="n">
        <f aca="false" t="array" ref="H55:N55">MMULT(H54:N54,B33:H39)</f>
        <v>0.000152322587073434</v>
      </c>
      <c r="I55" s="93" t="n">
        <v>0.0194130263390326</v>
      </c>
      <c r="J55" s="93" t="n">
        <v>8.67589769113916E-005</v>
      </c>
      <c r="K55" s="93" t="n">
        <v>-0.000202604704039667</v>
      </c>
      <c r="L55" s="93" t="n">
        <v>0.249443926414243</v>
      </c>
      <c r="M55" s="93" t="n">
        <v>0.169768753427599</v>
      </c>
      <c r="N55" s="93" t="n">
        <v>-0.0511355781947141</v>
      </c>
    </row>
    <row r="56" customFormat="false" ht="15" hidden="false" customHeight="false" outlineLevel="0" collapsed="false">
      <c r="A56" s="4" t="str">
        <f aca="false">A9</f>
        <v>protein &gt;= min</v>
      </c>
      <c r="B56" s="75" t="str">
        <f aca="false">B9</f>
        <v>≥</v>
      </c>
      <c r="C56" s="99" t="n">
        <f aca="false">INDEX($H$55:$N$55,1,2)</f>
        <v>0.0194130263390326</v>
      </c>
      <c r="D56" s="75" t="str">
        <f aca="false">IF(B56="≥",IF(C56&gt;=-0.000000001,"✓","✗"),IF(C56&lt;=0.000000001,"✓","✗"))</f>
        <v>✓</v>
      </c>
      <c r="E56" s="4" t="str">
        <f aca="false">TEXT(C56*1,"$0.000")&amp;" per +1 g of protein"</f>
        <v>$0.019 per +1 g of protein</v>
      </c>
    </row>
    <row r="57" customFormat="false" ht="15" hidden="false" customHeight="false" outlineLevel="0" collapsed="false">
      <c r="A57" s="4" t="str">
        <f aca="false">A10</f>
        <v>calcium &gt;= min</v>
      </c>
      <c r="B57" s="75" t="str">
        <f aca="false">B10</f>
        <v>≥</v>
      </c>
      <c r="C57" s="99" t="n">
        <f aca="false">INDEX($H$55:$N$55,1,3)</f>
        <v>8.67589769113916E-005</v>
      </c>
      <c r="D57" s="75" t="str">
        <f aca="false">IF(B57="≥",IF(C57&gt;=-0.000000001,"✓","✗"),IF(C57&lt;=0.000000001,"✓","✗"))</f>
        <v>✓</v>
      </c>
      <c r="E57" s="4" t="str">
        <f aca="false">TEXT(C57*100,"$0.000")&amp;" per +100 mg calcium"</f>
        <v>$0.009 per +100 mg calcium</v>
      </c>
    </row>
    <row r="58" customFormat="false" ht="15" hidden="false" customHeight="false" outlineLevel="0" collapsed="false">
      <c r="A58" s="4" t="str">
        <f aca="false">A11</f>
        <v>carb% &lt;= 65% of kcal</v>
      </c>
      <c r="B58" s="75" t="str">
        <f aca="false">B11</f>
        <v>≤</v>
      </c>
      <c r="C58" s="99" t="n">
        <f aca="false">INDEX($H$55:$N$55,1,4)</f>
        <v>-0.000202604704039667</v>
      </c>
      <c r="D58" s="75" t="str">
        <f aca="false">IF(B58="≥",IF(C58&gt;=-0.000000001,"✓","✗"),IF(C58&lt;=0.000000001,"✓","✗"))</f>
        <v>✓</v>
      </c>
      <c r="E58" s="4" t="str">
        <f aca="false">TEXT(ABS(C58)*100,"$0.000")&amp;" per 100 kcal the carb limit is loosened"</f>
        <v>$0.020 per 100 kcal the carb limit is loosened</v>
      </c>
    </row>
    <row r="59" customFormat="false" ht="15" hidden="false" customHeight="false" outlineLevel="0" collapsed="false">
      <c r="A59" s="4" t="str">
        <f aca="false">A12</f>
        <v>vegetables &gt;= 2.5 cup-eq</v>
      </c>
      <c r="B59" s="75" t="str">
        <f aca="false">B12</f>
        <v>≥</v>
      </c>
      <c r="C59" s="99" t="n">
        <f aca="false">INDEX($H$55:$N$55,1,5)</f>
        <v>0.249443926414243</v>
      </c>
      <c r="D59" s="75" t="str">
        <f aca="false">IF(B59="≥",IF(C59&gt;=-0.000000001,"✓","✗"),IF(C59&lt;=0.000000001,"✓","✗"))</f>
        <v>✓</v>
      </c>
      <c r="E59" s="4" t="str">
        <f aca="false">TEXT(C59*1,"$0.000")&amp;" per +1 cup of vegetables"</f>
        <v>$0.249 per +1 cup of vegetables</v>
      </c>
    </row>
    <row r="60" customFormat="false" ht="15" hidden="false" customHeight="false" outlineLevel="0" collapsed="false">
      <c r="A60" s="4" t="str">
        <f aca="false">A13</f>
        <v>fruit &gt;= 2 cup-eq</v>
      </c>
      <c r="B60" s="75" t="str">
        <f aca="false">B13</f>
        <v>≥</v>
      </c>
      <c r="C60" s="99" t="n">
        <f aca="false">INDEX($H$55:$N$55,1,6)</f>
        <v>0.169768753427599</v>
      </c>
      <c r="D60" s="75" t="str">
        <f aca="false">IF(B60="≥",IF(C60&gt;=-0.000000001,"✓","✗"),IF(C60&lt;=0.000000001,"✓","✗"))</f>
        <v>✓</v>
      </c>
      <c r="E60" s="4" t="str">
        <f aca="false">TEXT(C60*1,"$0.000")&amp;" per +1 cup of fruit"</f>
        <v>$0.170 per +1 cup of fruit</v>
      </c>
    </row>
    <row r="61" customFormat="false" ht="15" hidden="false" customHeight="false" outlineLevel="0" collapsed="false">
      <c r="A61" s="4" t="str">
        <f aca="false">A14</f>
        <v>legumes &lt;= 3 servings</v>
      </c>
      <c r="B61" s="75" t="str">
        <f aca="false">B14</f>
        <v>≤</v>
      </c>
      <c r="C61" s="99" t="n">
        <f aca="false">INDEX($H$55:$N$55,1,7)</f>
        <v>-0.0511355781947141</v>
      </c>
      <c r="D61" s="75" t="str">
        <f aca="false">IF(B61="≥",IF(C61&gt;=-0.000000001,"✓","✗"),IF(C61&lt;=0.000000001,"✓","✗"))</f>
        <v>✓</v>
      </c>
      <c r="E61" s="4" t="str">
        <f aca="false">TEXT(ABS(C61),"$0.000")&amp;" saved per extra serving the legumes cap allows"</f>
        <v>$0.051 saved per extra serving the legumes cap allows</v>
      </c>
    </row>
    <row r="63" customFormat="false" ht="15" hidden="false" customHeight="false" outlineLevel="0" collapsed="false">
      <c r="A63" s="3" t="s">
        <v>1145</v>
      </c>
    </row>
    <row r="64" customFormat="false" ht="15" hidden="false" customHeight="false" outlineLevel="0" collapsed="false">
      <c r="A64" s="62" t="s">
        <v>1146</v>
      </c>
      <c r="F64" s="100" t="n">
        <f aca="false" t="array" ref="F64:EU64">F16:EU16-MMULT(H55:N55,F8:EU14)</f>
        <v>0.251795291560693</v>
      </c>
      <c r="G64" s="100" t="n">
        <v>0</v>
      </c>
      <c r="H64" s="100" t="n">
        <v>0.308675338302943</v>
      </c>
      <c r="I64" s="100" t="n">
        <v>0.972010348742674</v>
      </c>
      <c r="J64" s="100" t="n">
        <v>0.81771929053279</v>
      </c>
      <c r="K64" s="100" t="n">
        <v>0.246056549247129</v>
      </c>
      <c r="L64" s="100" t="n">
        <v>0.571920893039563</v>
      </c>
      <c r="M64" s="100" t="n">
        <v>1.42158731442145</v>
      </c>
      <c r="N64" s="100" t="n">
        <v>1.01052520330264</v>
      </c>
      <c r="O64" s="100" t="n">
        <v>1.28620925140993</v>
      </c>
      <c r="P64" s="100" t="n">
        <v>0.72814991365178</v>
      </c>
      <c r="Q64" s="100" t="n">
        <v>0.451052817128275</v>
      </c>
      <c r="R64" s="100" t="n">
        <v>1.69375992340925</v>
      </c>
      <c r="S64" s="100" t="n">
        <v>2.49130675589374</v>
      </c>
      <c r="T64" s="100" t="n">
        <v>0.454289823670383</v>
      </c>
      <c r="U64" s="100" t="n">
        <v>1.96216025236432</v>
      </c>
      <c r="V64" s="100" t="n">
        <v>1.47093535638087</v>
      </c>
      <c r="W64" s="100" t="n">
        <v>0.559787025519006</v>
      </c>
      <c r="X64" s="100" t="n">
        <v>-0.0103760934161544</v>
      </c>
      <c r="Y64" s="100" t="n">
        <v>0.126451644191219</v>
      </c>
      <c r="Z64" s="100" t="n">
        <v>0.024848925309815</v>
      </c>
      <c r="AA64" s="100" t="n">
        <v>0.283715873611768</v>
      </c>
      <c r="AB64" s="100" t="n">
        <v>0.0993466949316781</v>
      </c>
      <c r="AC64" s="100" t="n">
        <v>0.139379923539612</v>
      </c>
      <c r="AD64" s="100" t="n">
        <v>0.163548589237849</v>
      </c>
      <c r="AE64" s="100" t="n">
        <v>0.067012591619552</v>
      </c>
      <c r="AF64" s="100" t="n">
        <v>0.219661343052203</v>
      </c>
      <c r="AG64" s="100" t="n">
        <v>0.0655109666939623</v>
      </c>
      <c r="AH64" s="100" t="n">
        <v>0</v>
      </c>
      <c r="AI64" s="100" t="n">
        <v>0.269882245480416</v>
      </c>
      <c r="AJ64" s="100" t="n">
        <v>0.177099068785161</v>
      </c>
      <c r="AK64" s="100" t="n">
        <v>0.0196698751646155</v>
      </c>
      <c r="AL64" s="100" t="n">
        <v>-0.23620539896352</v>
      </c>
      <c r="AM64" s="100" t="n">
        <v>0.233001349938249</v>
      </c>
      <c r="AN64" s="100" t="n">
        <v>-0.14870609750668</v>
      </c>
      <c r="AO64" s="100" t="n">
        <v>0.519820868222974</v>
      </c>
      <c r="AP64" s="100" t="n">
        <v>0</v>
      </c>
      <c r="AQ64" s="100" t="n">
        <v>0.140350387064617</v>
      </c>
      <c r="AR64" s="100" t="n">
        <v>0.165711669738597</v>
      </c>
      <c r="AS64" s="100" t="n">
        <v>0.00474960289426449</v>
      </c>
      <c r="AT64" s="100" t="n">
        <v>0.00403999098613972</v>
      </c>
      <c r="AU64" s="100" t="n">
        <v>0.206702078884341</v>
      </c>
      <c r="AV64" s="100" t="n">
        <v>0.190166654252701</v>
      </c>
      <c r="AW64" s="100" t="n">
        <v>0.363345881265152</v>
      </c>
      <c r="AX64" s="100" t="n">
        <v>0.120892877397729</v>
      </c>
      <c r="AY64" s="100" t="n">
        <v>0</v>
      </c>
      <c r="AZ64" s="100" t="n">
        <v>0.657000149182847</v>
      </c>
      <c r="BA64" s="100" t="n">
        <v>0.170107138930403</v>
      </c>
      <c r="BB64" s="100" t="n">
        <v>0.222444570892198</v>
      </c>
      <c r="BC64" s="100" t="n">
        <v>0.427666535217544</v>
      </c>
      <c r="BD64" s="100" t="n">
        <v>0.0552815053965874</v>
      </c>
      <c r="BE64" s="100" t="n">
        <v>0</v>
      </c>
      <c r="BF64" s="100" t="n">
        <v>0.0482817620398253</v>
      </c>
      <c r="BG64" s="100" t="n">
        <v>-0.0703694124333744</v>
      </c>
      <c r="BH64" s="100" t="n">
        <v>0.0636416948979336</v>
      </c>
      <c r="BI64" s="100" t="n">
        <v>0.071310119552508</v>
      </c>
      <c r="BJ64" s="100" t="n">
        <v>0.469848108845122</v>
      </c>
      <c r="BK64" s="100" t="n">
        <v>0.252221768046636</v>
      </c>
      <c r="BL64" s="100" t="n">
        <v>0.22088186511899</v>
      </c>
      <c r="BM64" s="100" t="n">
        <v>0.50003707613132</v>
      </c>
      <c r="BN64" s="100" t="n">
        <v>0.277848614139482</v>
      </c>
      <c r="BO64" s="100" t="n">
        <v>0.378648872377308</v>
      </c>
      <c r="BP64" s="100" t="n">
        <v>0.237181494449108</v>
      </c>
      <c r="BQ64" s="100" t="n">
        <v>0.328271266369316</v>
      </c>
      <c r="BR64" s="100" t="n">
        <v>0.175113286454429</v>
      </c>
      <c r="BS64" s="100" t="n">
        <v>0.217851406837915</v>
      </c>
      <c r="BT64" s="100" t="n">
        <v>0</v>
      </c>
      <c r="BU64" s="100" t="n">
        <v>1.51287209295709</v>
      </c>
      <c r="BV64" s="100" t="n">
        <v>0.462687119457947</v>
      </c>
      <c r="BW64" s="100" t="n">
        <v>0.236871448056303</v>
      </c>
      <c r="BX64" s="100" t="n">
        <v>0.793375940190402</v>
      </c>
      <c r="BY64" s="100" t="n">
        <v>0.378019494257612</v>
      </c>
      <c r="BZ64" s="100" t="n">
        <v>1.1000244694224</v>
      </c>
      <c r="CA64" s="100" t="n">
        <v>1.70522598501169</v>
      </c>
      <c r="CB64" s="100" t="n">
        <v>1.01597937500175</v>
      </c>
      <c r="CC64" s="100" t="n">
        <v>0.560131668001013</v>
      </c>
      <c r="CD64" s="100" t="n">
        <v>0.626425250313449</v>
      </c>
      <c r="CE64" s="100" t="n">
        <v>0.297231785563933</v>
      </c>
      <c r="CF64" s="100" t="n">
        <v>0.521770327332091</v>
      </c>
      <c r="CG64" s="100" t="n">
        <v>0.747130751806112</v>
      </c>
      <c r="CH64" s="100" t="n">
        <v>0.355687194509629</v>
      </c>
      <c r="CI64" s="100" t="n">
        <v>0.492173596309674</v>
      </c>
      <c r="CJ64" s="100" t="n">
        <v>0.157771029290506</v>
      </c>
      <c r="CK64" s="100" t="n">
        <v>0.337460105280866</v>
      </c>
      <c r="CL64" s="100" t="n">
        <v>0.361090820941682</v>
      </c>
      <c r="CM64" s="100" t="n">
        <v>0.466682043069462</v>
      </c>
      <c r="CN64" s="100" t="n">
        <v>0.52115986711503</v>
      </c>
      <c r="CO64" s="100" t="n">
        <v>0.365112248863567</v>
      </c>
      <c r="CP64" s="100" t="n">
        <v>0.48702811823268</v>
      </c>
      <c r="CQ64" s="100" t="n">
        <v>0.188411475055764</v>
      </c>
      <c r="CR64" s="100" t="n">
        <v>0.336785111383299</v>
      </c>
      <c r="CS64" s="100" t="n">
        <v>0.54033156833238</v>
      </c>
      <c r="CT64" s="100" t="n">
        <v>1.385936786148</v>
      </c>
      <c r="CU64" s="100" t="n">
        <v>0.480764051723142</v>
      </c>
      <c r="CV64" s="100" t="n">
        <v>1.77191416636289</v>
      </c>
      <c r="CW64" s="100" t="n">
        <v>0.567605893071541</v>
      </c>
      <c r="CX64" s="100" t="n">
        <v>0.653325516789139</v>
      </c>
      <c r="CY64" s="100" t="n">
        <v>0.0557612300911685</v>
      </c>
      <c r="CZ64" s="100" t="n">
        <v>0.182257628327392</v>
      </c>
      <c r="DA64" s="100" t="n">
        <v>1.18327923259421</v>
      </c>
      <c r="DB64" s="100" t="n">
        <v>0.123912755162352</v>
      </c>
      <c r="DC64" s="100" t="n">
        <v>0.186129252770546</v>
      </c>
      <c r="DD64" s="100" t="n">
        <v>0</v>
      </c>
      <c r="DE64" s="100" t="n">
        <v>0.413699610402361</v>
      </c>
      <c r="DF64" s="100" t="n">
        <v>0.148724890269743</v>
      </c>
      <c r="DG64" s="100" t="n">
        <v>-0.0695909529948065</v>
      </c>
      <c r="DH64" s="100" t="n">
        <v>0.0536708034655304</v>
      </c>
      <c r="DI64" s="100" t="n">
        <v>0.0602319940252603</v>
      </c>
      <c r="DJ64" s="100" t="n">
        <v>0.203678648441487</v>
      </c>
      <c r="DK64" s="100" t="n">
        <v>0.24114706899364</v>
      </c>
      <c r="DL64" s="100" t="n">
        <v>0.378406402292296</v>
      </c>
      <c r="DM64" s="100" t="n">
        <v>0.0827935479734276</v>
      </c>
      <c r="DN64" s="100" t="n">
        <v>0.588462460129795</v>
      </c>
      <c r="DO64" s="100" t="n">
        <v>0.405244582481674</v>
      </c>
      <c r="DP64" s="100" t="n">
        <v>0.00823892588911779</v>
      </c>
      <c r="DQ64" s="100" t="n">
        <v>0.0800799406507962</v>
      </c>
      <c r="DR64" s="100" t="n">
        <v>0.239245362009006</v>
      </c>
      <c r="DS64" s="100" t="n">
        <v>0.536402094983106</v>
      </c>
      <c r="DT64" s="100" t="n">
        <v>0.185825226463074</v>
      </c>
      <c r="DU64" s="100" t="n">
        <v>0.309059182835237</v>
      </c>
      <c r="DV64" s="100" t="n">
        <v>0.0246297455199058</v>
      </c>
      <c r="DW64" s="100" t="n">
        <v>0.58095319297955</v>
      </c>
      <c r="DX64" s="100" t="n">
        <v>0.424354307162127</v>
      </c>
      <c r="DY64" s="100" t="n">
        <v>0.421597048881525</v>
      </c>
      <c r="DZ64" s="100" t="n">
        <v>0.058644342513037</v>
      </c>
      <c r="EA64" s="100" t="n">
        <v>0.377648685920473</v>
      </c>
      <c r="EB64" s="100" t="n">
        <v>0.248648074942911</v>
      </c>
      <c r="EC64" s="100" t="n">
        <v>0.294928326332864</v>
      </c>
      <c r="ED64" s="100" t="n">
        <v>0.482495670697941</v>
      </c>
      <c r="EE64" s="100" t="n">
        <v>0.268712031290531</v>
      </c>
      <c r="EF64" s="100" t="n">
        <v>0.248733249674038</v>
      </c>
      <c r="EG64" s="100" t="n">
        <v>0.211444550625669</v>
      </c>
      <c r="EH64" s="100" t="n">
        <v>0.308728901505821</v>
      </c>
      <c r="EI64" s="100" t="n">
        <v>0.170004848796289</v>
      </c>
      <c r="EJ64" s="100" t="n">
        <v>0.0474320604942287</v>
      </c>
      <c r="EK64" s="100" t="n">
        <v>0.442963776600569</v>
      </c>
      <c r="EL64" s="100" t="n">
        <v>0.174972896893243</v>
      </c>
      <c r="EM64" s="100" t="n">
        <v>0.434792610345403</v>
      </c>
      <c r="EN64" s="100" t="n">
        <v>0.0608567755904785</v>
      </c>
      <c r="EO64" s="100" t="n">
        <v>1.04659214023026</v>
      </c>
      <c r="EP64" s="100" t="n">
        <v>1.50904288529476</v>
      </c>
      <c r="EQ64" s="100" t="n">
        <v>0.560052856196562</v>
      </c>
      <c r="ER64" s="100" t="n">
        <v>0.631943574072849</v>
      </c>
      <c r="ES64" s="100" t="n">
        <v>0.782512992924196</v>
      </c>
      <c r="ET64" s="100" t="n">
        <v>0.591172336253938</v>
      </c>
      <c r="EU64" s="100" t="n">
        <v>0.275223298316728</v>
      </c>
    </row>
    <row r="65" customFormat="false" ht="15" hidden="false" customHeight="false" outlineLevel="0" collapsed="false">
      <c r="A65" s="62" t="s">
        <v>1147</v>
      </c>
      <c r="F65" s="75" t="s">
        <v>1148</v>
      </c>
      <c r="G65" s="75" t="s">
        <v>1149</v>
      </c>
      <c r="H65" s="75" t="s">
        <v>1148</v>
      </c>
      <c r="I65" s="75" t="s">
        <v>1148</v>
      </c>
      <c r="J65" s="75" t="s">
        <v>1148</v>
      </c>
      <c r="K65" s="75" t="s">
        <v>1148</v>
      </c>
      <c r="L65" s="75" t="s">
        <v>1148</v>
      </c>
      <c r="M65" s="75" t="s">
        <v>1148</v>
      </c>
      <c r="N65" s="75" t="s">
        <v>1148</v>
      </c>
      <c r="O65" s="75" t="s">
        <v>1148</v>
      </c>
      <c r="P65" s="75" t="s">
        <v>1148</v>
      </c>
      <c r="Q65" s="75" t="s">
        <v>1148</v>
      </c>
      <c r="R65" s="75" t="s">
        <v>1148</v>
      </c>
      <c r="S65" s="75" t="s">
        <v>1148</v>
      </c>
      <c r="T65" s="75" t="s">
        <v>1148</v>
      </c>
      <c r="U65" s="75" t="s">
        <v>1148</v>
      </c>
      <c r="V65" s="75" t="s">
        <v>1148</v>
      </c>
      <c r="W65" s="75" t="s">
        <v>1148</v>
      </c>
      <c r="X65" s="75" t="s">
        <v>1150</v>
      </c>
      <c r="Y65" s="75" t="s">
        <v>1148</v>
      </c>
      <c r="Z65" s="75" t="s">
        <v>1148</v>
      </c>
      <c r="AA65" s="75" t="s">
        <v>1148</v>
      </c>
      <c r="AB65" s="75" t="s">
        <v>1148</v>
      </c>
      <c r="AC65" s="75" t="s">
        <v>1148</v>
      </c>
      <c r="AD65" s="75" t="s">
        <v>1148</v>
      </c>
      <c r="AE65" s="75" t="s">
        <v>1148</v>
      </c>
      <c r="AF65" s="75" t="s">
        <v>1148</v>
      </c>
      <c r="AG65" s="75" t="s">
        <v>1148</v>
      </c>
      <c r="AH65" s="75" t="s">
        <v>1149</v>
      </c>
      <c r="AI65" s="75" t="s">
        <v>1148</v>
      </c>
      <c r="AJ65" s="75" t="s">
        <v>1148</v>
      </c>
      <c r="AK65" s="75" t="s">
        <v>1148</v>
      </c>
      <c r="AL65" s="75" t="s">
        <v>1150</v>
      </c>
      <c r="AM65" s="75" t="s">
        <v>1148</v>
      </c>
      <c r="AN65" s="75" t="s">
        <v>1150</v>
      </c>
      <c r="AO65" s="75" t="s">
        <v>1148</v>
      </c>
      <c r="AP65" s="75" t="s">
        <v>1149</v>
      </c>
      <c r="AQ65" s="75" t="s">
        <v>1148</v>
      </c>
      <c r="AR65" s="75" t="s">
        <v>1148</v>
      </c>
      <c r="AS65" s="75" t="s">
        <v>1148</v>
      </c>
      <c r="AT65" s="75" t="s">
        <v>1148</v>
      </c>
      <c r="AU65" s="75" t="s">
        <v>1148</v>
      </c>
      <c r="AV65" s="75" t="s">
        <v>1148</v>
      </c>
      <c r="AW65" s="75" t="s">
        <v>1148</v>
      </c>
      <c r="AX65" s="75" t="s">
        <v>1148</v>
      </c>
      <c r="AY65" s="75" t="s">
        <v>1149</v>
      </c>
      <c r="AZ65" s="75" t="s">
        <v>1148</v>
      </c>
      <c r="BA65" s="75" t="s">
        <v>1148</v>
      </c>
      <c r="BB65" s="75" t="s">
        <v>1148</v>
      </c>
      <c r="BC65" s="75" t="s">
        <v>1148</v>
      </c>
      <c r="BD65" s="75" t="s">
        <v>1148</v>
      </c>
      <c r="BE65" s="75" t="s">
        <v>1149</v>
      </c>
      <c r="BF65" s="75" t="s">
        <v>1148</v>
      </c>
      <c r="BG65" s="75" t="s">
        <v>1150</v>
      </c>
      <c r="BH65" s="75" t="s">
        <v>1148</v>
      </c>
      <c r="BI65" s="75" t="s">
        <v>1148</v>
      </c>
      <c r="BJ65" s="75" t="s">
        <v>1148</v>
      </c>
      <c r="BK65" s="75" t="s">
        <v>1148</v>
      </c>
      <c r="BL65" s="75" t="s">
        <v>1148</v>
      </c>
      <c r="BM65" s="75" t="s">
        <v>1148</v>
      </c>
      <c r="BN65" s="75" t="s">
        <v>1148</v>
      </c>
      <c r="BO65" s="75" t="s">
        <v>1148</v>
      </c>
      <c r="BP65" s="75" t="s">
        <v>1148</v>
      </c>
      <c r="BQ65" s="75" t="s">
        <v>1148</v>
      </c>
      <c r="BR65" s="75" t="s">
        <v>1148</v>
      </c>
      <c r="BS65" s="75" t="s">
        <v>1148</v>
      </c>
      <c r="BT65" s="75" t="s">
        <v>1149</v>
      </c>
      <c r="BU65" s="75" t="s">
        <v>1148</v>
      </c>
      <c r="BV65" s="75" t="s">
        <v>1148</v>
      </c>
      <c r="BW65" s="75" t="s">
        <v>1148</v>
      </c>
      <c r="BX65" s="75" t="s">
        <v>1148</v>
      </c>
      <c r="BY65" s="75" t="s">
        <v>1148</v>
      </c>
      <c r="BZ65" s="75" t="s">
        <v>1148</v>
      </c>
      <c r="CA65" s="75" t="s">
        <v>1148</v>
      </c>
      <c r="CB65" s="75" t="s">
        <v>1148</v>
      </c>
      <c r="CC65" s="75" t="s">
        <v>1148</v>
      </c>
      <c r="CD65" s="75" t="s">
        <v>1148</v>
      </c>
      <c r="CE65" s="75" t="s">
        <v>1148</v>
      </c>
      <c r="CF65" s="75" t="s">
        <v>1148</v>
      </c>
      <c r="CG65" s="75" t="s">
        <v>1148</v>
      </c>
      <c r="CH65" s="75" t="s">
        <v>1148</v>
      </c>
      <c r="CI65" s="75" t="s">
        <v>1148</v>
      </c>
      <c r="CJ65" s="75" t="s">
        <v>1148</v>
      </c>
      <c r="CK65" s="75" t="s">
        <v>1148</v>
      </c>
      <c r="CL65" s="75" t="s">
        <v>1148</v>
      </c>
      <c r="CM65" s="75" t="s">
        <v>1148</v>
      </c>
      <c r="CN65" s="75" t="s">
        <v>1148</v>
      </c>
      <c r="CO65" s="75" t="s">
        <v>1148</v>
      </c>
      <c r="CP65" s="75" t="s">
        <v>1148</v>
      </c>
      <c r="CQ65" s="75" t="s">
        <v>1148</v>
      </c>
      <c r="CR65" s="75" t="s">
        <v>1148</v>
      </c>
      <c r="CS65" s="75" t="s">
        <v>1148</v>
      </c>
      <c r="CT65" s="75" t="s">
        <v>1148</v>
      </c>
      <c r="CU65" s="75" t="s">
        <v>1148</v>
      </c>
      <c r="CV65" s="75" t="s">
        <v>1148</v>
      </c>
      <c r="CW65" s="75" t="s">
        <v>1148</v>
      </c>
      <c r="CX65" s="75" t="s">
        <v>1148</v>
      </c>
      <c r="CY65" s="75" t="s">
        <v>1148</v>
      </c>
      <c r="CZ65" s="75" t="s">
        <v>1148</v>
      </c>
      <c r="DA65" s="75" t="s">
        <v>1148</v>
      </c>
      <c r="DB65" s="75" t="s">
        <v>1148</v>
      </c>
      <c r="DC65" s="75" t="s">
        <v>1148</v>
      </c>
      <c r="DD65" s="75" t="s">
        <v>1149</v>
      </c>
      <c r="DE65" s="75" t="s">
        <v>1148</v>
      </c>
      <c r="DF65" s="75" t="s">
        <v>1148</v>
      </c>
      <c r="DG65" s="75" t="s">
        <v>1150</v>
      </c>
      <c r="DH65" s="75" t="s">
        <v>1148</v>
      </c>
      <c r="DI65" s="75" t="s">
        <v>1148</v>
      </c>
      <c r="DJ65" s="75" t="s">
        <v>1148</v>
      </c>
      <c r="DK65" s="75" t="s">
        <v>1148</v>
      </c>
      <c r="DL65" s="75" t="s">
        <v>1148</v>
      </c>
      <c r="DM65" s="75" t="s">
        <v>1148</v>
      </c>
      <c r="DN65" s="75" t="s">
        <v>1148</v>
      </c>
      <c r="DO65" s="75" t="s">
        <v>1148</v>
      </c>
      <c r="DP65" s="75" t="s">
        <v>1148</v>
      </c>
      <c r="DQ65" s="75" t="s">
        <v>1148</v>
      </c>
      <c r="DR65" s="75" t="s">
        <v>1148</v>
      </c>
      <c r="DS65" s="75" t="s">
        <v>1148</v>
      </c>
      <c r="DT65" s="75" t="s">
        <v>1148</v>
      </c>
      <c r="DU65" s="75" t="s">
        <v>1148</v>
      </c>
      <c r="DV65" s="75" t="s">
        <v>1148</v>
      </c>
      <c r="DW65" s="75" t="s">
        <v>1148</v>
      </c>
      <c r="DX65" s="75" t="s">
        <v>1148</v>
      </c>
      <c r="DY65" s="75" t="s">
        <v>1148</v>
      </c>
      <c r="DZ65" s="75" t="s">
        <v>1148</v>
      </c>
      <c r="EA65" s="75" t="s">
        <v>1148</v>
      </c>
      <c r="EB65" s="75" t="s">
        <v>1148</v>
      </c>
      <c r="EC65" s="75" t="s">
        <v>1148</v>
      </c>
      <c r="ED65" s="75" t="s">
        <v>1148</v>
      </c>
      <c r="EE65" s="75" t="s">
        <v>1148</v>
      </c>
      <c r="EF65" s="75" t="s">
        <v>1148</v>
      </c>
      <c r="EG65" s="75" t="s">
        <v>1148</v>
      </c>
      <c r="EH65" s="75" t="s">
        <v>1148</v>
      </c>
      <c r="EI65" s="75" t="s">
        <v>1148</v>
      </c>
      <c r="EJ65" s="75" t="s">
        <v>1148</v>
      </c>
      <c r="EK65" s="75" t="s">
        <v>1148</v>
      </c>
      <c r="EL65" s="75" t="s">
        <v>1148</v>
      </c>
      <c r="EM65" s="75" t="s">
        <v>1148</v>
      </c>
      <c r="EN65" s="75" t="s">
        <v>1148</v>
      </c>
      <c r="EO65" s="75" t="s">
        <v>1148</v>
      </c>
      <c r="EP65" s="75" t="s">
        <v>1148</v>
      </c>
      <c r="EQ65" s="75" t="s">
        <v>1148</v>
      </c>
      <c r="ER65" s="75" t="s">
        <v>1148</v>
      </c>
      <c r="ES65" s="75" t="s">
        <v>1148</v>
      </c>
      <c r="ET65" s="75" t="s">
        <v>1148</v>
      </c>
      <c r="EU65" s="75" t="s">
        <v>1148</v>
      </c>
    </row>
    <row r="66" customFormat="false" ht="15" hidden="false" customHeight="false" outlineLevel="0" collapsed="false">
      <c r="A66" s="62" t="s">
        <v>1151</v>
      </c>
      <c r="F66" s="75" t="str">
        <f aca="false">IF(F64&gt;=-0.000000001,"OK","FAIL")</f>
        <v>OK</v>
      </c>
      <c r="G66" s="75" t="str">
        <f aca="false">IF(ABS(G64)&lt;0.0000001,"OK","FAIL")</f>
        <v>OK</v>
      </c>
      <c r="H66" s="75" t="str">
        <f aca="false">IF(H64&gt;=-0.000000001,"OK","FAIL")</f>
        <v>OK</v>
      </c>
      <c r="I66" s="75" t="str">
        <f aca="false">IF(I64&gt;=-0.000000001,"OK","FAIL")</f>
        <v>OK</v>
      </c>
      <c r="J66" s="75" t="str">
        <f aca="false">IF(J64&gt;=-0.000000001,"OK","FAIL")</f>
        <v>OK</v>
      </c>
      <c r="K66" s="75" t="str">
        <f aca="false">IF(K64&gt;=-0.000000001,"OK","FAIL")</f>
        <v>OK</v>
      </c>
      <c r="L66" s="75" t="str">
        <f aca="false">IF(L64&gt;=-0.000000001,"OK","FAIL")</f>
        <v>OK</v>
      </c>
      <c r="M66" s="75" t="str">
        <f aca="false">IF(M64&gt;=-0.000000001,"OK","FAIL")</f>
        <v>OK</v>
      </c>
      <c r="N66" s="75" t="str">
        <f aca="false">IF(N64&gt;=-0.000000001,"OK","FAIL")</f>
        <v>OK</v>
      </c>
      <c r="O66" s="75" t="str">
        <f aca="false">IF(O64&gt;=-0.000000001,"OK","FAIL")</f>
        <v>OK</v>
      </c>
      <c r="P66" s="75" t="str">
        <f aca="false">IF(P64&gt;=-0.000000001,"OK","FAIL")</f>
        <v>OK</v>
      </c>
      <c r="Q66" s="75" t="str">
        <f aca="false">IF(Q64&gt;=-0.000000001,"OK","FAIL")</f>
        <v>OK</v>
      </c>
      <c r="R66" s="75" t="str">
        <f aca="false">IF(R64&gt;=-0.000000001,"OK","FAIL")</f>
        <v>OK</v>
      </c>
      <c r="S66" s="75" t="str">
        <f aca="false">IF(S64&gt;=-0.000000001,"OK","FAIL")</f>
        <v>OK</v>
      </c>
      <c r="T66" s="75" t="str">
        <f aca="false">IF(T64&gt;=-0.000000001,"OK","FAIL")</f>
        <v>OK</v>
      </c>
      <c r="U66" s="75" t="str">
        <f aca="false">IF(U64&gt;=-0.000000001,"OK","FAIL")</f>
        <v>OK</v>
      </c>
      <c r="V66" s="75" t="str">
        <f aca="false">IF(V64&gt;=-0.000000001,"OK","FAIL")</f>
        <v>OK</v>
      </c>
      <c r="W66" s="75" t="str">
        <f aca="false">IF(W64&gt;=-0.000000001,"OK","FAIL")</f>
        <v>OK</v>
      </c>
      <c r="X66" s="75" t="str">
        <f aca="false">IF(X64&lt;=0.000000001,"OK","FAIL")</f>
        <v>OK</v>
      </c>
      <c r="Y66" s="75" t="str">
        <f aca="false">IF(Y64&gt;=-0.000000001,"OK","FAIL")</f>
        <v>OK</v>
      </c>
      <c r="Z66" s="75" t="str">
        <f aca="false">IF(Z64&gt;=-0.000000001,"OK","FAIL")</f>
        <v>OK</v>
      </c>
      <c r="AA66" s="75" t="str">
        <f aca="false">IF(AA64&gt;=-0.000000001,"OK","FAIL")</f>
        <v>OK</v>
      </c>
      <c r="AB66" s="75" t="str">
        <f aca="false">IF(AB64&gt;=-0.000000001,"OK","FAIL")</f>
        <v>OK</v>
      </c>
      <c r="AC66" s="75" t="str">
        <f aca="false">IF(AC64&gt;=-0.000000001,"OK","FAIL")</f>
        <v>OK</v>
      </c>
      <c r="AD66" s="75" t="str">
        <f aca="false">IF(AD64&gt;=-0.000000001,"OK","FAIL")</f>
        <v>OK</v>
      </c>
      <c r="AE66" s="75" t="str">
        <f aca="false">IF(AE64&gt;=-0.000000001,"OK","FAIL")</f>
        <v>OK</v>
      </c>
      <c r="AF66" s="75" t="str">
        <f aca="false">IF(AF64&gt;=-0.000000001,"OK","FAIL")</f>
        <v>OK</v>
      </c>
      <c r="AG66" s="75" t="str">
        <f aca="false">IF(AG64&gt;=-0.000000001,"OK","FAIL")</f>
        <v>OK</v>
      </c>
      <c r="AH66" s="75" t="str">
        <f aca="false">IF(ABS(AH64)&lt;0.0000001,"OK","FAIL")</f>
        <v>OK</v>
      </c>
      <c r="AI66" s="75" t="str">
        <f aca="false">IF(AI64&gt;=-0.000000001,"OK","FAIL")</f>
        <v>OK</v>
      </c>
      <c r="AJ66" s="75" t="str">
        <f aca="false">IF(AJ64&gt;=-0.000000001,"OK","FAIL")</f>
        <v>OK</v>
      </c>
      <c r="AK66" s="75" t="str">
        <f aca="false">IF(AK64&gt;=-0.000000001,"OK","FAIL")</f>
        <v>OK</v>
      </c>
      <c r="AL66" s="75" t="str">
        <f aca="false">IF(AL64&lt;=0.000000001,"OK","FAIL")</f>
        <v>OK</v>
      </c>
      <c r="AM66" s="75" t="str">
        <f aca="false">IF(AM64&gt;=-0.000000001,"OK","FAIL")</f>
        <v>OK</v>
      </c>
      <c r="AN66" s="75" t="str">
        <f aca="false">IF(AN64&lt;=0.000000001,"OK","FAIL")</f>
        <v>OK</v>
      </c>
      <c r="AO66" s="75" t="str">
        <f aca="false">IF(AO64&gt;=-0.000000001,"OK","FAIL")</f>
        <v>OK</v>
      </c>
      <c r="AP66" s="75" t="str">
        <f aca="false">IF(ABS(AP64)&lt;0.0000001,"OK","FAIL")</f>
        <v>OK</v>
      </c>
      <c r="AQ66" s="75" t="str">
        <f aca="false">IF(AQ64&gt;=-0.000000001,"OK","FAIL")</f>
        <v>OK</v>
      </c>
      <c r="AR66" s="75" t="str">
        <f aca="false">IF(AR64&gt;=-0.000000001,"OK","FAIL")</f>
        <v>OK</v>
      </c>
      <c r="AS66" s="75" t="str">
        <f aca="false">IF(AS64&gt;=-0.000000001,"OK","FAIL")</f>
        <v>OK</v>
      </c>
      <c r="AT66" s="75" t="str">
        <f aca="false">IF(AT64&gt;=-0.000000001,"OK","FAIL")</f>
        <v>OK</v>
      </c>
      <c r="AU66" s="75" t="str">
        <f aca="false">IF(AU64&gt;=-0.000000001,"OK","FAIL")</f>
        <v>OK</v>
      </c>
      <c r="AV66" s="75" t="str">
        <f aca="false">IF(AV64&gt;=-0.000000001,"OK","FAIL")</f>
        <v>OK</v>
      </c>
      <c r="AW66" s="75" t="str">
        <f aca="false">IF(AW64&gt;=-0.000000001,"OK","FAIL")</f>
        <v>OK</v>
      </c>
      <c r="AX66" s="75" t="str">
        <f aca="false">IF(AX64&gt;=-0.000000001,"OK","FAIL")</f>
        <v>OK</v>
      </c>
      <c r="AY66" s="75" t="str">
        <f aca="false">IF(ABS(AY64)&lt;0.0000001,"OK","FAIL")</f>
        <v>OK</v>
      </c>
      <c r="AZ66" s="75" t="str">
        <f aca="false">IF(AZ64&gt;=-0.000000001,"OK","FAIL")</f>
        <v>OK</v>
      </c>
      <c r="BA66" s="75" t="str">
        <f aca="false">IF(BA64&gt;=-0.000000001,"OK","FAIL")</f>
        <v>OK</v>
      </c>
      <c r="BB66" s="75" t="str">
        <f aca="false">IF(BB64&gt;=-0.000000001,"OK","FAIL")</f>
        <v>OK</v>
      </c>
      <c r="BC66" s="75" t="str">
        <f aca="false">IF(BC64&gt;=-0.000000001,"OK","FAIL")</f>
        <v>OK</v>
      </c>
      <c r="BD66" s="75" t="str">
        <f aca="false">IF(BD64&gt;=-0.000000001,"OK","FAIL")</f>
        <v>OK</v>
      </c>
      <c r="BE66" s="75" t="str">
        <f aca="false">IF(ABS(BE64)&lt;0.0000001,"OK","FAIL")</f>
        <v>OK</v>
      </c>
      <c r="BF66" s="75" t="str">
        <f aca="false">IF(BF64&gt;=-0.000000001,"OK","FAIL")</f>
        <v>OK</v>
      </c>
      <c r="BG66" s="75" t="str">
        <f aca="false">IF(BG64&lt;=0.000000001,"OK","FAIL")</f>
        <v>OK</v>
      </c>
      <c r="BH66" s="75" t="str">
        <f aca="false">IF(BH64&gt;=-0.000000001,"OK","FAIL")</f>
        <v>OK</v>
      </c>
      <c r="BI66" s="75" t="str">
        <f aca="false">IF(BI64&gt;=-0.000000001,"OK","FAIL")</f>
        <v>OK</v>
      </c>
      <c r="BJ66" s="75" t="str">
        <f aca="false">IF(BJ64&gt;=-0.000000001,"OK","FAIL")</f>
        <v>OK</v>
      </c>
      <c r="BK66" s="75" t="str">
        <f aca="false">IF(BK64&gt;=-0.000000001,"OK","FAIL")</f>
        <v>OK</v>
      </c>
      <c r="BL66" s="75" t="str">
        <f aca="false">IF(BL64&gt;=-0.000000001,"OK","FAIL")</f>
        <v>OK</v>
      </c>
      <c r="BM66" s="75" t="str">
        <f aca="false">IF(BM64&gt;=-0.000000001,"OK","FAIL")</f>
        <v>OK</v>
      </c>
      <c r="BN66" s="75" t="str">
        <f aca="false">IF(BN64&gt;=-0.000000001,"OK","FAIL")</f>
        <v>OK</v>
      </c>
      <c r="BO66" s="75" t="str">
        <f aca="false">IF(BO64&gt;=-0.000000001,"OK","FAIL")</f>
        <v>OK</v>
      </c>
      <c r="BP66" s="75" t="str">
        <f aca="false">IF(BP64&gt;=-0.000000001,"OK","FAIL")</f>
        <v>OK</v>
      </c>
      <c r="BQ66" s="75" t="str">
        <f aca="false">IF(BQ64&gt;=-0.000000001,"OK","FAIL")</f>
        <v>OK</v>
      </c>
      <c r="BR66" s="75" t="str">
        <f aca="false">IF(BR64&gt;=-0.000000001,"OK","FAIL")</f>
        <v>OK</v>
      </c>
      <c r="BS66" s="75" t="str">
        <f aca="false">IF(BS64&gt;=-0.000000001,"OK","FAIL")</f>
        <v>OK</v>
      </c>
      <c r="BT66" s="75" t="str">
        <f aca="false">IF(ABS(BT64)&lt;0.0000001,"OK","FAIL")</f>
        <v>OK</v>
      </c>
      <c r="BU66" s="75" t="str">
        <f aca="false">IF(BU64&gt;=-0.000000001,"OK","FAIL")</f>
        <v>OK</v>
      </c>
      <c r="BV66" s="75" t="str">
        <f aca="false">IF(BV64&gt;=-0.000000001,"OK","FAIL")</f>
        <v>OK</v>
      </c>
      <c r="BW66" s="75" t="str">
        <f aca="false">IF(BW64&gt;=-0.000000001,"OK","FAIL")</f>
        <v>OK</v>
      </c>
      <c r="BX66" s="75" t="str">
        <f aca="false">IF(BX64&gt;=-0.000000001,"OK","FAIL")</f>
        <v>OK</v>
      </c>
      <c r="BY66" s="75" t="str">
        <f aca="false">IF(BY64&gt;=-0.000000001,"OK","FAIL")</f>
        <v>OK</v>
      </c>
      <c r="BZ66" s="75" t="str">
        <f aca="false">IF(BZ64&gt;=-0.000000001,"OK","FAIL")</f>
        <v>OK</v>
      </c>
      <c r="CA66" s="75" t="str">
        <f aca="false">IF(CA64&gt;=-0.000000001,"OK","FAIL")</f>
        <v>OK</v>
      </c>
      <c r="CB66" s="75" t="str">
        <f aca="false">IF(CB64&gt;=-0.000000001,"OK","FAIL")</f>
        <v>OK</v>
      </c>
      <c r="CC66" s="75" t="str">
        <f aca="false">IF(CC64&gt;=-0.000000001,"OK","FAIL")</f>
        <v>OK</v>
      </c>
      <c r="CD66" s="75" t="str">
        <f aca="false">IF(CD64&gt;=-0.000000001,"OK","FAIL")</f>
        <v>OK</v>
      </c>
      <c r="CE66" s="75" t="str">
        <f aca="false">IF(CE64&gt;=-0.000000001,"OK","FAIL")</f>
        <v>OK</v>
      </c>
      <c r="CF66" s="75" t="str">
        <f aca="false">IF(CF64&gt;=-0.000000001,"OK","FAIL")</f>
        <v>OK</v>
      </c>
      <c r="CG66" s="75" t="str">
        <f aca="false">IF(CG64&gt;=-0.000000001,"OK","FAIL")</f>
        <v>OK</v>
      </c>
      <c r="CH66" s="75" t="str">
        <f aca="false">IF(CH64&gt;=-0.000000001,"OK","FAIL")</f>
        <v>OK</v>
      </c>
      <c r="CI66" s="75" t="str">
        <f aca="false">IF(CI64&gt;=-0.000000001,"OK","FAIL")</f>
        <v>OK</v>
      </c>
      <c r="CJ66" s="75" t="str">
        <f aca="false">IF(CJ64&gt;=-0.000000001,"OK","FAIL")</f>
        <v>OK</v>
      </c>
      <c r="CK66" s="75" t="str">
        <f aca="false">IF(CK64&gt;=-0.000000001,"OK","FAIL")</f>
        <v>OK</v>
      </c>
      <c r="CL66" s="75" t="str">
        <f aca="false">IF(CL64&gt;=-0.000000001,"OK","FAIL")</f>
        <v>OK</v>
      </c>
      <c r="CM66" s="75" t="str">
        <f aca="false">IF(CM64&gt;=-0.000000001,"OK","FAIL")</f>
        <v>OK</v>
      </c>
      <c r="CN66" s="75" t="str">
        <f aca="false">IF(CN64&gt;=-0.000000001,"OK","FAIL")</f>
        <v>OK</v>
      </c>
      <c r="CO66" s="75" t="str">
        <f aca="false">IF(CO64&gt;=-0.000000001,"OK","FAIL")</f>
        <v>OK</v>
      </c>
      <c r="CP66" s="75" t="str">
        <f aca="false">IF(CP64&gt;=-0.000000001,"OK","FAIL")</f>
        <v>OK</v>
      </c>
      <c r="CQ66" s="75" t="str">
        <f aca="false">IF(CQ64&gt;=-0.000000001,"OK","FAIL")</f>
        <v>OK</v>
      </c>
      <c r="CR66" s="75" t="str">
        <f aca="false">IF(CR64&gt;=-0.000000001,"OK","FAIL")</f>
        <v>OK</v>
      </c>
      <c r="CS66" s="75" t="str">
        <f aca="false">IF(CS64&gt;=-0.000000001,"OK","FAIL")</f>
        <v>OK</v>
      </c>
      <c r="CT66" s="75" t="str">
        <f aca="false">IF(CT64&gt;=-0.000000001,"OK","FAIL")</f>
        <v>OK</v>
      </c>
      <c r="CU66" s="75" t="str">
        <f aca="false">IF(CU64&gt;=-0.000000001,"OK","FAIL")</f>
        <v>OK</v>
      </c>
      <c r="CV66" s="75" t="str">
        <f aca="false">IF(CV64&gt;=-0.000000001,"OK","FAIL")</f>
        <v>OK</v>
      </c>
      <c r="CW66" s="75" t="str">
        <f aca="false">IF(CW64&gt;=-0.000000001,"OK","FAIL")</f>
        <v>OK</v>
      </c>
      <c r="CX66" s="75" t="str">
        <f aca="false">IF(CX64&gt;=-0.000000001,"OK","FAIL")</f>
        <v>OK</v>
      </c>
      <c r="CY66" s="75" t="str">
        <f aca="false">IF(CY64&gt;=-0.000000001,"OK","FAIL")</f>
        <v>OK</v>
      </c>
      <c r="CZ66" s="75" t="str">
        <f aca="false">IF(CZ64&gt;=-0.000000001,"OK","FAIL")</f>
        <v>OK</v>
      </c>
      <c r="DA66" s="75" t="str">
        <f aca="false">IF(DA64&gt;=-0.000000001,"OK","FAIL")</f>
        <v>OK</v>
      </c>
      <c r="DB66" s="75" t="str">
        <f aca="false">IF(DB64&gt;=-0.000000001,"OK","FAIL")</f>
        <v>OK</v>
      </c>
      <c r="DC66" s="75" t="str">
        <f aca="false">IF(DC64&gt;=-0.000000001,"OK","FAIL")</f>
        <v>OK</v>
      </c>
      <c r="DD66" s="75" t="str">
        <f aca="false">IF(ABS(DD64)&lt;0.0000001,"OK","FAIL")</f>
        <v>OK</v>
      </c>
      <c r="DE66" s="75" t="str">
        <f aca="false">IF(DE64&gt;=-0.000000001,"OK","FAIL")</f>
        <v>OK</v>
      </c>
      <c r="DF66" s="75" t="str">
        <f aca="false">IF(DF64&gt;=-0.000000001,"OK","FAIL")</f>
        <v>OK</v>
      </c>
      <c r="DG66" s="75" t="str">
        <f aca="false">IF(DG64&lt;=0.000000001,"OK","FAIL")</f>
        <v>OK</v>
      </c>
      <c r="DH66" s="75" t="str">
        <f aca="false">IF(DH64&gt;=-0.000000001,"OK","FAIL")</f>
        <v>OK</v>
      </c>
      <c r="DI66" s="75" t="str">
        <f aca="false">IF(DI64&gt;=-0.000000001,"OK","FAIL")</f>
        <v>OK</v>
      </c>
      <c r="DJ66" s="75" t="str">
        <f aca="false">IF(DJ64&gt;=-0.000000001,"OK","FAIL")</f>
        <v>OK</v>
      </c>
      <c r="DK66" s="75" t="str">
        <f aca="false">IF(DK64&gt;=-0.000000001,"OK","FAIL")</f>
        <v>OK</v>
      </c>
      <c r="DL66" s="75" t="str">
        <f aca="false">IF(DL64&gt;=-0.000000001,"OK","FAIL")</f>
        <v>OK</v>
      </c>
      <c r="DM66" s="75" t="str">
        <f aca="false">IF(DM64&gt;=-0.000000001,"OK","FAIL")</f>
        <v>OK</v>
      </c>
      <c r="DN66" s="75" t="str">
        <f aca="false">IF(DN64&gt;=-0.000000001,"OK","FAIL")</f>
        <v>OK</v>
      </c>
      <c r="DO66" s="75" t="str">
        <f aca="false">IF(DO64&gt;=-0.000000001,"OK","FAIL")</f>
        <v>OK</v>
      </c>
      <c r="DP66" s="75" t="str">
        <f aca="false">IF(DP64&gt;=-0.000000001,"OK","FAIL")</f>
        <v>OK</v>
      </c>
      <c r="DQ66" s="75" t="str">
        <f aca="false">IF(DQ64&gt;=-0.000000001,"OK","FAIL")</f>
        <v>OK</v>
      </c>
      <c r="DR66" s="75" t="str">
        <f aca="false">IF(DR64&gt;=-0.000000001,"OK","FAIL")</f>
        <v>OK</v>
      </c>
      <c r="DS66" s="75" t="str">
        <f aca="false">IF(DS64&gt;=-0.000000001,"OK","FAIL")</f>
        <v>OK</v>
      </c>
      <c r="DT66" s="75" t="str">
        <f aca="false">IF(DT64&gt;=-0.000000001,"OK","FAIL")</f>
        <v>OK</v>
      </c>
      <c r="DU66" s="75" t="str">
        <f aca="false">IF(DU64&gt;=-0.000000001,"OK","FAIL")</f>
        <v>OK</v>
      </c>
      <c r="DV66" s="75" t="str">
        <f aca="false">IF(DV64&gt;=-0.000000001,"OK","FAIL")</f>
        <v>OK</v>
      </c>
      <c r="DW66" s="75" t="str">
        <f aca="false">IF(DW64&gt;=-0.000000001,"OK","FAIL")</f>
        <v>OK</v>
      </c>
      <c r="DX66" s="75" t="str">
        <f aca="false">IF(DX64&gt;=-0.000000001,"OK","FAIL")</f>
        <v>OK</v>
      </c>
      <c r="DY66" s="75" t="str">
        <f aca="false">IF(DY64&gt;=-0.000000001,"OK","FAIL")</f>
        <v>OK</v>
      </c>
      <c r="DZ66" s="75" t="str">
        <f aca="false">IF(DZ64&gt;=-0.000000001,"OK","FAIL")</f>
        <v>OK</v>
      </c>
      <c r="EA66" s="75" t="str">
        <f aca="false">IF(EA64&gt;=-0.000000001,"OK","FAIL")</f>
        <v>OK</v>
      </c>
      <c r="EB66" s="75" t="str">
        <f aca="false">IF(EB64&gt;=-0.000000001,"OK","FAIL")</f>
        <v>OK</v>
      </c>
      <c r="EC66" s="75" t="str">
        <f aca="false">IF(EC64&gt;=-0.000000001,"OK","FAIL")</f>
        <v>OK</v>
      </c>
      <c r="ED66" s="75" t="str">
        <f aca="false">IF(ED64&gt;=-0.000000001,"OK","FAIL")</f>
        <v>OK</v>
      </c>
      <c r="EE66" s="75" t="str">
        <f aca="false">IF(EE64&gt;=-0.000000001,"OK","FAIL")</f>
        <v>OK</v>
      </c>
      <c r="EF66" s="75" t="str">
        <f aca="false">IF(EF64&gt;=-0.000000001,"OK","FAIL")</f>
        <v>OK</v>
      </c>
      <c r="EG66" s="75" t="str">
        <f aca="false">IF(EG64&gt;=-0.000000001,"OK","FAIL")</f>
        <v>OK</v>
      </c>
      <c r="EH66" s="75" t="str">
        <f aca="false">IF(EH64&gt;=-0.000000001,"OK","FAIL")</f>
        <v>OK</v>
      </c>
      <c r="EI66" s="75" t="str">
        <f aca="false">IF(EI64&gt;=-0.000000001,"OK","FAIL")</f>
        <v>OK</v>
      </c>
      <c r="EJ66" s="75" t="str">
        <f aca="false">IF(EJ64&gt;=-0.000000001,"OK","FAIL")</f>
        <v>OK</v>
      </c>
      <c r="EK66" s="75" t="str">
        <f aca="false">IF(EK64&gt;=-0.000000001,"OK","FAIL")</f>
        <v>OK</v>
      </c>
      <c r="EL66" s="75" t="str">
        <f aca="false">IF(EL64&gt;=-0.000000001,"OK","FAIL")</f>
        <v>OK</v>
      </c>
      <c r="EM66" s="75" t="str">
        <f aca="false">IF(EM64&gt;=-0.000000001,"OK","FAIL")</f>
        <v>OK</v>
      </c>
      <c r="EN66" s="75" t="str">
        <f aca="false">IF(EN64&gt;=-0.000000001,"OK","FAIL")</f>
        <v>OK</v>
      </c>
      <c r="EO66" s="75" t="str">
        <f aca="false">IF(EO64&gt;=-0.000000001,"OK","FAIL")</f>
        <v>OK</v>
      </c>
      <c r="EP66" s="75" t="str">
        <f aca="false">IF(EP64&gt;=-0.000000001,"OK","FAIL")</f>
        <v>OK</v>
      </c>
      <c r="EQ66" s="75" t="str">
        <f aca="false">IF(EQ64&gt;=-0.000000001,"OK","FAIL")</f>
        <v>OK</v>
      </c>
      <c r="ER66" s="75" t="str">
        <f aca="false">IF(ER64&gt;=-0.000000001,"OK","FAIL")</f>
        <v>OK</v>
      </c>
      <c r="ES66" s="75" t="str">
        <f aca="false">IF(ES64&gt;=-0.000000001,"OK","FAIL")</f>
        <v>OK</v>
      </c>
      <c r="ET66" s="75" t="str">
        <f aca="false">IF(ET64&gt;=-0.000000001,"OK","FAIL")</f>
        <v>OK</v>
      </c>
      <c r="EU66" s="75" t="str">
        <f aca="false">IF(EU64&gt;=-0.000000001,"OK","FAIL")</f>
        <v>OK</v>
      </c>
    </row>
    <row r="68" customFormat="false" ht="15" hidden="false" customHeight="false" outlineLevel="0" collapsed="false">
      <c r="A68" s="2" t="s">
        <v>1152</v>
      </c>
    </row>
    <row r="69" customFormat="false" ht="15" hidden="false" customHeight="false" outlineLevel="0" collapsed="false">
      <c r="A69" s="101" t="s">
        <v>1153</v>
      </c>
      <c r="B69" s="101" t="str">
        <f aca="false">IF(AND(COUNTIF(F66:EU66,"FAIL")=0,COUNTIF(D55:D61,"✗")=0),"✓ PROVEN OPTIMAL: no food can be added, removed or swapped to lower the cost","✗ Not optimal for the current data — re-solve")</f>
        <v>✓ PROVEN OPTIMAL: no food can be added, removed or swapped to lower the cost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5" hidden="false" customHeight="false" outlineLevel="0" collapsed="false">
      <c r="A1" s="102" t="s">
        <v>1154</v>
      </c>
    </row>
    <row r="2" customFormat="false" ht="23.85" hidden="false" customHeight="false" outlineLevel="0" collapsed="false">
      <c r="A2" s="103" t="s">
        <v>1155</v>
      </c>
    </row>
    <row r="3" customFormat="false" ht="15" hidden="false" customHeight="false" outlineLevel="0" collapsed="false">
      <c r="A3" s="103" t="s">
        <v>1156</v>
      </c>
    </row>
    <row r="4" customFormat="false" ht="15" hidden="false" customHeight="false" outlineLevel="0" collapsed="false">
      <c r="A4" s="103"/>
    </row>
    <row r="5" customFormat="false" ht="15" hidden="false" customHeight="false" outlineLevel="0" collapsed="false">
      <c r="A5" s="102" t="s">
        <v>1157</v>
      </c>
    </row>
    <row r="6" customFormat="false" ht="15" hidden="false" customHeight="false" outlineLevel="0" collapsed="false">
      <c r="A6" s="103" t="s">
        <v>1158</v>
      </c>
    </row>
    <row r="7" customFormat="false" ht="15" hidden="false" customHeight="false" outlineLevel="0" collapsed="false">
      <c r="A7" s="103" t="s">
        <v>1159</v>
      </c>
    </row>
    <row r="8" customFormat="false" ht="15" hidden="false" customHeight="false" outlineLevel="0" collapsed="false">
      <c r="A8" s="103" t="s">
        <v>1160</v>
      </c>
    </row>
    <row r="9" customFormat="false" ht="15" hidden="false" customHeight="false" outlineLevel="0" collapsed="false">
      <c r="A9" s="103" t="s">
        <v>1161</v>
      </c>
    </row>
    <row r="10" customFormat="false" ht="15" hidden="false" customHeight="false" outlineLevel="0" collapsed="false">
      <c r="A10" s="103" t="s">
        <v>1162</v>
      </c>
    </row>
    <row r="11" customFormat="false" ht="15" hidden="false" customHeight="false" outlineLevel="0" collapsed="false">
      <c r="A11" s="103"/>
    </row>
    <row r="12" customFormat="false" ht="15" hidden="false" customHeight="false" outlineLevel="0" collapsed="false">
      <c r="A12" s="102" t="s">
        <v>1163</v>
      </c>
    </row>
    <row r="13" customFormat="false" ht="15" hidden="false" customHeight="false" outlineLevel="0" collapsed="false">
      <c r="A13" s="103" t="s">
        <v>1164</v>
      </c>
    </row>
    <row r="14" customFormat="false" ht="23.85" hidden="false" customHeight="false" outlineLevel="0" collapsed="false">
      <c r="A14" s="103" t="s">
        <v>1165</v>
      </c>
    </row>
    <row r="15" customFormat="false" ht="15" hidden="false" customHeight="false" outlineLevel="0" collapsed="false">
      <c r="A15" s="103" t="s">
        <v>1166</v>
      </c>
    </row>
    <row r="16" customFormat="false" ht="15" hidden="false" customHeight="false" outlineLevel="0" collapsed="false">
      <c r="A16" s="103" t="s">
        <v>1167</v>
      </c>
    </row>
    <row r="17" customFormat="false" ht="15" hidden="false" customHeight="false" outlineLevel="0" collapsed="false">
      <c r="A17" s="103" t="s">
        <v>1168</v>
      </c>
    </row>
    <row r="18" customFormat="false" ht="15" hidden="false" customHeight="false" outlineLevel="0" collapsed="false">
      <c r="A18" s="103" t="s">
        <v>1169</v>
      </c>
    </row>
    <row r="19" customFormat="false" ht="15" hidden="false" customHeight="false" outlineLevel="0" collapsed="false">
      <c r="A19" s="103" t="s">
        <v>1170</v>
      </c>
    </row>
    <row r="20" customFormat="false" ht="15" hidden="false" customHeight="false" outlineLevel="0" collapsed="false">
      <c r="A20" s="103" t="s">
        <v>1171</v>
      </c>
    </row>
    <row r="21" customFormat="false" ht="15" hidden="false" customHeight="false" outlineLevel="0" collapsed="false">
      <c r="A21" s="103" t="s">
        <v>1172</v>
      </c>
    </row>
    <row r="22" customFormat="false" ht="15" hidden="false" customHeight="false" outlineLevel="0" collapsed="false">
      <c r="A22" s="103" t="s">
        <v>1173</v>
      </c>
    </row>
    <row r="23" customFormat="false" ht="15" hidden="false" customHeight="false" outlineLevel="0" collapsed="false">
      <c r="A23" s="103" t="s">
        <v>1174</v>
      </c>
    </row>
    <row r="24" customFormat="false" ht="15" hidden="false" customHeight="false" outlineLevel="0" collapsed="false">
      <c r="A24" s="103"/>
    </row>
    <row r="25" customFormat="false" ht="15" hidden="false" customHeight="false" outlineLevel="0" collapsed="false">
      <c r="A25" s="102" t="s">
        <v>1175</v>
      </c>
    </row>
    <row r="26" customFormat="false" ht="35.05" hidden="false" customHeight="false" outlineLevel="0" collapsed="false">
      <c r="A26" s="103" t="s">
        <v>1176</v>
      </c>
    </row>
    <row r="27" customFormat="false" ht="15" hidden="false" customHeight="false" outlineLevel="0" collapsed="false">
      <c r="A27" s="103" t="s">
        <v>1177</v>
      </c>
    </row>
    <row r="28" customFormat="false" ht="23.85" hidden="false" customHeight="false" outlineLevel="0" collapsed="false">
      <c r="A28" s="103" t="s">
        <v>1178</v>
      </c>
    </row>
    <row r="29" customFormat="false" ht="35.05" hidden="false" customHeight="false" outlineLevel="0" collapsed="false">
      <c r="A29" s="103" t="s">
        <v>1179</v>
      </c>
    </row>
    <row r="30" customFormat="false" ht="15" hidden="false" customHeight="false" outlineLevel="0" collapsed="false">
      <c r="A30" s="103" t="s">
        <v>1180</v>
      </c>
    </row>
    <row r="31" customFormat="false" ht="15" hidden="false" customHeight="false" outlineLevel="0" collapsed="false">
      <c r="A31" s="103" t="s">
        <v>1181</v>
      </c>
    </row>
    <row r="32" customFormat="false" ht="23.85" hidden="false" customHeight="false" outlineLevel="0" collapsed="false">
      <c r="A32" s="103" t="s">
        <v>1182</v>
      </c>
    </row>
    <row r="33" customFormat="false" ht="15" hidden="false" customHeight="false" outlineLevel="0" collapsed="false">
      <c r="A33" s="103" t="s">
        <v>1183</v>
      </c>
    </row>
    <row r="34" customFormat="false" ht="15" hidden="false" customHeight="false" outlineLevel="0" collapsed="false">
      <c r="A34" s="103" t="s">
        <v>1184</v>
      </c>
    </row>
    <row r="35" customFormat="false" ht="23.85" hidden="false" customHeight="false" outlineLevel="0" collapsed="false">
      <c r="A35" s="103" t="s">
        <v>1185</v>
      </c>
    </row>
    <row r="36" customFormat="false" ht="15" hidden="false" customHeight="false" outlineLevel="0" collapsed="false">
      <c r="A36" s="103" t="s">
        <v>1186</v>
      </c>
    </row>
    <row r="37" customFormat="false" ht="15" hidden="false" customHeight="false" outlineLevel="0" collapsed="false">
      <c r="A37" s="103" t="s">
        <v>1187</v>
      </c>
    </row>
    <row r="38" customFormat="false" ht="15" hidden="false" customHeight="false" outlineLevel="0" collapsed="false">
      <c r="A38" s="103" t="s">
        <v>1188</v>
      </c>
    </row>
    <row r="39" customFormat="false" ht="15" hidden="false" customHeight="false" outlineLevel="0" collapsed="false">
      <c r="A39" s="103"/>
    </row>
    <row r="40" customFormat="false" ht="15" hidden="false" customHeight="false" outlineLevel="0" collapsed="false">
      <c r="A40" s="102" t="s">
        <v>1189</v>
      </c>
    </row>
    <row r="41" customFormat="false" ht="15" hidden="false" customHeight="false" outlineLevel="0" collapsed="false">
      <c r="A41" s="103" t="s">
        <v>1190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2026-10-26T21:09:56Z</dcterms:created>
  <dc:creator>openpyxl</dc:creator>
  <dc:description/>
  <dc:language>en-US</dc:language>
  <cp:lastModifiedBy/>
  <dcterms:modified xsi:type="dcterms:W3CDTF">2026-10-26T21:09:57Z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