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ner" sheetId="1" state="visible" r:id="rId3"/>
    <sheet name="DRI Tables" sheetId="2" state="visible" r:id="rId4"/>
    <sheet name="Food Data" sheetId="3" state="visible" r:id="rId5"/>
    <sheet name="Diets" sheetId="4" state="visible" r:id="rId6"/>
    <sheet name="Matrix Model" sheetId="5" state="visible" r:id="rId7"/>
    <sheet name="Diet Comparison" sheetId="6" state="visible" r:id="rId8"/>
    <sheet name="Optimality Proof" sheetId="7" state="visible" r:id="rId9"/>
    <sheet name="Notes &amp; Sources" sheetId="8" state="visible" r:id="rId10"/>
  </sheets>
  <definedNames>
    <definedName function="false" hidden="true" localSheetId="2" name="_xlnm._FilterDatabase" vbProcedure="false">'Food Data'!$A$5:$AW$76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P5" authorId="0">
      <text>
        <r>
          <rPr>
            <sz val="10"/>
            <rFont val="Arial"/>
            <family val="2"/>
          </rPr>
          <t xml:space="preserve">Team assumption: realistic most-per-day. Becomes the upper bound u in the model.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49</xdr:colOff>
                <xdr:row>0</xdr:row>
                <xdr:rowOff>5</xdr:rowOff>
              </xdr:from>
              <xdr:to>
                <xdr:col>2</xdr:col>
                <xdr:colOff>90</xdr:colOff>
                <xdr:row>4</xdr:row>
                <xdr:rowOff>1</xdr:rowOff>
              </xdr:to>
            </anchor>
          </commentPr>
        </mc:Choice>
        <mc:Fallback/>
      </mc:AlternateContent>
    </comment>
    <comment ref="Z5" authorId="0">
      <text>
        <r>
          <rPr>
            <sz val="10"/>
            <rFont val="Arial"/>
            <family val="2"/>
          </rPr>
          <t xml:space="preserve">= (food attribute row) · (selected diet's forbidden-attribute row) + 1 if the food # is in the diet's "Also excluded" list. &gt; 0 means the diet excludes the food.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49</xdr:colOff>
                <xdr:row>0</xdr:row>
                <xdr:rowOff>5</xdr:rowOff>
              </xdr:from>
              <xdr:to>
                <xdr:col>2</xdr:col>
                <xdr:colOff>90</xdr:colOff>
                <xdr:row>4</xdr:row>
                <xdr:rowOff>49</xdr:rowOff>
              </xdr:to>
            </anchor>
          </commentPr>
        </mc:Choice>
        <mc:Fallback/>
      </mc:AlternateContent>
    </comment>
    <comment ref="AF5" authorId="0">
      <text>
        <r>
          <rPr>
            <sz val="10"/>
            <rFont val="Arial"/>
            <family val="2"/>
          </rPr>
          <t xml:space="preserve">USDA MyPlate cup-equivalent: 1 cup raw/cooked veg or fruit, 2 cups leafy greens, 1/2 cup dried fruit, 1 cup 100% juice.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49</xdr:colOff>
                <xdr:row>0</xdr:row>
                <xdr:rowOff>5</xdr:rowOff>
              </xdr:from>
              <xdr:to>
                <xdr:col>2</xdr:col>
                <xdr:colOff>90</xdr:colOff>
                <xdr:row>4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<sst xmlns="http://schemas.openxmlformats.org/spreadsheetml/2006/main" count="1268" uniqueCount="825">
  <si>
    <t xml:space="preserve">FeasaBULL Diet Planner — person in, cheapest balanced day out</t>
  </si>
  <si>
    <t xml:space="preserve">Step 1: enter the person (same inputs as FeasaBULL Calories). Step 2: targets are calculated with the site's equations. Step 3: pick a diet and re-solve (box at right). Blue = inputs.</t>
  </si>
  <si>
    <t xml:space="preserve">1. PERSON  (same inputs as the FeasaBULL Calories site)</t>
  </si>
  <si>
    <t xml:space="preserve">4. RESULT</t>
  </si>
  <si>
    <t xml:space="preserve">HOW TO RE-SOLVE FOR A NEW PERSON OR DIET</t>
  </si>
  <si>
    <t xml:space="preserve">Sex</t>
  </si>
  <si>
    <t xml:space="preserve">Male</t>
  </si>
  <si>
    <t xml:space="preserve">Cost per day</t>
  </si>
  <si>
    <t xml:space="preserve">1. Change the blue inputs on this sheet (and Food Data if needed).</t>
  </si>
  <si>
    <t xml:space="preserve">Age (years)</t>
  </si>
  <si>
    <t xml:space="preserve">Cost per week</t>
  </si>
  <si>
    <t xml:space="preserve">2. Data → Solver (Excel: File → Options → Add-ins → enable Solver Add-in).</t>
  </si>
  <si>
    <t xml:space="preserve">Height (ft, in)</t>
  </si>
  <si>
    <t xml:space="preserve">Rules violated</t>
  </si>
  <si>
    <t xml:space="preserve">3. Set Objective: 'Matrix Model'!$C$184   To: Min</t>
  </si>
  <si>
    <t xml:space="preserve">Weight (lb)</t>
  </si>
  <si>
    <t xml:space="preserve">Status</t>
  </si>
  <si>
    <t xml:space="preserve">4. By Changing Variable Cells: 'Matrix Model'!$C$112:$C$182</t>
  </si>
  <si>
    <t xml:space="preserve">Activity level</t>
  </si>
  <si>
    <t xml:space="preserve">Active</t>
  </si>
  <si>
    <t xml:space="preserve">5. Subject to the Constraints (Add each):</t>
  </si>
  <si>
    <t xml:space="preserve">Goal</t>
  </si>
  <si>
    <t xml:space="preserve">Maintain</t>
  </si>
  <si>
    <t xml:space="preserve">Daily totals vs targets</t>
  </si>
  <si>
    <t xml:space="preserve">     'Matrix Model'!$D$40:$D$58 &gt;= 'Matrix Model'!$C$40:$C$58</t>
  </si>
  <si>
    <t xml:space="preserve">Activity coefficients</t>
  </si>
  <si>
    <t xml:space="preserve">IOM 2005 (corrected)</t>
  </si>
  <si>
    <t xml:space="preserve">or "Same as current site" to reproduce the live site exactly</t>
  </si>
  <si>
    <t xml:space="preserve">Nutrient</t>
  </si>
  <si>
    <t xml:space="preserve">Plan</t>
  </si>
  <si>
    <t xml:space="preserve">Min</t>
  </si>
  <si>
    <t xml:space="preserve">Max</t>
  </si>
  <si>
    <t xml:space="preserve">     'Matrix Model'!$D$59:$D$107 &lt;= 'Matrix Model'!$C$59:$C$107</t>
  </si>
  <si>
    <t xml:space="preserve">Example: the site's own placeholder person (male, 21, 5'8", 155 lb, active, maintain).</t>
  </si>
  <si>
    <t xml:space="preserve">Calories (kcal)</t>
  </si>
  <si>
    <t xml:space="preserve">     'Matrix Model'!$C$112:$C$182 &lt;= 'Matrix Model'!$D$112:$D$182</t>
  </si>
  <si>
    <t xml:space="preserve">Protein (g)</t>
  </si>
  <si>
    <t xml:space="preserve">     'Matrix Model'!$C$112:$C$182 &gt;= 'Matrix Model'!$E$112:$E$182</t>
  </si>
  <si>
    <t xml:space="preserve">2. DAILY TARGETS  (calculated with the site's equations — type in Override to change one)</t>
  </si>
  <si>
    <t xml:space="preserve">Carbohydrate (g)</t>
  </si>
  <si>
    <t xml:space="preserve">6. Tick "Make Unconstrained Variables Non-Negative", choose "Simplex LP", click Solve.</t>
  </si>
  <si>
    <t xml:space="preserve">Target</t>
  </si>
  <si>
    <t xml:space="preserve">Calculated</t>
  </si>
  <si>
    <t xml:space="preserve">Override</t>
  </si>
  <si>
    <t xml:space="preserve">Used by the model</t>
  </si>
  <si>
    <t xml:space="preserve">Fat (g)</t>
  </si>
  <si>
    <t xml:space="preserve">   (68 constraint cells — inside Excel Solver's 100-cell limit; bounds on x do not count.)</t>
  </si>
  <si>
    <t xml:space="preserve">Calories (kcal/day)</t>
  </si>
  <si>
    <t xml:space="preserve">Fiber (g)</t>
  </si>
  <si>
    <t xml:space="preserve">7. Status above turns ✓. The website runs the same model instantly (src/lib/dietOptimizer.js).</t>
  </si>
  <si>
    <t xml:space="preserve">Protein at least (g) — 1.6 g/kg, kept in 10–30% of kcal</t>
  </si>
  <si>
    <t xml:space="preserve">Total sugars (g)</t>
  </si>
  <si>
    <t xml:space="preserve">Fiber at least (g) — 14 g per 1,000 kcal</t>
  </si>
  <si>
    <t xml:space="preserve">Calcium (mg)</t>
  </si>
  <si>
    <t xml:space="preserve">Calcium at least (mg)</t>
  </si>
  <si>
    <t xml:space="preserve">Iron (mg)</t>
  </si>
  <si>
    <t xml:space="preserve">Iron at least (mg)</t>
  </si>
  <si>
    <t xml:space="preserve">Potassium (mg)</t>
  </si>
  <si>
    <t xml:space="preserve">Potassium at least (mg)</t>
  </si>
  <si>
    <t xml:space="preserve">Sodium (mg)</t>
  </si>
  <si>
    <t xml:space="preserve">Vitamin C at least (mg)</t>
  </si>
  <si>
    <t xml:space="preserve">Vitamin C (mg)</t>
  </si>
  <si>
    <t xml:space="preserve">Sodium under (mg)</t>
  </si>
  <si>
    <t xml:space="preserve">Total sugars under (g, optional)</t>
  </si>
  <si>
    <t xml:space="preserve">Your day, by meal  (lunch and dinner share a batch-cooked base — cook once, eat twice)</t>
  </si>
  <si>
    <t xml:space="preserve">How the targets were calculated</t>
  </si>
  <si>
    <t xml:space="preserve">Breakfast</t>
  </si>
  <si>
    <t xml:space="preserve">grams</t>
  </si>
  <si>
    <t xml:space="preserve">servings</t>
  </si>
  <si>
    <t xml:space="preserve">kcal</t>
  </si>
  <si>
    <t xml:space="preserve">protein (g)</t>
  </si>
  <si>
    <t xml:space="preserve">Height (cm)</t>
  </si>
  <si>
    <t xml:space="preserve">Weight (kg)</t>
  </si>
  <si>
    <t xml:space="preserve">Age bracket</t>
  </si>
  <si>
    <t xml:space="preserve">Activity coefficient (PA)</t>
  </si>
  <si>
    <t xml:space="preserve">Maintenance calories (IOM EER, rounded to 10)</t>
  </si>
  <si>
    <t xml:space="preserve">Goal adjustment (kcal)</t>
  </si>
  <si>
    <t xml:space="preserve">BMI</t>
  </si>
  <si>
    <t xml:space="preserve">3. DIET &amp; PRICES</t>
  </si>
  <si>
    <t xml:space="preserve">Diet</t>
  </si>
  <si>
    <t xml:space="preserve">Balanced</t>
  </si>
  <si>
    <t xml:space="preserve">Breakfast total</t>
  </si>
  <si>
    <t xml:space="preserve">What it means</t>
  </si>
  <si>
    <t xml:space="preserve">Macro split (% of calories)</t>
  </si>
  <si>
    <t xml:space="preserve">Lunch</t>
  </si>
  <si>
    <t xml:space="preserve">Price source</t>
  </si>
  <si>
    <t xml:space="preserve">Walmart (Oct 2026)</t>
  </si>
  <si>
    <t xml:space="preserve">or "BLS U.S. average (Sep 2026)" — sensitivity check</t>
  </si>
  <si>
    <t xml:space="preserve">4. BALANCE RULES  (keep amounts realistic)</t>
  </si>
  <si>
    <t xml:space="preserve">Calorie tolerance (±)</t>
  </si>
  <si>
    <t xml:space="preserve">Max share of the day's protein from ONE food</t>
  </si>
  <si>
    <t xml:space="preserve">applies to foods with ≥ 10 g protein / 100 g</t>
  </si>
  <si>
    <t xml:space="preserve">Min share of protein at breakfast, lunch AND dinner</t>
  </si>
  <si>
    <t xml:space="preserve">Breakfast: share of calories (min / max)</t>
  </si>
  <si>
    <t xml:space="preserve">Lunch: share of calories (min / max)</t>
  </si>
  <si>
    <t xml:space="preserve">Dinner: share of calories (min / max)</t>
  </si>
  <si>
    <t xml:space="preserve">Snacks: share of calories (min / max)</t>
  </si>
  <si>
    <t xml:space="preserve">Lunch total</t>
  </si>
  <si>
    <t xml:space="preserve">Vegetables minimum (cup-equivalents)</t>
  </si>
  <si>
    <t xml:space="preserve">Fruit minimum (cup-equivalents)</t>
  </si>
  <si>
    <t xml:space="preserve">Dinner</t>
  </si>
  <si>
    <t xml:space="preserve">Max meat, poultry &amp; fish (grams/day)</t>
  </si>
  <si>
    <t xml:space="preserve">12 oz raw (~9 oz cooked) per day</t>
  </si>
  <si>
    <t xml:space="preserve">Max beans &amp; lentils (servings/day)</t>
  </si>
  <si>
    <t xml:space="preserve">about 2-2.25 cups cooked per day</t>
  </si>
  <si>
    <t xml:space="preserve">Max cheese (servings/day)</t>
  </si>
  <si>
    <t xml:space="preserve">slices / oz / sticks / half-cups</t>
  </si>
  <si>
    <t xml:space="preserve">Max grains &amp; bread (servings/day)</t>
  </si>
  <si>
    <t xml:space="preserve">Max oils &amp; butter (servings/day)</t>
  </si>
  <si>
    <t xml:space="preserve">tablespoons</t>
  </si>
  <si>
    <t xml:space="preserve">Max snacks &amp; sweets (servings/day)</t>
  </si>
  <si>
    <t xml:space="preserve">Per-food limits (max servings, exclusions, must-include) are on Food Data.</t>
  </si>
  <si>
    <t xml:space="preserve">Dinner total</t>
  </si>
  <si>
    <t xml:space="preserve">Snacks</t>
  </si>
  <si>
    <t xml:space="preserve">Snacks total</t>
  </si>
  <si>
    <t xml:space="preserve">DRI Tables — the numbers behind the person calculator</t>
  </si>
  <si>
    <t xml:space="preserve">Same values as the FeasaBULL Calories site. Activity coefficients: IOM (2005) EER equations, healthy-weight version.</t>
  </si>
  <si>
    <t xml:space="preserve">Group</t>
  </si>
  <si>
    <t xml:space="preserve">Inactive</t>
  </si>
  <si>
    <t xml:space="preserve">Low active</t>
  </si>
  <si>
    <t xml:space="preserve">Very active</t>
  </si>
  <si>
    <t xml:space="preserve">Men 19+</t>
  </si>
  <si>
    <t xml:space="preserve">Women 19+</t>
  </si>
  <si>
    <t xml:space="preserve">Boys 14–18</t>
  </si>
  <si>
    <t xml:space="preserve">Girls 14–18</t>
  </si>
  <si>
    <t xml:space="preserve">IOM 2005 values (used by default). Below: what the live FeasaBULL site uses today (men's values for everyone).</t>
  </si>
  <si>
    <t xml:space="preserve">Group (site)</t>
  </si>
  <si>
    <t xml:space="preserve">kcal change</t>
  </si>
  <si>
    <t xml:space="preserve">Calorie floor</t>
  </si>
  <si>
    <t xml:space="preserve">Lose fat</t>
  </si>
  <si>
    <t xml:space="preserve">Female</t>
  </si>
  <si>
    <t xml:space="preserve">Build muscle</t>
  </si>
  <si>
    <t xml:space="preserve">Ages</t>
  </si>
  <si>
    <t xml:space="preserve">Vit C (M)</t>
  </si>
  <si>
    <t xml:space="preserve">Vit C (F)</t>
  </si>
  <si>
    <t xml:space="preserve">Calcium (M)</t>
  </si>
  <si>
    <t xml:space="preserve">Calcium (F)</t>
  </si>
  <si>
    <t xml:space="preserve">Iron (M)</t>
  </si>
  <si>
    <t xml:space="preserve">Iron (F)</t>
  </si>
  <si>
    <t xml:space="preserve">Potassium (M)</t>
  </si>
  <si>
    <t xml:space="preserve">Potassium (F)</t>
  </si>
  <si>
    <t xml:space="preserve">teen</t>
  </si>
  <si>
    <t xml:space="preserve">14–18</t>
  </si>
  <si>
    <t xml:space="preserve">young</t>
  </si>
  <si>
    <t xml:space="preserve">19–30</t>
  </si>
  <si>
    <t xml:space="preserve">mid</t>
  </si>
  <si>
    <t xml:space="preserve">31–50</t>
  </si>
  <si>
    <t xml:space="preserve">older</t>
  </si>
  <si>
    <t xml:space="preserve">51–70</t>
  </si>
  <si>
    <t xml:space="preserve">oldest</t>
  </si>
  <si>
    <t xml:space="preserve">71+</t>
  </si>
  <si>
    <t xml:space="preserve">Units: vitamin C, calcium, potassium in mg; iron in mg. Fiber = 14 g per 1,000 kcal. Sodium: keep under 2,300 mg.</t>
  </si>
  <si>
    <t xml:space="preserve">Food Data — 71 common foods, sorted by group and type</t>
  </si>
  <si>
    <t xml:space="preserve">Prices: Walmart (Oct 2026, regular price) with BLS U.S. average (Sep 2026) for reference. Nutrients: USDA SR28, per 100 g edible.</t>
  </si>
  <si>
    <t xml:space="preserve">Blue = data you can edit (prices, servings, caps, exclusions).  Black = formulas.  Yellow = check this price.  Edible yield removes bone, peel, shells (USDA refuse %).</t>
  </si>
  <si>
    <t xml:space="preserve">#</t>
  </si>
  <si>
    <t xml:space="preserve">Type</t>
  </si>
  <si>
    <t xml:space="preserve">Food</t>
  </si>
  <si>
    <t xml:space="preserve">Store product (Walmart)</t>
  </si>
  <si>
    <t xml:space="preserve">Price ($)</t>
  </si>
  <si>
    <t xml:space="preserve">Package as bought (g)</t>
  </si>
  <si>
    <t xml:space="preserve">Edible yield</t>
  </si>
  <si>
    <t xml:space="preserve">Walmart $ per 100 g edible</t>
  </si>
  <si>
    <t xml:space="preserve">BLS U.S. avg price ($)</t>
  </si>
  <si>
    <t xml:space="preserve">BLS unit (g)</t>
  </si>
  <si>
    <t xml:space="preserve">BLS $ per 100 g edible</t>
  </si>
  <si>
    <t xml:space="preserve">$ per 100 g USED</t>
  </si>
  <si>
    <t xml:space="preserve">Serving (g)</t>
  </si>
  <si>
    <t xml:space="preserve">Serving</t>
  </si>
  <si>
    <t xml:space="preserve">Max servings / day</t>
  </si>
  <si>
    <t xml:space="preserve">Exclude? (Y)</t>
  </si>
  <si>
    <t xml:space="preserve">Must include (servings)</t>
  </si>
  <si>
    <t xml:space="preserve">Red meat</t>
  </si>
  <si>
    <t xml:space="preserve">Pork</t>
  </si>
  <si>
    <t xml:space="preserve">Poultry</t>
  </si>
  <si>
    <t xml:space="preserve">Fish</t>
  </si>
  <si>
    <t xml:space="preserve">Eggs</t>
  </si>
  <si>
    <t xml:space="preserve">Dairy</t>
  </si>
  <si>
    <t xml:space="preserve">Gluten</t>
  </si>
  <si>
    <t xml:space="preserve">Blocked by diet</t>
  </si>
  <si>
    <t xml:space="preserve">Allowed (1/0)</t>
  </si>
  <si>
    <t xml:space="preserve">Meal share: Breakfast</t>
  </si>
  <si>
    <t xml:space="preserve">Meal share: Lunch</t>
  </si>
  <si>
    <t xml:space="preserve">Meal share: Dinner</t>
  </si>
  <si>
    <t xml:space="preserve">Meal share: Snacks</t>
  </si>
  <si>
    <t xml:space="preserve">Grams per cup-equivalent</t>
  </si>
  <si>
    <t xml:space="preserve">Group cap</t>
  </si>
  <si>
    <t xml:space="preserve">Calories (kcal/100 g)</t>
  </si>
  <si>
    <t xml:space="preserve">Protein (g/100 g)</t>
  </si>
  <si>
    <t xml:space="preserve">Carbohydrate (g/100 g)</t>
  </si>
  <si>
    <t xml:space="preserve">Fat (g/100 g)</t>
  </si>
  <si>
    <t xml:space="preserve">Fiber (g/100 g)</t>
  </si>
  <si>
    <t xml:space="preserve">Total sugars (g/100 g)</t>
  </si>
  <si>
    <t xml:space="preserve">Calcium (mg/100 g)</t>
  </si>
  <si>
    <t xml:space="preserve">Iron (mg/100 g)</t>
  </si>
  <si>
    <t xml:space="preserve">Potassium (mg/100 g)</t>
  </si>
  <si>
    <t xml:space="preserve">Sodium (mg/100 g)</t>
  </si>
  <si>
    <t xml:space="preserve">Vitamin C (mg/100 g)</t>
  </si>
  <si>
    <t xml:space="preserve">Protein per $ (g)</t>
  </si>
  <si>
    <t xml:space="preserve">Calories per $</t>
  </si>
  <si>
    <t xml:space="preserve">USDA NDB #</t>
  </si>
  <si>
    <t xml:space="preserve">USDA SR28 food</t>
  </si>
  <si>
    <t xml:space="preserve">Price / data note</t>
  </si>
  <si>
    <t xml:space="preserve">Proteins</t>
  </si>
  <si>
    <t xml:space="preserve">Chicken breast (boneless, skinless)</t>
  </si>
  <si>
    <t xml:space="preserve">Great Value frozen, 3 lb</t>
  </si>
  <si>
    <t xml:space="preserve">4 oz raw</t>
  </si>
  <si>
    <t xml:space="preserve">Meat, poultry &amp; fish</t>
  </si>
  <si>
    <t xml:space="preserve">05062</t>
  </si>
  <si>
    <t xml:space="preserve">Chicken, broiler or fryers, breast, skinless, boneless, meat only, raw</t>
  </si>
  <si>
    <t xml:space="preserve">Chicken drumsticks (bone-in)</t>
  </si>
  <si>
    <t xml:space="preserve">Great Value frozen, 4 lb</t>
  </si>
  <si>
    <t xml:space="preserve">100 g meat &amp; skin (~1.5 drumsticks)</t>
  </si>
  <si>
    <t xml:space="preserve">05066</t>
  </si>
  <si>
    <t xml:space="preserve">Chicken, broilers or fryers, drumstick, meat and skin, raw</t>
  </si>
  <si>
    <t xml:space="preserve">Edible yield 67%: USDA lists bone twice (66%); 33% used; USDA refuse 66% (Bone and cartilage 33%, Bone and coonective tissue 33%) not applied: bought trimmed</t>
  </si>
  <si>
    <t xml:space="preserve">Chicken thighs (boneless, skinless)</t>
  </si>
  <si>
    <t xml:space="preserve">05096</t>
  </si>
  <si>
    <t xml:space="preserve">Chicken, broilers or fryers, dark meat, thigh, meat only, raw</t>
  </si>
  <si>
    <t xml:space="preserve">USDA refuse 25% ( Skin and separable fat 25%) not applied: bought trimmed</t>
  </si>
  <si>
    <t xml:space="preserve">Deli turkey breast (sliced)</t>
  </si>
  <si>
    <t xml:space="preserve">Great Value thin sliced, 16 oz</t>
  </si>
  <si>
    <t xml:space="preserve">2 oz (about 4 slices)</t>
  </si>
  <si>
    <t xml:space="preserve">07081</t>
  </si>
  <si>
    <t xml:space="preserve">Turkey breast, sliced, prepackaged</t>
  </si>
  <si>
    <t xml:space="preserve">Ground turkey 93/7</t>
  </si>
  <si>
    <t xml:space="preserve">Jennie-O, 16 oz</t>
  </si>
  <si>
    <t xml:space="preserve">05665</t>
  </si>
  <si>
    <t xml:space="preserve">Ground turkey, 93% lean, 7% fat, raw</t>
  </si>
  <si>
    <t xml:space="preserve">Red Meat &amp; Pork</t>
  </si>
  <si>
    <t xml:space="preserve">Bacon</t>
  </si>
  <si>
    <t xml:space="preserve">Great Value hickory smoked, 16 oz</t>
  </si>
  <si>
    <t xml:space="preserve">1 slice raw</t>
  </si>
  <si>
    <t xml:space="preserve">10123</t>
  </si>
  <si>
    <t xml:space="preserve">Pork, cured, bacon, unprepared</t>
  </si>
  <si>
    <t xml:space="preserve">Ground beef 80/20</t>
  </si>
  <si>
    <t xml:space="preserve">80/20 ground chuck, 1 lb roll</t>
  </si>
  <si>
    <t xml:space="preserve">23572</t>
  </si>
  <si>
    <t xml:space="preserve">Beef, ground, 80% lean meat / 20% fat, raw</t>
  </si>
  <si>
    <t xml:space="preserve">Ground beef 93/7 (lean)</t>
  </si>
  <si>
    <t xml:space="preserve">93/7 lean ground beef, 1 lb</t>
  </si>
  <si>
    <t xml:space="preserve">23472</t>
  </si>
  <si>
    <t xml:space="preserve">Beef, ground, 93% lean meat / 7% fat, raw</t>
  </si>
  <si>
    <t xml:space="preserve">Ham (sliced, cooked)</t>
  </si>
  <si>
    <t xml:space="preserve">Great Value cooked ham, 16 oz</t>
  </si>
  <si>
    <t xml:space="preserve">2 oz (2 slices)</t>
  </si>
  <si>
    <t xml:space="preserve">07029</t>
  </si>
  <si>
    <t xml:space="preserve">Ham, sliced, regular (approximately 11% fat)</t>
  </si>
  <si>
    <t xml:space="preserve">Regular price; was on Rollback at $4.47</t>
  </si>
  <si>
    <t xml:space="preserve">Pork loin chops (boneless)</t>
  </si>
  <si>
    <t xml:space="preserve">Family pack, per lb</t>
  </si>
  <si>
    <t xml:space="preserve">10164</t>
  </si>
  <si>
    <t xml:space="preserve">Pork, fresh, loin, center loin (chops), boneless, separable lean and fat, raw</t>
  </si>
  <si>
    <t xml:space="preserve">Top sirloin steak</t>
  </si>
  <si>
    <t xml:space="preserve">Choice Angus top sirloin, per lb</t>
  </si>
  <si>
    <t xml:space="preserve">13931</t>
  </si>
  <si>
    <t xml:space="preserve">Beef, top sirloin, steak, separable lean and fat, trimmed to 1/8" fat, choice, raw</t>
  </si>
  <si>
    <t xml:space="preserve">Fish &amp; Seafood</t>
  </si>
  <si>
    <t xml:space="preserve">Canned light tuna (in water)</t>
  </si>
  <si>
    <t xml:space="preserve">Great Value chunk light, 5 oz can</t>
  </si>
  <si>
    <t xml:space="preserve">3 oz drained</t>
  </si>
  <si>
    <t xml:space="preserve">15121</t>
  </si>
  <si>
    <t xml:space="preserve">Fish, tuna, light, canned in water, drained solids</t>
  </si>
  <si>
    <t xml:space="preserve">Drained solids ~79% of can weight</t>
  </si>
  <si>
    <t xml:space="preserve">Salmon (Atlantic, fillet)</t>
  </si>
  <si>
    <t xml:space="preserve">Marketside frozen portions, 2 lb</t>
  </si>
  <si>
    <t xml:space="preserve">15236</t>
  </si>
  <si>
    <t xml:space="preserve">Fish, salmon, Atlantic, farmed, raw</t>
  </si>
  <si>
    <t xml:space="preserve">Shrimp (raw, peeled)</t>
  </si>
  <si>
    <t xml:space="preserve">Great Value frozen, 2 lb</t>
  </si>
  <si>
    <t xml:space="preserve">15149</t>
  </si>
  <si>
    <t xml:space="preserve">Crustaceans, shrimp, mixed species, raw (may have been previously frozen)</t>
  </si>
  <si>
    <t xml:space="preserve">Tilapia (fillet)</t>
  </si>
  <si>
    <t xml:space="preserve">15261</t>
  </si>
  <si>
    <t xml:space="preserve">Fish, tilapia, raw</t>
  </si>
  <si>
    <t xml:space="preserve">Eggs (large)</t>
  </si>
  <si>
    <t xml:space="preserve">Great Value large, 12 ct</t>
  </si>
  <si>
    <t xml:space="preserve">1 large egg</t>
  </si>
  <si>
    <t xml:space="preserve">01123</t>
  </si>
  <si>
    <t xml:space="preserve">Egg, whole, raw, fresh</t>
  </si>
  <si>
    <t xml:space="preserve">Dozen = 12 x 50 g edible; shell is 12% of weight</t>
  </si>
  <si>
    <t xml:space="preserve">Plant Proteins</t>
  </si>
  <si>
    <t xml:space="preserve">Black beans (canned)</t>
  </si>
  <si>
    <t xml:space="preserve">Great Value no salt added, 15 oz</t>
  </si>
  <si>
    <t xml:space="preserve">1/2 cup</t>
  </si>
  <si>
    <t xml:space="preserve">Beans &amp; lentils</t>
  </si>
  <si>
    <t xml:space="preserve">16316</t>
  </si>
  <si>
    <t xml:space="preserve">Beans, black, mature seeds, canned, low sodium</t>
  </si>
  <si>
    <t xml:space="preserve">Nutrients for solids + liquid</t>
  </si>
  <si>
    <t xml:space="preserve">Chickpeas (canned)</t>
  </si>
  <si>
    <t xml:space="preserve">Great Value, 15.5 oz</t>
  </si>
  <si>
    <t xml:space="preserve">16058</t>
  </si>
  <si>
    <t xml:space="preserve">Chickpeas (garbanzo beans, bengal gram), mature seeds, canned, solids and liquids</t>
  </si>
  <si>
    <t xml:space="preserve">Lentils (dry)</t>
  </si>
  <si>
    <t xml:space="preserve">Great Value, 1 lb</t>
  </si>
  <si>
    <t xml:space="preserve">1/4 cup dry (~3/4 cup cooked)</t>
  </si>
  <si>
    <t xml:space="preserve">16069</t>
  </si>
  <si>
    <t xml:space="preserve">Lentils, raw</t>
  </si>
  <si>
    <t xml:space="preserve">Peanut butter</t>
  </si>
  <si>
    <t xml:space="preserve">Great Value creamy, 40 oz</t>
  </si>
  <si>
    <t xml:space="preserve">2 tbsp</t>
  </si>
  <si>
    <t xml:space="preserve">16098</t>
  </si>
  <si>
    <t xml:space="preserve">Peanut butter, smooth style, with salt</t>
  </si>
  <si>
    <t xml:space="preserve">Pinto beans (dry)</t>
  </si>
  <si>
    <t xml:space="preserve">Great Value, 2 lb</t>
  </si>
  <si>
    <t xml:space="preserve">16042</t>
  </si>
  <si>
    <t xml:space="preserve">Beans, pinto, mature seeds, raw</t>
  </si>
  <si>
    <t xml:space="preserve">Tofu (extra firm)</t>
  </si>
  <si>
    <t xml:space="preserve">Nasoya extra firm, 14 oz</t>
  </si>
  <si>
    <t xml:space="preserve">3 oz</t>
  </si>
  <si>
    <t xml:space="preserve">16212</t>
  </si>
  <si>
    <t xml:space="preserve">Vitasoy USA, Organic Nasoya Extra Firm Tofu</t>
  </si>
  <si>
    <t xml:space="preserve">Price undated (Walmart Business listing)</t>
  </si>
  <si>
    <t xml:space="preserve">Dairy &amp; Alternatives</t>
  </si>
  <si>
    <t xml:space="preserve">Milk &amp; Yogurt</t>
  </si>
  <si>
    <t xml:space="preserve">2% milk</t>
  </si>
  <si>
    <t xml:space="preserve">Great Value, 1 gal</t>
  </si>
  <si>
    <t xml:space="preserve">1 cup</t>
  </si>
  <si>
    <t xml:space="preserve">01079</t>
  </si>
  <si>
    <t xml:space="preserve">Milk, reduced fat, fluid, 2% milkfat, with added vitamin A and vitamin D</t>
  </si>
  <si>
    <t xml:space="preserve">Gallon = 16 cups x 244 g</t>
  </si>
  <si>
    <t xml:space="preserve">Greek yogurt (plain, nonfat)</t>
  </si>
  <si>
    <t xml:space="preserve">Great Value, 32 oz</t>
  </si>
  <si>
    <t xml:space="preserve">1 container (6 oz)</t>
  </si>
  <si>
    <t xml:space="preserve">01256</t>
  </si>
  <si>
    <t xml:space="preserve">Yogurt, Greek, plain, nonfat</t>
  </si>
  <si>
    <t xml:space="preserve">Soy milk (calcium-fortified)</t>
  </si>
  <si>
    <t xml:space="preserve">Silk original, 64 fl oz</t>
  </si>
  <si>
    <t xml:space="preserve">16139</t>
  </si>
  <si>
    <t xml:space="preserve">Soymilk, original and vanilla, with added calcium, vitamins A and D</t>
  </si>
  <si>
    <t xml:space="preserve">Half gallon = 8 cups x 243 g</t>
  </si>
  <si>
    <t xml:space="preserve">Whole milk</t>
  </si>
  <si>
    <t xml:space="preserve">01077</t>
  </si>
  <si>
    <t xml:space="preserve">Milk, whole, 3.25% milkfat, with added vitamin D</t>
  </si>
  <si>
    <t xml:space="preserve">Cheese</t>
  </si>
  <si>
    <t xml:space="preserve">American cheese (singles)</t>
  </si>
  <si>
    <t xml:space="preserve">Great Value, 16 oz / 24 slices</t>
  </si>
  <si>
    <t xml:space="preserve">1 slice</t>
  </si>
  <si>
    <t xml:space="preserve">01042</t>
  </si>
  <si>
    <t xml:space="preserve">Cheese, pasteurized process, American, fortified with vitamin D</t>
  </si>
  <si>
    <t xml:space="preserve">Cheddar cheese</t>
  </si>
  <si>
    <t xml:space="preserve">Great Value medium block, 8 oz</t>
  </si>
  <si>
    <t xml:space="preserve">1 oz</t>
  </si>
  <si>
    <t xml:space="preserve">01009</t>
  </si>
  <si>
    <t xml:space="preserve">Cheese, cheddar</t>
  </si>
  <si>
    <t xml:space="preserve">Cottage cheese (2%)</t>
  </si>
  <si>
    <t xml:space="preserve">Great Value small curd, 24 oz</t>
  </si>
  <si>
    <t xml:space="preserve">01015</t>
  </si>
  <si>
    <t xml:space="preserve">Cheese, cottage, lowfat, 2% milkfat</t>
  </si>
  <si>
    <t xml:space="preserve">Mozzarella string cheese</t>
  </si>
  <si>
    <t xml:space="preserve">Great Value part-skim, 12 ct</t>
  </si>
  <si>
    <t xml:space="preserve">1 stick</t>
  </si>
  <si>
    <t xml:space="preserve">01029</t>
  </si>
  <si>
    <t xml:space="preserve">Cheese, mozzarella, low moisture, part-skim</t>
  </si>
  <si>
    <t xml:space="preserve">Price undated (Walmart.com listing)</t>
  </si>
  <si>
    <t xml:space="preserve">Carbohydrates</t>
  </si>
  <si>
    <t xml:space="preserve">Grains &amp; Bread</t>
  </si>
  <si>
    <t xml:space="preserve">Bagels (plain)</t>
  </si>
  <si>
    <t xml:space="preserve">Great Value, 6 ct / 20 oz</t>
  </si>
  <si>
    <t xml:space="preserve">1 bagel</t>
  </si>
  <si>
    <t xml:space="preserve">Grains &amp; bread</t>
  </si>
  <si>
    <t xml:space="preserve">18001</t>
  </si>
  <si>
    <t xml:space="preserve">Bagels, plain, enriched, with calcium propionate (includes onion, poppy, sesame)</t>
  </si>
  <si>
    <t xml:space="preserve">Brown rice (dry)</t>
  </si>
  <si>
    <t xml:space="preserve">Great Value long grain, 32 oz</t>
  </si>
  <si>
    <t xml:space="preserve">20036</t>
  </si>
  <si>
    <t xml:space="preserve">Rice, brown, long-grain, raw</t>
  </si>
  <si>
    <t xml:space="preserve">Cheerios</t>
  </si>
  <si>
    <t xml:space="preserve">Cheerios family size, 18 oz</t>
  </si>
  <si>
    <t xml:space="preserve">08013</t>
  </si>
  <si>
    <t xml:space="preserve">Cereals ready-to-eat, GENERAL MILLS, CHEERIOS</t>
  </si>
  <si>
    <t xml:space="preserve">Regular price; was on Rollback at $4.50</t>
  </si>
  <si>
    <t xml:space="preserve">Corn tortillas</t>
  </si>
  <si>
    <t xml:space="preserve">Mission yellow corn, 30 ct</t>
  </si>
  <si>
    <t xml:space="preserve">1 tortilla</t>
  </si>
  <si>
    <t xml:space="preserve">18363</t>
  </si>
  <si>
    <t xml:space="preserve">Tortillas, ready-to-bake or -fry, corn</t>
  </si>
  <si>
    <t xml:space="preserve">Weight from listed unit price (8.9 cents/oz)</t>
  </si>
  <si>
    <t xml:space="preserve">Flour tortillas</t>
  </si>
  <si>
    <t xml:space="preserve">Great Value medium, 10 ct / 16 oz</t>
  </si>
  <si>
    <t xml:space="preserve">18970</t>
  </si>
  <si>
    <t xml:space="preserve">Tortillas, ready-to-bake or -fry, flour, shelf stable</t>
  </si>
  <si>
    <t xml:space="preserve">Quinoa (dry)</t>
  </si>
  <si>
    <t xml:space="preserve">Great Value organic, 16 oz</t>
  </si>
  <si>
    <t xml:space="preserve">20035</t>
  </si>
  <si>
    <t xml:space="preserve">Quinoa, uncooked</t>
  </si>
  <si>
    <t xml:space="preserve">Rolled oats (dry)</t>
  </si>
  <si>
    <t xml:space="preserve">Great Value old fashioned, 42 oz</t>
  </si>
  <si>
    <t xml:space="preserve">1/2 cup dry</t>
  </si>
  <si>
    <t xml:space="preserve">08120</t>
  </si>
  <si>
    <t xml:space="preserve">Cereals, oats, regular and quick, not fortified, dry</t>
  </si>
  <si>
    <t xml:space="preserve">Not certified gluten-free</t>
  </si>
  <si>
    <t xml:space="preserve">Spaghetti (dry)</t>
  </si>
  <si>
    <t xml:space="preserve">Great Value, 16 oz</t>
  </si>
  <si>
    <t xml:space="preserve">2 oz dry (~1 cup cooked)</t>
  </si>
  <si>
    <t xml:space="preserve">20120</t>
  </si>
  <si>
    <t xml:space="preserve">Pasta, dry, enriched</t>
  </si>
  <si>
    <t xml:space="preserve">White bread</t>
  </si>
  <si>
    <t xml:space="preserve">Great Value, 20 oz loaf</t>
  </si>
  <si>
    <t xml:space="preserve">18069</t>
  </si>
  <si>
    <t xml:space="preserve">Bread, white, commercially prepared (includes soft bread crumbs)</t>
  </si>
  <si>
    <t xml:space="preserve">White rice (dry)</t>
  </si>
  <si>
    <t xml:space="preserve">Great Value long grain, 5 lb</t>
  </si>
  <si>
    <t xml:space="preserve">20044</t>
  </si>
  <si>
    <t xml:space="preserve">Rice, white, long-grain, regular, raw, enriched</t>
  </si>
  <si>
    <t xml:space="preserve">Whole-wheat bread</t>
  </si>
  <si>
    <t xml:space="preserve">Great Value 100% whole wheat, 20 oz</t>
  </si>
  <si>
    <t xml:space="preserve">18075</t>
  </si>
  <si>
    <t xml:space="preserve">Bread, whole-wheat, commercially prepared</t>
  </si>
  <si>
    <t xml:space="preserve">Whole-wheat spaghetti (dry)</t>
  </si>
  <si>
    <t xml:space="preserve">20124</t>
  </si>
  <si>
    <t xml:space="preserve">Pasta, whole-wheat, dry</t>
  </si>
  <si>
    <t xml:space="preserve">Starchy Vegetables</t>
  </si>
  <si>
    <t xml:space="preserve">Corn (frozen)</t>
  </si>
  <si>
    <t xml:space="preserve">Great Value whole kernel, 12 oz</t>
  </si>
  <si>
    <t xml:space="preserve">11178</t>
  </si>
  <si>
    <t xml:space="preserve">Corn, sweet, yellow, frozen, kernels cut off cob, unprepared</t>
  </si>
  <si>
    <t xml:space="preserve">Potatoes (russet)</t>
  </si>
  <si>
    <t xml:space="preserve">Russet, 5 lb bag</t>
  </si>
  <si>
    <t xml:space="preserve">1 cup diced</t>
  </si>
  <si>
    <t xml:space="preserve">11352</t>
  </si>
  <si>
    <t xml:space="preserve">Potatoes, flesh and skin, raw</t>
  </si>
  <si>
    <t xml:space="preserve">Regular price; was on Rollback at $2.47</t>
  </si>
  <si>
    <t xml:space="preserve">Sweet potatoes</t>
  </si>
  <si>
    <t xml:space="preserve">3 lb bag</t>
  </si>
  <si>
    <t xml:space="preserve">1 cup cubed</t>
  </si>
  <si>
    <t xml:space="preserve">11507</t>
  </si>
  <si>
    <t xml:space="preserve">Sweet potato, raw, unprepared</t>
  </si>
  <si>
    <t xml:space="preserve">Fruits</t>
  </si>
  <si>
    <t xml:space="preserve">Fruit</t>
  </si>
  <si>
    <t xml:space="preserve">Apples (Gala)</t>
  </si>
  <si>
    <t xml:space="preserve">Fresh Gala, 3 lb bag</t>
  </si>
  <si>
    <t xml:space="preserve">1 small apple</t>
  </si>
  <si>
    <t xml:space="preserve">09003</t>
  </si>
  <si>
    <t xml:space="preserve">Apples, raw, with skin</t>
  </si>
  <si>
    <t xml:space="preserve">Older listing (Jun 2025) — verify</t>
  </si>
  <si>
    <t xml:space="preserve">Bananas</t>
  </si>
  <si>
    <t xml:space="preserve">Fresh, per lb</t>
  </si>
  <si>
    <t xml:space="preserve">1 medium</t>
  </si>
  <si>
    <t xml:space="preserve">09040</t>
  </si>
  <si>
    <t xml:space="preserve">Bananas, raw</t>
  </si>
  <si>
    <t xml:space="preserve">Blueberries (frozen)</t>
  </si>
  <si>
    <t xml:space="preserve">Great Value, 48 oz</t>
  </si>
  <si>
    <t xml:space="preserve">09054</t>
  </si>
  <si>
    <t xml:space="preserve">Blueberries, frozen, unsweetened</t>
  </si>
  <si>
    <t xml:space="preserve">Grapes (red seedless)</t>
  </si>
  <si>
    <t xml:space="preserve">09132</t>
  </si>
  <si>
    <t xml:space="preserve">Grapes, red or green (European type, such as Thompson seedless), raw</t>
  </si>
  <si>
    <t xml:space="preserve">Orange juice (100%)</t>
  </si>
  <si>
    <t xml:space="preserve">Great Value not-from-concentrate, 52 fl oz</t>
  </si>
  <si>
    <t xml:space="preserve">09209</t>
  </si>
  <si>
    <t xml:space="preserve">Orange juice, chilled, includes from concentrate</t>
  </si>
  <si>
    <t xml:space="preserve">52 fl oz = 6.5 cups x 249 g</t>
  </si>
  <si>
    <t xml:space="preserve">Oranges (navel)</t>
  </si>
  <si>
    <t xml:space="preserve">Fresh navel, 4 lb bag</t>
  </si>
  <si>
    <t xml:space="preserve">1 orange</t>
  </si>
  <si>
    <t xml:space="preserve">09202</t>
  </si>
  <si>
    <t xml:space="preserve">Oranges, raw, navels</t>
  </si>
  <si>
    <t xml:space="preserve">Raisins</t>
  </si>
  <si>
    <t xml:space="preserve">Great Value, 20 oz</t>
  </si>
  <si>
    <t xml:space="preserve">1/4 cup</t>
  </si>
  <si>
    <t xml:space="preserve">09298</t>
  </si>
  <si>
    <t xml:space="preserve">Raisins, seedless</t>
  </si>
  <si>
    <t xml:space="preserve">Strawberries</t>
  </si>
  <si>
    <t xml:space="preserve">Fresh, 1 lb</t>
  </si>
  <si>
    <t xml:space="preserve">1 cup halves</t>
  </si>
  <si>
    <t xml:space="preserve">09316</t>
  </si>
  <si>
    <t xml:space="preserve">Strawberries, raw</t>
  </si>
  <si>
    <t xml:space="preserve">Vegetables</t>
  </si>
  <si>
    <t xml:space="preserve">Broccoli (frozen)</t>
  </si>
  <si>
    <t xml:space="preserve">Great Value florets, 12 oz</t>
  </si>
  <si>
    <t xml:space="preserve">11094</t>
  </si>
  <si>
    <t xml:space="preserve">Broccoli, frozen, spears, unprepared</t>
  </si>
  <si>
    <t xml:space="preserve">Carrots</t>
  </si>
  <si>
    <t xml:space="preserve">Fresh whole, 2 lb bag</t>
  </si>
  <si>
    <t xml:space="preserve">1 cup chopped</t>
  </si>
  <si>
    <t xml:space="preserve">11124</t>
  </si>
  <si>
    <t xml:space="preserve">Carrots, raw</t>
  </si>
  <si>
    <t xml:space="preserve">Green beans (canned)</t>
  </si>
  <si>
    <t xml:space="preserve">Great Value cut, 14.5 oz</t>
  </si>
  <si>
    <t xml:space="preserve">11054</t>
  </si>
  <si>
    <t xml:space="preserve">Beans, snap, green, canned, regular pack, solids and liquids</t>
  </si>
  <si>
    <t xml:space="preserve">Regular price; was on Rollback at $0.50</t>
  </si>
  <si>
    <t xml:space="preserve">Green bell pepper</t>
  </si>
  <si>
    <t xml:space="preserve">Fresh, each (~145 g)</t>
  </si>
  <si>
    <t xml:space="preserve">11333</t>
  </si>
  <si>
    <t xml:space="preserve">Peppers, sweet, green, raw</t>
  </si>
  <si>
    <t xml:space="preserve">Each ~145 g as bought (119 g edible, USDA)</t>
  </si>
  <si>
    <t xml:space="preserve">Mixed vegetables (frozen)</t>
  </si>
  <si>
    <t xml:space="preserve">2/3 cup</t>
  </si>
  <si>
    <t xml:space="preserve">11583</t>
  </si>
  <si>
    <t xml:space="preserve">Vegetables, mixed, frozen, unprepared</t>
  </si>
  <si>
    <t xml:space="preserve">Onions (yellow)</t>
  </si>
  <si>
    <t xml:space="preserve">Fresh yellow, 3 lb bag</t>
  </si>
  <si>
    <t xml:space="preserve">1/2 cup chopped</t>
  </si>
  <si>
    <t xml:space="preserve">11282</t>
  </si>
  <si>
    <t xml:space="preserve">Onions, raw</t>
  </si>
  <si>
    <t xml:space="preserve">Romaine lettuce</t>
  </si>
  <si>
    <t xml:space="preserve">Romaine, per lb (BLS U.S. average)</t>
  </si>
  <si>
    <t xml:space="preserve">2 cups shredded</t>
  </si>
  <si>
    <t xml:space="preserve">11251</t>
  </si>
  <si>
    <t xml:space="preserve">Lettuce, cos or romaine, raw</t>
  </si>
  <si>
    <t xml:space="preserve">BLS Sep 2026 price (Walmart sells by count)</t>
  </si>
  <si>
    <t xml:space="preserve">Spinach (fresh)</t>
  </si>
  <si>
    <t xml:space="preserve">Marketside, 10 oz bag</t>
  </si>
  <si>
    <t xml:space="preserve">2 cups raw</t>
  </si>
  <si>
    <t xml:space="preserve">11457</t>
  </si>
  <si>
    <t xml:space="preserve">Spinach, raw</t>
  </si>
  <si>
    <t xml:space="preserve">Bagged and washed: no refuse; USDA refuse 28% (Large stems and roots) not applied: bought trimmed</t>
  </si>
  <si>
    <t xml:space="preserve">Tomatoes (roma)</t>
  </si>
  <si>
    <t xml:space="preserve">Fresh roma, per lb</t>
  </si>
  <si>
    <t xml:space="preserve">11529</t>
  </si>
  <si>
    <t xml:space="preserve">Tomatoes, red, ripe, raw, year round average</t>
  </si>
  <si>
    <t xml:space="preserve">Fats, Oils &amp; Nuts</t>
  </si>
  <si>
    <t xml:space="preserve">Oils &amp; Fats</t>
  </si>
  <si>
    <t xml:space="preserve">Butter (salted)</t>
  </si>
  <si>
    <t xml:space="preserve">Great Value, 2 x 16 oz</t>
  </si>
  <si>
    <t xml:space="preserve">1 tbsp</t>
  </si>
  <si>
    <t xml:space="preserve">Oils &amp; butter</t>
  </si>
  <si>
    <t xml:space="preserve">01001</t>
  </si>
  <si>
    <t xml:space="preserve">Butter, salted</t>
  </si>
  <si>
    <t xml:space="preserve">Canola oil</t>
  </si>
  <si>
    <t xml:space="preserve">Great Value, 48 fl oz</t>
  </si>
  <si>
    <t xml:space="preserve">04582</t>
  </si>
  <si>
    <t xml:space="preserve">Oil, canola</t>
  </si>
  <si>
    <t xml:space="preserve">48 fl oz = 6 cups x 218 g</t>
  </si>
  <si>
    <t xml:space="preserve">Olive oil (extra virgin)</t>
  </si>
  <si>
    <t xml:space="preserve">Great Value, 51 fl oz</t>
  </si>
  <si>
    <t xml:space="preserve">04053</t>
  </si>
  <si>
    <t xml:space="preserve">Oil, olive, salad or cooking</t>
  </si>
  <si>
    <t xml:space="preserve">51 fl oz = 6.375 cups x 216 g</t>
  </si>
  <si>
    <t xml:space="preserve">Nuts &amp; Seeds</t>
  </si>
  <si>
    <t xml:space="preserve">Almonds</t>
  </si>
  <si>
    <t xml:space="preserve">Great Value whole, 16 oz</t>
  </si>
  <si>
    <t xml:space="preserve">1 oz (~23 almonds)</t>
  </si>
  <si>
    <t xml:space="preserve">12061</t>
  </si>
  <si>
    <t xml:space="preserve">Nuts, almonds</t>
  </si>
  <si>
    <t xml:space="preserve">Price undated (Walmart.com listing); USDA refuse 60% (Shells) not applied: bought trimmed</t>
  </si>
  <si>
    <t xml:space="preserve">Avocado (Hass)</t>
  </si>
  <si>
    <t xml:space="preserve">Fresh, each (~203 g)</t>
  </si>
  <si>
    <t xml:space="preserve">1/2 avocado</t>
  </si>
  <si>
    <t xml:space="preserve">09038</t>
  </si>
  <si>
    <t xml:space="preserve">Avocados, raw, California</t>
  </si>
  <si>
    <t xml:space="preserve">Each ~203 g as bought (136 g edible, USDA)</t>
  </si>
  <si>
    <t xml:space="preserve">Snacks &amp; Sweets</t>
  </si>
  <si>
    <t xml:space="preserve">Chocolate chip cookies</t>
  </si>
  <si>
    <t xml:space="preserve">Great Value chewy, 13 oz</t>
  </si>
  <si>
    <t xml:space="preserve">2 cookies</t>
  </si>
  <si>
    <t xml:space="preserve">Snacks &amp; sweets</t>
  </si>
  <si>
    <t xml:space="preserve">18159</t>
  </si>
  <si>
    <t xml:space="preserve">Cookies, chocolate chip, commercially prepared, regular, higher fat, enriched</t>
  </si>
  <si>
    <t xml:space="preserve">Older listing (Jul 2025) — verify</t>
  </si>
  <si>
    <t xml:space="preserve">Granola bars (chocolate chip)</t>
  </si>
  <si>
    <t xml:space="preserve">Great Value chewy, 10 ct</t>
  </si>
  <si>
    <t xml:space="preserve">1 bar</t>
  </si>
  <si>
    <t xml:space="preserve">19404</t>
  </si>
  <si>
    <t xml:space="preserve">Snacks, granola bars, soft, uncoated, chocolate chip</t>
  </si>
  <si>
    <t xml:space="preserve">Potato chips</t>
  </si>
  <si>
    <t xml:space="preserve">Great Value original, 8 oz</t>
  </si>
  <si>
    <t xml:space="preserve">19411</t>
  </si>
  <si>
    <t xml:space="preserve">Snacks, potato chips, plain, salted</t>
  </si>
  <si>
    <t xml:space="preserve">From 10-pack price $18.70</t>
  </si>
  <si>
    <t xml:space="preserve">Vanilla ice cream</t>
  </si>
  <si>
    <t xml:space="preserve">19095</t>
  </si>
  <si>
    <t xml:space="preserve">Ice creams, vanilla</t>
  </si>
  <si>
    <t xml:space="preserve">48 fl oz = 6 cups x 132 g</t>
  </si>
  <si>
    <t xml:space="preserve">Diets — macro split and which food attributes each diet forbids</t>
  </si>
  <si>
    <t xml:space="preserve">Food j is allowed when (attribute row of food j) · (forbidden row of the diet) = 0 and j is not in "Also excluded". Source: config/diets.json (edit there; this sheet is rebuilt from it).</t>
  </si>
  <si>
    <t xml:space="preserve">Description</t>
  </si>
  <si>
    <t xml:space="preserve">Protein min</t>
  </si>
  <si>
    <t xml:space="preserve">Protein max</t>
  </si>
  <si>
    <t xml:space="preserve">Carbs min</t>
  </si>
  <si>
    <t xml:space="preserve">Carbs max</t>
  </si>
  <si>
    <t xml:space="preserve">Fat min</t>
  </si>
  <si>
    <t xml:space="preserve">Fat max</t>
  </si>
  <si>
    <t xml:space="preserve">Forbid Red meat</t>
  </si>
  <si>
    <t xml:space="preserve">Forbid Pork</t>
  </si>
  <si>
    <t xml:space="preserve">Forbid Poultry</t>
  </si>
  <si>
    <t xml:space="preserve">Forbid Fish</t>
  </si>
  <si>
    <t xml:space="preserve">Forbid Eggs</t>
  </si>
  <si>
    <t xml:space="preserve">Forbid Dairy</t>
  </si>
  <si>
    <t xml:space="preserve">Forbid Gluten</t>
  </si>
  <si>
    <t xml:space="preserve">Also excluded (food # on Food Data)</t>
  </si>
  <si>
    <t xml:space="preserve">Also excluded (names)</t>
  </si>
  <si>
    <t xml:space="preserve">USDA Acceptable Macronutrient Distribution Ranges; all foods allowed</t>
  </si>
  <si>
    <t xml:space="preserve">High-Protein</t>
  </si>
  <si>
    <t xml:space="preserve">For muscle gain: protein 25-35% of calories</t>
  </si>
  <si>
    <t xml:space="preserve">Low-Carb</t>
  </si>
  <si>
    <t xml:space="preserve">Moderate low-carb: carbs 20-35%, fat 35-50% (below the AMDR carb range)</t>
  </si>
  <si>
    <t xml:space="preserve">Vegetarian</t>
  </si>
  <si>
    <t xml:space="preserve">Lacto-ovo: no meat, poultry or fish</t>
  </si>
  <si>
    <t xml:space="preserve">Vegan</t>
  </si>
  <si>
    <t xml:space="preserve">No animal products</t>
  </si>
  <si>
    <t xml:space="preserve">Pescatarian</t>
  </si>
  <si>
    <t xml:space="preserve">Fish and seafood, no meat or poultry</t>
  </si>
  <si>
    <t xml:space="preserve">Gluten-Free</t>
  </si>
  <si>
    <t xml:space="preserve">No wheat, barley, rye or non-certified oats</t>
  </si>
  <si>
    <t xml:space="preserve">No Pork</t>
  </si>
  <si>
    <t xml:space="preserve">All foods except pork</t>
  </si>
  <si>
    <t xml:space="preserve">Low-Carb sets carbohydrate below the AMDR range (45–65%) on purpose; High-Protein sits at the top of the AMDR protein range.</t>
  </si>
  <si>
    <t xml:space="preserve">Diets change two things in the model: the macro rows of b_min/b_max, and the upper bounds u (a forbidden food gets u = 0).</t>
  </si>
  <si>
    <t xml:space="preserve">Matrix Model — minimize cᵀx subject to G·x (≥ or ≤) b,  0 ≤ x ≤ u</t>
  </si>
  <si>
    <t xml:space="preserve">x = food amounts in 100 g units (column C below). A = nutrient matrix, M = meal matrix, G = every constraint row stacked. Solve with Data → Solver (see Planner).</t>
  </si>
  <si>
    <t xml:space="preserve">Selected diet</t>
  </si>
  <si>
    <t xml:space="preserve">Macro (% of kcal)</t>
  </si>
  <si>
    <t xml:space="preserve">min</t>
  </si>
  <si>
    <t xml:space="preserve">max</t>
  </si>
  <si>
    <t xml:space="preserve">Protein</t>
  </si>
  <si>
    <t xml:space="preserve">Carbohydrate</t>
  </si>
  <si>
    <t xml:space="preserve">Fat</t>
  </si>
  <si>
    <t xml:space="preserve">FOOD PARAMETERS  (one column per food)</t>
  </si>
  <si>
    <t xml:space="preserve">c — $ per 100 g edible</t>
  </si>
  <si>
    <t xml:space="preserve">u — upper bound (100 g units)</t>
  </si>
  <si>
    <t xml:space="preserve">l — lower bound (must-include)</t>
  </si>
  <si>
    <t xml:space="preserve">allowed by diet</t>
  </si>
  <si>
    <t xml:space="preserve">NUTRIENT MATRIX A  (rows = nutrients, columns = foods, per 100 g edible — USDA SR28)</t>
  </si>
  <si>
    <t xml:space="preserve">MEAL MATRIX Mᵀ  (share of each food eaten at each meal; columns sum to 1)</t>
  </si>
  <si>
    <t xml:space="preserve">CONSTRAINT MATRIX G  (every rule is one row: coefficients across the food columns)</t>
  </si>
  <si>
    <t xml:space="preserve">Rule</t>
  </si>
  <si>
    <t xml:space="preserve">Kind</t>
  </si>
  <si>
    <t xml:space="preserve">b (right side)</t>
  </si>
  <si>
    <t xml:space="preserve">G·x (plan)</t>
  </si>
  <si>
    <t xml:space="preserve">Calories ≥ target − tolerance</t>
  </si>
  <si>
    <t xml:space="preserve">nutrient ≥</t>
  </si>
  <si>
    <t xml:space="preserve">Protein ≥ floor (g, optional)</t>
  </si>
  <si>
    <t xml:space="preserve">Protein ≥ min % of calories  (4·P − s·kcal ≥ 0)</t>
  </si>
  <si>
    <t xml:space="preserve">macro ≥</t>
  </si>
  <si>
    <t xml:space="preserve">Carbs ≥ min % of calories  (4·C − s·kcal ≥ 0)</t>
  </si>
  <si>
    <t xml:space="preserve">Fat ≥ min % of calories  (9·F − s·kcal ≥ 0)</t>
  </si>
  <si>
    <t xml:space="preserve">Fiber ≥ minimum</t>
  </si>
  <si>
    <t xml:space="preserve">Calcium ≥ minimum</t>
  </si>
  <si>
    <t xml:space="preserve">Iron ≥ minimum</t>
  </si>
  <si>
    <t xml:space="preserve">Potassium ≥ minimum</t>
  </si>
  <si>
    <t xml:space="preserve">Vitamin C ≥ minimum</t>
  </si>
  <si>
    <t xml:space="preserve">Breakfast calories ≥ min share</t>
  </si>
  <si>
    <t xml:space="preserve">meal ≥</t>
  </si>
  <si>
    <t xml:space="preserve">Lunch calories ≥ min share</t>
  </si>
  <si>
    <t xml:space="preserve">Dinner calories ≥ min share</t>
  </si>
  <si>
    <t xml:space="preserve">Snacks calories ≥ min share</t>
  </si>
  <si>
    <t xml:space="preserve">Breakfast protein ≥ min share of day</t>
  </si>
  <si>
    <t xml:space="preserve">Lunch protein ≥ min share of day</t>
  </si>
  <si>
    <t xml:space="preserve">Dinner protein ≥ min share of day</t>
  </si>
  <si>
    <t xml:space="preserve">Vegetables ≥ min cup-equivalents</t>
  </si>
  <si>
    <t xml:space="preserve">group ≥</t>
  </si>
  <si>
    <t xml:space="preserve">Fruit ≥ min cup-equivalents</t>
  </si>
  <si>
    <t xml:space="preserve">Calories ≤ target + tolerance</t>
  </si>
  <si>
    <t xml:space="preserve">nutrient ≤</t>
  </si>
  <si>
    <t xml:space="preserve">Protein ≤ max % of calories</t>
  </si>
  <si>
    <t xml:space="preserve">macro ≤</t>
  </si>
  <si>
    <t xml:space="preserve">Carbs ≤ max % of calories</t>
  </si>
  <si>
    <t xml:space="preserve">Fat ≤ max % of calories</t>
  </si>
  <si>
    <t xml:space="preserve">Sodium ≤ maximum</t>
  </si>
  <si>
    <t xml:space="preserve">Total sugars ≤ maximum (blank = none)</t>
  </si>
  <si>
    <t xml:space="preserve">Breakfast calories ≤ max share</t>
  </si>
  <si>
    <t xml:space="preserve">meal ≤</t>
  </si>
  <si>
    <t xml:space="preserve">Lunch calories ≤ max share</t>
  </si>
  <si>
    <t xml:space="preserve">Dinner calories ≤ max share</t>
  </si>
  <si>
    <t xml:space="preserve">Snacks calories ≤ max share</t>
  </si>
  <si>
    <t xml:space="preserve">Meat, poultry &amp; fish ≤ max grams</t>
  </si>
  <si>
    <t xml:space="preserve">group ≤</t>
  </si>
  <si>
    <t xml:space="preserve">Beans &amp; lentils ≤ max servings</t>
  </si>
  <si>
    <t xml:space="preserve">Cheese ≤ max servings</t>
  </si>
  <si>
    <t xml:space="preserve">Grains &amp; bread ≤ max servings</t>
  </si>
  <si>
    <t xml:space="preserve">Oils &amp; butter ≤ max servings</t>
  </si>
  <si>
    <t xml:space="preserve">Snacks &amp; sweets ≤ max servings</t>
  </si>
  <si>
    <t xml:space="preserve">Chicken breast (boneless, skinless) ≤ max share of protein</t>
  </si>
  <si>
    <t xml:space="preserve">share ≤</t>
  </si>
  <si>
    <t xml:space="preserve">Chicken drumsticks (bone-in) ≤ max share of protein</t>
  </si>
  <si>
    <t xml:space="preserve">Chicken thighs (boneless, skinless) ≤ max share of protein</t>
  </si>
  <si>
    <t xml:space="preserve">Deli turkey breast (sliced) ≤ max share of protein</t>
  </si>
  <si>
    <t xml:space="preserve">Ground turkey 93/7 ≤ max share of protein</t>
  </si>
  <si>
    <t xml:space="preserve">Bacon ≤ max share of protein</t>
  </si>
  <si>
    <t xml:space="preserve">Ground beef 80/20 ≤ max share of protein</t>
  </si>
  <si>
    <t xml:space="preserve">Ground beef 93/7 (lean) ≤ max share of protein</t>
  </si>
  <si>
    <t xml:space="preserve">Ham (sliced, cooked) ≤ max share of protein</t>
  </si>
  <si>
    <t xml:space="preserve">Pork loin chops (boneless) ≤ max share of protein</t>
  </si>
  <si>
    <t xml:space="preserve">Top sirloin steak ≤ max share of protein</t>
  </si>
  <si>
    <t xml:space="preserve">Canned light tuna (in water) ≤ max share of protein</t>
  </si>
  <si>
    <t xml:space="preserve">Salmon (Atlantic, fillet) ≤ max share of protein</t>
  </si>
  <si>
    <t xml:space="preserve">Shrimp (raw, peeled) ≤ max share of protein</t>
  </si>
  <si>
    <t xml:space="preserve">Tilapia (fillet) ≤ max share of protein</t>
  </si>
  <si>
    <t xml:space="preserve">Eggs (large) ≤ max share of protein</t>
  </si>
  <si>
    <t xml:space="preserve">Lentils (dry) ≤ max share of protein</t>
  </si>
  <si>
    <t xml:space="preserve">Peanut butter ≤ max share of protein</t>
  </si>
  <si>
    <t xml:space="preserve">Pinto beans (dry) ≤ max share of protein</t>
  </si>
  <si>
    <t xml:space="preserve">Tofu (extra firm) ≤ max share of protein</t>
  </si>
  <si>
    <t xml:space="preserve">Greek yogurt (plain, nonfat) ≤ max share of protein</t>
  </si>
  <si>
    <t xml:space="preserve">American cheese (singles) ≤ max share of protein</t>
  </si>
  <si>
    <t xml:space="preserve">Cheddar cheese ≤ max share of protein</t>
  </si>
  <si>
    <t xml:space="preserve">Cottage cheese (2%) ≤ max share of protein</t>
  </si>
  <si>
    <t xml:space="preserve">Mozzarella string cheese ≤ max share of protein</t>
  </si>
  <si>
    <t xml:space="preserve">Bagels (plain) ≤ max share of protein</t>
  </si>
  <si>
    <t xml:space="preserve">Cheerios ≤ max share of protein</t>
  </si>
  <si>
    <t xml:space="preserve">Quinoa (dry) ≤ max share of protein</t>
  </si>
  <si>
    <t xml:space="preserve">Rolled oats (dry) ≤ max share of protein</t>
  </si>
  <si>
    <t xml:space="preserve">Spaghetti (dry) ≤ max share of protein</t>
  </si>
  <si>
    <t xml:space="preserve">Whole-wheat bread ≤ max share of protein</t>
  </si>
  <si>
    <t xml:space="preserve">Whole-wheat spaghetti (dry) ≤ max share of protein</t>
  </si>
  <si>
    <t xml:space="preserve">Almonds ≤ max share of protein</t>
  </si>
  <si>
    <t xml:space="preserve">DIET VECTOR x  (Solver changes column C;  pre-filled with the Simplex answer for the Balanced example)</t>
  </si>
  <si>
    <t xml:space="preserve">x (100 g units)</t>
  </si>
  <si>
    <t xml:space="preserve">u</t>
  </si>
  <si>
    <t xml:space="preserve">l</t>
  </si>
  <si>
    <t xml:space="preserve">grams/day</t>
  </si>
  <si>
    <t xml:space="preserve">cost ($)</t>
  </si>
  <si>
    <t xml:space="preserve">at cap?</t>
  </si>
  <si>
    <t xml:space="preserve">Breakfast (g)</t>
  </si>
  <si>
    <t xml:space="preserve">Lunch (g)</t>
  </si>
  <si>
    <t xml:space="preserve">Dinner (g)</t>
  </si>
  <si>
    <t xml:space="preserve">Snacks (g)</t>
  </si>
  <si>
    <t xml:space="preserve">Breakfast list #</t>
  </si>
  <si>
    <t xml:space="preserve">Lunch list #</t>
  </si>
  <si>
    <t xml:space="preserve">Dinner list #</t>
  </si>
  <si>
    <t xml:space="preserve">Snacks list #</t>
  </si>
  <si>
    <t xml:space="preserve">cᵀx  — cost per day ($)</t>
  </si>
  <si>
    <t xml:space="preserve">NUTRIENTS:  A·x (whole day)  and  N = A·(x ∘ M) (per meal, one matrix product)</t>
  </si>
  <si>
    <t xml:space="preserve">A·x (day)</t>
  </si>
  <si>
    <t xml:space="preserve">Diet Comparison — the example person under every diet (A·X computes all nutrients in one matrix product)</t>
  </si>
  <si>
    <t xml:space="preserve">Columns of X are optimal Simplex solutions (Walmart prices, default balance rules) plus a hand-built typical day. Values in 100 g units.</t>
  </si>
  <si>
    <t xml:space="preserve">Typical day (not optimized)</t>
  </si>
  <si>
    <t xml:space="preserve">Cost per day  (cᵀX, Walmart $)</t>
  </si>
  <si>
    <t xml:space="preserve">A·X  (nutrients × diets)</t>
  </si>
  <si>
    <t xml:space="preserve">Targets the plan misses (example person, each diet's own macro split)</t>
  </si>
  <si>
    <t xml:space="preserve">Calories in ±5%</t>
  </si>
  <si>
    <t xml:space="preserve">Protein ≥ 112 g</t>
  </si>
  <si>
    <t xml:space="preserve">Fiber ≥ 42 g</t>
  </si>
  <si>
    <t xml:space="preserve">Calcium ≥ 1,000 mg</t>
  </si>
  <si>
    <t xml:space="preserve">Potassium ≥ 3,400 mg</t>
  </si>
  <si>
    <t xml:space="preserve">Vitamin C ≥ 90 mg</t>
  </si>
  <si>
    <t xml:space="preserve">Sodium ≤ 2,300 mg</t>
  </si>
  <si>
    <t xml:space="preserve">Fat ≤ 35% of calories (AMDR; Low-Carb allows 50%)</t>
  </si>
  <si>
    <t xml:space="preserve">What this shows</t>
  </si>
  <si>
    <t xml:space="preserve">• Example person (from the calculator): male, 21, 173 cm, 70.3 kg, active, maintain -&gt; 3,030 kcal, protein ≥ 112 g, fiber ≥ 42 g.</t>
  </si>
  <si>
    <t xml:space="preserve">• The optimized Balanced day costs $3.02 and meets every target; the typical day costs more and misses several targets (red cells).</t>
  </si>
  <si>
    <t xml:space="preserve">• Balanced, Vegetarian, Pescatarian, Gluten-Free, No Pork give the same cost: at these prices the cheapest balanced day already avoids meat, so excluding it costs nothing. Plant proteins (beans, peanut butter) and eggs cost far less per gram of protein than meat.</t>
  </si>
  <si>
    <t xml:space="preserve">• High-Protein and Low-Carb cost more because they force more protein (or fat) per calorie, which pulls in pricier foods.</t>
  </si>
  <si>
    <t xml:space="preserve">• Each column of X is a separate Simplex solve; A·X then evaluates every diet against every nutrient in one matrix multiplication.</t>
  </si>
  <si>
    <t xml:space="preserve">Optimality Proof — why the Balanced plan is the cheapest possible (example person)</t>
  </si>
  <si>
    <t xml:space="preserve">At a Simplex corner, the tight rules form a SQUARE linear system B·x_B = r. Solving it with B⁻¹ reproduces the answer; the same B⁻¹ gives shadow prices that certify no cheaper plan exists.</t>
  </si>
  <si>
    <t xml:space="preserve">Tight rules: 8.  Foods strictly inside their bounds (basic): 8.  Foods held at their cap: 4.  The rows and columns come from the exact basis the Simplex method finishes on. At a degenerate corner a basic food can sit exactly at its cap (it is still basic) — that is how the square system stays square.</t>
  </si>
  <si>
    <t xml:space="preserve">Built for the example person and the Balanced diet with default rules; it reads prices and nutrients live from Food Data. If you edit prices so the plan is no longer optimal, the certificate below will say so.</t>
  </si>
  <si>
    <t xml:space="preserve">G_T = the tight rows of the constraint matrix (example values fixed so the proof does not move when the Planner changes)</t>
  </si>
  <si>
    <t xml:space="preserve">Tight rule</t>
  </si>
  <si>
    <t xml:space="preserve">sense</t>
  </si>
  <si>
    <t xml:space="preserve">b_T</t>
  </si>
  <si>
    <t xml:space="preserve">kcal &gt;= min</t>
  </si>
  <si>
    <t xml:space="preserve">≥</t>
  </si>
  <si>
    <t xml:space="preserve">protein &gt;= min</t>
  </si>
  <si>
    <t xml:space="preserve">calcium &gt;= min</t>
  </si>
  <si>
    <t xml:space="preserve">carb% &lt;= 65% of kcal</t>
  </si>
  <si>
    <t xml:space="preserve">≤</t>
  </si>
  <si>
    <t xml:space="preserve">Breakfast kcal &gt;= 20%</t>
  </si>
  <si>
    <t xml:space="preserve">vegetables &gt;= 2.5 cup-eq</t>
  </si>
  <si>
    <t xml:space="preserve">fruit &gt;= 2 cup-eq</t>
  </si>
  <si>
    <t xml:space="preserve">legumes &lt;= 3 servings</t>
  </si>
  <si>
    <t xml:space="preserve">c (Walmart $ / 100 g)</t>
  </si>
  <si>
    <t xml:space="preserve">x* (Simplex, Balanced)</t>
  </si>
  <si>
    <t xml:space="preserve">u (cap, 100 g units)</t>
  </si>
  <si>
    <t xml:space="preserve">STEP 1 — square system:  B (8×8) = G_T restricted to the basic foods;  N = G_T on foods held at cap</t>
  </si>
  <si>
    <t xml:space="preserve">B: Eggs (large)</t>
  </si>
  <si>
    <t xml:space="preserve">B: Lentils (dry)</t>
  </si>
  <si>
    <t xml:space="preserve">B: 2% milk</t>
  </si>
  <si>
    <t xml:space="preserve">B: Brown rice (dry)</t>
  </si>
  <si>
    <t xml:space="preserve">B: Rolled oats (dry)</t>
  </si>
  <si>
    <t xml:space="preserve">B: Bananas</t>
  </si>
  <si>
    <t xml:space="preserve">B: Mixed vegetables (frozen)</t>
  </si>
  <si>
    <t xml:space="preserve">B: Canola oil</t>
  </si>
  <si>
    <t xml:space="preserve">N: Peanut butter</t>
  </si>
  <si>
    <t xml:space="preserve">N: Pinto beans (dry)</t>
  </si>
  <si>
    <t xml:space="preserve">N: White rice (dry)</t>
  </si>
  <si>
    <t xml:space="preserve">N: Broccoli (frozen)</t>
  </si>
  <si>
    <t xml:space="preserve">r = b_T − N·u_N</t>
  </si>
  <si>
    <t xml:space="preserve">u_N (caps of foods held at cap)</t>
  </si>
  <si>
    <t xml:space="preserve">STEP 2 — B⁻¹ (MINVERSE) and det(B) (MDETERM); then x_B = B⁻¹·r</t>
  </si>
  <si>
    <t xml:space="preserve">det(B)</t>
  </si>
  <si>
    <t xml:space="preserve">Basic food</t>
  </si>
  <si>
    <t xml:space="preserve">x_B = B⁻¹·r</t>
  </si>
  <si>
    <t xml:space="preserve">x* (Simplex)</t>
  </si>
  <si>
    <t xml:space="preserve">difference</t>
  </si>
  <si>
    <t xml:space="preserve">Check</t>
  </si>
  <si>
    <t xml:space="preserve">STEP 3 — shadow prices  yᵀ = c_Bᵀ·B⁻¹  (extra $/day if a tight rule is tightened by one unit)</t>
  </si>
  <si>
    <t xml:space="preserve">y</t>
  </si>
  <si>
    <t xml:space="preserve">sign OK?</t>
  </si>
  <si>
    <t xml:space="preserve">meaning</t>
  </si>
  <si>
    <t xml:space="preserve">c_B (row)</t>
  </si>
  <si>
    <t xml:space="preserve">yᵀ (row)</t>
  </si>
  <si>
    <t xml:space="preserve">STEP 4 — optimality certificate:  reduced cost d = c − yᵀ·G_T  for every food</t>
  </si>
  <si>
    <t xml:space="preserve">d ($ per 100 g)</t>
  </si>
  <si>
    <t xml:space="preserve">role</t>
  </si>
  <si>
    <t xml:space="preserve">zero</t>
  </si>
  <si>
    <t xml:space="preserve">basic</t>
  </si>
  <si>
    <t xml:space="preserve">at cap</t>
  </si>
  <si>
    <t xml:space="preserve">condition met?</t>
  </si>
  <si>
    <t xml:space="preserve">Rules: basic food → d = 0;  food at cap → d ≤ 0 (would add more if allowed);  food not eaten → d ≥ 0 (adding it raises cost).</t>
  </si>
  <si>
    <t xml:space="preserve">Verdict</t>
  </si>
  <si>
    <t xml:space="preserve">How the workbook maps to the project</t>
  </si>
  <si>
    <t xml:space="preserve">Planner = inputs and the answer.  Food Data = the data (sorted by group/type).  Diets = presets.  Matrix Model = the linear algebra (A, M, G, c, u, x; G·x and cᵀx by MMULT).  Diet Comparison = A·X for every diet at once.  Optimality Proof = B⁻¹, det(B), shadow prices.</t>
  </si>
  <si>
    <t xml:space="preserve">The website optimizer (src/lib/dietOptimizer.js) builds exactly the same G, b, c, u and solves them with a two-phase Simplex (Gauss-Jordan row operations).</t>
  </si>
  <si>
    <t xml:space="preserve">Rules that keep the plan realistic ("no absurd amounts")</t>
  </si>
  <si>
    <t xml:space="preserve">1. Portion caps per food (max servings/day on Food Data) — upper bounds u.</t>
  </si>
  <si>
    <t xml:space="preserve">2. Protein diversity: no single food supplies more than 35% of the day's protein:  p_j·x_j − α·(pᵀx) ≤ 0  (a linear row for each high-protein food).</t>
  </si>
  <si>
    <t xml:space="preserve">3. Meal balance: breakfast, lunch and dinner each carry ≥ 20% of the protein; each meal stays inside its calorie share. Uses the meal matrix M:  meal calories = (A_kcal ∘ M_k)ᵀ·x.</t>
  </si>
  <si>
    <t xml:space="preserve">4. Group caps: meat/poultry/fish ≤ 12 oz raw, beans &amp; lentils ≤ 3 servings, cheese ≤ 3, grains ≤ 9, oils &amp; butter ≤ 4 tbsp, snacks ≤ 2.</t>
  </si>
  <si>
    <t xml:space="preserve">5. Food-group minimums in USDA cup-equivalents: vegetables ≥ 2.5 cups, fruit ≥ 2 cups (Dietary Guidelines, 2,000-kcal pattern).</t>
  </si>
  <si>
    <t xml:space="preserve">Assumptions and limits to state in the presentation</t>
  </si>
  <si>
    <t xml:space="preserve">• Prices are one retailer (Walmart online, Oct 26 2026, regular non-sale prices) and vary by store. BLS U.S. averages (Sep 2026) are a sensitivity check (Planner → Price source).</t>
  </si>
  <si>
    <t xml:space="preserve">• Yellow prices on Food Data are older or undated listings — verify them before final numbers.</t>
  </si>
  <si>
    <t xml:space="preserve">• Nutrients are USDA SR28 per 100 g of the food as bought and edible (raw meat, dry grains/beans). Small cooking losses are ignored.</t>
  </si>
  <si>
    <t xml:space="preserve">• Edible yield converts price to $ per 100 g EDIBLE: bone-in chicken, peels and shells would otherwise look cheaper than they are.</t>
  </si>
  <si>
    <t xml:space="preserve">• Each food has a fixed meal pattern (matrix M), so lunch and dinner share the same batch-cooked base — realistic for meal prep, but not varied.</t>
  </si>
  <si>
    <t xml:space="preserve">• A linear program cannot force "use at least a normal portion if you use a food at all" (that needs integer variables), so plans can include small amounts (e.g. 15 g of milk).</t>
  </si>
  <si>
    <t xml:space="preserve">• Variety across days, taste and cooking time are not in the model. Vitamin B12, vitamin D and others are not tracked.</t>
  </si>
  <si>
    <t xml:space="preserve">• Removed from v1: flour and sugar (ingredients, not foods eaten alone — the v1 optimizer chose raw flour).</t>
  </si>
  <si>
    <t xml:space="preserve">References (APA 7)</t>
  </si>
  <si>
    <t xml:space="preserve">U.S. Department of Agriculture, Agricultural Research Service, Nutrient Data Laboratory. (2015). USDA National Nutrient Database for Standard Reference, Release 28 [Data set]. http://www.ars.usda.gov/nea/bhnrc/ndl</t>
  </si>
  <si>
    <t xml:space="preserve">U.S. Department of Agriculture, Agricultural Research Service. (2019). FoodData Central: SR Legacy [Data set]. https://fdc.nal.usda.gov/</t>
  </si>
  <si>
    <t xml:space="preserve">U.S. Bureau of Labor Statistics. (2026). Average retail food and energy prices, U.S. and Midwest region [Data table]. https://www.bls.gov/regions/mid-atlantic/data/averageretailfoodandenergyprices_usandmidwest_table.htm</t>
  </si>
  <si>
    <t xml:space="preserve">Walmart Inc. (2026, October 26). Product listings for the foods in Food Data [Retail prices]. https://www.walmart.com/ and https://business.walmart.com/</t>
  </si>
  <si>
    <t xml:space="preserve">U.S. Department of Agriculture &amp; U.S. Department of Health and Human Services. (2020). Dietary guidelines for Americans, 2020–2025 (9th ed.). https://www.dietaryguidelines.gov/</t>
  </si>
  <si>
    <t xml:space="preserve">Institute of Medicine. (2005). Dietary reference intakes for energy, carbohydrate, fiber, fat, fatty acids, cholesterol, protein, and amino acids. The National Academies Press. https://doi.org/10.17226/10490</t>
  </si>
  <si>
    <t xml:space="preserve">National Academies of Sciences, Engineering, and Medicine. (2019). Dietary reference intakes for sodium and potassium. The National Academies Press. https://doi.org/10.17226/25353</t>
  </si>
  <si>
    <t xml:space="preserve">Dantzig, G. B. (1990). The diet problem. Interfaces, 20(4), 43–47. https://doi.org/10.1287/inte.20.4.43</t>
  </si>
  <si>
    <t xml:space="preserve">Stigler, G. J. (1945). The cost of subsistence. Journal of Farm Economics, 27(2), 303–314. https://doi.org/10.2307/1231810</t>
  </si>
  <si>
    <t xml:space="preserve">Color legend</t>
  </si>
  <si>
    <t xml:space="preserve">Blue = inputs you can edit.  Black = formulas.  Green = links to another sheet.  Yellow = price to verify / Solver variable cells.  Grey = matrix-product results.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</si>
</sst>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\$0.00"/>
    <numFmt numFmtId="166" formatCode="0"/>
    <numFmt numFmtId="167" formatCode="0&quot; ft&quot;"/>
    <numFmt numFmtId="168" formatCode="0&quot; in&quot;"/>
    <numFmt numFmtId="169" formatCode="General"/>
    <numFmt numFmtId="170" formatCode="0.0"/>
    <numFmt numFmtId="171" formatCode="#,##0"/>
    <numFmt numFmtId="172" formatCode="0.00"/>
    <numFmt numFmtId="173" formatCode="\+0;\-0;0"/>
    <numFmt numFmtId="174" formatCode="@"/>
    <numFmt numFmtId="175" formatCode="0%"/>
    <numFmt numFmtId="176" formatCode="\$0.000"/>
    <numFmt numFmtId="177" formatCode="0.000"/>
    <numFmt numFmtId="178" formatCode="#,##0.00"/>
    <numFmt numFmtId="179" formatCode="0.0000"/>
    <numFmt numFmtId="180" formatCode="#,##0.0"/>
    <numFmt numFmtId="181" formatCode="0.000;\-0.000;&quot;&quot;"/>
    <numFmt numFmtId="182" formatCode="#,##0.000"/>
    <numFmt numFmtId="183" formatCode="0.000000"/>
    <numFmt numFmtId="184" formatCode="0.000E+00"/>
    <numFmt numFmtId="185" formatCode="0.0E+00"/>
    <numFmt numFmtId="186" formatCode="\$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D9E1F2"/>
        <bgColor rgb="FFDDEBF7"/>
      </patternFill>
    </fill>
    <fill>
      <patternFill patternType="solid">
        <fgColor rgb="FFF8CBAD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E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7F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7F7F7F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strike val="1"/>
        <color rgb="FFA6A6A6"/>
      </font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EDEDED"/>
      <rgbColor rgb="FF993366"/>
      <rgbColor rgb="FFFFFDE7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EDE7F6"/>
      <rgbColor rgb="FFFCE4D6"/>
      <rgbColor rgb="FFFCE4EC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10" min="7" style="0" width="11"/>
    <col collapsed="false" customWidth="true" hidden="false" outlineLevel="0" max="11" min="11" style="0" width="3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F4" s="3" t="s">
        <v>3</v>
      </c>
      <c r="L4" s="3" t="s">
        <v>4</v>
      </c>
    </row>
    <row r="5" customFormat="false" ht="15" hidden="false" customHeight="false" outlineLevel="0" collapsed="false">
      <c r="B5" s="4" t="s">
        <v>5</v>
      </c>
      <c r="C5" s="5" t="s">
        <v>6</v>
      </c>
      <c r="F5" s="4" t="s">
        <v>7</v>
      </c>
      <c r="G5" s="6" t="n">
        <f aca="false">'Matrix Model'!C184</f>
        <v>3.01803102279446</v>
      </c>
      <c r="L5" s="7" t="s">
        <v>8</v>
      </c>
    </row>
    <row r="6" customFormat="false" ht="15" hidden="false" customHeight="false" outlineLevel="0" collapsed="false">
      <c r="B6" s="4" t="s">
        <v>9</v>
      </c>
      <c r="C6" s="8" t="n">
        <v>21</v>
      </c>
      <c r="F6" s="4" t="s">
        <v>10</v>
      </c>
      <c r="G6" s="9" t="n">
        <f aca="false">G5*7</f>
        <v>21.1262171595612</v>
      </c>
      <c r="L6" s="7" t="s">
        <v>11</v>
      </c>
    </row>
    <row r="7" customFormat="false" ht="15" hidden="false" customHeight="false" outlineLevel="0" collapsed="false">
      <c r="B7" s="4" t="s">
        <v>12</v>
      </c>
      <c r="C7" s="10" t="n">
        <v>5</v>
      </c>
      <c r="D7" s="11" t="n">
        <v>8</v>
      </c>
      <c r="F7" s="4" t="s">
        <v>13</v>
      </c>
      <c r="G7" s="12" t="n">
        <f aca="false">'Matrix Model'!C185</f>
        <v>0</v>
      </c>
      <c r="L7" s="7" t="s">
        <v>14</v>
      </c>
    </row>
    <row r="8" customFormat="false" ht="15" hidden="false" customHeight="false" outlineLevel="0" collapsed="false">
      <c r="B8" s="4" t="s">
        <v>15</v>
      </c>
      <c r="C8" s="13" t="n">
        <v>155</v>
      </c>
      <c r="F8" s="4" t="s">
        <v>16</v>
      </c>
      <c r="G8" s="14" t="str">
        <f aca="false">IF(G7=0,"✓ Plan meets every rule","✗ Re-run Solver: the plan does not fit these inputs")</f>
        <v>✓ Plan meets every rule</v>
      </c>
      <c r="H8" s="14"/>
      <c r="I8" s="14"/>
      <c r="J8" s="14"/>
      <c r="L8" s="7" t="s">
        <v>17</v>
      </c>
    </row>
    <row r="9" customFormat="false" ht="15" hidden="false" customHeight="false" outlineLevel="0" collapsed="false">
      <c r="B9" s="4" t="s">
        <v>18</v>
      </c>
      <c r="C9" s="5" t="s">
        <v>19</v>
      </c>
      <c r="L9" s="7" t="s">
        <v>20</v>
      </c>
    </row>
    <row r="10" customFormat="false" ht="15" hidden="false" customHeight="false" outlineLevel="0" collapsed="false">
      <c r="B10" s="4" t="s">
        <v>21</v>
      </c>
      <c r="C10" s="5" t="s">
        <v>22</v>
      </c>
      <c r="F10" s="15" t="s">
        <v>23</v>
      </c>
      <c r="L10" s="2" t="s">
        <v>24</v>
      </c>
    </row>
    <row r="11" customFormat="false" ht="15" hidden="false" customHeight="false" outlineLevel="0" collapsed="false">
      <c r="B11" s="4" t="s">
        <v>25</v>
      </c>
      <c r="C11" s="5" t="s">
        <v>26</v>
      </c>
      <c r="D11" s="2" t="s">
        <v>27</v>
      </c>
      <c r="F11" s="16" t="s">
        <v>28</v>
      </c>
      <c r="G11" s="16" t="s">
        <v>29</v>
      </c>
      <c r="H11" s="16" t="s">
        <v>30</v>
      </c>
      <c r="I11" s="16" t="s">
        <v>31</v>
      </c>
      <c r="L11" s="2" t="s">
        <v>32</v>
      </c>
    </row>
    <row r="12" customFormat="false" ht="15" hidden="false" customHeight="false" outlineLevel="0" collapsed="false">
      <c r="B12" s="2" t="s">
        <v>33</v>
      </c>
      <c r="F12" s="4" t="s">
        <v>34</v>
      </c>
      <c r="G12" s="17" t="n">
        <f aca="false">'Matrix Model'!C189</f>
        <v>2878.500000161</v>
      </c>
      <c r="H12" s="18" t="n">
        <f aca="false">Planner!$E$16*(1-Planner!$C$42)</f>
        <v>2878.5</v>
      </c>
      <c r="I12" s="18" t="n">
        <f aca="false">Planner!$E$16*(1+Planner!$C$42)</f>
        <v>3181.5</v>
      </c>
      <c r="L12" s="2" t="s">
        <v>35</v>
      </c>
    </row>
    <row r="13" customFormat="false" ht="15" hidden="false" customHeight="false" outlineLevel="0" collapsed="false">
      <c r="F13" s="4" t="s">
        <v>36</v>
      </c>
      <c r="G13" s="17" t="n">
        <f aca="false">'Matrix Model'!C190</f>
        <v>111.99999999498</v>
      </c>
      <c r="H13" s="18" t="n">
        <f aca="false">MAX(N(Planner!$E$17),'Matrix Model'!$C$8*$G$12/4)</f>
        <v>112</v>
      </c>
      <c r="I13" s="18" t="n">
        <f aca="false">'Matrix Model'!$D$8*$G$12/4</f>
        <v>251.868750014087</v>
      </c>
      <c r="L13" s="2" t="s">
        <v>37</v>
      </c>
    </row>
    <row r="14" customFormat="false" ht="15" hidden="false" customHeight="false" outlineLevel="0" collapsed="false">
      <c r="B14" s="3" t="s">
        <v>38</v>
      </c>
      <c r="F14" s="4" t="s">
        <v>39</v>
      </c>
      <c r="G14" s="17" t="n">
        <f aca="false">'Matrix Model'!C191</f>
        <v>467.75624997971</v>
      </c>
      <c r="H14" s="18" t="n">
        <f aca="false">'Matrix Model'!$C$9*$G$12/4</f>
        <v>323.831250018113</v>
      </c>
      <c r="I14" s="18" t="n">
        <f aca="false">'Matrix Model'!$D$9*$G$12/4</f>
        <v>467.756250026163</v>
      </c>
      <c r="L14" s="7" t="s">
        <v>40</v>
      </c>
    </row>
    <row r="15" customFormat="false" ht="91" hidden="false" customHeight="false" outlineLevel="0" collapsed="false">
      <c r="B15" s="16" t="s">
        <v>41</v>
      </c>
      <c r="C15" s="16" t="s">
        <v>42</v>
      </c>
      <c r="D15" s="16" t="s">
        <v>43</v>
      </c>
      <c r="E15" s="16" t="s">
        <v>44</v>
      </c>
      <c r="F15" s="4" t="s">
        <v>45</v>
      </c>
      <c r="G15" s="17" t="n">
        <f aca="false">'Matrix Model'!C192</f>
        <v>66.16013141328</v>
      </c>
      <c r="H15" s="18" t="n">
        <f aca="false">'Matrix Model'!$C$10*$G$12/9</f>
        <v>63.9666666702445</v>
      </c>
      <c r="I15" s="18" t="n">
        <f aca="false">'Matrix Model'!$D$10*$G$12/9</f>
        <v>111.941666672928</v>
      </c>
      <c r="L15" s="7" t="s">
        <v>46</v>
      </c>
    </row>
    <row r="16" customFormat="false" ht="15" hidden="false" customHeight="false" outlineLevel="0" collapsed="false">
      <c r="B16" s="4" t="s">
        <v>47</v>
      </c>
      <c r="C16" s="18" t="n">
        <f aca="false">MAX(IF(Planner!$C$5="Male",'DRI Tables'!$E$17,'DRI Tables'!$E$18),ROUND(($C$31+$C$32)/10,0)*10)</f>
        <v>3030</v>
      </c>
      <c r="D16" s="19"/>
      <c r="E16" s="20" t="n">
        <f aca="false">IF(AND(D16="",C16=""),"",IF(D16="",C16,D16))</f>
        <v>3030</v>
      </c>
      <c r="F16" s="4" t="s">
        <v>48</v>
      </c>
      <c r="G16" s="17" t="n">
        <f aca="false">'Matrix Model'!C193</f>
        <v>47.9185550492</v>
      </c>
      <c r="H16" s="18" t="n">
        <f aca="false">Planner!$E$18</f>
        <v>42</v>
      </c>
      <c r="I16" s="18"/>
      <c r="L16" s="7" t="s">
        <v>49</v>
      </c>
    </row>
    <row r="17" customFormat="false" ht="15" hidden="false" customHeight="false" outlineLevel="0" collapsed="false">
      <c r="B17" s="4" t="s">
        <v>50</v>
      </c>
      <c r="C17" s="18" t="n">
        <f aca="false">MIN(MAX(ROUND(1.6*$C$28,0),ROUND(0.1*$C$16/4,0)),ROUND(0.3*$C$16/4,0))</f>
        <v>112</v>
      </c>
      <c r="D17" s="19"/>
      <c r="E17" s="20" t="n">
        <f aca="false">IF(AND(D17="",C17=""),"",IF(D17="",C17,D17))</f>
        <v>112</v>
      </c>
      <c r="F17" s="4" t="s">
        <v>51</v>
      </c>
      <c r="G17" s="17" t="n">
        <f aca="false">'Matrix Model'!C194</f>
        <v>66.95184296326</v>
      </c>
      <c r="H17" s="18"/>
      <c r="I17" s="18" t="str">
        <f aca="false">IF(Planner!$E$24="","",Planner!$E$24)</f>
        <v/>
      </c>
    </row>
    <row r="18" customFormat="false" ht="15" hidden="false" customHeight="false" outlineLevel="0" collapsed="false">
      <c r="B18" s="4" t="s">
        <v>52</v>
      </c>
      <c r="C18" s="18" t="n">
        <f aca="false">ROUND(14*$C$16/1000,0)</f>
        <v>42</v>
      </c>
      <c r="D18" s="19"/>
      <c r="E18" s="20" t="n">
        <f aca="false">IF(AND(D18="",C18=""),"",IF(D18="",C18,D18))</f>
        <v>42</v>
      </c>
      <c r="F18" s="4" t="s">
        <v>53</v>
      </c>
      <c r="G18" s="17" t="n">
        <f aca="false">'Matrix Model'!C195</f>
        <v>999.999999987</v>
      </c>
      <c r="H18" s="18" t="n">
        <f aca="false">Planner!$E$19</f>
        <v>1000</v>
      </c>
      <c r="I18" s="18"/>
    </row>
    <row r="19" customFormat="false" ht="15" hidden="false" customHeight="false" outlineLevel="0" collapsed="false">
      <c r="B19" s="4" t="s">
        <v>54</v>
      </c>
      <c r="C19" s="18" t="n">
        <f aca="false">IF(Planner!$C$5="Male",INDEX('DRI Tables'!$E$23:$E$27,MATCH($C$29,'DRI Tables'!$A$23:$A$27,0)),INDEX('DRI Tables'!$F$23:$F$27,MATCH($C$29,'DRI Tables'!$A$23:$A$27,0)))</f>
        <v>1000</v>
      </c>
      <c r="D19" s="19"/>
      <c r="E19" s="20" t="n">
        <f aca="false">IF(AND(D19="",C19=""),"",IF(D19="",C19,D19))</f>
        <v>1000</v>
      </c>
      <c r="F19" s="4" t="s">
        <v>55</v>
      </c>
      <c r="G19" s="17" t="n">
        <f aca="false">'Matrix Model'!C196</f>
        <v>23.30780114899</v>
      </c>
      <c r="H19" s="18" t="n">
        <f aca="false">Planner!$E$20</f>
        <v>8</v>
      </c>
      <c r="I19" s="18"/>
    </row>
    <row r="20" customFormat="false" ht="15" hidden="false" customHeight="false" outlineLevel="0" collapsed="false">
      <c r="B20" s="4" t="s">
        <v>56</v>
      </c>
      <c r="C20" s="18" t="n">
        <f aca="false">IF(Planner!$C$5="Male",INDEX('DRI Tables'!$G$23:$G$27,MATCH($C$29,'DRI Tables'!$A$23:$A$27,0)),INDEX('DRI Tables'!$H$23:$H$27,MATCH($C$29,'DRI Tables'!$A$23:$A$27,0)))</f>
        <v>8</v>
      </c>
      <c r="D20" s="19"/>
      <c r="E20" s="20" t="n">
        <f aca="false">IF(AND(D20="",C20=""),"",IF(D20="",C20,D20))</f>
        <v>8</v>
      </c>
      <c r="F20" s="4" t="s">
        <v>57</v>
      </c>
      <c r="G20" s="17" t="n">
        <f aca="false">'Matrix Model'!C197</f>
        <v>5247.643061918</v>
      </c>
      <c r="H20" s="18" t="n">
        <f aca="false">Planner!$E$21</f>
        <v>3400</v>
      </c>
      <c r="I20" s="18"/>
    </row>
    <row r="21" customFormat="false" ht="15" hidden="false" customHeight="false" outlineLevel="0" collapsed="false">
      <c r="B21" s="4" t="s">
        <v>58</v>
      </c>
      <c r="C21" s="18" t="n">
        <f aca="false">IF(Planner!$C$5="Male",INDEX('DRI Tables'!$I$23:$I$27,MATCH($C$29,'DRI Tables'!$A$23:$A$27,0)),INDEX('DRI Tables'!$J$23:$J$27,MATCH($C$29,'DRI Tables'!$A$23:$A$27,0)))</f>
        <v>3400</v>
      </c>
      <c r="D21" s="19"/>
      <c r="E21" s="20" t="n">
        <f aca="false">IF(AND(D21="",C21=""),"",IF(D21="",C21,D21))</f>
        <v>3400</v>
      </c>
      <c r="F21" s="4" t="s">
        <v>59</v>
      </c>
      <c r="G21" s="17" t="n">
        <f aca="false">'Matrix Model'!C198</f>
        <v>768.584133897</v>
      </c>
      <c r="H21" s="18"/>
      <c r="I21" s="18" t="n">
        <f aca="false">Planner!$E$23</f>
        <v>2300</v>
      </c>
    </row>
    <row r="22" customFormat="false" ht="15" hidden="false" customHeight="false" outlineLevel="0" collapsed="false">
      <c r="B22" s="4" t="s">
        <v>60</v>
      </c>
      <c r="C22" s="18" t="n">
        <f aca="false">IF(Planner!$C$5="Male",INDEX('DRI Tables'!$C$23:$C$27,MATCH($C$29,'DRI Tables'!$A$23:$A$27,0)),INDEX('DRI Tables'!$D$23:$D$27,MATCH($C$29,'DRI Tables'!$A$23:$A$27,0)))</f>
        <v>90</v>
      </c>
      <c r="D22" s="19"/>
      <c r="E22" s="20" t="n">
        <f aca="false">IF(AND(D22="",C22=""),"",IF(D22="",C22,D22))</f>
        <v>90</v>
      </c>
      <c r="F22" s="4" t="s">
        <v>61</v>
      </c>
      <c r="G22" s="17" t="n">
        <f aca="false">'Matrix Model'!C199</f>
        <v>166.1430651884</v>
      </c>
      <c r="H22" s="18" t="n">
        <f aca="false">Planner!$E$22</f>
        <v>90</v>
      </c>
      <c r="I22" s="18"/>
    </row>
    <row r="23" customFormat="false" ht="15" hidden="false" customHeight="false" outlineLevel="0" collapsed="false">
      <c r="B23" s="4" t="s">
        <v>62</v>
      </c>
      <c r="C23" s="21" t="n">
        <v>2300</v>
      </c>
      <c r="D23" s="19"/>
      <c r="E23" s="20" t="n">
        <f aca="false">IF(AND(D23="",C23=""),"",IF(D23="",C23,D23))</f>
        <v>2300</v>
      </c>
    </row>
    <row r="24" customFormat="false" ht="15" hidden="false" customHeight="false" outlineLevel="0" collapsed="false">
      <c r="B24" s="4" t="s">
        <v>63</v>
      </c>
      <c r="C24" s="18"/>
      <c r="D24" s="19"/>
      <c r="E24" s="20" t="str">
        <f aca="false">IF(AND(D24="",C24=""),"",IF(D24="",C24,D24))</f>
        <v/>
      </c>
    </row>
    <row r="25" customFormat="false" ht="15" hidden="false" customHeight="false" outlineLevel="0" collapsed="false">
      <c r="F25" s="15" t="s">
        <v>64</v>
      </c>
    </row>
    <row r="26" customFormat="false" ht="15" hidden="false" customHeight="false" outlineLevel="0" collapsed="false">
      <c r="B26" s="15" t="s">
        <v>65</v>
      </c>
      <c r="F26" s="22" t="s">
        <v>66</v>
      </c>
      <c r="G26" s="22" t="s">
        <v>67</v>
      </c>
      <c r="H26" s="22" t="s">
        <v>68</v>
      </c>
      <c r="I26" s="22" t="s">
        <v>69</v>
      </c>
      <c r="J26" s="22" t="s">
        <v>70</v>
      </c>
    </row>
    <row r="27" customFormat="false" ht="15" hidden="false" customHeight="false" outlineLevel="0" collapsed="false">
      <c r="B27" s="4" t="s">
        <v>71</v>
      </c>
      <c r="C27" s="23" t="n">
        <f aca="false">ROUND((Planner!$C$7*12+N(Planner!$D$7))*2.54,0)</f>
        <v>173</v>
      </c>
      <c r="F27" s="4" t="str">
        <f aca="false">IFERROR(INDEX('Matrix Model'!$B$112:$B$182,MATCH(1,'Matrix Model'!$N$112:$N$182,0)),"")</f>
        <v>Eggs (large)</v>
      </c>
      <c r="G27" s="23" t="n">
        <f aca="false">IFERROR(INDEX('Matrix Model'!$J$112:$J$182,MATCH(1,'Matrix Model'!$N$112:$N$182,0)),"")</f>
        <v>126.3755108</v>
      </c>
      <c r="H27" s="24" t="n">
        <f aca="false">IFERROR(G27/INDEX('Food Data'!$N$6:$N$76,MATCH(1,'Matrix Model'!$N$112:$N$182,0)),"")</f>
        <v>2.527510216</v>
      </c>
      <c r="I27" s="23" t="n">
        <f aca="false">IFERROR(G27*INDEX('Food Data'!$AH$6:$AH$76,MATCH(1,'Matrix Model'!$N$112:$N$182,0))/100,"")</f>
        <v>180.716980444</v>
      </c>
      <c r="J27" s="23" t="n">
        <f aca="false">IFERROR(G27*INDEX('Food Data'!$AI$6:$AI$76,MATCH(1,'Matrix Model'!$N$112:$N$182,0))/100,"")</f>
        <v>15.87276415648</v>
      </c>
    </row>
    <row r="28" customFormat="false" ht="15" hidden="false" customHeight="false" outlineLevel="0" collapsed="false">
      <c r="B28" s="4" t="s">
        <v>72</v>
      </c>
      <c r="C28" s="24" t="n">
        <f aca="false">ROUND(Planner!$C$8*0.45359237,1)</f>
        <v>70.3</v>
      </c>
      <c r="F28" s="4" t="str">
        <f aca="false">IFERROR(INDEX('Matrix Model'!$B$112:$B$182,MATCH(2,'Matrix Model'!$N$112:$N$182,0)),"")</f>
        <v>Peanut butter</v>
      </c>
      <c r="G28" s="23" t="n">
        <f aca="false">IFERROR(INDEX('Matrix Model'!$J$112:$J$182,MATCH(2,'Matrix Model'!$N$112:$N$182,0)),"")</f>
        <v>32</v>
      </c>
      <c r="H28" s="24" t="n">
        <f aca="false">IFERROR(G28/INDEX('Food Data'!$N$6:$N$76,MATCH(2,'Matrix Model'!$N$112:$N$182,0)),"")</f>
        <v>1</v>
      </c>
      <c r="I28" s="23" t="n">
        <f aca="false">IFERROR(G28*INDEX('Food Data'!$AH$6:$AH$76,MATCH(2,'Matrix Model'!$N$112:$N$182,0))/100,"")</f>
        <v>191.36</v>
      </c>
      <c r="J28" s="23" t="n">
        <f aca="false">IFERROR(G28*INDEX('Food Data'!$AI$6:$AI$76,MATCH(2,'Matrix Model'!$N$112:$N$182,0))/100,"")</f>
        <v>7.1072</v>
      </c>
    </row>
    <row r="29" customFormat="false" ht="15" hidden="false" customHeight="false" outlineLevel="0" collapsed="false">
      <c r="B29" s="4" t="s">
        <v>73</v>
      </c>
      <c r="C29" s="4" t="str">
        <f aca="false">IF(Planner!$C$6&lt;19,"teen",IF(Planner!$C$6&lt;=30,"young",IF(Planner!$C$6&lt;=50,"mid",IF(Planner!$C$6&lt;=70,"older","oldest"))))</f>
        <v>young</v>
      </c>
      <c r="F29" s="4" t="str">
        <f aca="false">IFERROR(INDEX('Matrix Model'!$B$112:$B$182,MATCH(3,'Matrix Model'!$N$112:$N$182,0)),"")</f>
        <v>2% milk</v>
      </c>
      <c r="G29" s="23" t="n">
        <f aca="false">IFERROR(INDEX('Matrix Model'!$J$112:$J$182,MATCH(3,'Matrix Model'!$N$112:$N$182,0)),"")</f>
        <v>235.1234411</v>
      </c>
      <c r="H29" s="24" t="n">
        <f aca="false">IFERROR(G29/INDEX('Food Data'!$N$6:$N$76,MATCH(3,'Matrix Model'!$N$112:$N$182,0)),"")</f>
        <v>0.963620660245902</v>
      </c>
      <c r="I29" s="23" t="n">
        <f aca="false">IFERROR(G29*INDEX('Food Data'!$AH$6:$AH$76,MATCH(3,'Matrix Model'!$N$112:$N$182,0))/100,"")</f>
        <v>117.56172055</v>
      </c>
      <c r="J29" s="23" t="n">
        <f aca="false">IFERROR(G29*INDEX('Food Data'!$AI$6:$AI$76,MATCH(3,'Matrix Model'!$N$112:$N$182,0))/100,"")</f>
        <v>7.7590735563</v>
      </c>
    </row>
    <row r="30" customFormat="false" ht="15" hidden="false" customHeight="false" outlineLevel="0" collapsed="false">
      <c r="B30" s="4" t="s">
        <v>74</v>
      </c>
      <c r="C30" s="25" t="n">
        <f aca="false">IF(Planner!$C$11="Same as current site",INDEX('DRI Tables'!$B$11:$E$14,IF(Planner!$C$6&lt;19,IF(Planner!$C$5="Male",3,4),IF(Planner!$C$5="Male",1,2)),MATCH(Planner!$C$9,'DRI Tables'!$B$4:$E$4,0)),INDEX('DRI Tables'!$B$5:$E$8,IF(Planner!$C$6&lt;19,IF(Planner!$C$5="Male",3,4),IF(Planner!$C$5="Male",1,2)),MATCH(Planner!$C$9,'DRI Tables'!$B$4:$E$4,0)))</f>
        <v>1.25</v>
      </c>
      <c r="F30" s="4" t="str">
        <f aca="false">IFERROR(INDEX('Matrix Model'!$B$112:$B$182,MATCH(4,'Matrix Model'!$N$112:$N$182,0)),"")</f>
        <v>Rolled oats (dry)</v>
      </c>
      <c r="G30" s="23" t="n">
        <f aca="false">IFERROR(INDEX('Matrix Model'!$J$112:$J$182,MATCH(4,'Matrix Model'!$N$112:$N$182,0)),"")</f>
        <v>2.9924272</v>
      </c>
      <c r="H30" s="24" t="n">
        <f aca="false">IFERROR(G30/INDEX('Food Data'!$N$6:$N$76,MATCH(4,'Matrix Model'!$N$112:$N$182,0)),"")</f>
        <v>0.07481068</v>
      </c>
      <c r="I30" s="23" t="n">
        <f aca="false">IFERROR(G30*INDEX('Food Data'!$AH$6:$AH$76,MATCH(4,'Matrix Model'!$N$112:$N$182,0))/100,"")</f>
        <v>11.341299088</v>
      </c>
      <c r="J30" s="23" t="n">
        <f aca="false">IFERROR(G30*INDEX('Food Data'!$AI$6:$AI$76,MATCH(4,'Matrix Model'!$N$112:$N$182,0))/100,"")</f>
        <v>0.3935041768</v>
      </c>
    </row>
    <row r="31" customFormat="false" ht="15" hidden="false" customHeight="false" outlineLevel="0" collapsed="false">
      <c r="B31" s="4" t="s">
        <v>75</v>
      </c>
      <c r="C31" s="18" t="n">
        <f aca="false">ROUND(IF(Planner!$C$6&lt;19,IF(Planner!$C$5="Male",88.5-61.9*Planner!$C$6+$C$30*(26.7*$C$28+903*($C$27/100))+25,135.3-30.8*Planner!$C$6+$C$30*(10*$C$28+934*($C$27/100))+IF(Planner!$C$11="Same as current site",20,25)),IF(Planner!$C$5="Male",662-9.53*Planner!$C$6+$C$30*(15.91*$C$28+539.6*($C$27/100)),354-6.91*Planner!$C$6+$C$30*(9.36*$C$28+726*($C$27/100))))/10,0)*10</f>
        <v>3030</v>
      </c>
      <c r="F31" s="4" t="str">
        <f aca="false">IFERROR(INDEX('Matrix Model'!$B$112:$B$182,MATCH(5,'Matrix Model'!$N$112:$N$182,0)),"")</f>
        <v>Bananas</v>
      </c>
      <c r="G31" s="23" t="n">
        <f aca="false">IFERROR(INDEX('Matrix Model'!$J$112:$J$182,MATCH(5,'Matrix Model'!$N$112:$N$182,0)),"")</f>
        <v>118</v>
      </c>
      <c r="H31" s="24" t="n">
        <f aca="false">IFERROR(G31/INDEX('Food Data'!$N$6:$N$76,MATCH(5,'Matrix Model'!$N$112:$N$182,0)),"")</f>
        <v>1</v>
      </c>
      <c r="I31" s="23" t="n">
        <f aca="false">IFERROR(G31*INDEX('Food Data'!$AH$6:$AH$76,MATCH(5,'Matrix Model'!$N$112:$N$182,0))/100,"")</f>
        <v>105.02</v>
      </c>
      <c r="J31" s="23" t="n">
        <f aca="false">IFERROR(G31*INDEX('Food Data'!$AI$6:$AI$76,MATCH(5,'Matrix Model'!$N$112:$N$182,0))/100,"")</f>
        <v>1.2862</v>
      </c>
    </row>
    <row r="32" customFormat="false" ht="15" hidden="false" customHeight="false" outlineLevel="0" collapsed="false">
      <c r="B32" s="4" t="s">
        <v>76</v>
      </c>
      <c r="C32" s="26" t="n">
        <f aca="false">INDEX('DRI Tables'!$B$17:$B$19,MATCH(Planner!$C$10,'DRI Tables'!$A$17:$A$19,0))</f>
        <v>0</v>
      </c>
      <c r="F32" s="4" t="str">
        <f aca="false">IFERROR(INDEX('Matrix Model'!$B$112:$B$182,MATCH(6,'Matrix Model'!$N$112:$N$182,0)),"")</f>
        <v/>
      </c>
      <c r="G32" s="23" t="str">
        <f aca="false">IFERROR(INDEX('Matrix Model'!$J$112:$J$182,MATCH(6,'Matrix Model'!$N$112:$N$182,0)),"")</f>
        <v/>
      </c>
      <c r="H32" s="24" t="str">
        <f aca="false">IFERROR(G32/INDEX('Food Data'!$N$6:$N$76,MATCH(6,'Matrix Model'!$N$112:$N$182,0)),"")</f>
        <v/>
      </c>
      <c r="I32" s="23" t="str">
        <f aca="false">IFERROR(G32*INDEX('Food Data'!$AH$6:$AH$76,MATCH(6,'Matrix Model'!$N$112:$N$182,0))/100,"")</f>
        <v/>
      </c>
      <c r="J32" s="23" t="str">
        <f aca="false">IFERROR(G32*INDEX('Food Data'!$AI$6:$AI$76,MATCH(6,'Matrix Model'!$N$112:$N$182,0))/100,"")</f>
        <v/>
      </c>
    </row>
    <row r="33" customFormat="false" ht="15" hidden="false" customHeight="false" outlineLevel="0" collapsed="false">
      <c r="B33" s="4" t="s">
        <v>77</v>
      </c>
      <c r="C33" s="24" t="n">
        <f aca="false">ROUND($C$28/(($C$27/100))^2,1)</f>
        <v>23.5</v>
      </c>
      <c r="F33" s="4" t="str">
        <f aca="false">IFERROR(INDEX('Matrix Model'!$B$112:$B$182,MATCH(7,'Matrix Model'!$N$112:$N$182,0)),"")</f>
        <v/>
      </c>
      <c r="G33" s="23" t="str">
        <f aca="false">IFERROR(INDEX('Matrix Model'!$J$112:$J$182,MATCH(7,'Matrix Model'!$N$112:$N$182,0)),"")</f>
        <v/>
      </c>
      <c r="H33" s="24" t="str">
        <f aca="false">IFERROR(G33/INDEX('Food Data'!$N$6:$N$76,MATCH(7,'Matrix Model'!$N$112:$N$182,0)),"")</f>
        <v/>
      </c>
      <c r="I33" s="23" t="str">
        <f aca="false">IFERROR(G33*INDEX('Food Data'!$AH$6:$AH$76,MATCH(7,'Matrix Model'!$N$112:$N$182,0))/100,"")</f>
        <v/>
      </c>
      <c r="J33" s="23" t="str">
        <f aca="false">IFERROR(G33*INDEX('Food Data'!$AI$6:$AI$76,MATCH(7,'Matrix Model'!$N$112:$N$182,0))/100,"")</f>
        <v/>
      </c>
    </row>
    <row r="34" customFormat="false" ht="15" hidden="false" customHeight="false" outlineLevel="0" collapsed="false">
      <c r="F34" s="4" t="str">
        <f aca="false">IFERROR(INDEX('Matrix Model'!$B$112:$B$182,MATCH(8,'Matrix Model'!$N$112:$N$182,0)),"")</f>
        <v/>
      </c>
      <c r="G34" s="23" t="str">
        <f aca="false">IFERROR(INDEX('Matrix Model'!$J$112:$J$182,MATCH(8,'Matrix Model'!$N$112:$N$182,0)),"")</f>
        <v/>
      </c>
      <c r="H34" s="24" t="str">
        <f aca="false">IFERROR(G34/INDEX('Food Data'!$N$6:$N$76,MATCH(8,'Matrix Model'!$N$112:$N$182,0)),"")</f>
        <v/>
      </c>
      <c r="I34" s="23" t="str">
        <f aca="false">IFERROR(G34*INDEX('Food Data'!$AH$6:$AH$76,MATCH(8,'Matrix Model'!$N$112:$N$182,0))/100,"")</f>
        <v/>
      </c>
      <c r="J34" s="23" t="str">
        <f aca="false">IFERROR(G34*INDEX('Food Data'!$AI$6:$AI$76,MATCH(8,'Matrix Model'!$N$112:$N$182,0))/100,"")</f>
        <v/>
      </c>
    </row>
    <row r="35" customFormat="false" ht="15" hidden="false" customHeight="false" outlineLevel="0" collapsed="false">
      <c r="B35" s="3" t="s">
        <v>78</v>
      </c>
      <c r="F35" s="4" t="str">
        <f aca="false">IFERROR(INDEX('Matrix Model'!$B$112:$B$182,MATCH(9,'Matrix Model'!$N$112:$N$182,0)),"")</f>
        <v/>
      </c>
      <c r="G35" s="23" t="str">
        <f aca="false">IFERROR(INDEX('Matrix Model'!$J$112:$J$182,MATCH(9,'Matrix Model'!$N$112:$N$182,0)),"")</f>
        <v/>
      </c>
      <c r="H35" s="24" t="str">
        <f aca="false">IFERROR(G35/INDEX('Food Data'!$N$6:$N$76,MATCH(9,'Matrix Model'!$N$112:$N$182,0)),"")</f>
        <v/>
      </c>
      <c r="I35" s="23" t="str">
        <f aca="false">IFERROR(G35*INDEX('Food Data'!$AH$6:$AH$76,MATCH(9,'Matrix Model'!$N$112:$N$182,0))/100,"")</f>
        <v/>
      </c>
      <c r="J35" s="23" t="str">
        <f aca="false">IFERROR(G35*INDEX('Food Data'!$AI$6:$AI$76,MATCH(9,'Matrix Model'!$N$112:$N$182,0))/100,"")</f>
        <v/>
      </c>
    </row>
    <row r="36" customFormat="false" ht="15" hidden="false" customHeight="false" outlineLevel="0" collapsed="false">
      <c r="B36" s="4" t="s">
        <v>79</v>
      </c>
      <c r="C36" s="27" t="s">
        <v>80</v>
      </c>
      <c r="F36" s="14" t="s">
        <v>81</v>
      </c>
      <c r="I36" s="28" t="n">
        <f aca="false">'Matrix Model'!D189</f>
        <v>606.000000082</v>
      </c>
      <c r="J36" s="28" t="n">
        <f aca="false">'Matrix Model'!D190</f>
        <v>32.41874188958</v>
      </c>
    </row>
    <row r="37" customFormat="false" ht="35.05" hidden="false" customHeight="false" outlineLevel="0" collapsed="false">
      <c r="B37" s="4" t="s">
        <v>82</v>
      </c>
      <c r="C37" s="29" t="str">
        <f aca="false">INDEX(Diets!$B$5:$B$12,MATCH(Planner!$C$36,Diets!$A$5:$A$12,0))</f>
        <v>USDA Acceptable Macronutrient Distribution Ranges; all foods allowed</v>
      </c>
    </row>
    <row r="38" customFormat="false" ht="15" hidden="false" customHeight="false" outlineLevel="0" collapsed="false">
      <c r="B38" s="4" t="s">
        <v>83</v>
      </c>
      <c r="C38" s="4" t="str">
        <f aca="false">"Protein "&amp;TEXT('Matrix Model'!$C$8,"0%")&amp;"–"&amp;TEXT('Matrix Model'!$D$8,"0%")&amp;", Carbs "&amp;TEXT('Matrix Model'!$C$9,"0%")&amp;"–"&amp;TEXT('Matrix Model'!$D$9,"0%")&amp;", Fat "&amp;TEXT('Matrix Model'!$C$10,"0%")&amp;"–"&amp;TEXT('Matrix Model'!$D$10,"0%")</f>
        <v>Protein 10%–35%, Carbs 45%–65%, Fat 20%–35%</v>
      </c>
      <c r="F38" s="22" t="s">
        <v>84</v>
      </c>
      <c r="G38" s="22" t="s">
        <v>67</v>
      </c>
      <c r="H38" s="22" t="s">
        <v>68</v>
      </c>
      <c r="I38" s="22" t="s">
        <v>69</v>
      </c>
      <c r="J38" s="22" t="s">
        <v>70</v>
      </c>
    </row>
    <row r="39" customFormat="false" ht="15" hidden="false" customHeight="false" outlineLevel="0" collapsed="false">
      <c r="B39" s="4" t="s">
        <v>85</v>
      </c>
      <c r="C39" s="30" t="s">
        <v>86</v>
      </c>
      <c r="D39" s="2" t="s">
        <v>87</v>
      </c>
      <c r="F39" s="4" t="str">
        <f aca="false">IFERROR(INDEX('Matrix Model'!$B$112:$B$182,MATCH(1,'Matrix Model'!$O$112:$O$182,0)),"")</f>
        <v>Pinto beans (dry)</v>
      </c>
      <c r="G39" s="23" t="n">
        <f aca="false">IFERROR(INDEX('Matrix Model'!$K$112:$K$182,MATCH(1,'Matrix Model'!$O$112:$O$182,0)),"")</f>
        <v>72</v>
      </c>
      <c r="H39" s="24" t="n">
        <f aca="false">IFERROR(G39/INDEX('Food Data'!$N$6:$N$76,MATCH(1,'Matrix Model'!$O$112:$O$182,0)),"")</f>
        <v>1.5</v>
      </c>
      <c r="I39" s="23" t="n">
        <f aca="false">IFERROR(G39*INDEX('Food Data'!$AH$6:$AH$76,MATCH(1,'Matrix Model'!$O$112:$O$182,0))/100,"")</f>
        <v>249.84</v>
      </c>
      <c r="J39" s="23" t="n">
        <f aca="false">IFERROR(G39*INDEX('Food Data'!$AI$6:$AI$76,MATCH(1,'Matrix Model'!$O$112:$O$182,0))/100,"")</f>
        <v>15.4224</v>
      </c>
    </row>
    <row r="40" customFormat="false" ht="15" hidden="false" customHeight="false" outlineLevel="0" collapsed="false">
      <c r="F40" s="4" t="str">
        <f aca="false">IFERROR(INDEX('Matrix Model'!$B$112:$B$182,MATCH(2,'Matrix Model'!$O$112:$O$182,0)),"")</f>
        <v>Brown rice (dry)</v>
      </c>
      <c r="G40" s="23" t="n">
        <f aca="false">IFERROR(INDEX('Matrix Model'!$K$112:$K$182,MATCH(2,'Matrix Model'!$O$112:$O$182,0)),"")</f>
        <v>78.14668975</v>
      </c>
      <c r="H40" s="24" t="n">
        <f aca="false">IFERROR(G40/INDEX('Food Data'!$N$6:$N$76,MATCH(2,'Matrix Model'!$O$112:$O$182,0)),"")</f>
        <v>1.69884108152174</v>
      </c>
      <c r="I40" s="23" t="n">
        <f aca="false">IFERROR(G40*INDEX('Food Data'!$AH$6:$AH$76,MATCH(2,'Matrix Model'!$O$112:$O$182,0))/100,"")</f>
        <v>286.7983513825</v>
      </c>
      <c r="J40" s="23" t="n">
        <f aca="false">IFERROR(G40*INDEX('Food Data'!$AI$6:$AI$76,MATCH(2,'Matrix Model'!$O$112:$O$182,0))/100,"")</f>
        <v>5.89226040715</v>
      </c>
    </row>
    <row r="41" customFormat="false" ht="15" hidden="false" customHeight="false" outlineLevel="0" collapsed="false">
      <c r="B41" s="3" t="s">
        <v>88</v>
      </c>
      <c r="F41" s="4" t="str">
        <f aca="false">IFERROR(INDEX('Matrix Model'!$B$112:$B$182,MATCH(3,'Matrix Model'!$O$112:$O$182,0)),"")</f>
        <v>White rice (dry)</v>
      </c>
      <c r="G41" s="23" t="n">
        <f aca="false">IFERROR(INDEX('Matrix Model'!$K$112:$K$182,MATCH(3,'Matrix Model'!$O$112:$O$182,0)),"")</f>
        <v>92</v>
      </c>
      <c r="H41" s="24" t="n">
        <f aca="false">IFERROR(G41/INDEX('Food Data'!$N$6:$N$76,MATCH(3,'Matrix Model'!$O$112:$O$182,0)),"")</f>
        <v>2</v>
      </c>
      <c r="I41" s="23" t="n">
        <f aca="false">IFERROR(G41*INDEX('Food Data'!$AH$6:$AH$76,MATCH(3,'Matrix Model'!$O$112:$O$182,0))/100,"")</f>
        <v>335.8</v>
      </c>
      <c r="J41" s="23" t="n">
        <f aca="false">IFERROR(G41*INDEX('Food Data'!$AI$6:$AI$76,MATCH(3,'Matrix Model'!$O$112:$O$182,0))/100,"")</f>
        <v>6.5596</v>
      </c>
    </row>
    <row r="42" customFormat="false" ht="15" hidden="false" customHeight="false" outlineLevel="0" collapsed="false">
      <c r="B42" s="4" t="s">
        <v>89</v>
      </c>
      <c r="C42" s="31" t="n">
        <v>0.05</v>
      </c>
      <c r="F42" s="4" t="str">
        <f aca="false">IFERROR(INDEX('Matrix Model'!$B$112:$B$182,MATCH(4,'Matrix Model'!$O$112:$O$182,0)),"")</f>
        <v>Broccoli (frozen)</v>
      </c>
      <c r="G42" s="23" t="n">
        <f aca="false">IFERROR(INDEX('Matrix Model'!$K$112:$K$182,MATCH(4,'Matrix Model'!$O$112:$O$182,0)),"")</f>
        <v>95</v>
      </c>
      <c r="H42" s="24" t="n">
        <f aca="false">IFERROR(G42/INDEX('Food Data'!$N$6:$N$76,MATCH(4,'Matrix Model'!$O$112:$O$182,0)),"")</f>
        <v>1</v>
      </c>
      <c r="I42" s="23" t="n">
        <f aca="false">IFERROR(G42*INDEX('Food Data'!$AH$6:$AH$76,MATCH(4,'Matrix Model'!$O$112:$O$182,0))/100,"")</f>
        <v>27.55</v>
      </c>
      <c r="J42" s="23" t="n">
        <f aca="false">IFERROR(G42*INDEX('Food Data'!$AI$6:$AI$76,MATCH(4,'Matrix Model'!$O$112:$O$182,0))/100,"")</f>
        <v>2.907</v>
      </c>
    </row>
    <row r="43" customFormat="false" ht="15" hidden="false" customHeight="false" outlineLevel="0" collapsed="false">
      <c r="B43" s="4" t="s">
        <v>90</v>
      </c>
      <c r="C43" s="31" t="n">
        <v>0.35</v>
      </c>
      <c r="D43" s="2" t="s">
        <v>91</v>
      </c>
      <c r="F43" s="4" t="str">
        <f aca="false">IFERROR(INDEX('Matrix Model'!$B$112:$B$182,MATCH(5,'Matrix Model'!$O$112:$O$182,0)),"")</f>
        <v>Mixed vegetables (frozen)</v>
      </c>
      <c r="G43" s="23" t="n">
        <f aca="false">IFERROR(INDEX('Matrix Model'!$K$112:$K$182,MATCH(5,'Matrix Model'!$O$112:$O$182,0)),"")</f>
        <v>28.021978</v>
      </c>
      <c r="H43" s="24" t="n">
        <f aca="false">IFERROR(G43/INDEX('Food Data'!$N$6:$N$76,MATCH(5,'Matrix Model'!$O$112:$O$182,0)),"")</f>
        <v>0.294968189473684</v>
      </c>
      <c r="I43" s="23" t="n">
        <f aca="false">IFERROR(G43*INDEX('Food Data'!$AH$6:$AH$76,MATCH(5,'Matrix Model'!$O$112:$O$182,0))/100,"")</f>
        <v>20.17582416</v>
      </c>
      <c r="J43" s="23" t="n">
        <f aca="false">IFERROR(G43*INDEX('Food Data'!$AI$6:$AI$76,MATCH(5,'Matrix Model'!$O$112:$O$182,0))/100,"")</f>
        <v>0.9331318674</v>
      </c>
    </row>
    <row r="44" customFormat="false" ht="15" hidden="false" customHeight="false" outlineLevel="0" collapsed="false">
      <c r="B44" s="4" t="s">
        <v>92</v>
      </c>
      <c r="C44" s="31" t="n">
        <v>0.2</v>
      </c>
      <c r="F44" s="4" t="str">
        <f aca="false">IFERROR(INDEX('Matrix Model'!$B$112:$B$182,MATCH(6,'Matrix Model'!$O$112:$O$182,0)),"")</f>
        <v>Canola oil</v>
      </c>
      <c r="G44" s="23" t="n">
        <f aca="false">IFERROR(INDEX('Matrix Model'!$K$112:$K$182,MATCH(6,'Matrix Model'!$O$112:$O$182,0)),"")</f>
        <v>1.03110455</v>
      </c>
      <c r="H44" s="24" t="n">
        <f aca="false">IFERROR(G44/INDEX('Food Data'!$N$6:$N$76,MATCH(6,'Matrix Model'!$O$112:$O$182,0)),"")</f>
        <v>0.073650325</v>
      </c>
      <c r="I44" s="23" t="n">
        <f aca="false">IFERROR(G44*INDEX('Food Data'!$AH$6:$AH$76,MATCH(6,'Matrix Model'!$O$112:$O$182,0))/100,"")</f>
        <v>9.114964222</v>
      </c>
      <c r="J44" s="23" t="n">
        <f aca="false">IFERROR(G44*INDEX('Food Data'!$AI$6:$AI$76,MATCH(6,'Matrix Model'!$O$112:$O$182,0))/100,"")</f>
        <v>0</v>
      </c>
    </row>
    <row r="45" customFormat="false" ht="15" hidden="false" customHeight="false" outlineLevel="0" collapsed="false">
      <c r="B45" s="4" t="s">
        <v>93</v>
      </c>
      <c r="C45" s="31" t="n">
        <v>0.2</v>
      </c>
      <c r="D45" s="31" t="n">
        <v>0.3</v>
      </c>
      <c r="F45" s="4" t="str">
        <f aca="false">IFERROR(INDEX('Matrix Model'!$B$112:$B$182,MATCH(7,'Matrix Model'!$O$112:$O$182,0)),"")</f>
        <v/>
      </c>
      <c r="G45" s="23" t="str">
        <f aca="false">IFERROR(INDEX('Matrix Model'!$K$112:$K$182,MATCH(7,'Matrix Model'!$O$112:$O$182,0)),"")</f>
        <v/>
      </c>
      <c r="H45" s="24" t="str">
        <f aca="false">IFERROR(G45/INDEX('Food Data'!$N$6:$N$76,MATCH(7,'Matrix Model'!$O$112:$O$182,0)),"")</f>
        <v/>
      </c>
      <c r="I45" s="23" t="str">
        <f aca="false">IFERROR(G45*INDEX('Food Data'!$AH$6:$AH$76,MATCH(7,'Matrix Model'!$O$112:$O$182,0))/100,"")</f>
        <v/>
      </c>
      <c r="J45" s="23" t="str">
        <f aca="false">IFERROR(G45*INDEX('Food Data'!$AI$6:$AI$76,MATCH(7,'Matrix Model'!$O$112:$O$182,0))/100,"")</f>
        <v/>
      </c>
    </row>
    <row r="46" customFormat="false" ht="15" hidden="false" customHeight="false" outlineLevel="0" collapsed="false">
      <c r="B46" s="4" t="s">
        <v>94</v>
      </c>
      <c r="C46" s="31" t="n">
        <v>0.25</v>
      </c>
      <c r="D46" s="31" t="n">
        <v>0.35</v>
      </c>
      <c r="F46" s="4" t="str">
        <f aca="false">IFERROR(INDEX('Matrix Model'!$B$112:$B$182,MATCH(8,'Matrix Model'!$O$112:$O$182,0)),"")</f>
        <v/>
      </c>
      <c r="G46" s="23" t="str">
        <f aca="false">IFERROR(INDEX('Matrix Model'!$K$112:$K$182,MATCH(8,'Matrix Model'!$O$112:$O$182,0)),"")</f>
        <v/>
      </c>
      <c r="H46" s="24" t="str">
        <f aca="false">IFERROR(G46/INDEX('Food Data'!$N$6:$N$76,MATCH(8,'Matrix Model'!$O$112:$O$182,0)),"")</f>
        <v/>
      </c>
      <c r="I46" s="23" t="str">
        <f aca="false">IFERROR(G46*INDEX('Food Data'!$AH$6:$AH$76,MATCH(8,'Matrix Model'!$O$112:$O$182,0))/100,"")</f>
        <v/>
      </c>
      <c r="J46" s="23" t="str">
        <f aca="false">IFERROR(G46*INDEX('Food Data'!$AI$6:$AI$76,MATCH(8,'Matrix Model'!$O$112:$O$182,0))/100,"")</f>
        <v/>
      </c>
    </row>
    <row r="47" customFormat="false" ht="15" hidden="false" customHeight="false" outlineLevel="0" collapsed="false">
      <c r="B47" s="4" t="s">
        <v>95</v>
      </c>
      <c r="C47" s="31" t="n">
        <v>0.25</v>
      </c>
      <c r="D47" s="31" t="n">
        <v>0.4</v>
      </c>
      <c r="F47" s="4" t="str">
        <f aca="false">IFERROR(INDEX('Matrix Model'!$B$112:$B$182,MATCH(9,'Matrix Model'!$O$112:$O$182,0)),"")</f>
        <v/>
      </c>
      <c r="G47" s="23" t="str">
        <f aca="false">IFERROR(INDEX('Matrix Model'!$K$112:$K$182,MATCH(9,'Matrix Model'!$O$112:$O$182,0)),"")</f>
        <v/>
      </c>
      <c r="H47" s="24" t="str">
        <f aca="false">IFERROR(G47/INDEX('Food Data'!$N$6:$N$76,MATCH(9,'Matrix Model'!$O$112:$O$182,0)),"")</f>
        <v/>
      </c>
      <c r="I47" s="23" t="str">
        <f aca="false">IFERROR(G47*INDEX('Food Data'!$AH$6:$AH$76,MATCH(9,'Matrix Model'!$O$112:$O$182,0))/100,"")</f>
        <v/>
      </c>
      <c r="J47" s="23" t="str">
        <f aca="false">IFERROR(G47*INDEX('Food Data'!$AI$6:$AI$76,MATCH(9,'Matrix Model'!$O$112:$O$182,0))/100,"")</f>
        <v/>
      </c>
    </row>
    <row r="48" customFormat="false" ht="15" hidden="false" customHeight="false" outlineLevel="0" collapsed="false">
      <c r="B48" s="4" t="s">
        <v>96</v>
      </c>
      <c r="C48" s="31" t="n">
        <v>0.05</v>
      </c>
      <c r="D48" s="31" t="n">
        <v>0.2</v>
      </c>
      <c r="F48" s="14" t="s">
        <v>97</v>
      </c>
      <c r="I48" s="28" t="n">
        <f aca="false">'Matrix Model'!E189</f>
        <v>929.2791397645</v>
      </c>
      <c r="J48" s="28" t="n">
        <f aca="false">'Matrix Model'!E190</f>
        <v>31.71439227455</v>
      </c>
    </row>
    <row r="49" customFormat="false" ht="15" hidden="false" customHeight="false" outlineLevel="0" collapsed="false">
      <c r="B49" s="4" t="s">
        <v>98</v>
      </c>
      <c r="C49" s="13" t="n">
        <v>2.5</v>
      </c>
    </row>
    <row r="50" customFormat="false" ht="15" hidden="false" customHeight="false" outlineLevel="0" collapsed="false">
      <c r="B50" s="4" t="s">
        <v>99</v>
      </c>
      <c r="C50" s="13" t="n">
        <v>2</v>
      </c>
      <c r="F50" s="22" t="s">
        <v>100</v>
      </c>
      <c r="G50" s="22" t="s">
        <v>67</v>
      </c>
      <c r="H50" s="22" t="s">
        <v>68</v>
      </c>
      <c r="I50" s="22" t="s">
        <v>69</v>
      </c>
      <c r="J50" s="22" t="s">
        <v>70</v>
      </c>
    </row>
    <row r="51" customFormat="false" ht="15" hidden="false" customHeight="false" outlineLevel="0" collapsed="false">
      <c r="B51" s="4" t="s">
        <v>101</v>
      </c>
      <c r="C51" s="8" t="n">
        <v>340</v>
      </c>
      <c r="D51" s="2" t="s">
        <v>102</v>
      </c>
      <c r="F51" s="4" t="str">
        <f aca="false">IFERROR(INDEX('Matrix Model'!$B$112:$B$182,MATCH(1,'Matrix Model'!$P$112:$P$182,0)),"")</f>
        <v>Pinto beans (dry)</v>
      </c>
      <c r="G51" s="23" t="n">
        <f aca="false">IFERROR(INDEX('Matrix Model'!$L$112:$L$182,MATCH(1,'Matrix Model'!$P$112:$P$182,0)),"")</f>
        <v>72</v>
      </c>
      <c r="H51" s="24" t="n">
        <f aca="false">IFERROR(G51/INDEX('Food Data'!$N$6:$N$76,MATCH(1,'Matrix Model'!$P$112:$P$182,0)),"")</f>
        <v>1.5</v>
      </c>
      <c r="I51" s="23" t="n">
        <f aca="false">IFERROR(G51*INDEX('Food Data'!$AH$6:$AH$76,MATCH(1,'Matrix Model'!$P$112:$P$182,0))/100,"")</f>
        <v>249.84</v>
      </c>
      <c r="J51" s="23" t="n">
        <f aca="false">IFERROR(G51*INDEX('Food Data'!$AI$6:$AI$76,MATCH(1,'Matrix Model'!$P$112:$P$182,0))/100,"")</f>
        <v>15.4224</v>
      </c>
    </row>
    <row r="52" customFormat="false" ht="15" hidden="false" customHeight="false" outlineLevel="0" collapsed="false">
      <c r="B52" s="4" t="s">
        <v>103</v>
      </c>
      <c r="C52" s="8" t="n">
        <v>3</v>
      </c>
      <c r="D52" s="2" t="s">
        <v>104</v>
      </c>
      <c r="F52" s="4" t="str">
        <f aca="false">IFERROR(INDEX('Matrix Model'!$B$112:$B$182,MATCH(2,'Matrix Model'!$P$112:$P$182,0)),"")</f>
        <v>Brown rice (dry)</v>
      </c>
      <c r="G52" s="23" t="n">
        <f aca="false">IFERROR(INDEX('Matrix Model'!$L$112:$L$182,MATCH(2,'Matrix Model'!$P$112:$P$182,0)),"")</f>
        <v>78.14668975</v>
      </c>
      <c r="H52" s="24" t="n">
        <f aca="false">IFERROR(G52/INDEX('Food Data'!$N$6:$N$76,MATCH(2,'Matrix Model'!$P$112:$P$182,0)),"")</f>
        <v>1.69884108152174</v>
      </c>
      <c r="I52" s="23" t="n">
        <f aca="false">IFERROR(G52*INDEX('Food Data'!$AH$6:$AH$76,MATCH(2,'Matrix Model'!$P$112:$P$182,0))/100,"")</f>
        <v>286.7983513825</v>
      </c>
      <c r="J52" s="23" t="n">
        <f aca="false">IFERROR(G52*INDEX('Food Data'!$AI$6:$AI$76,MATCH(2,'Matrix Model'!$P$112:$P$182,0))/100,"")</f>
        <v>5.89226040715</v>
      </c>
    </row>
    <row r="53" customFormat="false" ht="15" hidden="false" customHeight="false" outlineLevel="0" collapsed="false">
      <c r="B53" s="4" t="s">
        <v>105</v>
      </c>
      <c r="C53" s="8" t="n">
        <v>3</v>
      </c>
      <c r="D53" s="2" t="s">
        <v>106</v>
      </c>
      <c r="F53" s="4" t="str">
        <f aca="false">IFERROR(INDEX('Matrix Model'!$B$112:$B$182,MATCH(3,'Matrix Model'!$P$112:$P$182,0)),"")</f>
        <v>White rice (dry)</v>
      </c>
      <c r="G53" s="23" t="n">
        <f aca="false">IFERROR(INDEX('Matrix Model'!$L$112:$L$182,MATCH(3,'Matrix Model'!$P$112:$P$182,0)),"")</f>
        <v>92</v>
      </c>
      <c r="H53" s="24" t="n">
        <f aca="false">IFERROR(G53/INDEX('Food Data'!$N$6:$N$76,MATCH(3,'Matrix Model'!$P$112:$P$182,0)),"")</f>
        <v>2</v>
      </c>
      <c r="I53" s="23" t="n">
        <f aca="false">IFERROR(G53*INDEX('Food Data'!$AH$6:$AH$76,MATCH(3,'Matrix Model'!$P$112:$P$182,0))/100,"")</f>
        <v>335.8</v>
      </c>
      <c r="J53" s="23" t="n">
        <f aca="false">IFERROR(G53*INDEX('Food Data'!$AI$6:$AI$76,MATCH(3,'Matrix Model'!$P$112:$P$182,0))/100,"")</f>
        <v>6.5596</v>
      </c>
    </row>
    <row r="54" customFormat="false" ht="15" hidden="false" customHeight="false" outlineLevel="0" collapsed="false">
      <c r="B54" s="4" t="s">
        <v>107</v>
      </c>
      <c r="C54" s="8" t="n">
        <v>9</v>
      </c>
      <c r="F54" s="4" t="str">
        <f aca="false">IFERROR(INDEX('Matrix Model'!$B$112:$B$182,MATCH(4,'Matrix Model'!$P$112:$P$182,0)),"")</f>
        <v>Broccoli (frozen)</v>
      </c>
      <c r="G54" s="23" t="n">
        <f aca="false">IFERROR(INDEX('Matrix Model'!$L$112:$L$182,MATCH(4,'Matrix Model'!$P$112:$P$182,0)),"")</f>
        <v>95</v>
      </c>
      <c r="H54" s="24" t="n">
        <f aca="false">IFERROR(G54/INDEX('Food Data'!$N$6:$N$76,MATCH(4,'Matrix Model'!$P$112:$P$182,0)),"")</f>
        <v>1</v>
      </c>
      <c r="I54" s="23" t="n">
        <f aca="false">IFERROR(G54*INDEX('Food Data'!$AH$6:$AH$76,MATCH(4,'Matrix Model'!$P$112:$P$182,0))/100,"")</f>
        <v>27.55</v>
      </c>
      <c r="J54" s="23" t="n">
        <f aca="false">IFERROR(G54*INDEX('Food Data'!$AI$6:$AI$76,MATCH(4,'Matrix Model'!$P$112:$P$182,0))/100,"")</f>
        <v>2.907</v>
      </c>
    </row>
    <row r="55" customFormat="false" ht="15" hidden="false" customHeight="false" outlineLevel="0" collapsed="false">
      <c r="B55" s="4" t="s">
        <v>108</v>
      </c>
      <c r="C55" s="8" t="n">
        <v>4</v>
      </c>
      <c r="D55" s="2" t="s">
        <v>109</v>
      </c>
      <c r="F55" s="4" t="str">
        <f aca="false">IFERROR(INDEX('Matrix Model'!$B$112:$B$182,MATCH(5,'Matrix Model'!$P$112:$P$182,0)),"")</f>
        <v>Mixed vegetables (frozen)</v>
      </c>
      <c r="G55" s="23" t="n">
        <f aca="false">IFERROR(INDEX('Matrix Model'!$L$112:$L$182,MATCH(5,'Matrix Model'!$P$112:$P$182,0)),"")</f>
        <v>28.021978</v>
      </c>
      <c r="H55" s="24" t="n">
        <f aca="false">IFERROR(G55/INDEX('Food Data'!$N$6:$N$76,MATCH(5,'Matrix Model'!$P$112:$P$182,0)),"")</f>
        <v>0.294968189473684</v>
      </c>
      <c r="I55" s="23" t="n">
        <f aca="false">IFERROR(G55*INDEX('Food Data'!$AH$6:$AH$76,MATCH(5,'Matrix Model'!$P$112:$P$182,0))/100,"")</f>
        <v>20.17582416</v>
      </c>
      <c r="J55" s="23" t="n">
        <f aca="false">IFERROR(G55*INDEX('Food Data'!$AI$6:$AI$76,MATCH(5,'Matrix Model'!$P$112:$P$182,0))/100,"")</f>
        <v>0.9331318674</v>
      </c>
    </row>
    <row r="56" customFormat="false" ht="15" hidden="false" customHeight="false" outlineLevel="0" collapsed="false">
      <c r="B56" s="4" t="s">
        <v>110</v>
      </c>
      <c r="C56" s="8" t="n">
        <v>2</v>
      </c>
      <c r="F56" s="4" t="str">
        <f aca="false">IFERROR(INDEX('Matrix Model'!$B$112:$B$182,MATCH(6,'Matrix Model'!$P$112:$P$182,0)),"")</f>
        <v>Canola oil</v>
      </c>
      <c r="G56" s="23" t="n">
        <f aca="false">IFERROR(INDEX('Matrix Model'!$L$112:$L$182,MATCH(6,'Matrix Model'!$P$112:$P$182,0)),"")</f>
        <v>1.03110455</v>
      </c>
      <c r="H56" s="24" t="n">
        <f aca="false">IFERROR(G56/INDEX('Food Data'!$N$6:$N$76,MATCH(6,'Matrix Model'!$P$112:$P$182,0)),"")</f>
        <v>0.073650325</v>
      </c>
      <c r="I56" s="23" t="n">
        <f aca="false">IFERROR(G56*INDEX('Food Data'!$AH$6:$AH$76,MATCH(6,'Matrix Model'!$P$112:$P$182,0))/100,"")</f>
        <v>9.114964222</v>
      </c>
      <c r="J56" s="23" t="n">
        <f aca="false">IFERROR(G56*INDEX('Food Data'!$AI$6:$AI$76,MATCH(6,'Matrix Model'!$P$112:$P$182,0))/100,"")</f>
        <v>0</v>
      </c>
    </row>
    <row r="57" customFormat="false" ht="15" hidden="false" customHeight="false" outlineLevel="0" collapsed="false">
      <c r="B57" s="2" t="s">
        <v>111</v>
      </c>
      <c r="F57" s="4" t="str">
        <f aca="false">IFERROR(INDEX('Matrix Model'!$B$112:$B$182,MATCH(7,'Matrix Model'!$P$112:$P$182,0)),"")</f>
        <v/>
      </c>
      <c r="G57" s="23" t="str">
        <f aca="false">IFERROR(INDEX('Matrix Model'!$L$112:$L$182,MATCH(7,'Matrix Model'!$P$112:$P$182,0)),"")</f>
        <v/>
      </c>
      <c r="H57" s="24" t="str">
        <f aca="false">IFERROR(G57/INDEX('Food Data'!$N$6:$N$76,MATCH(7,'Matrix Model'!$P$112:$P$182,0)),"")</f>
        <v/>
      </c>
      <c r="I57" s="23" t="str">
        <f aca="false">IFERROR(G57*INDEX('Food Data'!$AH$6:$AH$76,MATCH(7,'Matrix Model'!$P$112:$P$182,0))/100,"")</f>
        <v/>
      </c>
      <c r="J57" s="23" t="str">
        <f aca="false">IFERROR(G57*INDEX('Food Data'!$AI$6:$AI$76,MATCH(7,'Matrix Model'!$P$112:$P$182,0))/100,"")</f>
        <v/>
      </c>
    </row>
    <row r="58" customFormat="false" ht="15" hidden="false" customHeight="false" outlineLevel="0" collapsed="false">
      <c r="F58" s="4" t="str">
        <f aca="false">IFERROR(INDEX('Matrix Model'!$B$112:$B$182,MATCH(8,'Matrix Model'!$P$112:$P$182,0)),"")</f>
        <v/>
      </c>
      <c r="G58" s="23" t="str">
        <f aca="false">IFERROR(INDEX('Matrix Model'!$L$112:$L$182,MATCH(8,'Matrix Model'!$P$112:$P$182,0)),"")</f>
        <v/>
      </c>
      <c r="H58" s="24" t="str">
        <f aca="false">IFERROR(G58/INDEX('Food Data'!$N$6:$N$76,MATCH(8,'Matrix Model'!$P$112:$P$182,0)),"")</f>
        <v/>
      </c>
      <c r="I58" s="23" t="str">
        <f aca="false">IFERROR(G58*INDEX('Food Data'!$AH$6:$AH$76,MATCH(8,'Matrix Model'!$P$112:$P$182,0))/100,"")</f>
        <v/>
      </c>
      <c r="J58" s="23" t="str">
        <f aca="false">IFERROR(G58*INDEX('Food Data'!$AI$6:$AI$76,MATCH(8,'Matrix Model'!$P$112:$P$182,0))/100,"")</f>
        <v/>
      </c>
    </row>
    <row r="59" customFormat="false" ht="15" hidden="false" customHeight="false" outlineLevel="0" collapsed="false">
      <c r="F59" s="4" t="str">
        <f aca="false">IFERROR(INDEX('Matrix Model'!$B$112:$B$182,MATCH(9,'Matrix Model'!$P$112:$P$182,0)),"")</f>
        <v/>
      </c>
      <c r="G59" s="23" t="str">
        <f aca="false">IFERROR(INDEX('Matrix Model'!$L$112:$L$182,MATCH(9,'Matrix Model'!$P$112:$P$182,0)),"")</f>
        <v/>
      </c>
      <c r="H59" s="24" t="str">
        <f aca="false">IFERROR(G59/INDEX('Food Data'!$N$6:$N$76,MATCH(9,'Matrix Model'!$P$112:$P$182,0)),"")</f>
        <v/>
      </c>
      <c r="I59" s="23" t="str">
        <f aca="false">IFERROR(G59*INDEX('Food Data'!$AH$6:$AH$76,MATCH(9,'Matrix Model'!$P$112:$P$182,0))/100,"")</f>
        <v/>
      </c>
      <c r="J59" s="23" t="str">
        <f aca="false">IFERROR(G59*INDEX('Food Data'!$AI$6:$AI$76,MATCH(9,'Matrix Model'!$P$112:$P$182,0))/100,"")</f>
        <v/>
      </c>
    </row>
    <row r="60" customFormat="false" ht="15" hidden="false" customHeight="false" outlineLevel="0" collapsed="false">
      <c r="F60" s="14" t="s">
        <v>112</v>
      </c>
      <c r="I60" s="28" t="n">
        <f aca="false">'Matrix Model'!F189</f>
        <v>929.2791397645</v>
      </c>
      <c r="J60" s="28" t="n">
        <f aca="false">'Matrix Model'!F190</f>
        <v>31.71439227455</v>
      </c>
    </row>
    <row r="62" customFormat="false" ht="15" hidden="false" customHeight="false" outlineLevel="0" collapsed="false">
      <c r="F62" s="22" t="s">
        <v>113</v>
      </c>
      <c r="G62" s="22" t="s">
        <v>67</v>
      </c>
      <c r="H62" s="22" t="s">
        <v>68</v>
      </c>
      <c r="I62" s="22" t="s">
        <v>69</v>
      </c>
      <c r="J62" s="22" t="s">
        <v>70</v>
      </c>
    </row>
    <row r="63" customFormat="false" ht="15" hidden="false" customHeight="false" outlineLevel="0" collapsed="false">
      <c r="F63" s="4" t="str">
        <f aca="false">IFERROR(INDEX('Matrix Model'!$B$112:$B$182,MATCH(1,'Matrix Model'!$Q$112:$Q$182,0)),"")</f>
        <v>Peanut butter</v>
      </c>
      <c r="G63" s="23" t="n">
        <f aca="false">IFERROR(INDEX('Matrix Model'!$M$112:$M$182,MATCH(1,'Matrix Model'!$Q$112:$Q$182,0)),"")</f>
        <v>32</v>
      </c>
      <c r="H63" s="24" t="n">
        <f aca="false">IFERROR(G63/INDEX('Food Data'!$N$6:$N$76,MATCH(1,'Matrix Model'!$Q$112:$Q$182,0)),"")</f>
        <v>1</v>
      </c>
      <c r="I63" s="23" t="n">
        <f aca="false">IFERROR(G63*INDEX('Food Data'!$AH$6:$AH$76,MATCH(1,'Matrix Model'!$Q$112:$Q$182,0))/100,"")</f>
        <v>191.36</v>
      </c>
      <c r="J63" s="23" t="n">
        <f aca="false">IFERROR(G63*INDEX('Food Data'!$AI$6:$AI$76,MATCH(1,'Matrix Model'!$Q$112:$Q$182,0))/100,"")</f>
        <v>7.1072</v>
      </c>
    </row>
    <row r="64" customFormat="false" ht="15" hidden="false" customHeight="false" outlineLevel="0" collapsed="false">
      <c r="F64" s="4" t="str">
        <f aca="false">IFERROR(INDEX('Matrix Model'!$B$112:$B$182,MATCH(2,'Matrix Model'!$Q$112:$Q$182,0)),"")</f>
        <v>2% milk</v>
      </c>
      <c r="G64" s="23" t="n">
        <f aca="false">IFERROR(INDEX('Matrix Model'!$M$112:$M$182,MATCH(2,'Matrix Model'!$Q$112:$Q$182,0)),"")</f>
        <v>235.1234411</v>
      </c>
      <c r="H64" s="24" t="n">
        <f aca="false">IFERROR(G64/INDEX('Food Data'!$N$6:$N$76,MATCH(2,'Matrix Model'!$Q$112:$Q$182,0)),"")</f>
        <v>0.963620660245902</v>
      </c>
      <c r="I64" s="23" t="n">
        <f aca="false">IFERROR(G64*INDEX('Food Data'!$AH$6:$AH$76,MATCH(2,'Matrix Model'!$Q$112:$Q$182,0))/100,"")</f>
        <v>117.56172055</v>
      </c>
      <c r="J64" s="23" t="n">
        <f aca="false">IFERROR(G64*INDEX('Food Data'!$AI$6:$AI$76,MATCH(2,'Matrix Model'!$Q$112:$Q$182,0))/100,"")</f>
        <v>7.7590735563</v>
      </c>
    </row>
    <row r="65" customFormat="false" ht="15" hidden="false" customHeight="false" outlineLevel="0" collapsed="false">
      <c r="F65" s="4" t="str">
        <f aca="false">IFERROR(INDEX('Matrix Model'!$B$112:$B$182,MATCH(3,'Matrix Model'!$Q$112:$Q$182,0)),"")</f>
        <v>Bananas</v>
      </c>
      <c r="G65" s="23" t="n">
        <f aca="false">IFERROR(INDEX('Matrix Model'!$M$112:$M$182,MATCH(3,'Matrix Model'!$Q$112:$Q$182,0)),"")</f>
        <v>118</v>
      </c>
      <c r="H65" s="24" t="n">
        <f aca="false">IFERROR(G65/INDEX('Food Data'!$N$6:$N$76,MATCH(3,'Matrix Model'!$Q$112:$Q$182,0)),"")</f>
        <v>1</v>
      </c>
      <c r="I65" s="23" t="n">
        <f aca="false">IFERROR(G65*INDEX('Food Data'!$AH$6:$AH$76,MATCH(3,'Matrix Model'!$Q$112:$Q$182,0))/100,"")</f>
        <v>105.02</v>
      </c>
      <c r="J65" s="23" t="n">
        <f aca="false">IFERROR(G65*INDEX('Food Data'!$AI$6:$AI$76,MATCH(3,'Matrix Model'!$Q$112:$Q$182,0))/100,"")</f>
        <v>1.2862</v>
      </c>
    </row>
    <row r="66" customFormat="false" ht="15" hidden="false" customHeight="false" outlineLevel="0" collapsed="false">
      <c r="F66" s="4" t="str">
        <f aca="false">IFERROR(INDEX('Matrix Model'!$B$112:$B$182,MATCH(4,'Matrix Model'!$Q$112:$Q$182,0)),"")</f>
        <v/>
      </c>
      <c r="G66" s="23" t="str">
        <f aca="false">IFERROR(INDEX('Matrix Model'!$M$112:$M$182,MATCH(4,'Matrix Model'!$Q$112:$Q$182,0)),"")</f>
        <v/>
      </c>
      <c r="H66" s="24" t="str">
        <f aca="false">IFERROR(G66/INDEX('Food Data'!$N$6:$N$76,MATCH(4,'Matrix Model'!$Q$112:$Q$182,0)),"")</f>
        <v/>
      </c>
      <c r="I66" s="23" t="str">
        <f aca="false">IFERROR(G66*INDEX('Food Data'!$AH$6:$AH$76,MATCH(4,'Matrix Model'!$Q$112:$Q$182,0))/100,"")</f>
        <v/>
      </c>
      <c r="J66" s="23" t="str">
        <f aca="false">IFERROR(G66*INDEX('Food Data'!$AI$6:$AI$76,MATCH(4,'Matrix Model'!$Q$112:$Q$182,0))/100,"")</f>
        <v/>
      </c>
    </row>
    <row r="67" customFormat="false" ht="15" hidden="false" customHeight="false" outlineLevel="0" collapsed="false">
      <c r="F67" s="4" t="str">
        <f aca="false">IFERROR(INDEX('Matrix Model'!$B$112:$B$182,MATCH(5,'Matrix Model'!$Q$112:$Q$182,0)),"")</f>
        <v/>
      </c>
      <c r="G67" s="23" t="str">
        <f aca="false">IFERROR(INDEX('Matrix Model'!$M$112:$M$182,MATCH(5,'Matrix Model'!$Q$112:$Q$182,0)),"")</f>
        <v/>
      </c>
      <c r="H67" s="24" t="str">
        <f aca="false">IFERROR(G67/INDEX('Food Data'!$N$6:$N$76,MATCH(5,'Matrix Model'!$Q$112:$Q$182,0)),"")</f>
        <v/>
      </c>
      <c r="I67" s="23" t="str">
        <f aca="false">IFERROR(G67*INDEX('Food Data'!$AH$6:$AH$76,MATCH(5,'Matrix Model'!$Q$112:$Q$182,0))/100,"")</f>
        <v/>
      </c>
      <c r="J67" s="23" t="str">
        <f aca="false">IFERROR(G67*INDEX('Food Data'!$AI$6:$AI$76,MATCH(5,'Matrix Model'!$Q$112:$Q$182,0))/100,"")</f>
        <v/>
      </c>
    </row>
    <row r="68" customFormat="false" ht="15" hidden="false" customHeight="false" outlineLevel="0" collapsed="false">
      <c r="F68" s="4" t="str">
        <f aca="false">IFERROR(INDEX('Matrix Model'!$B$112:$B$182,MATCH(6,'Matrix Model'!$Q$112:$Q$182,0)),"")</f>
        <v/>
      </c>
      <c r="G68" s="23" t="str">
        <f aca="false">IFERROR(INDEX('Matrix Model'!$M$112:$M$182,MATCH(6,'Matrix Model'!$Q$112:$Q$182,0)),"")</f>
        <v/>
      </c>
      <c r="H68" s="24" t="str">
        <f aca="false">IFERROR(G68/INDEX('Food Data'!$N$6:$N$76,MATCH(6,'Matrix Model'!$Q$112:$Q$182,0)),"")</f>
        <v/>
      </c>
      <c r="I68" s="23" t="str">
        <f aca="false">IFERROR(G68*INDEX('Food Data'!$AH$6:$AH$76,MATCH(6,'Matrix Model'!$Q$112:$Q$182,0))/100,"")</f>
        <v/>
      </c>
      <c r="J68" s="23" t="str">
        <f aca="false">IFERROR(G68*INDEX('Food Data'!$AI$6:$AI$76,MATCH(6,'Matrix Model'!$Q$112:$Q$182,0))/100,"")</f>
        <v/>
      </c>
    </row>
    <row r="69" customFormat="false" ht="15" hidden="false" customHeight="false" outlineLevel="0" collapsed="false">
      <c r="F69" s="4" t="str">
        <f aca="false">IFERROR(INDEX('Matrix Model'!$B$112:$B$182,MATCH(7,'Matrix Model'!$Q$112:$Q$182,0)),"")</f>
        <v/>
      </c>
      <c r="G69" s="23" t="str">
        <f aca="false">IFERROR(INDEX('Matrix Model'!$M$112:$M$182,MATCH(7,'Matrix Model'!$Q$112:$Q$182,0)),"")</f>
        <v/>
      </c>
      <c r="H69" s="24" t="str">
        <f aca="false">IFERROR(G69/INDEX('Food Data'!$N$6:$N$76,MATCH(7,'Matrix Model'!$Q$112:$Q$182,0)),"")</f>
        <v/>
      </c>
      <c r="I69" s="23" t="str">
        <f aca="false">IFERROR(G69*INDEX('Food Data'!$AH$6:$AH$76,MATCH(7,'Matrix Model'!$Q$112:$Q$182,0))/100,"")</f>
        <v/>
      </c>
      <c r="J69" s="23" t="str">
        <f aca="false">IFERROR(G69*INDEX('Food Data'!$AI$6:$AI$76,MATCH(7,'Matrix Model'!$Q$112:$Q$182,0))/100,"")</f>
        <v/>
      </c>
    </row>
    <row r="70" customFormat="false" ht="15" hidden="false" customHeight="false" outlineLevel="0" collapsed="false">
      <c r="F70" s="4" t="str">
        <f aca="false">IFERROR(INDEX('Matrix Model'!$B$112:$B$182,MATCH(8,'Matrix Model'!$Q$112:$Q$182,0)),"")</f>
        <v/>
      </c>
      <c r="G70" s="23" t="str">
        <f aca="false">IFERROR(INDEX('Matrix Model'!$M$112:$M$182,MATCH(8,'Matrix Model'!$Q$112:$Q$182,0)),"")</f>
        <v/>
      </c>
      <c r="H70" s="24" t="str">
        <f aca="false">IFERROR(G70/INDEX('Food Data'!$N$6:$N$76,MATCH(8,'Matrix Model'!$Q$112:$Q$182,0)),"")</f>
        <v/>
      </c>
      <c r="I70" s="23" t="str">
        <f aca="false">IFERROR(G70*INDEX('Food Data'!$AH$6:$AH$76,MATCH(8,'Matrix Model'!$Q$112:$Q$182,0))/100,"")</f>
        <v/>
      </c>
      <c r="J70" s="23" t="str">
        <f aca="false">IFERROR(G70*INDEX('Food Data'!$AI$6:$AI$76,MATCH(8,'Matrix Model'!$Q$112:$Q$182,0))/100,"")</f>
        <v/>
      </c>
    </row>
    <row r="71" customFormat="false" ht="15" hidden="false" customHeight="false" outlineLevel="0" collapsed="false">
      <c r="F71" s="4" t="str">
        <f aca="false">IFERROR(INDEX('Matrix Model'!$B$112:$B$182,MATCH(9,'Matrix Model'!$Q$112:$Q$182,0)),"")</f>
        <v/>
      </c>
      <c r="G71" s="23" t="str">
        <f aca="false">IFERROR(INDEX('Matrix Model'!$M$112:$M$182,MATCH(9,'Matrix Model'!$Q$112:$Q$182,0)),"")</f>
        <v/>
      </c>
      <c r="H71" s="24" t="str">
        <f aca="false">IFERROR(G71/INDEX('Food Data'!$N$6:$N$76,MATCH(9,'Matrix Model'!$Q$112:$Q$182,0)),"")</f>
        <v/>
      </c>
      <c r="I71" s="23" t="str">
        <f aca="false">IFERROR(G71*INDEX('Food Data'!$AH$6:$AH$76,MATCH(9,'Matrix Model'!$Q$112:$Q$182,0))/100,"")</f>
        <v/>
      </c>
      <c r="J71" s="23" t="str">
        <f aca="false">IFERROR(G71*INDEX('Food Data'!$AI$6:$AI$76,MATCH(9,'Matrix Model'!$Q$112:$Q$182,0))/100,"")</f>
        <v/>
      </c>
    </row>
    <row r="72" customFormat="false" ht="15" hidden="false" customHeight="false" outlineLevel="0" collapsed="false">
      <c r="F72" s="14" t="s">
        <v>114</v>
      </c>
      <c r="I72" s="28" t="n">
        <f aca="false">'Matrix Model'!G189</f>
        <v>413.94172055</v>
      </c>
      <c r="J72" s="28" t="n">
        <f aca="false">'Matrix Model'!G190</f>
        <v>16.1524735563</v>
      </c>
    </row>
  </sheetData>
  <mergeCells count="1">
    <mergeCell ref="G8:J8"/>
  </mergeCells>
  <conditionalFormatting sqref="G8">
    <cfRule type="expression" priority="2" aboveAverage="0" equalAverage="0" bottom="0" percent="0" rank="0" text="" dxfId="0">
      <formula>$G$7=0</formula>
    </cfRule>
    <cfRule type="expression" priority="3" aboveAverage="0" equalAverage="0" bottom="0" percent="0" rank="0" text="" dxfId="1">
      <formula>$G$7&gt;0</formula>
    </cfRule>
  </conditionalFormatting>
  <dataValidations count="6">
    <dataValidation allowBlank="false" errorStyle="stop" operator="between" showDropDown="false" showErrorMessage="false" showInputMessage="false" sqref="C5" type="list">
      <formula1>"Male,Female"</formula1>
      <formula2>0</formula2>
    </dataValidation>
    <dataValidation allowBlank="false" errorStyle="stop" operator="between" showDropDown="false" showErrorMessage="false" showInputMessage="false" sqref="C9" type="list">
      <formula1>"Inactive,Low active,Active,Very active"</formula1>
      <formula2>0</formula2>
    </dataValidation>
    <dataValidation allowBlank="false" errorStyle="stop" operator="between" showDropDown="false" showErrorMessage="false" showInputMessage="false" sqref="C10" type="list">
      <formula1>"Lose fat,Maintain,Build muscle"</formula1>
      <formula2>0</formula2>
    </dataValidation>
    <dataValidation allowBlank="false" errorStyle="stop" operator="between" showDropDown="false" showErrorMessage="false" showInputMessage="false" sqref="C11" type="list">
      <formula1>"IOM 2005 (corrected),Same as current site"</formula1>
      <formula2>0</formula2>
    </dataValidation>
    <dataValidation allowBlank="false" errorStyle="stop" operator="between" showDropDown="false" showErrorMessage="false" showInputMessage="false" sqref="C36" type="list">
      <formula1>Diets!$A$5:$A$12</formula1>
      <formula2>0</formula2>
    </dataValidation>
    <dataValidation allowBlank="false" errorStyle="stop" operator="between" showDropDown="false" showErrorMessage="false" showInputMessage="false" sqref="C39" type="list">
      <formula1>"Walmart (Oct 2026),BLS U.S. average (Sep 2026)"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16" t="s">
        <v>117</v>
      </c>
      <c r="B4" s="16" t="s">
        <v>118</v>
      </c>
      <c r="C4" s="16" t="s">
        <v>119</v>
      </c>
      <c r="D4" s="16" t="s">
        <v>19</v>
      </c>
      <c r="E4" s="16" t="s">
        <v>120</v>
      </c>
    </row>
    <row r="5" customFormat="false" ht="15" hidden="false" customHeight="false" outlineLevel="0" collapsed="false">
      <c r="A5" s="14" t="s">
        <v>121</v>
      </c>
      <c r="B5" s="32" t="n">
        <v>1</v>
      </c>
      <c r="C5" s="32" t="n">
        <v>1.11</v>
      </c>
      <c r="D5" s="32" t="n">
        <v>1.25</v>
      </c>
      <c r="E5" s="32" t="n">
        <v>1.48</v>
      </c>
    </row>
    <row r="6" customFormat="false" ht="15" hidden="false" customHeight="false" outlineLevel="0" collapsed="false">
      <c r="A6" s="14" t="s">
        <v>122</v>
      </c>
      <c r="B6" s="32" t="n">
        <v>1</v>
      </c>
      <c r="C6" s="32" t="n">
        <v>1.12</v>
      </c>
      <c r="D6" s="32" t="n">
        <v>1.27</v>
      </c>
      <c r="E6" s="32" t="n">
        <v>1.45</v>
      </c>
    </row>
    <row r="7" customFormat="false" ht="15" hidden="false" customHeight="false" outlineLevel="0" collapsed="false">
      <c r="A7" s="14" t="s">
        <v>123</v>
      </c>
      <c r="B7" s="32" t="n">
        <v>1</v>
      </c>
      <c r="C7" s="32" t="n">
        <v>1.13</v>
      </c>
      <c r="D7" s="32" t="n">
        <v>1.26</v>
      </c>
      <c r="E7" s="32" t="n">
        <v>1.42</v>
      </c>
    </row>
    <row r="8" customFormat="false" ht="15" hidden="false" customHeight="false" outlineLevel="0" collapsed="false">
      <c r="A8" s="14" t="s">
        <v>124</v>
      </c>
      <c r="B8" s="32" t="n">
        <v>1</v>
      </c>
      <c r="C8" s="32" t="n">
        <v>1.16</v>
      </c>
      <c r="D8" s="32" t="n">
        <v>1.31</v>
      </c>
      <c r="E8" s="32" t="n">
        <v>1.56</v>
      </c>
    </row>
    <row r="9" customFormat="false" ht="15" hidden="false" customHeight="false" outlineLevel="0" collapsed="false">
      <c r="A9" s="2" t="s">
        <v>125</v>
      </c>
    </row>
    <row r="10" customFormat="false" ht="15" hidden="false" customHeight="false" outlineLevel="0" collapsed="false">
      <c r="A10" s="16" t="s">
        <v>126</v>
      </c>
      <c r="B10" s="16" t="s">
        <v>118</v>
      </c>
      <c r="C10" s="16" t="s">
        <v>119</v>
      </c>
      <c r="D10" s="16" t="s">
        <v>19</v>
      </c>
      <c r="E10" s="16" t="s">
        <v>120</v>
      </c>
    </row>
    <row r="11" customFormat="false" ht="15" hidden="false" customHeight="false" outlineLevel="0" collapsed="false">
      <c r="A11" s="14" t="s">
        <v>121</v>
      </c>
      <c r="B11" s="32" t="n">
        <v>1</v>
      </c>
      <c r="C11" s="32" t="n">
        <v>1.11</v>
      </c>
      <c r="D11" s="32" t="n">
        <v>1.25</v>
      </c>
      <c r="E11" s="32" t="n">
        <v>1.48</v>
      </c>
    </row>
    <row r="12" customFormat="false" ht="15" hidden="false" customHeight="false" outlineLevel="0" collapsed="false">
      <c r="A12" s="14" t="s">
        <v>122</v>
      </c>
      <c r="B12" s="32" t="n">
        <v>1</v>
      </c>
      <c r="C12" s="32" t="n">
        <v>1.11</v>
      </c>
      <c r="D12" s="32" t="n">
        <v>1.25</v>
      </c>
      <c r="E12" s="32" t="n">
        <v>1.48</v>
      </c>
    </row>
    <row r="13" customFormat="false" ht="15" hidden="false" customHeight="false" outlineLevel="0" collapsed="false">
      <c r="A13" s="14" t="s">
        <v>123</v>
      </c>
      <c r="B13" s="32" t="n">
        <v>1</v>
      </c>
      <c r="C13" s="32" t="n">
        <v>1.13</v>
      </c>
      <c r="D13" s="32" t="n">
        <v>1.26</v>
      </c>
      <c r="E13" s="32" t="n">
        <v>1.42</v>
      </c>
    </row>
    <row r="14" customFormat="false" ht="15" hidden="false" customHeight="false" outlineLevel="0" collapsed="false">
      <c r="A14" s="14" t="s">
        <v>124</v>
      </c>
      <c r="B14" s="32" t="n">
        <v>1</v>
      </c>
      <c r="C14" s="32" t="n">
        <v>1.13</v>
      </c>
      <c r="D14" s="32" t="n">
        <v>1.26</v>
      </c>
      <c r="E14" s="32" t="n">
        <v>1.42</v>
      </c>
    </row>
    <row r="16" customFormat="false" ht="15" hidden="false" customHeight="false" outlineLevel="0" collapsed="false">
      <c r="A16" s="16" t="s">
        <v>21</v>
      </c>
      <c r="B16" s="16" t="s">
        <v>127</v>
      </c>
      <c r="D16" s="15" t="s">
        <v>128</v>
      </c>
    </row>
    <row r="17" customFormat="false" ht="15" hidden="false" customHeight="false" outlineLevel="0" collapsed="false">
      <c r="A17" s="14" t="s">
        <v>129</v>
      </c>
      <c r="B17" s="33" t="n">
        <v>-500</v>
      </c>
      <c r="D17" s="7" t="s">
        <v>6</v>
      </c>
      <c r="E17" s="34" t="n">
        <v>1500</v>
      </c>
    </row>
    <row r="18" customFormat="false" ht="15" hidden="false" customHeight="false" outlineLevel="0" collapsed="false">
      <c r="A18" s="14" t="s">
        <v>22</v>
      </c>
      <c r="B18" s="33" t="n">
        <v>0</v>
      </c>
      <c r="D18" s="7" t="s">
        <v>130</v>
      </c>
      <c r="E18" s="34" t="n">
        <v>1200</v>
      </c>
    </row>
    <row r="19" customFormat="false" ht="15" hidden="false" customHeight="false" outlineLevel="0" collapsed="false">
      <c r="A19" s="14" t="s">
        <v>131</v>
      </c>
      <c r="B19" s="33" t="n">
        <v>350</v>
      </c>
    </row>
    <row r="22" customFormat="false" ht="23.85" hidden="false" customHeight="false" outlineLevel="0" collapsed="false">
      <c r="A22" s="16" t="s">
        <v>73</v>
      </c>
      <c r="B22" s="16" t="s">
        <v>132</v>
      </c>
      <c r="C22" s="16" t="s">
        <v>133</v>
      </c>
      <c r="D22" s="16" t="s">
        <v>134</v>
      </c>
      <c r="E22" s="16" t="s">
        <v>135</v>
      </c>
      <c r="F22" s="16" t="s">
        <v>136</v>
      </c>
      <c r="G22" s="16" t="s">
        <v>137</v>
      </c>
      <c r="H22" s="16" t="s">
        <v>138</v>
      </c>
      <c r="I22" s="16" t="s">
        <v>139</v>
      </c>
      <c r="J22" s="16" t="s">
        <v>140</v>
      </c>
    </row>
    <row r="23" customFormat="false" ht="15" hidden="false" customHeight="false" outlineLevel="0" collapsed="false">
      <c r="A23" s="14" t="s">
        <v>141</v>
      </c>
      <c r="B23" s="4" t="s">
        <v>142</v>
      </c>
      <c r="C23" s="21" t="n">
        <v>75</v>
      </c>
      <c r="D23" s="21" t="n">
        <v>65</v>
      </c>
      <c r="E23" s="21" t="n">
        <v>1300</v>
      </c>
      <c r="F23" s="21" t="n">
        <v>1300</v>
      </c>
      <c r="G23" s="21" t="n">
        <v>11</v>
      </c>
      <c r="H23" s="21" t="n">
        <v>15</v>
      </c>
      <c r="I23" s="21" t="n">
        <v>3000</v>
      </c>
      <c r="J23" s="21" t="n">
        <v>2300</v>
      </c>
    </row>
    <row r="24" customFormat="false" ht="15" hidden="false" customHeight="false" outlineLevel="0" collapsed="false">
      <c r="A24" s="14" t="s">
        <v>143</v>
      </c>
      <c r="B24" s="4" t="s">
        <v>144</v>
      </c>
      <c r="C24" s="21" t="n">
        <v>90</v>
      </c>
      <c r="D24" s="21" t="n">
        <v>75</v>
      </c>
      <c r="E24" s="21" t="n">
        <v>1000</v>
      </c>
      <c r="F24" s="21" t="n">
        <v>1000</v>
      </c>
      <c r="G24" s="21" t="n">
        <v>8</v>
      </c>
      <c r="H24" s="21" t="n">
        <v>18</v>
      </c>
      <c r="I24" s="21" t="n">
        <v>3400</v>
      </c>
      <c r="J24" s="21" t="n">
        <v>2600</v>
      </c>
    </row>
    <row r="25" customFormat="false" ht="15" hidden="false" customHeight="false" outlineLevel="0" collapsed="false">
      <c r="A25" s="14" t="s">
        <v>145</v>
      </c>
      <c r="B25" s="4" t="s">
        <v>146</v>
      </c>
      <c r="C25" s="21" t="n">
        <v>90</v>
      </c>
      <c r="D25" s="21" t="n">
        <v>75</v>
      </c>
      <c r="E25" s="21" t="n">
        <v>1000</v>
      </c>
      <c r="F25" s="21" t="n">
        <v>1000</v>
      </c>
      <c r="G25" s="21" t="n">
        <v>8</v>
      </c>
      <c r="H25" s="21" t="n">
        <v>18</v>
      </c>
      <c r="I25" s="21" t="n">
        <v>3400</v>
      </c>
      <c r="J25" s="21" t="n">
        <v>2600</v>
      </c>
    </row>
    <row r="26" customFormat="false" ht="15" hidden="false" customHeight="false" outlineLevel="0" collapsed="false">
      <c r="A26" s="14" t="s">
        <v>147</v>
      </c>
      <c r="B26" s="4" t="s">
        <v>148</v>
      </c>
      <c r="C26" s="21" t="n">
        <v>90</v>
      </c>
      <c r="D26" s="21" t="n">
        <v>75</v>
      </c>
      <c r="E26" s="21" t="n">
        <v>1000</v>
      </c>
      <c r="F26" s="21" t="n">
        <v>1200</v>
      </c>
      <c r="G26" s="21" t="n">
        <v>8</v>
      </c>
      <c r="H26" s="21" t="n">
        <v>8</v>
      </c>
      <c r="I26" s="21" t="n">
        <v>3400</v>
      </c>
      <c r="J26" s="21" t="n">
        <v>2600</v>
      </c>
    </row>
    <row r="27" customFormat="false" ht="15" hidden="false" customHeight="false" outlineLevel="0" collapsed="false">
      <c r="A27" s="14" t="s">
        <v>149</v>
      </c>
      <c r="B27" s="4" t="s">
        <v>150</v>
      </c>
      <c r="C27" s="21" t="n">
        <v>90</v>
      </c>
      <c r="D27" s="21" t="n">
        <v>75</v>
      </c>
      <c r="E27" s="21" t="n">
        <v>1200</v>
      </c>
      <c r="F27" s="21" t="n">
        <v>1200</v>
      </c>
      <c r="G27" s="21" t="n">
        <v>8</v>
      </c>
      <c r="H27" s="21" t="n">
        <v>8</v>
      </c>
      <c r="I27" s="21" t="n">
        <v>3400</v>
      </c>
      <c r="J27" s="21" t="n">
        <v>2600</v>
      </c>
    </row>
    <row r="29" customFormat="false" ht="15" hidden="false" customHeight="false" outlineLevel="0" collapsed="false">
      <c r="A29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5" min="4" style="0" width="3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24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25" min="19" style="0" width="7"/>
    <col collapsed="false" customWidth="true" hidden="false" outlineLevel="0" max="31" min="26" style="0" width="8"/>
    <col collapsed="false" customWidth="true" hidden="false" outlineLevel="0" max="32" min="32" style="0" width="9"/>
    <col collapsed="false" customWidth="true" hidden="false" outlineLevel="0" max="33" min="33" style="0" width="12"/>
    <col collapsed="false" customWidth="true" hidden="false" outlineLevel="0" max="46" min="34" style="0" width="9"/>
    <col collapsed="false" customWidth="true" hidden="false" outlineLevel="0" max="47" min="47" style="0" width="8"/>
    <col collapsed="false" customWidth="true" hidden="false" outlineLevel="0" max="48" min="48" style="0" width="46"/>
    <col collapsed="false" customWidth="true" hidden="false" outlineLevel="0" max="49" min="49" style="0" width="44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3" customFormat="false" ht="15" hidden="false" customHeight="false" outlineLevel="0" collapsed="false">
      <c r="A3" s="2" t="s">
        <v>154</v>
      </c>
    </row>
    <row r="5" customFormat="false" ht="66" hidden="false" customHeight="true" outlineLevel="0" collapsed="false">
      <c r="A5" s="16" t="s">
        <v>155</v>
      </c>
      <c r="B5" s="16" t="s">
        <v>117</v>
      </c>
      <c r="C5" s="16" t="s">
        <v>156</v>
      </c>
      <c r="D5" s="16" t="s">
        <v>157</v>
      </c>
      <c r="E5" s="16" t="s">
        <v>158</v>
      </c>
      <c r="F5" s="16" t="s">
        <v>159</v>
      </c>
      <c r="G5" s="16" t="s">
        <v>160</v>
      </c>
      <c r="H5" s="16" t="s">
        <v>161</v>
      </c>
      <c r="I5" s="16" t="s">
        <v>162</v>
      </c>
      <c r="J5" s="16" t="s">
        <v>163</v>
      </c>
      <c r="K5" s="16" t="s">
        <v>164</v>
      </c>
      <c r="L5" s="16" t="s">
        <v>165</v>
      </c>
      <c r="M5" s="16" t="s">
        <v>166</v>
      </c>
      <c r="N5" s="16" t="s">
        <v>167</v>
      </c>
      <c r="O5" s="16" t="s">
        <v>168</v>
      </c>
      <c r="P5" s="16" t="s">
        <v>169</v>
      </c>
      <c r="Q5" s="16" t="s">
        <v>170</v>
      </c>
      <c r="R5" s="16" t="s">
        <v>171</v>
      </c>
      <c r="S5" s="16" t="s">
        <v>172</v>
      </c>
      <c r="T5" s="16" t="s">
        <v>173</v>
      </c>
      <c r="U5" s="16" t="s">
        <v>174</v>
      </c>
      <c r="V5" s="16" t="s">
        <v>175</v>
      </c>
      <c r="W5" s="16" t="s">
        <v>176</v>
      </c>
      <c r="X5" s="16" t="s">
        <v>177</v>
      </c>
      <c r="Y5" s="16" t="s">
        <v>178</v>
      </c>
      <c r="Z5" s="16" t="s">
        <v>179</v>
      </c>
      <c r="AA5" s="16" t="s">
        <v>180</v>
      </c>
      <c r="AB5" s="16" t="s">
        <v>181</v>
      </c>
      <c r="AC5" s="16" t="s">
        <v>182</v>
      </c>
      <c r="AD5" s="16" t="s">
        <v>183</v>
      </c>
      <c r="AE5" s="16" t="s">
        <v>184</v>
      </c>
      <c r="AF5" s="16" t="s">
        <v>185</v>
      </c>
      <c r="AG5" s="16" t="s">
        <v>186</v>
      </c>
      <c r="AH5" s="16" t="s">
        <v>187</v>
      </c>
      <c r="AI5" s="16" t="s">
        <v>188</v>
      </c>
      <c r="AJ5" s="16" t="s">
        <v>189</v>
      </c>
      <c r="AK5" s="16" t="s">
        <v>190</v>
      </c>
      <c r="AL5" s="16" t="s">
        <v>191</v>
      </c>
      <c r="AM5" s="16" t="s">
        <v>192</v>
      </c>
      <c r="AN5" s="16" t="s">
        <v>193</v>
      </c>
      <c r="AO5" s="16" t="s">
        <v>194</v>
      </c>
      <c r="AP5" s="16" t="s">
        <v>195</v>
      </c>
      <c r="AQ5" s="16" t="s">
        <v>196</v>
      </c>
      <c r="AR5" s="16" t="s">
        <v>197</v>
      </c>
      <c r="AS5" s="16" t="s">
        <v>198</v>
      </c>
      <c r="AT5" s="16" t="s">
        <v>199</v>
      </c>
      <c r="AU5" s="16" t="s">
        <v>200</v>
      </c>
      <c r="AV5" s="16" t="s">
        <v>201</v>
      </c>
      <c r="AW5" s="16" t="s">
        <v>202</v>
      </c>
    </row>
    <row r="6" customFormat="false" ht="15" hidden="false" customHeight="false" outlineLevel="0" collapsed="false">
      <c r="A6" s="4" t="n">
        <v>1</v>
      </c>
      <c r="B6" s="35" t="s">
        <v>203</v>
      </c>
      <c r="C6" s="36" t="s">
        <v>174</v>
      </c>
      <c r="D6" s="14" t="s">
        <v>204</v>
      </c>
      <c r="E6" s="4" t="s">
        <v>205</v>
      </c>
      <c r="F6" s="37" t="n">
        <v>9.84</v>
      </c>
      <c r="G6" s="21" t="n">
        <v>1360.8</v>
      </c>
      <c r="H6" s="31" t="n">
        <v>1</v>
      </c>
      <c r="I6" s="38" t="n">
        <f aca="false">F6/(G6*H6)*100</f>
        <v>0.72310405643739</v>
      </c>
      <c r="J6" s="39" t="n">
        <v>4.203</v>
      </c>
      <c r="K6" s="21" t="n">
        <v>453.6</v>
      </c>
      <c r="L6" s="38" t="n">
        <f aca="false">J6/(K6*H6)*100</f>
        <v>0.926587301587302</v>
      </c>
      <c r="M6" s="40" t="n">
        <f aca="false">IF(AND(IF(Planner!$C$39="BLS U.S. average (Sep 2026)",1,0)=1,L6&lt;&gt;""),L6,I6)</f>
        <v>0.72310405643739</v>
      </c>
      <c r="N6" s="13" t="n">
        <v>113</v>
      </c>
      <c r="O6" s="4" t="s">
        <v>206</v>
      </c>
      <c r="P6" s="8" t="n">
        <v>2</v>
      </c>
      <c r="Q6" s="41"/>
      <c r="R6" s="13"/>
      <c r="S6" s="42" t="n">
        <v>0</v>
      </c>
      <c r="T6" s="42" t="n">
        <v>0</v>
      </c>
      <c r="U6" s="42" t="n">
        <v>1</v>
      </c>
      <c r="V6" s="42" t="n">
        <v>0</v>
      </c>
      <c r="W6" s="42" t="n">
        <v>0</v>
      </c>
      <c r="X6" s="42" t="n">
        <v>0</v>
      </c>
      <c r="Y6" s="42" t="n">
        <v>0</v>
      </c>
      <c r="Z6" s="43" t="n">
        <f aca="false">SUMPRODUCT(S6:Y6,INDEX(Diets!$I$5:$O$12,MATCH(Planner!$C$36,Diets!$A$5:$A$12,0),0))+ISNUMBER(SEARCH(","&amp;A6&amp;",",","&amp;SUBSTITUTE(INDEX(Diets!$P$5:$P$12,MATCH(Planner!$C$36,Diets!$A$5:$A$12,0))," ","")&amp;","))*1</f>
        <v>0</v>
      </c>
      <c r="AA6" s="44" t="n">
        <f aca="false">IF(OR(UPPER(Q6)="Y",Z6&gt;0),0,1)</f>
        <v>1</v>
      </c>
      <c r="AB6" s="45" t="n">
        <v>0</v>
      </c>
      <c r="AC6" s="45" t="n">
        <v>0.5</v>
      </c>
      <c r="AD6" s="45" t="n">
        <v>0.5</v>
      </c>
      <c r="AE6" s="45" t="n">
        <v>0</v>
      </c>
      <c r="AF6" s="8"/>
      <c r="AG6" s="4" t="s">
        <v>207</v>
      </c>
      <c r="AH6" s="32" t="n">
        <v>120</v>
      </c>
      <c r="AI6" s="32" t="n">
        <v>22.5</v>
      </c>
      <c r="AJ6" s="32" t="n">
        <v>0</v>
      </c>
      <c r="AK6" s="32" t="n">
        <v>2.62</v>
      </c>
      <c r="AL6" s="32" t="n">
        <v>0</v>
      </c>
      <c r="AM6" s="32" t="n">
        <v>0</v>
      </c>
      <c r="AN6" s="32" t="n">
        <v>5</v>
      </c>
      <c r="AO6" s="32" t="n">
        <v>0.37</v>
      </c>
      <c r="AP6" s="32" t="n">
        <v>334</v>
      </c>
      <c r="AQ6" s="32" t="n">
        <v>45</v>
      </c>
      <c r="AR6" s="32" t="n">
        <v>0</v>
      </c>
      <c r="AS6" s="24" t="n">
        <f aca="false">AI6/M6</f>
        <v>31.1158536585366</v>
      </c>
      <c r="AT6" s="18" t="n">
        <f aca="false">AH6/M6</f>
        <v>165.951219512195</v>
      </c>
      <c r="AU6" s="4" t="s">
        <v>208</v>
      </c>
      <c r="AV6" s="4" t="s">
        <v>209</v>
      </c>
      <c r="AW6" s="4"/>
    </row>
    <row r="7" customFormat="false" ht="15" hidden="false" customHeight="false" outlineLevel="0" collapsed="false">
      <c r="A7" s="4" t="n">
        <v>2</v>
      </c>
      <c r="B7" s="35" t="s">
        <v>203</v>
      </c>
      <c r="C7" s="36" t="s">
        <v>174</v>
      </c>
      <c r="D7" s="14" t="s">
        <v>210</v>
      </c>
      <c r="E7" s="4" t="s">
        <v>211</v>
      </c>
      <c r="F7" s="37" t="n">
        <v>4.83</v>
      </c>
      <c r="G7" s="21" t="n">
        <v>1814.4</v>
      </c>
      <c r="H7" s="31" t="n">
        <v>0.67</v>
      </c>
      <c r="I7" s="38" t="n">
        <f aca="false">F7/(G7*H7)*100</f>
        <v>0.397318960751797</v>
      </c>
      <c r="J7" s="39" t="n">
        <v>1.739</v>
      </c>
      <c r="K7" s="21" t="n">
        <v>453.6</v>
      </c>
      <c r="L7" s="38" t="n">
        <f aca="false">J7/(K7*H7)*100</f>
        <v>0.572205112006107</v>
      </c>
      <c r="M7" s="40" t="n">
        <f aca="false">IF(AND(IF(Planner!$C$39="BLS U.S. average (Sep 2026)",1,0)=1,L7&lt;&gt;""),L7,I7)</f>
        <v>0.397318960751797</v>
      </c>
      <c r="N7" s="13" t="n">
        <v>100</v>
      </c>
      <c r="O7" s="4" t="s">
        <v>212</v>
      </c>
      <c r="P7" s="8" t="n">
        <v>2</v>
      </c>
      <c r="Q7" s="41"/>
      <c r="R7" s="13"/>
      <c r="S7" s="42" t="n">
        <v>0</v>
      </c>
      <c r="T7" s="42" t="n">
        <v>0</v>
      </c>
      <c r="U7" s="42" t="n">
        <v>1</v>
      </c>
      <c r="V7" s="42" t="n">
        <v>0</v>
      </c>
      <c r="W7" s="42" t="n">
        <v>0</v>
      </c>
      <c r="X7" s="42" t="n">
        <v>0</v>
      </c>
      <c r="Y7" s="42" t="n">
        <v>0</v>
      </c>
      <c r="Z7" s="43" t="n">
        <f aca="false">SUMPRODUCT(S7:Y7,INDEX(Diets!$I$5:$O$12,MATCH(Planner!$C$36,Diets!$A$5:$A$12,0),0))+ISNUMBER(SEARCH(","&amp;A7&amp;",",","&amp;SUBSTITUTE(INDEX(Diets!$P$5:$P$12,MATCH(Planner!$C$36,Diets!$A$5:$A$12,0))," ","")&amp;","))*1</f>
        <v>0</v>
      </c>
      <c r="AA7" s="44" t="n">
        <f aca="false">IF(OR(UPPER(Q7)="Y",Z7&gt;0),0,1)</f>
        <v>1</v>
      </c>
      <c r="AB7" s="45" t="n">
        <v>0</v>
      </c>
      <c r="AC7" s="45" t="n">
        <v>0.5</v>
      </c>
      <c r="AD7" s="45" t="n">
        <v>0.5</v>
      </c>
      <c r="AE7" s="45" t="n">
        <v>0</v>
      </c>
      <c r="AF7" s="8"/>
      <c r="AG7" s="4" t="s">
        <v>207</v>
      </c>
      <c r="AH7" s="32" t="n">
        <v>161</v>
      </c>
      <c r="AI7" s="32" t="n">
        <v>18.08</v>
      </c>
      <c r="AJ7" s="32" t="n">
        <v>0.11</v>
      </c>
      <c r="AK7" s="32" t="n">
        <v>9.2</v>
      </c>
      <c r="AL7" s="32" t="n">
        <v>0</v>
      </c>
      <c r="AM7" s="32" t="n">
        <v>0</v>
      </c>
      <c r="AN7" s="32" t="n">
        <v>8</v>
      </c>
      <c r="AO7" s="32" t="n">
        <v>0.71</v>
      </c>
      <c r="AP7" s="32" t="n">
        <v>211</v>
      </c>
      <c r="AQ7" s="32" t="n">
        <v>106</v>
      </c>
      <c r="AR7" s="32" t="n">
        <v>0</v>
      </c>
      <c r="AS7" s="24" t="n">
        <f aca="false">AI7/M7</f>
        <v>45.5050017391304</v>
      </c>
      <c r="AT7" s="18" t="n">
        <f aca="false">AH7/M7</f>
        <v>405.216</v>
      </c>
      <c r="AU7" s="4" t="s">
        <v>213</v>
      </c>
      <c r="AV7" s="4" t="s">
        <v>214</v>
      </c>
      <c r="AW7" s="4" t="s">
        <v>215</v>
      </c>
    </row>
    <row r="8" customFormat="false" ht="15" hidden="false" customHeight="false" outlineLevel="0" collapsed="false">
      <c r="A8" s="4" t="n">
        <v>3</v>
      </c>
      <c r="B8" s="35" t="s">
        <v>203</v>
      </c>
      <c r="C8" s="36" t="s">
        <v>174</v>
      </c>
      <c r="D8" s="14" t="s">
        <v>216</v>
      </c>
      <c r="E8" s="4" t="s">
        <v>205</v>
      </c>
      <c r="F8" s="37" t="n">
        <v>9.87</v>
      </c>
      <c r="G8" s="21" t="n">
        <v>1360.8</v>
      </c>
      <c r="H8" s="31" t="n">
        <v>1</v>
      </c>
      <c r="I8" s="38" t="n">
        <f aca="false">F8/(G8*H8)*100</f>
        <v>0.725308641975309</v>
      </c>
      <c r="J8" s="4"/>
      <c r="K8" s="4"/>
      <c r="L8" s="4"/>
      <c r="M8" s="40" t="n">
        <f aca="false">IF(AND(IF(Planner!$C$39="BLS U.S. average (Sep 2026)",1,0)=1,L8&lt;&gt;""),L8,I8)</f>
        <v>0.725308641975309</v>
      </c>
      <c r="N8" s="13" t="n">
        <v>113</v>
      </c>
      <c r="O8" s="4" t="s">
        <v>206</v>
      </c>
      <c r="P8" s="8" t="n">
        <v>2</v>
      </c>
      <c r="Q8" s="41"/>
      <c r="R8" s="13"/>
      <c r="S8" s="42" t="n">
        <v>0</v>
      </c>
      <c r="T8" s="42" t="n">
        <v>0</v>
      </c>
      <c r="U8" s="42" t="n">
        <v>1</v>
      </c>
      <c r="V8" s="42" t="n">
        <v>0</v>
      </c>
      <c r="W8" s="42" t="n">
        <v>0</v>
      </c>
      <c r="X8" s="42" t="n">
        <v>0</v>
      </c>
      <c r="Y8" s="42" t="n">
        <v>0</v>
      </c>
      <c r="Z8" s="43" t="n">
        <f aca="false">SUMPRODUCT(S8:Y8,INDEX(Diets!$I$5:$O$12,MATCH(Planner!$C$36,Diets!$A$5:$A$12,0),0))+ISNUMBER(SEARCH(","&amp;A8&amp;",",","&amp;SUBSTITUTE(INDEX(Diets!$P$5:$P$12,MATCH(Planner!$C$36,Diets!$A$5:$A$12,0))," ","")&amp;","))*1</f>
        <v>0</v>
      </c>
      <c r="AA8" s="44" t="n">
        <f aca="false">IF(OR(UPPER(Q8)="Y",Z8&gt;0),0,1)</f>
        <v>1</v>
      </c>
      <c r="AB8" s="45" t="n">
        <v>0</v>
      </c>
      <c r="AC8" s="45" t="n">
        <v>0.5</v>
      </c>
      <c r="AD8" s="45" t="n">
        <v>0.5</v>
      </c>
      <c r="AE8" s="45" t="n">
        <v>0</v>
      </c>
      <c r="AF8" s="8"/>
      <c r="AG8" s="4" t="s">
        <v>207</v>
      </c>
      <c r="AH8" s="32" t="n">
        <v>121</v>
      </c>
      <c r="AI8" s="32" t="n">
        <v>19.66</v>
      </c>
      <c r="AJ8" s="32" t="n">
        <v>0</v>
      </c>
      <c r="AK8" s="32" t="n">
        <v>4.12</v>
      </c>
      <c r="AL8" s="32" t="n">
        <v>0</v>
      </c>
      <c r="AM8" s="32" t="n">
        <v>0</v>
      </c>
      <c r="AN8" s="32" t="n">
        <v>7</v>
      </c>
      <c r="AO8" s="32" t="n">
        <v>0.81</v>
      </c>
      <c r="AP8" s="32" t="n">
        <v>242</v>
      </c>
      <c r="AQ8" s="32" t="n">
        <v>95</v>
      </c>
      <c r="AR8" s="32" t="n">
        <v>0</v>
      </c>
      <c r="AS8" s="24" t="n">
        <f aca="false">AI8/M8</f>
        <v>27.1057021276596</v>
      </c>
      <c r="AT8" s="18" t="n">
        <f aca="false">AH8/M8</f>
        <v>166.825531914894</v>
      </c>
      <c r="AU8" s="4" t="s">
        <v>217</v>
      </c>
      <c r="AV8" s="4" t="s">
        <v>218</v>
      </c>
      <c r="AW8" s="4" t="s">
        <v>219</v>
      </c>
    </row>
    <row r="9" customFormat="false" ht="15" hidden="false" customHeight="false" outlineLevel="0" collapsed="false">
      <c r="A9" s="4" t="n">
        <v>4</v>
      </c>
      <c r="B9" s="35" t="s">
        <v>203</v>
      </c>
      <c r="C9" s="36" t="s">
        <v>174</v>
      </c>
      <c r="D9" s="14" t="s">
        <v>220</v>
      </c>
      <c r="E9" s="4" t="s">
        <v>221</v>
      </c>
      <c r="F9" s="37" t="n">
        <v>5.97</v>
      </c>
      <c r="G9" s="21" t="n">
        <v>453.6</v>
      </c>
      <c r="H9" s="31" t="n">
        <v>1</v>
      </c>
      <c r="I9" s="38" t="n">
        <f aca="false">F9/(G9*H9)*100</f>
        <v>1.31613756613757</v>
      </c>
      <c r="J9" s="4"/>
      <c r="K9" s="4"/>
      <c r="L9" s="4"/>
      <c r="M9" s="40" t="n">
        <f aca="false">IF(AND(IF(Planner!$C$39="BLS U.S. average (Sep 2026)",1,0)=1,L9&lt;&gt;""),L9,I9)</f>
        <v>1.31613756613757</v>
      </c>
      <c r="N9" s="13" t="n">
        <v>56</v>
      </c>
      <c r="O9" s="4" t="s">
        <v>222</v>
      </c>
      <c r="P9" s="8" t="n">
        <v>2</v>
      </c>
      <c r="Q9" s="41"/>
      <c r="R9" s="13"/>
      <c r="S9" s="42" t="n">
        <v>0</v>
      </c>
      <c r="T9" s="42" t="n">
        <v>0</v>
      </c>
      <c r="U9" s="42" t="n">
        <v>1</v>
      </c>
      <c r="V9" s="42" t="n">
        <v>0</v>
      </c>
      <c r="W9" s="42" t="n">
        <v>0</v>
      </c>
      <c r="X9" s="42" t="n">
        <v>0</v>
      </c>
      <c r="Y9" s="42" t="n">
        <v>0</v>
      </c>
      <c r="Z9" s="43" t="n">
        <f aca="false">SUMPRODUCT(S9:Y9,INDEX(Diets!$I$5:$O$12,MATCH(Planner!$C$36,Diets!$A$5:$A$12,0),0))+ISNUMBER(SEARCH(","&amp;A9&amp;",",","&amp;SUBSTITUTE(INDEX(Diets!$P$5:$P$12,MATCH(Planner!$C$36,Diets!$A$5:$A$12,0))," ","")&amp;","))*1</f>
        <v>0</v>
      </c>
      <c r="AA9" s="44" t="n">
        <f aca="false">IF(OR(UPPER(Q9)="Y",Z9&gt;0),0,1)</f>
        <v>1</v>
      </c>
      <c r="AB9" s="45" t="n">
        <v>0</v>
      </c>
      <c r="AC9" s="45" t="n">
        <v>1</v>
      </c>
      <c r="AD9" s="45" t="n">
        <v>0</v>
      </c>
      <c r="AE9" s="45" t="n">
        <v>0</v>
      </c>
      <c r="AF9" s="8"/>
      <c r="AG9" s="4" t="s">
        <v>207</v>
      </c>
      <c r="AH9" s="32" t="n">
        <v>100</v>
      </c>
      <c r="AI9" s="32" t="n">
        <v>16.33</v>
      </c>
      <c r="AJ9" s="32" t="n">
        <v>2.34</v>
      </c>
      <c r="AK9" s="32" t="n">
        <v>2.37</v>
      </c>
      <c r="AL9" s="32" t="n">
        <v>0</v>
      </c>
      <c r="AM9" s="32" t="n">
        <v>3.28</v>
      </c>
      <c r="AN9" s="32" t="n">
        <v>7</v>
      </c>
      <c r="AO9" s="32" t="n">
        <v>0.34</v>
      </c>
      <c r="AP9" s="32" t="n">
        <v>401</v>
      </c>
      <c r="AQ9" s="32" t="n">
        <v>922</v>
      </c>
      <c r="AR9" s="32" t="n">
        <v>0</v>
      </c>
      <c r="AS9" s="24" t="n">
        <f aca="false">AI9/M9</f>
        <v>12.4075175879397</v>
      </c>
      <c r="AT9" s="18" t="n">
        <f aca="false">AH9/M9</f>
        <v>75.9798994974874</v>
      </c>
      <c r="AU9" s="4" t="s">
        <v>223</v>
      </c>
      <c r="AV9" s="4" t="s">
        <v>224</v>
      </c>
      <c r="AW9" s="4"/>
    </row>
    <row r="10" customFormat="false" ht="15" hidden="false" customHeight="false" outlineLevel="0" collapsed="false">
      <c r="A10" s="4" t="n">
        <v>5</v>
      </c>
      <c r="B10" s="35" t="s">
        <v>203</v>
      </c>
      <c r="C10" s="36" t="s">
        <v>174</v>
      </c>
      <c r="D10" s="14" t="s">
        <v>225</v>
      </c>
      <c r="E10" s="4" t="s">
        <v>226</v>
      </c>
      <c r="F10" s="37" t="n">
        <v>5.56</v>
      </c>
      <c r="G10" s="21" t="n">
        <v>453.6</v>
      </c>
      <c r="H10" s="31" t="n">
        <v>1</v>
      </c>
      <c r="I10" s="38" t="n">
        <f aca="false">F10/(G10*H10)*100</f>
        <v>1.22574955908289</v>
      </c>
      <c r="J10" s="4"/>
      <c r="K10" s="4"/>
      <c r="L10" s="4"/>
      <c r="M10" s="40" t="n">
        <f aca="false">IF(AND(IF(Planner!$C$39="BLS U.S. average (Sep 2026)",1,0)=1,L10&lt;&gt;""),L10,I10)</f>
        <v>1.22574955908289</v>
      </c>
      <c r="N10" s="13" t="n">
        <v>113</v>
      </c>
      <c r="O10" s="4" t="s">
        <v>206</v>
      </c>
      <c r="P10" s="8" t="n">
        <v>2</v>
      </c>
      <c r="Q10" s="41"/>
      <c r="R10" s="13"/>
      <c r="S10" s="42" t="n">
        <v>0</v>
      </c>
      <c r="T10" s="42" t="n">
        <v>0</v>
      </c>
      <c r="U10" s="42" t="n">
        <v>1</v>
      </c>
      <c r="V10" s="42" t="n">
        <v>0</v>
      </c>
      <c r="W10" s="42" t="n">
        <v>0</v>
      </c>
      <c r="X10" s="42" t="n">
        <v>0</v>
      </c>
      <c r="Y10" s="42" t="n">
        <v>0</v>
      </c>
      <c r="Z10" s="43" t="n">
        <f aca="false">SUMPRODUCT(S10:Y10,INDEX(Diets!$I$5:$O$12,MATCH(Planner!$C$36,Diets!$A$5:$A$12,0),0))+ISNUMBER(SEARCH(","&amp;A10&amp;",",","&amp;SUBSTITUTE(INDEX(Diets!$P$5:$P$12,MATCH(Planner!$C$36,Diets!$A$5:$A$12,0))," ","")&amp;","))*1</f>
        <v>0</v>
      </c>
      <c r="AA10" s="44" t="n">
        <f aca="false">IF(OR(UPPER(Q10)="Y",Z10&gt;0),0,1)</f>
        <v>1</v>
      </c>
      <c r="AB10" s="45" t="n">
        <v>0</v>
      </c>
      <c r="AC10" s="45" t="n">
        <v>0.5</v>
      </c>
      <c r="AD10" s="45" t="n">
        <v>0.5</v>
      </c>
      <c r="AE10" s="45" t="n">
        <v>0</v>
      </c>
      <c r="AF10" s="8"/>
      <c r="AG10" s="4" t="s">
        <v>207</v>
      </c>
      <c r="AH10" s="32" t="n">
        <v>150</v>
      </c>
      <c r="AI10" s="32" t="n">
        <v>18.73</v>
      </c>
      <c r="AJ10" s="32" t="n">
        <v>0</v>
      </c>
      <c r="AK10" s="32" t="n">
        <v>8.34</v>
      </c>
      <c r="AL10" s="32" t="n">
        <v>0</v>
      </c>
      <c r="AM10" s="32" t="n">
        <v>0</v>
      </c>
      <c r="AN10" s="32" t="n">
        <v>21</v>
      </c>
      <c r="AO10" s="32" t="n">
        <v>1.17</v>
      </c>
      <c r="AP10" s="32" t="n">
        <v>213</v>
      </c>
      <c r="AQ10" s="32" t="n">
        <v>69</v>
      </c>
      <c r="AR10" s="32" t="n">
        <v>0</v>
      </c>
      <c r="AS10" s="24" t="n">
        <f aca="false">AI10/M10</f>
        <v>15.2804460431655</v>
      </c>
      <c r="AT10" s="18" t="n">
        <f aca="false">AH10/M10</f>
        <v>122.374100719424</v>
      </c>
      <c r="AU10" s="4" t="s">
        <v>227</v>
      </c>
      <c r="AV10" s="4" t="s">
        <v>228</v>
      </c>
      <c r="AW10" s="4"/>
    </row>
    <row r="11" customFormat="false" ht="15" hidden="false" customHeight="false" outlineLevel="0" collapsed="false">
      <c r="A11" s="4" t="n">
        <v>6</v>
      </c>
      <c r="B11" s="35" t="s">
        <v>203</v>
      </c>
      <c r="C11" s="36" t="s">
        <v>229</v>
      </c>
      <c r="D11" s="14" t="s">
        <v>230</v>
      </c>
      <c r="E11" s="4" t="s">
        <v>231</v>
      </c>
      <c r="F11" s="37" t="n">
        <v>4.24</v>
      </c>
      <c r="G11" s="21" t="n">
        <v>453.6</v>
      </c>
      <c r="H11" s="31" t="n">
        <v>1</v>
      </c>
      <c r="I11" s="38" t="n">
        <f aca="false">F11/(G11*H11)*100</f>
        <v>0.934744268077602</v>
      </c>
      <c r="J11" s="39" t="n">
        <v>6.756</v>
      </c>
      <c r="K11" s="21" t="n">
        <v>453.6</v>
      </c>
      <c r="L11" s="38" t="n">
        <f aca="false">J11/(K11*H11)*100</f>
        <v>1.48941798941799</v>
      </c>
      <c r="M11" s="40" t="n">
        <f aca="false">IF(AND(IF(Planner!$C$39="BLS U.S. average (Sep 2026)",1,0)=1,L11&lt;&gt;""),L11,I11)</f>
        <v>0.934744268077602</v>
      </c>
      <c r="N11" s="13" t="n">
        <v>28</v>
      </c>
      <c r="O11" s="4" t="s">
        <v>232</v>
      </c>
      <c r="P11" s="8" t="n">
        <v>3</v>
      </c>
      <c r="Q11" s="41"/>
      <c r="R11" s="13"/>
      <c r="S11" s="42" t="n">
        <v>1</v>
      </c>
      <c r="T11" s="42" t="n">
        <v>1</v>
      </c>
      <c r="U11" s="42" t="n">
        <v>0</v>
      </c>
      <c r="V11" s="42" t="n">
        <v>0</v>
      </c>
      <c r="W11" s="42" t="n">
        <v>0</v>
      </c>
      <c r="X11" s="42" t="n">
        <v>0</v>
      </c>
      <c r="Y11" s="42" t="n">
        <v>0</v>
      </c>
      <c r="Z11" s="43" t="n">
        <f aca="false">SUMPRODUCT(S11:Y11,INDEX(Diets!$I$5:$O$12,MATCH(Planner!$C$36,Diets!$A$5:$A$12,0),0))+ISNUMBER(SEARCH(","&amp;A11&amp;",",","&amp;SUBSTITUTE(INDEX(Diets!$P$5:$P$12,MATCH(Planner!$C$36,Diets!$A$5:$A$12,0))," ","")&amp;","))*1</f>
        <v>0</v>
      </c>
      <c r="AA11" s="44" t="n">
        <f aca="false">IF(OR(UPPER(Q11)="Y",Z11&gt;0),0,1)</f>
        <v>1</v>
      </c>
      <c r="AB11" s="45" t="n">
        <v>1</v>
      </c>
      <c r="AC11" s="45" t="n">
        <v>0</v>
      </c>
      <c r="AD11" s="45" t="n">
        <v>0</v>
      </c>
      <c r="AE11" s="45" t="n">
        <v>0</v>
      </c>
      <c r="AF11" s="8"/>
      <c r="AG11" s="4" t="s">
        <v>207</v>
      </c>
      <c r="AH11" s="32" t="n">
        <v>417</v>
      </c>
      <c r="AI11" s="32" t="n">
        <v>12.62</v>
      </c>
      <c r="AJ11" s="32" t="n">
        <v>1.28</v>
      </c>
      <c r="AK11" s="32" t="n">
        <v>39.69</v>
      </c>
      <c r="AL11" s="32" t="n">
        <v>0</v>
      </c>
      <c r="AM11" s="32" t="n">
        <v>1</v>
      </c>
      <c r="AN11" s="32" t="n">
        <v>5</v>
      </c>
      <c r="AO11" s="32" t="n">
        <v>0.41</v>
      </c>
      <c r="AP11" s="32" t="n">
        <v>198</v>
      </c>
      <c r="AQ11" s="32" t="n">
        <v>662</v>
      </c>
      <c r="AR11" s="32" t="n">
        <v>0</v>
      </c>
      <c r="AS11" s="24" t="n">
        <f aca="false">AI11/M11</f>
        <v>13.5010188679245</v>
      </c>
      <c r="AT11" s="18" t="n">
        <f aca="false">AH11/M11</f>
        <v>446.111320754717</v>
      </c>
      <c r="AU11" s="4" t="s">
        <v>233</v>
      </c>
      <c r="AV11" s="4" t="s">
        <v>234</v>
      </c>
      <c r="AW11" s="4"/>
    </row>
    <row r="12" customFormat="false" ht="15" hidden="false" customHeight="false" outlineLevel="0" collapsed="false">
      <c r="A12" s="4" t="n">
        <v>7</v>
      </c>
      <c r="B12" s="35" t="s">
        <v>203</v>
      </c>
      <c r="C12" s="36" t="s">
        <v>229</v>
      </c>
      <c r="D12" s="14" t="s">
        <v>235</v>
      </c>
      <c r="E12" s="4" t="s">
        <v>236</v>
      </c>
      <c r="F12" s="37" t="n">
        <v>6.43</v>
      </c>
      <c r="G12" s="21" t="n">
        <v>453.6</v>
      </c>
      <c r="H12" s="31" t="n">
        <v>1</v>
      </c>
      <c r="I12" s="38" t="n">
        <f aca="false">F12/(G12*H12)*100</f>
        <v>1.41754850088183</v>
      </c>
      <c r="J12" s="39" t="n">
        <v>6.792</v>
      </c>
      <c r="K12" s="21" t="n">
        <v>453.6</v>
      </c>
      <c r="L12" s="38" t="n">
        <f aca="false">J12/(K12*H12)*100</f>
        <v>1.4973544973545</v>
      </c>
      <c r="M12" s="40" t="n">
        <f aca="false">IF(AND(IF(Planner!$C$39="BLS U.S. average (Sep 2026)",1,0)=1,L12&lt;&gt;""),L12,I12)</f>
        <v>1.41754850088183</v>
      </c>
      <c r="N12" s="13" t="n">
        <v>113</v>
      </c>
      <c r="O12" s="4" t="s">
        <v>206</v>
      </c>
      <c r="P12" s="8" t="n">
        <v>2</v>
      </c>
      <c r="Q12" s="41"/>
      <c r="R12" s="13"/>
      <c r="S12" s="42" t="n">
        <v>1</v>
      </c>
      <c r="T12" s="42" t="n">
        <v>0</v>
      </c>
      <c r="U12" s="42" t="n">
        <v>0</v>
      </c>
      <c r="V12" s="42" t="n">
        <v>0</v>
      </c>
      <c r="W12" s="42" t="n">
        <v>0</v>
      </c>
      <c r="X12" s="42" t="n">
        <v>0</v>
      </c>
      <c r="Y12" s="42" t="n">
        <v>0</v>
      </c>
      <c r="Z12" s="43" t="n">
        <f aca="false">SUMPRODUCT(S12:Y12,INDEX(Diets!$I$5:$O$12,MATCH(Planner!$C$36,Diets!$A$5:$A$12,0),0))+ISNUMBER(SEARCH(","&amp;A12&amp;",",","&amp;SUBSTITUTE(INDEX(Diets!$P$5:$P$12,MATCH(Planner!$C$36,Diets!$A$5:$A$12,0))," ","")&amp;","))*1</f>
        <v>0</v>
      </c>
      <c r="AA12" s="44" t="n">
        <f aca="false">IF(OR(UPPER(Q12)="Y",Z12&gt;0),0,1)</f>
        <v>1</v>
      </c>
      <c r="AB12" s="45" t="n">
        <v>0</v>
      </c>
      <c r="AC12" s="45" t="n">
        <v>0.5</v>
      </c>
      <c r="AD12" s="45" t="n">
        <v>0.5</v>
      </c>
      <c r="AE12" s="45" t="n">
        <v>0</v>
      </c>
      <c r="AF12" s="8"/>
      <c r="AG12" s="4" t="s">
        <v>207</v>
      </c>
      <c r="AH12" s="32" t="n">
        <v>254</v>
      </c>
      <c r="AI12" s="32" t="n">
        <v>17.17</v>
      </c>
      <c r="AJ12" s="32" t="n">
        <v>0</v>
      </c>
      <c r="AK12" s="32" t="n">
        <v>20</v>
      </c>
      <c r="AL12" s="32" t="n">
        <v>0</v>
      </c>
      <c r="AM12" s="32" t="n">
        <v>0</v>
      </c>
      <c r="AN12" s="32" t="n">
        <v>18</v>
      </c>
      <c r="AO12" s="32" t="n">
        <v>1.94</v>
      </c>
      <c r="AP12" s="32" t="n">
        <v>270</v>
      </c>
      <c r="AQ12" s="32" t="n">
        <v>66</v>
      </c>
      <c r="AR12" s="32" t="n">
        <v>0</v>
      </c>
      <c r="AS12" s="24" t="n">
        <f aca="false">AI12/M12</f>
        <v>12.1124603421462</v>
      </c>
      <c r="AT12" s="18" t="n">
        <f aca="false">AH12/M12</f>
        <v>179.182581648523</v>
      </c>
      <c r="AU12" s="4" t="s">
        <v>237</v>
      </c>
      <c r="AV12" s="4" t="s">
        <v>238</v>
      </c>
      <c r="AW12" s="4"/>
    </row>
    <row r="13" customFormat="false" ht="15" hidden="false" customHeight="false" outlineLevel="0" collapsed="false">
      <c r="A13" s="4" t="n">
        <v>8</v>
      </c>
      <c r="B13" s="35" t="s">
        <v>203</v>
      </c>
      <c r="C13" s="36" t="s">
        <v>229</v>
      </c>
      <c r="D13" s="14" t="s">
        <v>239</v>
      </c>
      <c r="E13" s="4" t="s">
        <v>240</v>
      </c>
      <c r="F13" s="37" t="n">
        <v>7.87</v>
      </c>
      <c r="G13" s="21" t="n">
        <v>453.6</v>
      </c>
      <c r="H13" s="31" t="n">
        <v>1</v>
      </c>
      <c r="I13" s="38" t="n">
        <f aca="false">F13/(G13*H13)*100</f>
        <v>1.73500881834215</v>
      </c>
      <c r="J13" s="39" t="n">
        <v>8.461</v>
      </c>
      <c r="K13" s="21" t="n">
        <v>453.6</v>
      </c>
      <c r="L13" s="38" t="n">
        <f aca="false">J13/(K13*H13)*100</f>
        <v>1.86529982363316</v>
      </c>
      <c r="M13" s="40" t="n">
        <f aca="false">IF(AND(IF(Planner!$C$39="BLS U.S. average (Sep 2026)",1,0)=1,L13&lt;&gt;""),L13,I13)</f>
        <v>1.73500881834215</v>
      </c>
      <c r="N13" s="13" t="n">
        <v>113</v>
      </c>
      <c r="O13" s="4" t="s">
        <v>206</v>
      </c>
      <c r="P13" s="8" t="n">
        <v>2</v>
      </c>
      <c r="Q13" s="41"/>
      <c r="R13" s="13"/>
      <c r="S13" s="42" t="n">
        <v>1</v>
      </c>
      <c r="T13" s="42" t="n">
        <v>0</v>
      </c>
      <c r="U13" s="42" t="n">
        <v>0</v>
      </c>
      <c r="V13" s="42" t="n">
        <v>0</v>
      </c>
      <c r="W13" s="42" t="n">
        <v>0</v>
      </c>
      <c r="X13" s="42" t="n">
        <v>0</v>
      </c>
      <c r="Y13" s="42" t="n">
        <v>0</v>
      </c>
      <c r="Z13" s="43" t="n">
        <f aca="false">SUMPRODUCT(S13:Y13,INDEX(Diets!$I$5:$O$12,MATCH(Planner!$C$36,Diets!$A$5:$A$12,0),0))+ISNUMBER(SEARCH(","&amp;A13&amp;",",","&amp;SUBSTITUTE(INDEX(Diets!$P$5:$P$12,MATCH(Planner!$C$36,Diets!$A$5:$A$12,0))," ","")&amp;","))*1</f>
        <v>0</v>
      </c>
      <c r="AA13" s="44" t="n">
        <f aca="false">IF(OR(UPPER(Q13)="Y",Z13&gt;0),0,1)</f>
        <v>1</v>
      </c>
      <c r="AB13" s="45" t="n">
        <v>0</v>
      </c>
      <c r="AC13" s="45" t="n">
        <v>0.5</v>
      </c>
      <c r="AD13" s="45" t="n">
        <v>0.5</v>
      </c>
      <c r="AE13" s="45" t="n">
        <v>0</v>
      </c>
      <c r="AF13" s="8"/>
      <c r="AG13" s="4" t="s">
        <v>207</v>
      </c>
      <c r="AH13" s="32" t="n">
        <v>152</v>
      </c>
      <c r="AI13" s="32" t="n">
        <v>20.85</v>
      </c>
      <c r="AJ13" s="32" t="n">
        <v>0</v>
      </c>
      <c r="AK13" s="32" t="n">
        <v>7</v>
      </c>
      <c r="AL13" s="32" t="n">
        <v>0</v>
      </c>
      <c r="AM13" s="32" t="n">
        <v>0</v>
      </c>
      <c r="AN13" s="32" t="n">
        <v>10</v>
      </c>
      <c r="AO13" s="32" t="n">
        <v>2.33</v>
      </c>
      <c r="AP13" s="32" t="n">
        <v>336</v>
      </c>
      <c r="AQ13" s="32" t="n">
        <v>66</v>
      </c>
      <c r="AR13" s="32" t="n">
        <v>0</v>
      </c>
      <c r="AS13" s="24" t="n">
        <f aca="false">AI13/M13</f>
        <v>12.0172299872935</v>
      </c>
      <c r="AT13" s="18" t="n">
        <f aca="false">AH13/M13</f>
        <v>87.607623888183</v>
      </c>
      <c r="AU13" s="4" t="s">
        <v>241</v>
      </c>
      <c r="AV13" s="4" t="s">
        <v>242</v>
      </c>
      <c r="AW13" s="4"/>
    </row>
    <row r="14" customFormat="false" ht="15" hidden="false" customHeight="false" outlineLevel="0" collapsed="false">
      <c r="A14" s="4" t="n">
        <v>9</v>
      </c>
      <c r="B14" s="35" t="s">
        <v>203</v>
      </c>
      <c r="C14" s="36" t="s">
        <v>229</v>
      </c>
      <c r="D14" s="14" t="s">
        <v>243</v>
      </c>
      <c r="E14" s="4" t="s">
        <v>244</v>
      </c>
      <c r="F14" s="37" t="n">
        <v>4.97</v>
      </c>
      <c r="G14" s="21" t="n">
        <v>453.6</v>
      </c>
      <c r="H14" s="31" t="n">
        <v>1</v>
      </c>
      <c r="I14" s="38" t="n">
        <f aca="false">F14/(G14*H14)*100</f>
        <v>1.09567901234568</v>
      </c>
      <c r="J14" s="39" t="n">
        <v>5.45</v>
      </c>
      <c r="K14" s="21" t="n">
        <v>453.6</v>
      </c>
      <c r="L14" s="38" t="n">
        <f aca="false">J14/(K14*H14)*100</f>
        <v>1.20149911816578</v>
      </c>
      <c r="M14" s="40" t="n">
        <f aca="false">IF(AND(IF(Planner!$C$39="BLS U.S. average (Sep 2026)",1,0)=1,L14&lt;&gt;""),L14,I14)</f>
        <v>1.09567901234568</v>
      </c>
      <c r="N14" s="13" t="n">
        <v>56</v>
      </c>
      <c r="O14" s="4" t="s">
        <v>245</v>
      </c>
      <c r="P14" s="8" t="n">
        <v>2</v>
      </c>
      <c r="Q14" s="41"/>
      <c r="R14" s="13"/>
      <c r="S14" s="42" t="n">
        <v>1</v>
      </c>
      <c r="T14" s="42" t="n">
        <v>1</v>
      </c>
      <c r="U14" s="42" t="n">
        <v>0</v>
      </c>
      <c r="V14" s="42" t="n">
        <v>0</v>
      </c>
      <c r="W14" s="42" t="n">
        <v>0</v>
      </c>
      <c r="X14" s="42" t="n">
        <v>0</v>
      </c>
      <c r="Y14" s="42" t="n">
        <v>0</v>
      </c>
      <c r="Z14" s="43" t="n">
        <f aca="false">SUMPRODUCT(S14:Y14,INDEX(Diets!$I$5:$O$12,MATCH(Planner!$C$36,Diets!$A$5:$A$12,0),0))+ISNUMBER(SEARCH(","&amp;A14&amp;",",","&amp;SUBSTITUTE(INDEX(Diets!$P$5:$P$12,MATCH(Planner!$C$36,Diets!$A$5:$A$12,0))," ","")&amp;","))*1</f>
        <v>0</v>
      </c>
      <c r="AA14" s="44" t="n">
        <f aca="false">IF(OR(UPPER(Q14)="Y",Z14&gt;0),0,1)</f>
        <v>1</v>
      </c>
      <c r="AB14" s="45" t="n">
        <v>0</v>
      </c>
      <c r="AC14" s="45" t="n">
        <v>1</v>
      </c>
      <c r="AD14" s="45" t="n">
        <v>0</v>
      </c>
      <c r="AE14" s="45" t="n">
        <v>0</v>
      </c>
      <c r="AF14" s="8"/>
      <c r="AG14" s="4" t="s">
        <v>207</v>
      </c>
      <c r="AH14" s="32" t="n">
        <v>163</v>
      </c>
      <c r="AI14" s="32" t="n">
        <v>16.6</v>
      </c>
      <c r="AJ14" s="32" t="n">
        <v>3.83</v>
      </c>
      <c r="AK14" s="32" t="n">
        <v>8.6</v>
      </c>
      <c r="AL14" s="32" t="n">
        <v>1.3</v>
      </c>
      <c r="AM14" s="32" t="n">
        <v>0</v>
      </c>
      <c r="AN14" s="32" t="n">
        <v>24</v>
      </c>
      <c r="AO14" s="32" t="n">
        <v>1.02</v>
      </c>
      <c r="AP14" s="32" t="n">
        <v>287</v>
      </c>
      <c r="AQ14" s="32" t="n">
        <v>1143</v>
      </c>
      <c r="AR14" s="32" t="n">
        <v>4</v>
      </c>
      <c r="AS14" s="24" t="n">
        <f aca="false">AI14/M14</f>
        <v>15.1504225352113</v>
      </c>
      <c r="AT14" s="18" t="n">
        <f aca="false">AH14/M14</f>
        <v>148.766197183099</v>
      </c>
      <c r="AU14" s="4" t="s">
        <v>246</v>
      </c>
      <c r="AV14" s="4" t="s">
        <v>247</v>
      </c>
      <c r="AW14" s="4" t="s">
        <v>248</v>
      </c>
    </row>
    <row r="15" customFormat="false" ht="15" hidden="false" customHeight="false" outlineLevel="0" collapsed="false">
      <c r="A15" s="4" t="n">
        <v>10</v>
      </c>
      <c r="B15" s="35" t="s">
        <v>203</v>
      </c>
      <c r="C15" s="36" t="s">
        <v>229</v>
      </c>
      <c r="D15" s="14" t="s">
        <v>249</v>
      </c>
      <c r="E15" s="4" t="s">
        <v>250</v>
      </c>
      <c r="F15" s="37" t="n">
        <v>4.17</v>
      </c>
      <c r="G15" s="21" t="n">
        <v>453.6</v>
      </c>
      <c r="H15" s="31" t="n">
        <v>1</v>
      </c>
      <c r="I15" s="38" t="n">
        <f aca="false">F15/(G15*H15)*100</f>
        <v>0.919312169312169</v>
      </c>
      <c r="J15" s="39" t="n">
        <v>4.55</v>
      </c>
      <c r="K15" s="21" t="n">
        <v>453.6</v>
      </c>
      <c r="L15" s="38" t="n">
        <f aca="false">J15/(K15*H15)*100</f>
        <v>1.00308641975309</v>
      </c>
      <c r="M15" s="40" t="n">
        <f aca="false">IF(AND(IF(Planner!$C$39="BLS U.S. average (Sep 2026)",1,0)=1,L15&lt;&gt;""),L15,I15)</f>
        <v>0.919312169312169</v>
      </c>
      <c r="N15" s="13" t="n">
        <v>113</v>
      </c>
      <c r="O15" s="4" t="s">
        <v>206</v>
      </c>
      <c r="P15" s="8" t="n">
        <v>2</v>
      </c>
      <c r="Q15" s="41"/>
      <c r="R15" s="13"/>
      <c r="S15" s="42" t="n">
        <v>1</v>
      </c>
      <c r="T15" s="42" t="n">
        <v>1</v>
      </c>
      <c r="U15" s="42" t="n">
        <v>0</v>
      </c>
      <c r="V15" s="42" t="n">
        <v>0</v>
      </c>
      <c r="W15" s="42" t="n">
        <v>0</v>
      </c>
      <c r="X15" s="42" t="n">
        <v>0</v>
      </c>
      <c r="Y15" s="42" t="n">
        <v>0</v>
      </c>
      <c r="Z15" s="43" t="n">
        <f aca="false">SUMPRODUCT(S15:Y15,INDEX(Diets!$I$5:$O$12,MATCH(Planner!$C$36,Diets!$A$5:$A$12,0),0))+ISNUMBER(SEARCH(","&amp;A15&amp;",",","&amp;SUBSTITUTE(INDEX(Diets!$P$5:$P$12,MATCH(Planner!$C$36,Diets!$A$5:$A$12,0))," ","")&amp;","))*1</f>
        <v>0</v>
      </c>
      <c r="AA15" s="44" t="n">
        <f aca="false">IF(OR(UPPER(Q15)="Y",Z15&gt;0),0,1)</f>
        <v>1</v>
      </c>
      <c r="AB15" s="45" t="n">
        <v>0</v>
      </c>
      <c r="AC15" s="45" t="n">
        <v>0.5</v>
      </c>
      <c r="AD15" s="45" t="n">
        <v>0.5</v>
      </c>
      <c r="AE15" s="45" t="n">
        <v>0</v>
      </c>
      <c r="AF15" s="8"/>
      <c r="AG15" s="4" t="s">
        <v>207</v>
      </c>
      <c r="AH15" s="32" t="n">
        <v>201</v>
      </c>
      <c r="AI15" s="32" t="n">
        <v>21.14</v>
      </c>
      <c r="AJ15" s="32" t="n">
        <v>0</v>
      </c>
      <c r="AK15" s="32" t="n">
        <v>12.96</v>
      </c>
      <c r="AL15" s="32" t="n">
        <v>0</v>
      </c>
      <c r="AM15" s="32" t="n">
        <v>0</v>
      </c>
      <c r="AN15" s="32" t="n">
        <v>9</v>
      </c>
      <c r="AO15" s="32" t="n">
        <v>0.48</v>
      </c>
      <c r="AP15" s="32" t="n">
        <v>345</v>
      </c>
      <c r="AQ15" s="32" t="n">
        <v>82</v>
      </c>
      <c r="AR15" s="32" t="n">
        <v>0</v>
      </c>
      <c r="AS15" s="24" t="n">
        <f aca="false">AI15/M15</f>
        <v>22.9954532374101</v>
      </c>
      <c r="AT15" s="18" t="n">
        <f aca="false">AH15/M15</f>
        <v>218.641726618705</v>
      </c>
      <c r="AU15" s="4" t="s">
        <v>251</v>
      </c>
      <c r="AV15" s="4" t="s">
        <v>252</v>
      </c>
      <c r="AW15" s="4"/>
    </row>
    <row r="16" customFormat="false" ht="15" hidden="false" customHeight="false" outlineLevel="0" collapsed="false">
      <c r="A16" s="4" t="n">
        <v>11</v>
      </c>
      <c r="B16" s="35" t="s">
        <v>203</v>
      </c>
      <c r="C16" s="36" t="s">
        <v>229</v>
      </c>
      <c r="D16" s="14" t="s">
        <v>253</v>
      </c>
      <c r="E16" s="4" t="s">
        <v>254</v>
      </c>
      <c r="F16" s="37" t="n">
        <v>12.94</v>
      </c>
      <c r="G16" s="21" t="n">
        <v>453.6</v>
      </c>
      <c r="H16" s="31" t="n">
        <v>0.97</v>
      </c>
      <c r="I16" s="38" t="n">
        <f aca="false">F16/(G16*H16)*100</f>
        <v>2.94096256295569</v>
      </c>
      <c r="J16" s="39" t="n">
        <v>14.106</v>
      </c>
      <c r="K16" s="21" t="n">
        <v>453.6</v>
      </c>
      <c r="L16" s="38" t="n">
        <f aca="false">J16/(K16*H16)*100</f>
        <v>3.20596738122511</v>
      </c>
      <c r="M16" s="40" t="n">
        <f aca="false">IF(AND(IF(Planner!$C$39="BLS U.S. average (Sep 2026)",1,0)=1,L16&lt;&gt;""),L16,I16)</f>
        <v>2.94096256295569</v>
      </c>
      <c r="N16" s="13" t="n">
        <v>113</v>
      </c>
      <c r="O16" s="4" t="s">
        <v>206</v>
      </c>
      <c r="P16" s="8" t="n">
        <v>2</v>
      </c>
      <c r="Q16" s="41"/>
      <c r="R16" s="13"/>
      <c r="S16" s="42" t="n">
        <v>1</v>
      </c>
      <c r="T16" s="42" t="n">
        <v>0</v>
      </c>
      <c r="U16" s="42" t="n">
        <v>0</v>
      </c>
      <c r="V16" s="42" t="n">
        <v>0</v>
      </c>
      <c r="W16" s="42" t="n">
        <v>0</v>
      </c>
      <c r="X16" s="42" t="n">
        <v>0</v>
      </c>
      <c r="Y16" s="42" t="n">
        <v>0</v>
      </c>
      <c r="Z16" s="43" t="n">
        <f aca="false">SUMPRODUCT(S16:Y16,INDEX(Diets!$I$5:$O$12,MATCH(Planner!$C$36,Diets!$A$5:$A$12,0),0))+ISNUMBER(SEARCH(","&amp;A16&amp;",",","&amp;SUBSTITUTE(INDEX(Diets!$P$5:$P$12,MATCH(Planner!$C$36,Diets!$A$5:$A$12,0))," ","")&amp;","))*1</f>
        <v>0</v>
      </c>
      <c r="AA16" s="44" t="n">
        <f aca="false">IF(OR(UPPER(Q16)="Y",Z16&gt;0),0,1)</f>
        <v>1</v>
      </c>
      <c r="AB16" s="45" t="n">
        <v>0</v>
      </c>
      <c r="AC16" s="45" t="n">
        <v>0</v>
      </c>
      <c r="AD16" s="45" t="n">
        <v>1</v>
      </c>
      <c r="AE16" s="45" t="n">
        <v>0</v>
      </c>
      <c r="AF16" s="8"/>
      <c r="AG16" s="4" t="s">
        <v>207</v>
      </c>
      <c r="AH16" s="32" t="n">
        <v>214</v>
      </c>
      <c r="AI16" s="32" t="n">
        <v>19.92</v>
      </c>
      <c r="AJ16" s="32" t="n">
        <v>0</v>
      </c>
      <c r="AK16" s="32" t="n">
        <v>14.28</v>
      </c>
      <c r="AL16" s="32" t="n">
        <v>0</v>
      </c>
      <c r="AM16" s="32" t="n">
        <v>0</v>
      </c>
      <c r="AN16" s="32" t="n">
        <v>25</v>
      </c>
      <c r="AO16" s="32" t="n">
        <v>1.46</v>
      </c>
      <c r="AP16" s="32" t="n">
        <v>309</v>
      </c>
      <c r="AQ16" s="32" t="n">
        <v>51</v>
      </c>
      <c r="AR16" s="32" t="n">
        <v>0</v>
      </c>
      <c r="AS16" s="24" t="n">
        <f aca="false">AI16/M16</f>
        <v>6.77329261205564</v>
      </c>
      <c r="AT16" s="18" t="n">
        <f aca="false">AH16/M16</f>
        <v>72.7652921174652</v>
      </c>
      <c r="AU16" s="4" t="s">
        <v>255</v>
      </c>
      <c r="AV16" s="4" t="s">
        <v>256</v>
      </c>
      <c r="AW16" s="4"/>
    </row>
    <row r="17" customFormat="false" ht="15" hidden="false" customHeight="false" outlineLevel="0" collapsed="false">
      <c r="A17" s="4" t="n">
        <v>12</v>
      </c>
      <c r="B17" s="35" t="s">
        <v>203</v>
      </c>
      <c r="C17" s="36" t="s">
        <v>257</v>
      </c>
      <c r="D17" s="14" t="s">
        <v>258</v>
      </c>
      <c r="E17" s="4" t="s">
        <v>259</v>
      </c>
      <c r="F17" s="37" t="n">
        <v>0.96</v>
      </c>
      <c r="G17" s="21" t="n">
        <v>141.7</v>
      </c>
      <c r="H17" s="31" t="n">
        <v>0.79</v>
      </c>
      <c r="I17" s="38" t="n">
        <f aca="false">F17/(G17*H17)*100</f>
        <v>0.857579303752803</v>
      </c>
      <c r="J17" s="4"/>
      <c r="K17" s="4"/>
      <c r="L17" s="4"/>
      <c r="M17" s="40" t="n">
        <f aca="false">IF(AND(IF(Planner!$C$39="BLS U.S. average (Sep 2026)",1,0)=1,L17&lt;&gt;""),L17,I17)</f>
        <v>0.857579303752803</v>
      </c>
      <c r="N17" s="13" t="n">
        <v>85</v>
      </c>
      <c r="O17" s="4" t="s">
        <v>260</v>
      </c>
      <c r="P17" s="8" t="n">
        <v>2</v>
      </c>
      <c r="Q17" s="41"/>
      <c r="R17" s="13"/>
      <c r="S17" s="42" t="n">
        <v>0</v>
      </c>
      <c r="T17" s="42" t="n">
        <v>0</v>
      </c>
      <c r="U17" s="42" t="n">
        <v>0</v>
      </c>
      <c r="V17" s="42" t="n">
        <v>1</v>
      </c>
      <c r="W17" s="42" t="n">
        <v>0</v>
      </c>
      <c r="X17" s="42" t="n">
        <v>0</v>
      </c>
      <c r="Y17" s="42" t="n">
        <v>0</v>
      </c>
      <c r="Z17" s="43" t="n">
        <f aca="false">SUMPRODUCT(S17:Y17,INDEX(Diets!$I$5:$O$12,MATCH(Planner!$C$36,Diets!$A$5:$A$12,0),0))+ISNUMBER(SEARCH(","&amp;A17&amp;",",","&amp;SUBSTITUTE(INDEX(Diets!$P$5:$P$12,MATCH(Planner!$C$36,Diets!$A$5:$A$12,0))," ","")&amp;","))*1</f>
        <v>0</v>
      </c>
      <c r="AA17" s="44" t="n">
        <f aca="false">IF(OR(UPPER(Q17)="Y",Z17&gt;0),0,1)</f>
        <v>1</v>
      </c>
      <c r="AB17" s="45" t="n">
        <v>0</v>
      </c>
      <c r="AC17" s="45" t="n">
        <v>1</v>
      </c>
      <c r="AD17" s="45" t="n">
        <v>0</v>
      </c>
      <c r="AE17" s="45" t="n">
        <v>0</v>
      </c>
      <c r="AF17" s="8"/>
      <c r="AG17" s="4" t="s">
        <v>207</v>
      </c>
      <c r="AH17" s="32" t="n">
        <v>86</v>
      </c>
      <c r="AI17" s="32" t="n">
        <v>19.44</v>
      </c>
      <c r="AJ17" s="32" t="n">
        <v>0</v>
      </c>
      <c r="AK17" s="32" t="n">
        <v>0.96</v>
      </c>
      <c r="AL17" s="32" t="n">
        <v>0</v>
      </c>
      <c r="AM17" s="32" t="n">
        <v>0</v>
      </c>
      <c r="AN17" s="32" t="n">
        <v>17</v>
      </c>
      <c r="AO17" s="32" t="n">
        <v>1.63</v>
      </c>
      <c r="AP17" s="32" t="n">
        <v>179</v>
      </c>
      <c r="AQ17" s="32" t="n">
        <v>247</v>
      </c>
      <c r="AR17" s="32" t="n">
        <v>0</v>
      </c>
      <c r="AS17" s="24" t="n">
        <f aca="false">AI17/M17</f>
        <v>22.6684575</v>
      </c>
      <c r="AT17" s="18" t="n">
        <f aca="false">AH17/M17</f>
        <v>100.282270833333</v>
      </c>
      <c r="AU17" s="4" t="s">
        <v>261</v>
      </c>
      <c r="AV17" s="4" t="s">
        <v>262</v>
      </c>
      <c r="AW17" s="4" t="s">
        <v>263</v>
      </c>
    </row>
    <row r="18" customFormat="false" ht="15" hidden="false" customHeight="false" outlineLevel="0" collapsed="false">
      <c r="A18" s="4" t="n">
        <v>13</v>
      </c>
      <c r="B18" s="35" t="s">
        <v>203</v>
      </c>
      <c r="C18" s="36" t="s">
        <v>257</v>
      </c>
      <c r="D18" s="14" t="s">
        <v>264</v>
      </c>
      <c r="E18" s="4" t="s">
        <v>265</v>
      </c>
      <c r="F18" s="37" t="n">
        <v>21.94</v>
      </c>
      <c r="G18" s="21" t="n">
        <v>907.2</v>
      </c>
      <c r="H18" s="31" t="n">
        <v>1</v>
      </c>
      <c r="I18" s="38" t="n">
        <f aca="false">F18/(G18*H18)*100</f>
        <v>2.418430335097</v>
      </c>
      <c r="J18" s="4"/>
      <c r="K18" s="4"/>
      <c r="L18" s="4"/>
      <c r="M18" s="40" t="n">
        <f aca="false">IF(AND(IF(Planner!$C$39="BLS U.S. average (Sep 2026)",1,0)=1,L18&lt;&gt;""),L18,I18)</f>
        <v>2.418430335097</v>
      </c>
      <c r="N18" s="13" t="n">
        <v>113</v>
      </c>
      <c r="O18" s="4" t="s">
        <v>206</v>
      </c>
      <c r="P18" s="8" t="n">
        <v>2</v>
      </c>
      <c r="Q18" s="41"/>
      <c r="R18" s="13"/>
      <c r="S18" s="42" t="n">
        <v>0</v>
      </c>
      <c r="T18" s="42" t="n">
        <v>0</v>
      </c>
      <c r="U18" s="42" t="n">
        <v>0</v>
      </c>
      <c r="V18" s="42" t="n">
        <v>1</v>
      </c>
      <c r="W18" s="42" t="n">
        <v>0</v>
      </c>
      <c r="X18" s="42" t="n">
        <v>0</v>
      </c>
      <c r="Y18" s="42" t="n">
        <v>0</v>
      </c>
      <c r="Z18" s="43" t="n">
        <f aca="false">SUMPRODUCT(S18:Y18,INDEX(Diets!$I$5:$O$12,MATCH(Planner!$C$36,Diets!$A$5:$A$12,0),0))+ISNUMBER(SEARCH(","&amp;A18&amp;",",","&amp;SUBSTITUTE(INDEX(Diets!$P$5:$P$12,MATCH(Planner!$C$36,Diets!$A$5:$A$12,0))," ","")&amp;","))*1</f>
        <v>0</v>
      </c>
      <c r="AA18" s="44" t="n">
        <f aca="false">IF(OR(UPPER(Q18)="Y",Z18&gt;0),0,1)</f>
        <v>1</v>
      </c>
      <c r="AB18" s="45" t="n">
        <v>0</v>
      </c>
      <c r="AC18" s="45" t="n">
        <v>0</v>
      </c>
      <c r="AD18" s="45" t="n">
        <v>1</v>
      </c>
      <c r="AE18" s="45" t="n">
        <v>0</v>
      </c>
      <c r="AF18" s="8"/>
      <c r="AG18" s="4" t="s">
        <v>207</v>
      </c>
      <c r="AH18" s="32" t="n">
        <v>208</v>
      </c>
      <c r="AI18" s="32" t="n">
        <v>20.42</v>
      </c>
      <c r="AJ18" s="32" t="n">
        <v>0</v>
      </c>
      <c r="AK18" s="32" t="n">
        <v>13.42</v>
      </c>
      <c r="AL18" s="32" t="n">
        <v>0</v>
      </c>
      <c r="AM18" s="32" t="n">
        <v>0</v>
      </c>
      <c r="AN18" s="32" t="n">
        <v>9</v>
      </c>
      <c r="AO18" s="32" t="n">
        <v>0.34</v>
      </c>
      <c r="AP18" s="32" t="n">
        <v>363</v>
      </c>
      <c r="AQ18" s="32" t="n">
        <v>59</v>
      </c>
      <c r="AR18" s="32" t="n">
        <v>3.9</v>
      </c>
      <c r="AS18" s="24" t="n">
        <f aca="false">AI18/M18</f>
        <v>8.44349316317229</v>
      </c>
      <c r="AT18" s="18" t="n">
        <f aca="false">AH18/M18</f>
        <v>86.0061987237922</v>
      </c>
      <c r="AU18" s="4" t="s">
        <v>266</v>
      </c>
      <c r="AV18" s="4" t="s">
        <v>267</v>
      </c>
      <c r="AW18" s="4"/>
    </row>
    <row r="19" customFormat="false" ht="15" hidden="false" customHeight="false" outlineLevel="0" collapsed="false">
      <c r="A19" s="4" t="n">
        <v>14</v>
      </c>
      <c r="B19" s="35" t="s">
        <v>203</v>
      </c>
      <c r="C19" s="36" t="s">
        <v>257</v>
      </c>
      <c r="D19" s="14" t="s">
        <v>268</v>
      </c>
      <c r="E19" s="4" t="s">
        <v>269</v>
      </c>
      <c r="F19" s="37" t="n">
        <v>15.96</v>
      </c>
      <c r="G19" s="21" t="n">
        <v>907.2</v>
      </c>
      <c r="H19" s="31" t="n">
        <v>1</v>
      </c>
      <c r="I19" s="38" t="n">
        <f aca="false">F19/(G19*H19)*100</f>
        <v>1.75925925925926</v>
      </c>
      <c r="J19" s="4"/>
      <c r="K19" s="4"/>
      <c r="L19" s="4"/>
      <c r="M19" s="40" t="n">
        <f aca="false">IF(AND(IF(Planner!$C$39="BLS U.S. average (Sep 2026)",1,0)=1,L19&lt;&gt;""),L19,I19)</f>
        <v>1.75925925925926</v>
      </c>
      <c r="N19" s="13" t="n">
        <v>113</v>
      </c>
      <c r="O19" s="4" t="s">
        <v>206</v>
      </c>
      <c r="P19" s="8" t="n">
        <v>2</v>
      </c>
      <c r="Q19" s="41"/>
      <c r="R19" s="13"/>
      <c r="S19" s="42" t="n">
        <v>0</v>
      </c>
      <c r="T19" s="42" t="n">
        <v>0</v>
      </c>
      <c r="U19" s="42" t="n">
        <v>0</v>
      </c>
      <c r="V19" s="42" t="n">
        <v>1</v>
      </c>
      <c r="W19" s="42" t="n">
        <v>0</v>
      </c>
      <c r="X19" s="42" t="n">
        <v>0</v>
      </c>
      <c r="Y19" s="42" t="n">
        <v>0</v>
      </c>
      <c r="Z19" s="43" t="n">
        <f aca="false">SUMPRODUCT(S19:Y19,INDEX(Diets!$I$5:$O$12,MATCH(Planner!$C$36,Diets!$A$5:$A$12,0),0))+ISNUMBER(SEARCH(","&amp;A19&amp;",",","&amp;SUBSTITUTE(INDEX(Diets!$P$5:$P$12,MATCH(Planner!$C$36,Diets!$A$5:$A$12,0))," ","")&amp;","))*1</f>
        <v>0</v>
      </c>
      <c r="AA19" s="44" t="n">
        <f aca="false">IF(OR(UPPER(Q19)="Y",Z19&gt;0),0,1)</f>
        <v>1</v>
      </c>
      <c r="AB19" s="45" t="n">
        <v>0</v>
      </c>
      <c r="AC19" s="45" t="n">
        <v>0</v>
      </c>
      <c r="AD19" s="45" t="n">
        <v>1</v>
      </c>
      <c r="AE19" s="45" t="n">
        <v>0</v>
      </c>
      <c r="AF19" s="8"/>
      <c r="AG19" s="4" t="s">
        <v>207</v>
      </c>
      <c r="AH19" s="32" t="n">
        <v>71</v>
      </c>
      <c r="AI19" s="32" t="n">
        <v>13.61</v>
      </c>
      <c r="AJ19" s="32" t="n">
        <v>0.91</v>
      </c>
      <c r="AK19" s="32" t="n">
        <v>1.01</v>
      </c>
      <c r="AL19" s="32" t="n">
        <v>0</v>
      </c>
      <c r="AM19" s="32" t="n">
        <v>0</v>
      </c>
      <c r="AN19" s="32" t="n">
        <v>54</v>
      </c>
      <c r="AO19" s="32" t="n">
        <v>0.21</v>
      </c>
      <c r="AP19" s="32" t="n">
        <v>113</v>
      </c>
      <c r="AQ19" s="32" t="n">
        <v>566</v>
      </c>
      <c r="AR19" s="32" t="n">
        <v>0</v>
      </c>
      <c r="AS19" s="24" t="n">
        <f aca="false">AI19/M19</f>
        <v>7.73621052631579</v>
      </c>
      <c r="AT19" s="18" t="n">
        <f aca="false">AH19/M19</f>
        <v>40.3578947368421</v>
      </c>
      <c r="AU19" s="4" t="s">
        <v>270</v>
      </c>
      <c r="AV19" s="4" t="s">
        <v>271</v>
      </c>
      <c r="AW19" s="4"/>
    </row>
    <row r="20" customFormat="false" ht="15" hidden="false" customHeight="false" outlineLevel="0" collapsed="false">
      <c r="A20" s="4" t="n">
        <v>15</v>
      </c>
      <c r="B20" s="35" t="s">
        <v>203</v>
      </c>
      <c r="C20" s="36" t="s">
        <v>257</v>
      </c>
      <c r="D20" s="14" t="s">
        <v>272</v>
      </c>
      <c r="E20" s="4" t="s">
        <v>269</v>
      </c>
      <c r="F20" s="37" t="n">
        <v>8.87</v>
      </c>
      <c r="G20" s="21" t="n">
        <v>907.2</v>
      </c>
      <c r="H20" s="31" t="n">
        <v>1</v>
      </c>
      <c r="I20" s="38" t="n">
        <f aca="false">F20/(G20*H20)*100</f>
        <v>0.977733686067019</v>
      </c>
      <c r="J20" s="4"/>
      <c r="K20" s="4"/>
      <c r="L20" s="4"/>
      <c r="M20" s="40" t="n">
        <f aca="false">IF(AND(IF(Planner!$C$39="BLS U.S. average (Sep 2026)",1,0)=1,L20&lt;&gt;""),L20,I20)</f>
        <v>0.977733686067019</v>
      </c>
      <c r="N20" s="13" t="n">
        <v>113</v>
      </c>
      <c r="O20" s="4" t="s">
        <v>206</v>
      </c>
      <c r="P20" s="8" t="n">
        <v>2</v>
      </c>
      <c r="Q20" s="41"/>
      <c r="R20" s="13"/>
      <c r="S20" s="42" t="n">
        <v>0</v>
      </c>
      <c r="T20" s="42" t="n">
        <v>0</v>
      </c>
      <c r="U20" s="42" t="n">
        <v>0</v>
      </c>
      <c r="V20" s="42" t="n">
        <v>1</v>
      </c>
      <c r="W20" s="42" t="n">
        <v>0</v>
      </c>
      <c r="X20" s="42" t="n">
        <v>0</v>
      </c>
      <c r="Y20" s="42" t="n">
        <v>0</v>
      </c>
      <c r="Z20" s="43" t="n">
        <f aca="false">SUMPRODUCT(S20:Y20,INDEX(Diets!$I$5:$O$12,MATCH(Planner!$C$36,Diets!$A$5:$A$12,0),0))+ISNUMBER(SEARCH(","&amp;A20&amp;",",","&amp;SUBSTITUTE(INDEX(Diets!$P$5:$P$12,MATCH(Planner!$C$36,Diets!$A$5:$A$12,0))," ","")&amp;","))*1</f>
        <v>0</v>
      </c>
      <c r="AA20" s="44" t="n">
        <f aca="false">IF(OR(UPPER(Q20)="Y",Z20&gt;0),0,1)</f>
        <v>1</v>
      </c>
      <c r="AB20" s="45" t="n">
        <v>0</v>
      </c>
      <c r="AC20" s="45" t="n">
        <v>0.5</v>
      </c>
      <c r="AD20" s="45" t="n">
        <v>0.5</v>
      </c>
      <c r="AE20" s="45" t="n">
        <v>0</v>
      </c>
      <c r="AF20" s="8"/>
      <c r="AG20" s="4" t="s">
        <v>207</v>
      </c>
      <c r="AH20" s="32" t="n">
        <v>96</v>
      </c>
      <c r="AI20" s="32" t="n">
        <v>20.08</v>
      </c>
      <c r="AJ20" s="32" t="n">
        <v>0</v>
      </c>
      <c r="AK20" s="32" t="n">
        <v>1.7</v>
      </c>
      <c r="AL20" s="32" t="n">
        <v>0</v>
      </c>
      <c r="AM20" s="32" t="n">
        <v>0</v>
      </c>
      <c r="AN20" s="32" t="n">
        <v>10</v>
      </c>
      <c r="AO20" s="32" t="n">
        <v>0.56</v>
      </c>
      <c r="AP20" s="32" t="n">
        <v>302</v>
      </c>
      <c r="AQ20" s="32" t="n">
        <v>52</v>
      </c>
      <c r="AR20" s="32" t="n">
        <v>0</v>
      </c>
      <c r="AS20" s="24" t="n">
        <f aca="false">AI20/M20</f>
        <v>20.537289740699</v>
      </c>
      <c r="AT20" s="18" t="n">
        <f aca="false">AH20/M20</f>
        <v>98.1862457722661</v>
      </c>
      <c r="AU20" s="4" t="s">
        <v>273</v>
      </c>
      <c r="AV20" s="4" t="s">
        <v>274</v>
      </c>
      <c r="AW20" s="4"/>
    </row>
    <row r="21" customFormat="false" ht="15" hidden="false" customHeight="false" outlineLevel="0" collapsed="false">
      <c r="A21" s="4" t="n">
        <v>16</v>
      </c>
      <c r="B21" s="35" t="s">
        <v>203</v>
      </c>
      <c r="C21" s="36" t="s">
        <v>176</v>
      </c>
      <c r="D21" s="14" t="s">
        <v>275</v>
      </c>
      <c r="E21" s="4" t="s">
        <v>276</v>
      </c>
      <c r="F21" s="37" t="n">
        <v>1.67</v>
      </c>
      <c r="G21" s="21" t="n">
        <v>681.8</v>
      </c>
      <c r="H21" s="31" t="n">
        <v>0.88</v>
      </c>
      <c r="I21" s="38" t="n">
        <f aca="false">F21/(G21*H21)*100</f>
        <v>0.278340755753487</v>
      </c>
      <c r="J21" s="39" t="n">
        <v>2.272</v>
      </c>
      <c r="K21" s="21" t="n">
        <v>681.8</v>
      </c>
      <c r="L21" s="38" t="n">
        <f aca="false">J21/(K21*H21)*100</f>
        <v>0.378676764713726</v>
      </c>
      <c r="M21" s="40" t="n">
        <f aca="false">IF(AND(IF(Planner!$C$39="BLS U.S. average (Sep 2026)",1,0)=1,L21&lt;&gt;""),L21,I21)</f>
        <v>0.278340755753487</v>
      </c>
      <c r="N21" s="13" t="n">
        <v>50</v>
      </c>
      <c r="O21" s="4" t="s">
        <v>277</v>
      </c>
      <c r="P21" s="8" t="n">
        <v>3</v>
      </c>
      <c r="Q21" s="41"/>
      <c r="R21" s="13"/>
      <c r="S21" s="42" t="n">
        <v>0</v>
      </c>
      <c r="T21" s="42" t="n">
        <v>0</v>
      </c>
      <c r="U21" s="42" t="n">
        <v>0</v>
      </c>
      <c r="V21" s="42" t="n">
        <v>0</v>
      </c>
      <c r="W21" s="42" t="n">
        <v>1</v>
      </c>
      <c r="X21" s="42" t="n">
        <v>0</v>
      </c>
      <c r="Y21" s="42" t="n">
        <v>0</v>
      </c>
      <c r="Z21" s="43" t="n">
        <f aca="false">SUMPRODUCT(S21:Y21,INDEX(Diets!$I$5:$O$12,MATCH(Planner!$C$36,Diets!$A$5:$A$12,0),0))+ISNUMBER(SEARCH(","&amp;A21&amp;",",","&amp;SUBSTITUTE(INDEX(Diets!$P$5:$P$12,MATCH(Planner!$C$36,Diets!$A$5:$A$12,0))," ","")&amp;","))*1</f>
        <v>0</v>
      </c>
      <c r="AA21" s="44" t="n">
        <f aca="false">IF(OR(UPPER(Q21)="Y",Z21&gt;0),0,1)</f>
        <v>1</v>
      </c>
      <c r="AB21" s="45" t="n">
        <v>1</v>
      </c>
      <c r="AC21" s="45" t="n">
        <v>0</v>
      </c>
      <c r="AD21" s="45" t="n">
        <v>0</v>
      </c>
      <c r="AE21" s="45" t="n">
        <v>0</v>
      </c>
      <c r="AF21" s="8"/>
      <c r="AG21" s="4"/>
      <c r="AH21" s="32" t="n">
        <v>143</v>
      </c>
      <c r="AI21" s="32" t="n">
        <v>12.56</v>
      </c>
      <c r="AJ21" s="32" t="n">
        <v>0.72</v>
      </c>
      <c r="AK21" s="32" t="n">
        <v>9.51</v>
      </c>
      <c r="AL21" s="32" t="n">
        <v>0</v>
      </c>
      <c r="AM21" s="32" t="n">
        <v>0.37</v>
      </c>
      <c r="AN21" s="32" t="n">
        <v>56</v>
      </c>
      <c r="AO21" s="32" t="n">
        <v>1.75</v>
      </c>
      <c r="AP21" s="32" t="n">
        <v>138</v>
      </c>
      <c r="AQ21" s="32" t="n">
        <v>142</v>
      </c>
      <c r="AR21" s="32" t="n">
        <v>0</v>
      </c>
      <c r="AS21" s="24" t="n">
        <f aca="false">AI21/M21</f>
        <v>45.1245451497006</v>
      </c>
      <c r="AT21" s="18" t="n">
        <f aca="false">AH21/M21</f>
        <v>513.758754491018</v>
      </c>
      <c r="AU21" s="4" t="s">
        <v>278</v>
      </c>
      <c r="AV21" s="4" t="s">
        <v>279</v>
      </c>
      <c r="AW21" s="4" t="s">
        <v>280</v>
      </c>
    </row>
    <row r="22" customFormat="false" ht="15" hidden="false" customHeight="false" outlineLevel="0" collapsed="false">
      <c r="A22" s="4" t="n">
        <v>17</v>
      </c>
      <c r="B22" s="35" t="s">
        <v>203</v>
      </c>
      <c r="C22" s="36" t="s">
        <v>281</v>
      </c>
      <c r="D22" s="14" t="s">
        <v>282</v>
      </c>
      <c r="E22" s="4" t="s">
        <v>283</v>
      </c>
      <c r="F22" s="37" t="n">
        <v>0.92</v>
      </c>
      <c r="G22" s="21" t="n">
        <v>425.2</v>
      </c>
      <c r="H22" s="31" t="n">
        <v>1</v>
      </c>
      <c r="I22" s="38" t="n">
        <f aca="false">F22/(G22*H22)*100</f>
        <v>0.216368767638758</v>
      </c>
      <c r="J22" s="4"/>
      <c r="K22" s="4"/>
      <c r="L22" s="4"/>
      <c r="M22" s="40" t="n">
        <f aca="false">IF(AND(IF(Planner!$C$39="BLS U.S. average (Sep 2026)",1,0)=1,L22&lt;&gt;""),L22,I22)</f>
        <v>0.216368767638758</v>
      </c>
      <c r="N22" s="13" t="n">
        <v>120</v>
      </c>
      <c r="O22" s="4" t="s">
        <v>284</v>
      </c>
      <c r="P22" s="8" t="n">
        <v>3</v>
      </c>
      <c r="Q22" s="41"/>
      <c r="R22" s="13"/>
      <c r="S22" s="42" t="n">
        <v>0</v>
      </c>
      <c r="T22" s="42" t="n">
        <v>0</v>
      </c>
      <c r="U22" s="42" t="n">
        <v>0</v>
      </c>
      <c r="V22" s="42" t="n">
        <v>0</v>
      </c>
      <c r="W22" s="42" t="n">
        <v>0</v>
      </c>
      <c r="X22" s="42" t="n">
        <v>0</v>
      </c>
      <c r="Y22" s="42" t="n">
        <v>0</v>
      </c>
      <c r="Z22" s="43" t="n">
        <f aca="false">SUMPRODUCT(S22:Y22,INDEX(Diets!$I$5:$O$12,MATCH(Planner!$C$36,Diets!$A$5:$A$12,0),0))+ISNUMBER(SEARCH(","&amp;A22&amp;",",","&amp;SUBSTITUTE(INDEX(Diets!$P$5:$P$12,MATCH(Planner!$C$36,Diets!$A$5:$A$12,0))," ","")&amp;","))*1</f>
        <v>0</v>
      </c>
      <c r="AA22" s="44" t="n">
        <f aca="false">IF(OR(UPPER(Q22)="Y",Z22&gt;0),0,1)</f>
        <v>1</v>
      </c>
      <c r="AB22" s="45" t="n">
        <v>0</v>
      </c>
      <c r="AC22" s="45" t="n">
        <v>0.5</v>
      </c>
      <c r="AD22" s="45" t="n">
        <v>0.5</v>
      </c>
      <c r="AE22" s="45" t="n">
        <v>0</v>
      </c>
      <c r="AF22" s="8"/>
      <c r="AG22" s="4" t="s">
        <v>285</v>
      </c>
      <c r="AH22" s="32" t="n">
        <v>91</v>
      </c>
      <c r="AI22" s="32" t="n">
        <v>6.03</v>
      </c>
      <c r="AJ22" s="32" t="n">
        <v>16.55</v>
      </c>
      <c r="AK22" s="32" t="n">
        <v>0.29</v>
      </c>
      <c r="AL22" s="32" t="n">
        <v>6.9</v>
      </c>
      <c r="AM22" s="32" t="n">
        <v>0.23</v>
      </c>
      <c r="AN22" s="32" t="n">
        <v>35</v>
      </c>
      <c r="AO22" s="32" t="n">
        <v>1.9</v>
      </c>
      <c r="AP22" s="32" t="n">
        <v>308</v>
      </c>
      <c r="AQ22" s="32" t="n">
        <v>138</v>
      </c>
      <c r="AR22" s="32" t="n">
        <v>2.7</v>
      </c>
      <c r="AS22" s="24" t="n">
        <f aca="false">AI22/M22</f>
        <v>27.8690869565217</v>
      </c>
      <c r="AT22" s="18" t="n">
        <f aca="false">AH22/M22</f>
        <v>420.578260869565</v>
      </c>
      <c r="AU22" s="4" t="s">
        <v>286</v>
      </c>
      <c r="AV22" s="4" t="s">
        <v>287</v>
      </c>
      <c r="AW22" s="4" t="s">
        <v>288</v>
      </c>
    </row>
    <row r="23" customFormat="false" ht="15" hidden="false" customHeight="false" outlineLevel="0" collapsed="false">
      <c r="A23" s="4" t="n">
        <v>18</v>
      </c>
      <c r="B23" s="35" t="s">
        <v>203</v>
      </c>
      <c r="C23" s="36" t="s">
        <v>281</v>
      </c>
      <c r="D23" s="14" t="s">
        <v>289</v>
      </c>
      <c r="E23" s="4" t="s">
        <v>290</v>
      </c>
      <c r="F23" s="37" t="n">
        <v>0.92</v>
      </c>
      <c r="G23" s="21" t="n">
        <v>439.4</v>
      </c>
      <c r="H23" s="31" t="n">
        <v>1</v>
      </c>
      <c r="I23" s="38" t="n">
        <f aca="false">F23/(G23*H23)*100</f>
        <v>0.209376422394174</v>
      </c>
      <c r="J23" s="4"/>
      <c r="K23" s="4"/>
      <c r="L23" s="4"/>
      <c r="M23" s="40" t="n">
        <f aca="false">IF(AND(IF(Planner!$C$39="BLS U.S. average (Sep 2026)",1,0)=1,L23&lt;&gt;""),L23,I23)</f>
        <v>0.209376422394174</v>
      </c>
      <c r="N23" s="13" t="n">
        <v>120</v>
      </c>
      <c r="O23" s="4" t="s">
        <v>284</v>
      </c>
      <c r="P23" s="8" t="n">
        <v>3</v>
      </c>
      <c r="Q23" s="41"/>
      <c r="R23" s="13"/>
      <c r="S23" s="42" t="n">
        <v>0</v>
      </c>
      <c r="T23" s="42" t="n">
        <v>0</v>
      </c>
      <c r="U23" s="42" t="n">
        <v>0</v>
      </c>
      <c r="V23" s="42" t="n">
        <v>0</v>
      </c>
      <c r="W23" s="42" t="n">
        <v>0</v>
      </c>
      <c r="X23" s="42" t="n">
        <v>0</v>
      </c>
      <c r="Y23" s="42" t="n">
        <v>0</v>
      </c>
      <c r="Z23" s="43" t="n">
        <f aca="false">SUMPRODUCT(S23:Y23,INDEX(Diets!$I$5:$O$12,MATCH(Planner!$C$36,Diets!$A$5:$A$12,0),0))+ISNUMBER(SEARCH(","&amp;A23&amp;",",","&amp;SUBSTITUTE(INDEX(Diets!$P$5:$P$12,MATCH(Planner!$C$36,Diets!$A$5:$A$12,0))," ","")&amp;","))*1</f>
        <v>0</v>
      </c>
      <c r="AA23" s="44" t="n">
        <f aca="false">IF(OR(UPPER(Q23)="Y",Z23&gt;0),0,1)</f>
        <v>1</v>
      </c>
      <c r="AB23" s="45" t="n">
        <v>0</v>
      </c>
      <c r="AC23" s="45" t="n">
        <v>0.5</v>
      </c>
      <c r="AD23" s="45" t="n">
        <v>0.5</v>
      </c>
      <c r="AE23" s="45" t="n">
        <v>0</v>
      </c>
      <c r="AF23" s="8"/>
      <c r="AG23" s="4" t="s">
        <v>285</v>
      </c>
      <c r="AH23" s="32" t="n">
        <v>88</v>
      </c>
      <c r="AI23" s="32" t="n">
        <v>4.92</v>
      </c>
      <c r="AJ23" s="32" t="n">
        <v>13.49</v>
      </c>
      <c r="AK23" s="32" t="n">
        <v>1.95</v>
      </c>
      <c r="AL23" s="32" t="n">
        <v>4.4</v>
      </c>
      <c r="AM23" s="32" t="n">
        <v>0</v>
      </c>
      <c r="AN23" s="32" t="n">
        <v>35</v>
      </c>
      <c r="AO23" s="32" t="n">
        <v>1.23</v>
      </c>
      <c r="AP23" s="32" t="n">
        <v>144</v>
      </c>
      <c r="AQ23" s="32" t="n">
        <v>278</v>
      </c>
      <c r="AR23" s="32" t="n">
        <v>0.1</v>
      </c>
      <c r="AS23" s="24" t="n">
        <f aca="false">AI23/M23</f>
        <v>23.498347826087</v>
      </c>
      <c r="AT23" s="18" t="n">
        <f aca="false">AH23/M23</f>
        <v>420.295652173913</v>
      </c>
      <c r="AU23" s="4" t="s">
        <v>291</v>
      </c>
      <c r="AV23" s="4" t="s">
        <v>292</v>
      </c>
      <c r="AW23" s="4" t="s">
        <v>288</v>
      </c>
    </row>
    <row r="24" customFormat="false" ht="15" hidden="false" customHeight="false" outlineLevel="0" collapsed="false">
      <c r="A24" s="4" t="n">
        <v>19</v>
      </c>
      <c r="B24" s="35" t="s">
        <v>203</v>
      </c>
      <c r="C24" s="36" t="s">
        <v>281</v>
      </c>
      <c r="D24" s="14" t="s">
        <v>293</v>
      </c>
      <c r="E24" s="4" t="s">
        <v>294</v>
      </c>
      <c r="F24" s="37" t="n">
        <v>1.92</v>
      </c>
      <c r="G24" s="21" t="n">
        <v>453.6</v>
      </c>
      <c r="H24" s="31" t="n">
        <v>1</v>
      </c>
      <c r="I24" s="38" t="n">
        <f aca="false">F24/(G24*H24)*100</f>
        <v>0.423280423280423</v>
      </c>
      <c r="J24" s="4"/>
      <c r="K24" s="4"/>
      <c r="L24" s="4"/>
      <c r="M24" s="40" t="n">
        <f aca="false">IF(AND(IF(Planner!$C$39="BLS U.S. average (Sep 2026)",1,0)=1,L24&lt;&gt;""),L24,I24)</f>
        <v>0.423280423280423</v>
      </c>
      <c r="N24" s="13" t="n">
        <v>48</v>
      </c>
      <c r="O24" s="4" t="s">
        <v>295</v>
      </c>
      <c r="P24" s="8" t="n">
        <v>3</v>
      </c>
      <c r="Q24" s="41"/>
      <c r="R24" s="13"/>
      <c r="S24" s="42" t="n">
        <v>0</v>
      </c>
      <c r="T24" s="42" t="n">
        <v>0</v>
      </c>
      <c r="U24" s="42" t="n">
        <v>0</v>
      </c>
      <c r="V24" s="42" t="n">
        <v>0</v>
      </c>
      <c r="W24" s="42" t="n">
        <v>0</v>
      </c>
      <c r="X24" s="42" t="n">
        <v>0</v>
      </c>
      <c r="Y24" s="42" t="n">
        <v>0</v>
      </c>
      <c r="Z24" s="43" t="n">
        <f aca="false">SUMPRODUCT(S24:Y24,INDEX(Diets!$I$5:$O$12,MATCH(Planner!$C$36,Diets!$A$5:$A$12,0),0))+ISNUMBER(SEARCH(","&amp;A24&amp;",",","&amp;SUBSTITUTE(INDEX(Diets!$P$5:$P$12,MATCH(Planner!$C$36,Diets!$A$5:$A$12,0))," ","")&amp;","))*1</f>
        <v>0</v>
      </c>
      <c r="AA24" s="44" t="n">
        <f aca="false">IF(OR(UPPER(Q24)="Y",Z24&gt;0),0,1)</f>
        <v>1</v>
      </c>
      <c r="AB24" s="45" t="n">
        <v>0</v>
      </c>
      <c r="AC24" s="45" t="n">
        <v>0.5</v>
      </c>
      <c r="AD24" s="45" t="n">
        <v>0.5</v>
      </c>
      <c r="AE24" s="45" t="n">
        <v>0</v>
      </c>
      <c r="AF24" s="8"/>
      <c r="AG24" s="4" t="s">
        <v>285</v>
      </c>
      <c r="AH24" s="32" t="n">
        <v>352</v>
      </c>
      <c r="AI24" s="32" t="n">
        <v>24.63</v>
      </c>
      <c r="AJ24" s="32" t="n">
        <v>63.35</v>
      </c>
      <c r="AK24" s="32" t="n">
        <v>1.06</v>
      </c>
      <c r="AL24" s="32" t="n">
        <v>10.7</v>
      </c>
      <c r="AM24" s="32" t="n">
        <v>2.03</v>
      </c>
      <c r="AN24" s="32" t="n">
        <v>35</v>
      </c>
      <c r="AO24" s="32" t="n">
        <v>6.51</v>
      </c>
      <c r="AP24" s="32" t="n">
        <v>677</v>
      </c>
      <c r="AQ24" s="32" t="n">
        <v>6</v>
      </c>
      <c r="AR24" s="32" t="n">
        <v>4.5</v>
      </c>
      <c r="AS24" s="24" t="n">
        <f aca="false">AI24/M24</f>
        <v>58.188375</v>
      </c>
      <c r="AT24" s="18" t="n">
        <f aca="false">AH24/M24</f>
        <v>831.6</v>
      </c>
      <c r="AU24" s="4" t="s">
        <v>296</v>
      </c>
      <c r="AV24" s="4" t="s">
        <v>297</v>
      </c>
      <c r="AW24" s="4"/>
    </row>
    <row r="25" customFormat="false" ht="15" hidden="false" customHeight="false" outlineLevel="0" collapsed="false">
      <c r="A25" s="4" t="n">
        <v>20</v>
      </c>
      <c r="B25" s="35" t="s">
        <v>203</v>
      </c>
      <c r="C25" s="36" t="s">
        <v>281</v>
      </c>
      <c r="D25" s="14" t="s">
        <v>298</v>
      </c>
      <c r="E25" s="4" t="s">
        <v>299</v>
      </c>
      <c r="F25" s="37" t="n">
        <v>3.98</v>
      </c>
      <c r="G25" s="21" t="n">
        <v>1134</v>
      </c>
      <c r="H25" s="31" t="n">
        <v>1</v>
      </c>
      <c r="I25" s="38" t="n">
        <f aca="false">F25/(G25*H25)*100</f>
        <v>0.350970017636684</v>
      </c>
      <c r="J25" s="4"/>
      <c r="K25" s="4"/>
      <c r="L25" s="4"/>
      <c r="M25" s="40" t="n">
        <f aca="false">IF(AND(IF(Planner!$C$39="BLS U.S. average (Sep 2026)",1,0)=1,L25&lt;&gt;""),L25,I25)</f>
        <v>0.350970017636684</v>
      </c>
      <c r="N25" s="13" t="n">
        <v>32</v>
      </c>
      <c r="O25" s="4" t="s">
        <v>300</v>
      </c>
      <c r="P25" s="8" t="n">
        <v>2</v>
      </c>
      <c r="Q25" s="41"/>
      <c r="R25" s="13"/>
      <c r="S25" s="42" t="n">
        <v>0</v>
      </c>
      <c r="T25" s="42" t="n">
        <v>0</v>
      </c>
      <c r="U25" s="42" t="n">
        <v>0</v>
      </c>
      <c r="V25" s="42" t="n">
        <v>0</v>
      </c>
      <c r="W25" s="42" t="n">
        <v>0</v>
      </c>
      <c r="X25" s="42" t="n">
        <v>0</v>
      </c>
      <c r="Y25" s="42" t="n">
        <v>0</v>
      </c>
      <c r="Z25" s="43" t="n">
        <f aca="false">SUMPRODUCT(S25:Y25,INDEX(Diets!$I$5:$O$12,MATCH(Planner!$C$36,Diets!$A$5:$A$12,0),0))+ISNUMBER(SEARCH(","&amp;A25&amp;",",","&amp;SUBSTITUTE(INDEX(Diets!$P$5:$P$12,MATCH(Planner!$C$36,Diets!$A$5:$A$12,0))," ","")&amp;","))*1</f>
        <v>0</v>
      </c>
      <c r="AA25" s="44" t="n">
        <f aca="false">IF(OR(UPPER(Q25)="Y",Z25&gt;0),0,1)</f>
        <v>1</v>
      </c>
      <c r="AB25" s="45" t="n">
        <v>0.5</v>
      </c>
      <c r="AC25" s="45" t="n">
        <v>0</v>
      </c>
      <c r="AD25" s="45" t="n">
        <v>0</v>
      </c>
      <c r="AE25" s="45" t="n">
        <v>0.5</v>
      </c>
      <c r="AF25" s="8"/>
      <c r="AG25" s="4"/>
      <c r="AH25" s="32" t="n">
        <v>598</v>
      </c>
      <c r="AI25" s="32" t="n">
        <v>22.21</v>
      </c>
      <c r="AJ25" s="32" t="n">
        <v>22.31</v>
      </c>
      <c r="AK25" s="32" t="n">
        <v>51.36</v>
      </c>
      <c r="AL25" s="32" t="n">
        <v>5</v>
      </c>
      <c r="AM25" s="32" t="n">
        <v>10.49</v>
      </c>
      <c r="AN25" s="32" t="n">
        <v>49</v>
      </c>
      <c r="AO25" s="32" t="n">
        <v>1.74</v>
      </c>
      <c r="AP25" s="32" t="n">
        <v>558</v>
      </c>
      <c r="AQ25" s="32" t="n">
        <v>426</v>
      </c>
      <c r="AR25" s="32" t="n">
        <v>0</v>
      </c>
      <c r="AS25" s="24" t="n">
        <f aca="false">AI25/M25</f>
        <v>63.2817587939698</v>
      </c>
      <c r="AT25" s="18" t="n">
        <f aca="false">AH25/M25</f>
        <v>1703.84924623116</v>
      </c>
      <c r="AU25" s="4" t="s">
        <v>301</v>
      </c>
      <c r="AV25" s="4" t="s">
        <v>302</v>
      </c>
      <c r="AW25" s="4"/>
    </row>
    <row r="26" customFormat="false" ht="15" hidden="false" customHeight="false" outlineLevel="0" collapsed="false">
      <c r="A26" s="4" t="n">
        <v>21</v>
      </c>
      <c r="B26" s="35" t="s">
        <v>203</v>
      </c>
      <c r="C26" s="36" t="s">
        <v>281</v>
      </c>
      <c r="D26" s="14" t="s">
        <v>303</v>
      </c>
      <c r="E26" s="4" t="s">
        <v>304</v>
      </c>
      <c r="F26" s="37" t="n">
        <v>1.98</v>
      </c>
      <c r="G26" s="21" t="n">
        <v>907.2</v>
      </c>
      <c r="H26" s="31" t="n">
        <v>1</v>
      </c>
      <c r="I26" s="38" t="n">
        <f aca="false">F26/(G26*H26)*100</f>
        <v>0.218253968253968</v>
      </c>
      <c r="J26" s="39" t="n">
        <v>1.669</v>
      </c>
      <c r="K26" s="21" t="n">
        <v>453.6</v>
      </c>
      <c r="L26" s="38" t="n">
        <f aca="false">J26/(K26*H26)*100</f>
        <v>0.36794532627866</v>
      </c>
      <c r="M26" s="40" t="n">
        <f aca="false">IF(AND(IF(Planner!$C$39="BLS U.S. average (Sep 2026)",1,0)=1,L26&lt;&gt;""),L26,I26)</f>
        <v>0.218253968253968</v>
      </c>
      <c r="N26" s="13" t="n">
        <v>48</v>
      </c>
      <c r="O26" s="4" t="s">
        <v>295</v>
      </c>
      <c r="P26" s="8" t="n">
        <v>3</v>
      </c>
      <c r="Q26" s="41"/>
      <c r="R26" s="13"/>
      <c r="S26" s="42" t="n">
        <v>0</v>
      </c>
      <c r="T26" s="42" t="n">
        <v>0</v>
      </c>
      <c r="U26" s="42" t="n">
        <v>0</v>
      </c>
      <c r="V26" s="42" t="n">
        <v>0</v>
      </c>
      <c r="W26" s="42" t="n">
        <v>0</v>
      </c>
      <c r="X26" s="42" t="n">
        <v>0</v>
      </c>
      <c r="Y26" s="42" t="n">
        <v>0</v>
      </c>
      <c r="Z26" s="43" t="n">
        <f aca="false">SUMPRODUCT(S26:Y26,INDEX(Diets!$I$5:$O$12,MATCH(Planner!$C$36,Diets!$A$5:$A$12,0),0))+ISNUMBER(SEARCH(","&amp;A26&amp;",",","&amp;SUBSTITUTE(INDEX(Diets!$P$5:$P$12,MATCH(Planner!$C$36,Diets!$A$5:$A$12,0))," ","")&amp;","))*1</f>
        <v>0</v>
      </c>
      <c r="AA26" s="44" t="n">
        <f aca="false">IF(OR(UPPER(Q26)="Y",Z26&gt;0),0,1)</f>
        <v>1</v>
      </c>
      <c r="AB26" s="45" t="n">
        <v>0</v>
      </c>
      <c r="AC26" s="45" t="n">
        <v>0.5</v>
      </c>
      <c r="AD26" s="45" t="n">
        <v>0.5</v>
      </c>
      <c r="AE26" s="45" t="n">
        <v>0</v>
      </c>
      <c r="AF26" s="8"/>
      <c r="AG26" s="4" t="s">
        <v>285</v>
      </c>
      <c r="AH26" s="32" t="n">
        <v>347</v>
      </c>
      <c r="AI26" s="32" t="n">
        <v>21.42</v>
      </c>
      <c r="AJ26" s="32" t="n">
        <v>62.55</v>
      </c>
      <c r="AK26" s="32" t="n">
        <v>1.23</v>
      </c>
      <c r="AL26" s="32" t="n">
        <v>15.5</v>
      </c>
      <c r="AM26" s="32" t="n">
        <v>2.11</v>
      </c>
      <c r="AN26" s="32" t="n">
        <v>113</v>
      </c>
      <c r="AO26" s="32" t="n">
        <v>5.07</v>
      </c>
      <c r="AP26" s="32" t="n">
        <v>1393</v>
      </c>
      <c r="AQ26" s="32" t="n">
        <v>12</v>
      </c>
      <c r="AR26" s="32" t="n">
        <v>6.3</v>
      </c>
      <c r="AS26" s="24" t="n">
        <f aca="false">AI26/M26</f>
        <v>98.1425454545455</v>
      </c>
      <c r="AT26" s="18" t="n">
        <f aca="false">AH26/M26</f>
        <v>1589.89090909091</v>
      </c>
      <c r="AU26" s="4" t="s">
        <v>305</v>
      </c>
      <c r="AV26" s="4" t="s">
        <v>306</v>
      </c>
      <c r="AW26" s="4"/>
    </row>
    <row r="27" customFormat="false" ht="15" hidden="false" customHeight="false" outlineLevel="0" collapsed="false">
      <c r="A27" s="4" t="n">
        <v>22</v>
      </c>
      <c r="B27" s="35" t="s">
        <v>203</v>
      </c>
      <c r="C27" s="36" t="s">
        <v>281</v>
      </c>
      <c r="D27" s="14" t="s">
        <v>307</v>
      </c>
      <c r="E27" s="4" t="s">
        <v>308</v>
      </c>
      <c r="F27" s="46" t="n">
        <v>2.97</v>
      </c>
      <c r="G27" s="21" t="n">
        <v>396.9</v>
      </c>
      <c r="H27" s="31" t="n">
        <v>1</v>
      </c>
      <c r="I27" s="38" t="n">
        <f aca="false">F27/(G27*H27)*100</f>
        <v>0.748299319727891</v>
      </c>
      <c r="J27" s="4"/>
      <c r="K27" s="4"/>
      <c r="L27" s="4"/>
      <c r="M27" s="40" t="n">
        <f aca="false">IF(AND(IF(Planner!$C$39="BLS U.S. average (Sep 2026)",1,0)=1,L27&lt;&gt;""),L27,I27)</f>
        <v>0.748299319727891</v>
      </c>
      <c r="N27" s="13" t="n">
        <v>85</v>
      </c>
      <c r="O27" s="4" t="s">
        <v>309</v>
      </c>
      <c r="P27" s="8" t="n">
        <v>3</v>
      </c>
      <c r="Q27" s="41"/>
      <c r="R27" s="13"/>
      <c r="S27" s="42" t="n">
        <v>0</v>
      </c>
      <c r="T27" s="42" t="n">
        <v>0</v>
      </c>
      <c r="U27" s="42" t="n">
        <v>0</v>
      </c>
      <c r="V27" s="42" t="n">
        <v>0</v>
      </c>
      <c r="W27" s="42" t="n">
        <v>0</v>
      </c>
      <c r="X27" s="42" t="n">
        <v>0</v>
      </c>
      <c r="Y27" s="42" t="n">
        <v>0</v>
      </c>
      <c r="Z27" s="43" t="n">
        <f aca="false">SUMPRODUCT(S27:Y27,INDEX(Diets!$I$5:$O$12,MATCH(Planner!$C$36,Diets!$A$5:$A$12,0),0))+ISNUMBER(SEARCH(","&amp;A27&amp;",",","&amp;SUBSTITUTE(INDEX(Diets!$P$5:$P$12,MATCH(Planner!$C$36,Diets!$A$5:$A$12,0))," ","")&amp;","))*1</f>
        <v>0</v>
      </c>
      <c r="AA27" s="44" t="n">
        <f aca="false">IF(OR(UPPER(Q27)="Y",Z27&gt;0),0,1)</f>
        <v>1</v>
      </c>
      <c r="AB27" s="45" t="n">
        <v>0</v>
      </c>
      <c r="AC27" s="45" t="n">
        <v>0.5</v>
      </c>
      <c r="AD27" s="45" t="n">
        <v>0.5</v>
      </c>
      <c r="AE27" s="45" t="n">
        <v>0</v>
      </c>
      <c r="AF27" s="8"/>
      <c r="AG27" s="4"/>
      <c r="AH27" s="32" t="n">
        <v>98</v>
      </c>
      <c r="AI27" s="32" t="n">
        <v>10.1</v>
      </c>
      <c r="AJ27" s="32" t="n">
        <v>2.6</v>
      </c>
      <c r="AK27" s="32" t="n">
        <v>5.2</v>
      </c>
      <c r="AL27" s="32" t="n">
        <v>1.3</v>
      </c>
      <c r="AM27" s="32" t="n">
        <v>0.4</v>
      </c>
      <c r="AN27" s="32" t="n">
        <v>77</v>
      </c>
      <c r="AO27" s="32" t="n">
        <v>1.6</v>
      </c>
      <c r="AP27" s="32" t="n">
        <v>0</v>
      </c>
      <c r="AQ27" s="32" t="n">
        <v>4</v>
      </c>
      <c r="AR27" s="32" t="n">
        <v>0</v>
      </c>
      <c r="AS27" s="24" t="n">
        <f aca="false">AI27/M27</f>
        <v>13.4972727272727</v>
      </c>
      <c r="AT27" s="18" t="n">
        <f aca="false">AH27/M27</f>
        <v>130.963636363636</v>
      </c>
      <c r="AU27" s="4" t="s">
        <v>310</v>
      </c>
      <c r="AV27" s="4" t="s">
        <v>311</v>
      </c>
      <c r="AW27" s="4" t="s">
        <v>312</v>
      </c>
    </row>
    <row r="28" customFormat="false" ht="15" hidden="false" customHeight="false" outlineLevel="0" collapsed="false">
      <c r="A28" s="4" t="n">
        <v>23</v>
      </c>
      <c r="B28" s="47" t="s">
        <v>313</v>
      </c>
      <c r="C28" s="48" t="s">
        <v>314</v>
      </c>
      <c r="D28" s="14" t="s">
        <v>315</v>
      </c>
      <c r="E28" s="4" t="s">
        <v>316</v>
      </c>
      <c r="F28" s="37" t="n">
        <v>3.31</v>
      </c>
      <c r="G28" s="21" t="n">
        <v>3904</v>
      </c>
      <c r="H28" s="31" t="n">
        <v>1</v>
      </c>
      <c r="I28" s="38" t="n">
        <f aca="false">F28/(G28*H28)*100</f>
        <v>0.0847848360655738</v>
      </c>
      <c r="J28" s="4"/>
      <c r="K28" s="4"/>
      <c r="L28" s="4"/>
      <c r="M28" s="40" t="n">
        <f aca="false">IF(AND(IF(Planner!$C$39="BLS U.S. average (Sep 2026)",1,0)=1,L28&lt;&gt;""),L28,I28)</f>
        <v>0.0847848360655738</v>
      </c>
      <c r="N28" s="13" t="n">
        <v>244</v>
      </c>
      <c r="O28" s="4" t="s">
        <v>317</v>
      </c>
      <c r="P28" s="8" t="n">
        <v>3</v>
      </c>
      <c r="Q28" s="41"/>
      <c r="R28" s="13"/>
      <c r="S28" s="42" t="n">
        <v>0</v>
      </c>
      <c r="T28" s="42" t="n">
        <v>0</v>
      </c>
      <c r="U28" s="42" t="n">
        <v>0</v>
      </c>
      <c r="V28" s="42" t="n">
        <v>0</v>
      </c>
      <c r="W28" s="42" t="n">
        <v>0</v>
      </c>
      <c r="X28" s="42" t="n">
        <v>1</v>
      </c>
      <c r="Y28" s="42" t="n">
        <v>0</v>
      </c>
      <c r="Z28" s="43" t="n">
        <f aca="false">SUMPRODUCT(S28:Y28,INDEX(Diets!$I$5:$O$12,MATCH(Planner!$C$36,Diets!$A$5:$A$12,0),0))+ISNUMBER(SEARCH(","&amp;A28&amp;",",","&amp;SUBSTITUTE(INDEX(Diets!$P$5:$P$12,MATCH(Planner!$C$36,Diets!$A$5:$A$12,0))," ","")&amp;","))*1</f>
        <v>0</v>
      </c>
      <c r="AA28" s="44" t="n">
        <f aca="false">IF(OR(UPPER(Q28)="Y",Z28&gt;0),0,1)</f>
        <v>1</v>
      </c>
      <c r="AB28" s="45" t="n">
        <v>0.5</v>
      </c>
      <c r="AC28" s="45" t="n">
        <v>0</v>
      </c>
      <c r="AD28" s="45" t="n">
        <v>0</v>
      </c>
      <c r="AE28" s="45" t="n">
        <v>0.5</v>
      </c>
      <c r="AF28" s="8"/>
      <c r="AG28" s="4"/>
      <c r="AH28" s="32" t="n">
        <v>50</v>
      </c>
      <c r="AI28" s="32" t="n">
        <v>3.3</v>
      </c>
      <c r="AJ28" s="32" t="n">
        <v>4.8</v>
      </c>
      <c r="AK28" s="32" t="n">
        <v>1.98</v>
      </c>
      <c r="AL28" s="32" t="n">
        <v>0</v>
      </c>
      <c r="AM28" s="32" t="n">
        <v>5.06</v>
      </c>
      <c r="AN28" s="32" t="n">
        <v>120</v>
      </c>
      <c r="AO28" s="32" t="n">
        <v>0.02</v>
      </c>
      <c r="AP28" s="32" t="n">
        <v>140</v>
      </c>
      <c r="AQ28" s="32" t="n">
        <v>47</v>
      </c>
      <c r="AR28" s="32" t="n">
        <v>0.2</v>
      </c>
      <c r="AS28" s="24" t="n">
        <f aca="false">AI28/M28</f>
        <v>38.9220543806647</v>
      </c>
      <c r="AT28" s="18" t="n">
        <f aca="false">AH28/M28</f>
        <v>589.728096676737</v>
      </c>
      <c r="AU28" s="4" t="s">
        <v>318</v>
      </c>
      <c r="AV28" s="4" t="s">
        <v>319</v>
      </c>
      <c r="AW28" s="4" t="s">
        <v>320</v>
      </c>
    </row>
    <row r="29" customFormat="false" ht="15" hidden="false" customHeight="false" outlineLevel="0" collapsed="false">
      <c r="A29" s="4" t="n">
        <v>24</v>
      </c>
      <c r="B29" s="47" t="s">
        <v>313</v>
      </c>
      <c r="C29" s="48" t="s">
        <v>314</v>
      </c>
      <c r="D29" s="14" t="s">
        <v>321</v>
      </c>
      <c r="E29" s="4" t="s">
        <v>322</v>
      </c>
      <c r="F29" s="37" t="n">
        <v>3.28</v>
      </c>
      <c r="G29" s="21" t="n">
        <v>907.2</v>
      </c>
      <c r="H29" s="31" t="n">
        <v>1</v>
      </c>
      <c r="I29" s="38" t="n">
        <f aca="false">F29/(G29*H29)*100</f>
        <v>0.361552028218695</v>
      </c>
      <c r="J29" s="4"/>
      <c r="K29" s="4"/>
      <c r="L29" s="4"/>
      <c r="M29" s="40" t="n">
        <f aca="false">IF(AND(IF(Planner!$C$39="BLS U.S. average (Sep 2026)",1,0)=1,L29&lt;&gt;""),L29,I29)</f>
        <v>0.361552028218695</v>
      </c>
      <c r="N29" s="13" t="n">
        <v>170</v>
      </c>
      <c r="O29" s="4" t="s">
        <v>323</v>
      </c>
      <c r="P29" s="8" t="n">
        <v>2</v>
      </c>
      <c r="Q29" s="41"/>
      <c r="R29" s="13"/>
      <c r="S29" s="42" t="n">
        <v>0</v>
      </c>
      <c r="T29" s="42" t="n">
        <v>0</v>
      </c>
      <c r="U29" s="42" t="n">
        <v>0</v>
      </c>
      <c r="V29" s="42" t="n">
        <v>0</v>
      </c>
      <c r="W29" s="42" t="n">
        <v>0</v>
      </c>
      <c r="X29" s="42" t="n">
        <v>1</v>
      </c>
      <c r="Y29" s="42" t="n">
        <v>0</v>
      </c>
      <c r="Z29" s="43" t="n">
        <f aca="false">SUMPRODUCT(S29:Y29,INDEX(Diets!$I$5:$O$12,MATCH(Planner!$C$36,Diets!$A$5:$A$12,0),0))+ISNUMBER(SEARCH(","&amp;A29&amp;",",","&amp;SUBSTITUTE(INDEX(Diets!$P$5:$P$12,MATCH(Planner!$C$36,Diets!$A$5:$A$12,0))," ","")&amp;","))*1</f>
        <v>0</v>
      </c>
      <c r="AA29" s="44" t="n">
        <f aca="false">IF(OR(UPPER(Q29)="Y",Z29&gt;0),0,1)</f>
        <v>1</v>
      </c>
      <c r="AB29" s="45" t="n">
        <v>0.5</v>
      </c>
      <c r="AC29" s="45" t="n">
        <v>0</v>
      </c>
      <c r="AD29" s="45" t="n">
        <v>0</v>
      </c>
      <c r="AE29" s="45" t="n">
        <v>0.5</v>
      </c>
      <c r="AF29" s="8"/>
      <c r="AG29" s="4"/>
      <c r="AH29" s="32" t="n">
        <v>59</v>
      </c>
      <c r="AI29" s="32" t="n">
        <v>10.19</v>
      </c>
      <c r="AJ29" s="32" t="n">
        <v>3.6</v>
      </c>
      <c r="AK29" s="32" t="n">
        <v>0.39</v>
      </c>
      <c r="AL29" s="32" t="n">
        <v>0</v>
      </c>
      <c r="AM29" s="32" t="n">
        <v>3.24</v>
      </c>
      <c r="AN29" s="32" t="n">
        <v>110</v>
      </c>
      <c r="AO29" s="32" t="n">
        <v>0.07</v>
      </c>
      <c r="AP29" s="32" t="n">
        <v>141</v>
      </c>
      <c r="AQ29" s="32" t="n">
        <v>36</v>
      </c>
      <c r="AR29" s="32" t="n">
        <v>0</v>
      </c>
      <c r="AS29" s="24" t="n">
        <f aca="false">AI29/M29</f>
        <v>28.1840487804878</v>
      </c>
      <c r="AT29" s="18" t="n">
        <f aca="false">AH29/M29</f>
        <v>163.185365853659</v>
      </c>
      <c r="AU29" s="4" t="s">
        <v>324</v>
      </c>
      <c r="AV29" s="4" t="s">
        <v>325</v>
      </c>
      <c r="AW29" s="4"/>
    </row>
    <row r="30" customFormat="false" ht="15" hidden="false" customHeight="false" outlineLevel="0" collapsed="false">
      <c r="A30" s="4" t="n">
        <v>25</v>
      </c>
      <c r="B30" s="47" t="s">
        <v>313</v>
      </c>
      <c r="C30" s="48" t="s">
        <v>314</v>
      </c>
      <c r="D30" s="14" t="s">
        <v>326</v>
      </c>
      <c r="E30" s="4" t="s">
        <v>327</v>
      </c>
      <c r="F30" s="37" t="n">
        <v>4.57</v>
      </c>
      <c r="G30" s="21" t="n">
        <v>1944</v>
      </c>
      <c r="H30" s="31" t="n">
        <v>1</v>
      </c>
      <c r="I30" s="38" t="n">
        <f aca="false">F30/(G30*H30)*100</f>
        <v>0.235082304526749</v>
      </c>
      <c r="J30" s="4"/>
      <c r="K30" s="4"/>
      <c r="L30" s="4"/>
      <c r="M30" s="40" t="n">
        <f aca="false">IF(AND(IF(Planner!$C$39="BLS U.S. average (Sep 2026)",1,0)=1,L30&lt;&gt;""),L30,I30)</f>
        <v>0.235082304526749</v>
      </c>
      <c r="N30" s="13" t="n">
        <v>243</v>
      </c>
      <c r="O30" s="4" t="s">
        <v>317</v>
      </c>
      <c r="P30" s="8" t="n">
        <v>3</v>
      </c>
      <c r="Q30" s="41"/>
      <c r="R30" s="13"/>
      <c r="S30" s="42" t="n">
        <v>0</v>
      </c>
      <c r="T30" s="42" t="n">
        <v>0</v>
      </c>
      <c r="U30" s="42" t="n">
        <v>0</v>
      </c>
      <c r="V30" s="42" t="n">
        <v>0</v>
      </c>
      <c r="W30" s="42" t="n">
        <v>0</v>
      </c>
      <c r="X30" s="42" t="n">
        <v>0</v>
      </c>
      <c r="Y30" s="42" t="n">
        <v>0</v>
      </c>
      <c r="Z30" s="43" t="n">
        <f aca="false">SUMPRODUCT(S30:Y30,INDEX(Diets!$I$5:$O$12,MATCH(Planner!$C$36,Diets!$A$5:$A$12,0),0))+ISNUMBER(SEARCH(","&amp;A30&amp;",",","&amp;SUBSTITUTE(INDEX(Diets!$P$5:$P$12,MATCH(Planner!$C$36,Diets!$A$5:$A$12,0))," ","")&amp;","))*1</f>
        <v>0</v>
      </c>
      <c r="AA30" s="44" t="n">
        <f aca="false">IF(OR(UPPER(Q30)="Y",Z30&gt;0),0,1)</f>
        <v>1</v>
      </c>
      <c r="AB30" s="45" t="n">
        <v>0.5</v>
      </c>
      <c r="AC30" s="45" t="n">
        <v>0</v>
      </c>
      <c r="AD30" s="45" t="n">
        <v>0</v>
      </c>
      <c r="AE30" s="45" t="n">
        <v>0.5</v>
      </c>
      <c r="AF30" s="8"/>
      <c r="AG30" s="4"/>
      <c r="AH30" s="32" t="n">
        <v>43</v>
      </c>
      <c r="AI30" s="32" t="n">
        <v>2.6</v>
      </c>
      <c r="AJ30" s="32" t="n">
        <v>4.92</v>
      </c>
      <c r="AK30" s="32" t="n">
        <v>1.47</v>
      </c>
      <c r="AL30" s="32" t="n">
        <v>0.2</v>
      </c>
      <c r="AM30" s="32" t="n">
        <v>3.65</v>
      </c>
      <c r="AN30" s="32" t="n">
        <v>123</v>
      </c>
      <c r="AO30" s="32" t="n">
        <v>0.42</v>
      </c>
      <c r="AP30" s="32" t="n">
        <v>122</v>
      </c>
      <c r="AQ30" s="32" t="n">
        <v>47</v>
      </c>
      <c r="AR30" s="32" t="n">
        <v>0</v>
      </c>
      <c r="AS30" s="24" t="n">
        <f aca="false">AI30/M30</f>
        <v>11.0599562363239</v>
      </c>
      <c r="AT30" s="18" t="n">
        <f aca="false">AH30/M30</f>
        <v>182.91466083151</v>
      </c>
      <c r="AU30" s="4" t="s">
        <v>328</v>
      </c>
      <c r="AV30" s="4" t="s">
        <v>329</v>
      </c>
      <c r="AW30" s="4" t="s">
        <v>330</v>
      </c>
    </row>
    <row r="31" customFormat="false" ht="15" hidden="false" customHeight="false" outlineLevel="0" collapsed="false">
      <c r="A31" s="4" t="n">
        <v>26</v>
      </c>
      <c r="B31" s="47" t="s">
        <v>313</v>
      </c>
      <c r="C31" s="48" t="s">
        <v>314</v>
      </c>
      <c r="D31" s="14" t="s">
        <v>331</v>
      </c>
      <c r="E31" s="4" t="s">
        <v>316</v>
      </c>
      <c r="F31" s="37" t="n">
        <v>3.48</v>
      </c>
      <c r="G31" s="21" t="n">
        <v>3904</v>
      </c>
      <c r="H31" s="31" t="n">
        <v>1</v>
      </c>
      <c r="I31" s="38" t="n">
        <f aca="false">F31/(G31*H31)*100</f>
        <v>0.0891393442622951</v>
      </c>
      <c r="J31" s="39" t="n">
        <v>4.106</v>
      </c>
      <c r="K31" s="21" t="n">
        <v>3904</v>
      </c>
      <c r="L31" s="38" t="n">
        <f aca="false">J31/(K31*H31)*100</f>
        <v>0.105174180327869</v>
      </c>
      <c r="M31" s="40" t="n">
        <f aca="false">IF(AND(IF(Planner!$C$39="BLS U.S. average (Sep 2026)",1,0)=1,L31&lt;&gt;""),L31,I31)</f>
        <v>0.0891393442622951</v>
      </c>
      <c r="N31" s="13" t="n">
        <v>244</v>
      </c>
      <c r="O31" s="4" t="s">
        <v>317</v>
      </c>
      <c r="P31" s="8" t="n">
        <v>3</v>
      </c>
      <c r="Q31" s="41"/>
      <c r="R31" s="13"/>
      <c r="S31" s="42" t="n">
        <v>0</v>
      </c>
      <c r="T31" s="42" t="n">
        <v>0</v>
      </c>
      <c r="U31" s="42" t="n">
        <v>0</v>
      </c>
      <c r="V31" s="42" t="n">
        <v>0</v>
      </c>
      <c r="W31" s="42" t="n">
        <v>0</v>
      </c>
      <c r="X31" s="42" t="n">
        <v>1</v>
      </c>
      <c r="Y31" s="42" t="n">
        <v>0</v>
      </c>
      <c r="Z31" s="43" t="n">
        <f aca="false">SUMPRODUCT(S31:Y31,INDEX(Diets!$I$5:$O$12,MATCH(Planner!$C$36,Diets!$A$5:$A$12,0),0))+ISNUMBER(SEARCH(","&amp;A31&amp;",",","&amp;SUBSTITUTE(INDEX(Diets!$P$5:$P$12,MATCH(Planner!$C$36,Diets!$A$5:$A$12,0))," ","")&amp;","))*1</f>
        <v>0</v>
      </c>
      <c r="AA31" s="44" t="n">
        <f aca="false">IF(OR(UPPER(Q31)="Y",Z31&gt;0),0,1)</f>
        <v>1</v>
      </c>
      <c r="AB31" s="45" t="n">
        <v>0.5</v>
      </c>
      <c r="AC31" s="45" t="n">
        <v>0</v>
      </c>
      <c r="AD31" s="45" t="n">
        <v>0</v>
      </c>
      <c r="AE31" s="45" t="n">
        <v>0.5</v>
      </c>
      <c r="AF31" s="8"/>
      <c r="AG31" s="4"/>
      <c r="AH31" s="32" t="n">
        <v>61</v>
      </c>
      <c r="AI31" s="32" t="n">
        <v>3.15</v>
      </c>
      <c r="AJ31" s="32" t="n">
        <v>4.8</v>
      </c>
      <c r="AK31" s="32" t="n">
        <v>3.25</v>
      </c>
      <c r="AL31" s="32" t="n">
        <v>0</v>
      </c>
      <c r="AM31" s="32" t="n">
        <v>5.05</v>
      </c>
      <c r="AN31" s="32" t="n">
        <v>113</v>
      </c>
      <c r="AO31" s="32" t="n">
        <v>0.03</v>
      </c>
      <c r="AP31" s="32" t="n">
        <v>132</v>
      </c>
      <c r="AQ31" s="32" t="n">
        <v>43</v>
      </c>
      <c r="AR31" s="32" t="n">
        <v>0</v>
      </c>
      <c r="AS31" s="24" t="n">
        <f aca="false">AI31/M31</f>
        <v>35.3379310344828</v>
      </c>
      <c r="AT31" s="18" t="n">
        <f aca="false">AH31/M31</f>
        <v>684.32183908046</v>
      </c>
      <c r="AU31" s="4" t="s">
        <v>332</v>
      </c>
      <c r="AV31" s="4" t="s">
        <v>333</v>
      </c>
      <c r="AW31" s="4" t="s">
        <v>320</v>
      </c>
    </row>
    <row r="32" customFormat="false" ht="15" hidden="false" customHeight="false" outlineLevel="0" collapsed="false">
      <c r="A32" s="4" t="n">
        <v>27</v>
      </c>
      <c r="B32" s="47" t="s">
        <v>313</v>
      </c>
      <c r="C32" s="48" t="s">
        <v>334</v>
      </c>
      <c r="D32" s="14" t="s">
        <v>335</v>
      </c>
      <c r="E32" s="4" t="s">
        <v>336</v>
      </c>
      <c r="F32" s="37" t="n">
        <v>2.48</v>
      </c>
      <c r="G32" s="21" t="n">
        <v>453.6</v>
      </c>
      <c r="H32" s="31" t="n">
        <v>1</v>
      </c>
      <c r="I32" s="38" t="n">
        <f aca="false">F32/(G32*H32)*100</f>
        <v>0.54673721340388</v>
      </c>
      <c r="J32" s="39" t="n">
        <v>4.737</v>
      </c>
      <c r="K32" s="21" t="n">
        <v>453.6</v>
      </c>
      <c r="L32" s="38" t="n">
        <f aca="false">J32/(K32*H32)*100</f>
        <v>1.04431216931217</v>
      </c>
      <c r="M32" s="40" t="n">
        <f aca="false">IF(AND(IF(Planner!$C$39="BLS U.S. average (Sep 2026)",1,0)=1,L32&lt;&gt;""),L32,I32)</f>
        <v>0.54673721340388</v>
      </c>
      <c r="N32" s="13" t="n">
        <v>19</v>
      </c>
      <c r="O32" s="4" t="s">
        <v>337</v>
      </c>
      <c r="P32" s="8" t="n">
        <v>3</v>
      </c>
      <c r="Q32" s="41"/>
      <c r="R32" s="13"/>
      <c r="S32" s="42" t="n">
        <v>0</v>
      </c>
      <c r="T32" s="42" t="n">
        <v>0</v>
      </c>
      <c r="U32" s="42" t="n">
        <v>0</v>
      </c>
      <c r="V32" s="42" t="n">
        <v>0</v>
      </c>
      <c r="W32" s="42" t="n">
        <v>0</v>
      </c>
      <c r="X32" s="42" t="n">
        <v>1</v>
      </c>
      <c r="Y32" s="42" t="n">
        <v>0</v>
      </c>
      <c r="Z32" s="43" t="n">
        <f aca="false">SUMPRODUCT(S32:Y32,INDEX(Diets!$I$5:$O$12,MATCH(Planner!$C$36,Diets!$A$5:$A$12,0),0))+ISNUMBER(SEARCH(","&amp;A32&amp;",",","&amp;SUBSTITUTE(INDEX(Diets!$P$5:$P$12,MATCH(Planner!$C$36,Diets!$A$5:$A$12,0))," ","")&amp;","))*1</f>
        <v>0</v>
      </c>
      <c r="AA32" s="44" t="n">
        <f aca="false">IF(OR(UPPER(Q32)="Y",Z32&gt;0),0,1)</f>
        <v>1</v>
      </c>
      <c r="AB32" s="45" t="n">
        <v>0</v>
      </c>
      <c r="AC32" s="45" t="n">
        <v>1</v>
      </c>
      <c r="AD32" s="45" t="n">
        <v>0</v>
      </c>
      <c r="AE32" s="45" t="n">
        <v>0</v>
      </c>
      <c r="AF32" s="8"/>
      <c r="AG32" s="4" t="s">
        <v>334</v>
      </c>
      <c r="AH32" s="32" t="n">
        <v>366</v>
      </c>
      <c r="AI32" s="32" t="n">
        <v>18.13</v>
      </c>
      <c r="AJ32" s="32" t="n">
        <v>4.78</v>
      </c>
      <c r="AK32" s="32" t="n">
        <v>30.71</v>
      </c>
      <c r="AL32" s="32" t="n">
        <v>0</v>
      </c>
      <c r="AM32" s="32" t="n">
        <v>2.26</v>
      </c>
      <c r="AN32" s="32" t="n">
        <v>1045</v>
      </c>
      <c r="AO32" s="32" t="n">
        <v>0.63</v>
      </c>
      <c r="AP32" s="32" t="n">
        <v>132</v>
      </c>
      <c r="AQ32" s="32" t="n">
        <v>1671</v>
      </c>
      <c r="AR32" s="32" t="n">
        <v>0</v>
      </c>
      <c r="AS32" s="24" t="n">
        <f aca="false">AI32/M32</f>
        <v>33.1603548387097</v>
      </c>
      <c r="AT32" s="18" t="n">
        <f aca="false">AH32/M32</f>
        <v>669.425806451613</v>
      </c>
      <c r="AU32" s="4" t="s">
        <v>338</v>
      </c>
      <c r="AV32" s="4" t="s">
        <v>339</v>
      </c>
      <c r="AW32" s="4"/>
    </row>
    <row r="33" customFormat="false" ht="15" hidden="false" customHeight="false" outlineLevel="0" collapsed="false">
      <c r="A33" s="4" t="n">
        <v>28</v>
      </c>
      <c r="B33" s="47" t="s">
        <v>313</v>
      </c>
      <c r="C33" s="48" t="s">
        <v>334</v>
      </c>
      <c r="D33" s="14" t="s">
        <v>340</v>
      </c>
      <c r="E33" s="4" t="s">
        <v>341</v>
      </c>
      <c r="F33" s="37" t="n">
        <v>1.87</v>
      </c>
      <c r="G33" s="21" t="n">
        <v>226.8</v>
      </c>
      <c r="H33" s="31" t="n">
        <v>1</v>
      </c>
      <c r="I33" s="38" t="n">
        <f aca="false">F33/(G33*H33)*100</f>
        <v>0.824514991181658</v>
      </c>
      <c r="J33" s="39" t="n">
        <v>6.133</v>
      </c>
      <c r="K33" s="21" t="n">
        <v>453.6</v>
      </c>
      <c r="L33" s="38" t="n">
        <f aca="false">J33/(K33*H33)*100</f>
        <v>1.35207231040564</v>
      </c>
      <c r="M33" s="40" t="n">
        <f aca="false">IF(AND(IF(Planner!$C$39="BLS U.S. average (Sep 2026)",1,0)=1,L33&lt;&gt;""),L33,I33)</f>
        <v>0.824514991181658</v>
      </c>
      <c r="N33" s="13" t="n">
        <v>28</v>
      </c>
      <c r="O33" s="4" t="s">
        <v>342</v>
      </c>
      <c r="P33" s="8" t="n">
        <v>2</v>
      </c>
      <c r="Q33" s="41"/>
      <c r="R33" s="13"/>
      <c r="S33" s="42" t="n">
        <v>0</v>
      </c>
      <c r="T33" s="42" t="n">
        <v>0</v>
      </c>
      <c r="U33" s="42" t="n">
        <v>0</v>
      </c>
      <c r="V33" s="42" t="n">
        <v>0</v>
      </c>
      <c r="W33" s="42" t="n">
        <v>0</v>
      </c>
      <c r="X33" s="42" t="n">
        <v>1</v>
      </c>
      <c r="Y33" s="42" t="n">
        <v>0</v>
      </c>
      <c r="Z33" s="43" t="n">
        <f aca="false">SUMPRODUCT(S33:Y33,INDEX(Diets!$I$5:$O$12,MATCH(Planner!$C$36,Diets!$A$5:$A$12,0),0))+ISNUMBER(SEARCH(","&amp;A33&amp;",",","&amp;SUBSTITUTE(INDEX(Diets!$P$5:$P$12,MATCH(Planner!$C$36,Diets!$A$5:$A$12,0))," ","")&amp;","))*1</f>
        <v>0</v>
      </c>
      <c r="AA33" s="44" t="n">
        <f aca="false">IF(OR(UPPER(Q33)="Y",Z33&gt;0),0,1)</f>
        <v>1</v>
      </c>
      <c r="AB33" s="45" t="n">
        <v>0</v>
      </c>
      <c r="AC33" s="45" t="n">
        <v>0.5</v>
      </c>
      <c r="AD33" s="45" t="n">
        <v>0.5</v>
      </c>
      <c r="AE33" s="45" t="n">
        <v>0</v>
      </c>
      <c r="AF33" s="8"/>
      <c r="AG33" s="4" t="s">
        <v>334</v>
      </c>
      <c r="AH33" s="32" t="n">
        <v>404</v>
      </c>
      <c r="AI33" s="32" t="n">
        <v>22.87</v>
      </c>
      <c r="AJ33" s="32" t="n">
        <v>3.09</v>
      </c>
      <c r="AK33" s="32" t="n">
        <v>33.31</v>
      </c>
      <c r="AL33" s="32" t="n">
        <v>0</v>
      </c>
      <c r="AM33" s="32" t="n">
        <v>0.48</v>
      </c>
      <c r="AN33" s="32" t="n">
        <v>710</v>
      </c>
      <c r="AO33" s="32" t="n">
        <v>0.14</v>
      </c>
      <c r="AP33" s="32" t="n">
        <v>76</v>
      </c>
      <c r="AQ33" s="32" t="n">
        <v>653</v>
      </c>
      <c r="AR33" s="32" t="n">
        <v>0</v>
      </c>
      <c r="AS33" s="24" t="n">
        <f aca="false">AI33/M33</f>
        <v>27.7375187165775</v>
      </c>
      <c r="AT33" s="18" t="n">
        <f aca="false">AH33/M33</f>
        <v>489.985026737968</v>
      </c>
      <c r="AU33" s="4" t="s">
        <v>343</v>
      </c>
      <c r="AV33" s="4" t="s">
        <v>344</v>
      </c>
      <c r="AW33" s="4"/>
    </row>
    <row r="34" customFormat="false" ht="15" hidden="false" customHeight="false" outlineLevel="0" collapsed="false">
      <c r="A34" s="4" t="n">
        <v>29</v>
      </c>
      <c r="B34" s="47" t="s">
        <v>313</v>
      </c>
      <c r="C34" s="48" t="s">
        <v>334</v>
      </c>
      <c r="D34" s="14" t="s">
        <v>345</v>
      </c>
      <c r="E34" s="4" t="s">
        <v>346</v>
      </c>
      <c r="F34" s="37" t="n">
        <v>2.87</v>
      </c>
      <c r="G34" s="21" t="n">
        <v>680.4</v>
      </c>
      <c r="H34" s="31" t="n">
        <v>1</v>
      </c>
      <c r="I34" s="38" t="n">
        <f aca="false">F34/(G34*H34)*100</f>
        <v>0.421810699588477</v>
      </c>
      <c r="J34" s="4"/>
      <c r="K34" s="4"/>
      <c r="L34" s="4"/>
      <c r="M34" s="40" t="n">
        <f aca="false">IF(AND(IF(Planner!$C$39="BLS U.S. average (Sep 2026)",1,0)=1,L34&lt;&gt;""),L34,I34)</f>
        <v>0.421810699588477</v>
      </c>
      <c r="N34" s="13" t="n">
        <v>113</v>
      </c>
      <c r="O34" s="4" t="s">
        <v>284</v>
      </c>
      <c r="P34" s="8" t="n">
        <v>2</v>
      </c>
      <c r="Q34" s="41"/>
      <c r="R34" s="13"/>
      <c r="S34" s="42" t="n">
        <v>0</v>
      </c>
      <c r="T34" s="42" t="n">
        <v>0</v>
      </c>
      <c r="U34" s="42" t="n">
        <v>0</v>
      </c>
      <c r="V34" s="42" t="n">
        <v>0</v>
      </c>
      <c r="W34" s="42" t="n">
        <v>0</v>
      </c>
      <c r="X34" s="42" t="n">
        <v>1</v>
      </c>
      <c r="Y34" s="42" t="n">
        <v>0</v>
      </c>
      <c r="Z34" s="43" t="n">
        <f aca="false">SUMPRODUCT(S34:Y34,INDEX(Diets!$I$5:$O$12,MATCH(Planner!$C$36,Diets!$A$5:$A$12,0),0))+ISNUMBER(SEARCH(","&amp;A34&amp;",",","&amp;SUBSTITUTE(INDEX(Diets!$P$5:$P$12,MATCH(Planner!$C$36,Diets!$A$5:$A$12,0))," ","")&amp;","))*1</f>
        <v>0</v>
      </c>
      <c r="AA34" s="44" t="n">
        <f aca="false">IF(OR(UPPER(Q34)="Y",Z34&gt;0),0,1)</f>
        <v>1</v>
      </c>
      <c r="AB34" s="45" t="n">
        <v>0</v>
      </c>
      <c r="AC34" s="45" t="n">
        <v>0.5</v>
      </c>
      <c r="AD34" s="45" t="n">
        <v>0</v>
      </c>
      <c r="AE34" s="45" t="n">
        <v>0.5</v>
      </c>
      <c r="AF34" s="8"/>
      <c r="AG34" s="4" t="s">
        <v>334</v>
      </c>
      <c r="AH34" s="32" t="n">
        <v>81</v>
      </c>
      <c r="AI34" s="32" t="n">
        <v>10.45</v>
      </c>
      <c r="AJ34" s="32" t="n">
        <v>4.76</v>
      </c>
      <c r="AK34" s="32" t="n">
        <v>2.27</v>
      </c>
      <c r="AL34" s="32" t="n">
        <v>0</v>
      </c>
      <c r="AM34" s="32" t="n">
        <v>4</v>
      </c>
      <c r="AN34" s="32" t="n">
        <v>111</v>
      </c>
      <c r="AO34" s="32" t="n">
        <v>0.13</v>
      </c>
      <c r="AP34" s="32" t="n">
        <v>125</v>
      </c>
      <c r="AQ34" s="32" t="n">
        <v>308</v>
      </c>
      <c r="AR34" s="32" t="n">
        <v>0</v>
      </c>
      <c r="AS34" s="24" t="n">
        <f aca="false">AI34/M34</f>
        <v>24.7741463414634</v>
      </c>
      <c r="AT34" s="18" t="n">
        <f aca="false">AH34/M34</f>
        <v>192.029268292683</v>
      </c>
      <c r="AU34" s="4" t="s">
        <v>347</v>
      </c>
      <c r="AV34" s="4" t="s">
        <v>348</v>
      </c>
      <c r="AW34" s="4"/>
    </row>
    <row r="35" customFormat="false" ht="15" hidden="false" customHeight="false" outlineLevel="0" collapsed="false">
      <c r="A35" s="4" t="n">
        <v>30</v>
      </c>
      <c r="B35" s="47" t="s">
        <v>313</v>
      </c>
      <c r="C35" s="48" t="s">
        <v>334</v>
      </c>
      <c r="D35" s="14" t="s">
        <v>349</v>
      </c>
      <c r="E35" s="4" t="s">
        <v>350</v>
      </c>
      <c r="F35" s="46" t="n">
        <v>3.28</v>
      </c>
      <c r="G35" s="21" t="n">
        <v>340.2</v>
      </c>
      <c r="H35" s="31" t="n">
        <v>1</v>
      </c>
      <c r="I35" s="38" t="n">
        <f aca="false">F35/(G35*H35)*100</f>
        <v>0.96413874191652</v>
      </c>
      <c r="J35" s="4"/>
      <c r="K35" s="4"/>
      <c r="L35" s="4"/>
      <c r="M35" s="40" t="n">
        <f aca="false">IF(AND(IF(Planner!$C$39="BLS U.S. average (Sep 2026)",1,0)=1,L35&lt;&gt;""),L35,I35)</f>
        <v>0.96413874191652</v>
      </c>
      <c r="N35" s="13" t="n">
        <v>28</v>
      </c>
      <c r="O35" s="4" t="s">
        <v>351</v>
      </c>
      <c r="P35" s="8" t="n">
        <v>2</v>
      </c>
      <c r="Q35" s="41"/>
      <c r="R35" s="13"/>
      <c r="S35" s="42" t="n">
        <v>0</v>
      </c>
      <c r="T35" s="42" t="n">
        <v>0</v>
      </c>
      <c r="U35" s="42" t="n">
        <v>0</v>
      </c>
      <c r="V35" s="42" t="n">
        <v>0</v>
      </c>
      <c r="W35" s="42" t="n">
        <v>0</v>
      </c>
      <c r="X35" s="42" t="n">
        <v>1</v>
      </c>
      <c r="Y35" s="42" t="n">
        <v>0</v>
      </c>
      <c r="Z35" s="43" t="n">
        <f aca="false">SUMPRODUCT(S35:Y35,INDEX(Diets!$I$5:$O$12,MATCH(Planner!$C$36,Diets!$A$5:$A$12,0),0))+ISNUMBER(SEARCH(","&amp;A35&amp;",",","&amp;SUBSTITUTE(INDEX(Diets!$P$5:$P$12,MATCH(Planner!$C$36,Diets!$A$5:$A$12,0))," ","")&amp;","))*1</f>
        <v>0</v>
      </c>
      <c r="AA35" s="44" t="n">
        <f aca="false">IF(OR(UPPER(Q35)="Y",Z35&gt;0),0,1)</f>
        <v>1</v>
      </c>
      <c r="AB35" s="45" t="n">
        <v>0</v>
      </c>
      <c r="AC35" s="45" t="n">
        <v>0</v>
      </c>
      <c r="AD35" s="45" t="n">
        <v>0</v>
      </c>
      <c r="AE35" s="45" t="n">
        <v>1</v>
      </c>
      <c r="AF35" s="8"/>
      <c r="AG35" s="4" t="s">
        <v>334</v>
      </c>
      <c r="AH35" s="32" t="n">
        <v>295</v>
      </c>
      <c r="AI35" s="32" t="n">
        <v>23.75</v>
      </c>
      <c r="AJ35" s="32" t="n">
        <v>5.58</v>
      </c>
      <c r="AK35" s="32" t="n">
        <v>19.78</v>
      </c>
      <c r="AL35" s="32" t="n">
        <v>0</v>
      </c>
      <c r="AM35" s="32" t="n">
        <v>1.9</v>
      </c>
      <c r="AN35" s="32" t="n">
        <v>697</v>
      </c>
      <c r="AO35" s="32" t="n">
        <v>0.22</v>
      </c>
      <c r="AP35" s="32" t="n">
        <v>188</v>
      </c>
      <c r="AQ35" s="32" t="n">
        <v>666</v>
      </c>
      <c r="AR35" s="32" t="n">
        <v>0</v>
      </c>
      <c r="AS35" s="24" t="n">
        <f aca="false">AI35/M35</f>
        <v>24.6333841463415</v>
      </c>
      <c r="AT35" s="18" t="n">
        <f aca="false">AH35/M35</f>
        <v>305.97256097561</v>
      </c>
      <c r="AU35" s="4" t="s">
        <v>352</v>
      </c>
      <c r="AV35" s="4" t="s">
        <v>353</v>
      </c>
      <c r="AW35" s="4" t="s">
        <v>354</v>
      </c>
    </row>
    <row r="36" customFormat="false" ht="15" hidden="false" customHeight="false" outlineLevel="0" collapsed="false">
      <c r="A36" s="4" t="n">
        <v>31</v>
      </c>
      <c r="B36" s="49" t="s">
        <v>355</v>
      </c>
      <c r="C36" s="50" t="s">
        <v>356</v>
      </c>
      <c r="D36" s="14" t="s">
        <v>357</v>
      </c>
      <c r="E36" s="4" t="s">
        <v>358</v>
      </c>
      <c r="F36" s="37" t="n">
        <v>2.14</v>
      </c>
      <c r="G36" s="21" t="n">
        <v>567</v>
      </c>
      <c r="H36" s="31" t="n">
        <v>1</v>
      </c>
      <c r="I36" s="38" t="n">
        <f aca="false">F36/(G36*H36)*100</f>
        <v>0.377425044091711</v>
      </c>
      <c r="J36" s="4"/>
      <c r="K36" s="4"/>
      <c r="L36" s="4"/>
      <c r="M36" s="40" t="n">
        <f aca="false">IF(AND(IF(Planner!$C$39="BLS U.S. average (Sep 2026)",1,0)=1,L36&lt;&gt;""),L36,I36)</f>
        <v>0.377425044091711</v>
      </c>
      <c r="N36" s="13" t="n">
        <v>94</v>
      </c>
      <c r="O36" s="4" t="s">
        <v>359</v>
      </c>
      <c r="P36" s="8" t="n">
        <v>1</v>
      </c>
      <c r="Q36" s="41"/>
      <c r="R36" s="13"/>
      <c r="S36" s="42" t="n">
        <v>0</v>
      </c>
      <c r="T36" s="42" t="n">
        <v>0</v>
      </c>
      <c r="U36" s="42" t="n">
        <v>0</v>
      </c>
      <c r="V36" s="42" t="n">
        <v>0</v>
      </c>
      <c r="W36" s="42" t="n">
        <v>0</v>
      </c>
      <c r="X36" s="42" t="n">
        <v>0</v>
      </c>
      <c r="Y36" s="42" t="n">
        <v>1</v>
      </c>
      <c r="Z36" s="43" t="n">
        <f aca="false">SUMPRODUCT(S36:Y36,INDEX(Diets!$I$5:$O$12,MATCH(Planner!$C$36,Diets!$A$5:$A$12,0),0))+ISNUMBER(SEARCH(","&amp;A36&amp;",",","&amp;SUBSTITUTE(INDEX(Diets!$P$5:$P$12,MATCH(Planner!$C$36,Diets!$A$5:$A$12,0))," ","")&amp;","))*1</f>
        <v>0</v>
      </c>
      <c r="AA36" s="44" t="n">
        <f aca="false">IF(OR(UPPER(Q36)="Y",Z36&gt;0),0,1)</f>
        <v>1</v>
      </c>
      <c r="AB36" s="45" t="n">
        <v>1</v>
      </c>
      <c r="AC36" s="45" t="n">
        <v>0</v>
      </c>
      <c r="AD36" s="45" t="n">
        <v>0</v>
      </c>
      <c r="AE36" s="45" t="n">
        <v>0</v>
      </c>
      <c r="AF36" s="8"/>
      <c r="AG36" s="4" t="s">
        <v>360</v>
      </c>
      <c r="AH36" s="32" t="n">
        <v>264</v>
      </c>
      <c r="AI36" s="32" t="n">
        <v>10.56</v>
      </c>
      <c r="AJ36" s="32" t="n">
        <v>52.38</v>
      </c>
      <c r="AK36" s="32" t="n">
        <v>1.32</v>
      </c>
      <c r="AL36" s="32" t="n">
        <v>1.6</v>
      </c>
      <c r="AM36" s="32" t="n">
        <v>8.43</v>
      </c>
      <c r="AN36" s="32" t="n">
        <v>219</v>
      </c>
      <c r="AO36" s="32" t="n">
        <v>3.57</v>
      </c>
      <c r="AP36" s="32" t="n">
        <v>107</v>
      </c>
      <c r="AQ36" s="32" t="n">
        <v>422</v>
      </c>
      <c r="AR36" s="32" t="n">
        <v>0</v>
      </c>
      <c r="AS36" s="24" t="n">
        <f aca="false">AI36/M36</f>
        <v>27.9790654205607</v>
      </c>
      <c r="AT36" s="18" t="n">
        <f aca="false">AH36/M36</f>
        <v>699.476635514019</v>
      </c>
      <c r="AU36" s="4" t="s">
        <v>361</v>
      </c>
      <c r="AV36" s="4" t="s">
        <v>362</v>
      </c>
      <c r="AW36" s="4"/>
    </row>
    <row r="37" customFormat="false" ht="15" hidden="false" customHeight="false" outlineLevel="0" collapsed="false">
      <c r="A37" s="4" t="n">
        <v>32</v>
      </c>
      <c r="B37" s="49" t="s">
        <v>355</v>
      </c>
      <c r="C37" s="50" t="s">
        <v>356</v>
      </c>
      <c r="D37" s="14" t="s">
        <v>363</v>
      </c>
      <c r="E37" s="4" t="s">
        <v>364</v>
      </c>
      <c r="F37" s="37" t="n">
        <v>1.72</v>
      </c>
      <c r="G37" s="21" t="n">
        <v>907.2</v>
      </c>
      <c r="H37" s="31" t="n">
        <v>1</v>
      </c>
      <c r="I37" s="38" t="n">
        <f aca="false">F37/(G37*H37)*100</f>
        <v>0.189594356261023</v>
      </c>
      <c r="J37" s="4"/>
      <c r="K37" s="4"/>
      <c r="L37" s="4"/>
      <c r="M37" s="40" t="n">
        <f aca="false">IF(AND(IF(Planner!$C$39="BLS U.S. average (Sep 2026)",1,0)=1,L37&lt;&gt;""),L37,I37)</f>
        <v>0.189594356261023</v>
      </c>
      <c r="N37" s="13" t="n">
        <v>46</v>
      </c>
      <c r="O37" s="4" t="s">
        <v>295</v>
      </c>
      <c r="P37" s="8" t="n">
        <v>4</v>
      </c>
      <c r="Q37" s="41"/>
      <c r="R37" s="13"/>
      <c r="S37" s="42" t="n">
        <v>0</v>
      </c>
      <c r="T37" s="42" t="n">
        <v>0</v>
      </c>
      <c r="U37" s="42" t="n">
        <v>0</v>
      </c>
      <c r="V37" s="42" t="n">
        <v>0</v>
      </c>
      <c r="W37" s="42" t="n">
        <v>0</v>
      </c>
      <c r="X37" s="42" t="n">
        <v>0</v>
      </c>
      <c r="Y37" s="42" t="n">
        <v>0</v>
      </c>
      <c r="Z37" s="43" t="n">
        <f aca="false">SUMPRODUCT(S37:Y37,INDEX(Diets!$I$5:$O$12,MATCH(Planner!$C$36,Diets!$A$5:$A$12,0),0))+ISNUMBER(SEARCH(","&amp;A37&amp;",",","&amp;SUBSTITUTE(INDEX(Diets!$P$5:$P$12,MATCH(Planner!$C$36,Diets!$A$5:$A$12,0))," ","")&amp;","))*1</f>
        <v>0</v>
      </c>
      <c r="AA37" s="44" t="n">
        <f aca="false">IF(OR(UPPER(Q37)="Y",Z37&gt;0),0,1)</f>
        <v>1</v>
      </c>
      <c r="AB37" s="45" t="n">
        <v>0</v>
      </c>
      <c r="AC37" s="45" t="n">
        <v>0.5</v>
      </c>
      <c r="AD37" s="45" t="n">
        <v>0.5</v>
      </c>
      <c r="AE37" s="45" t="n">
        <v>0</v>
      </c>
      <c r="AF37" s="8"/>
      <c r="AG37" s="4" t="s">
        <v>360</v>
      </c>
      <c r="AH37" s="32" t="n">
        <v>367</v>
      </c>
      <c r="AI37" s="32" t="n">
        <v>7.54</v>
      </c>
      <c r="AJ37" s="32" t="n">
        <v>76.25</v>
      </c>
      <c r="AK37" s="32" t="n">
        <v>3.2</v>
      </c>
      <c r="AL37" s="32" t="n">
        <v>3.6</v>
      </c>
      <c r="AM37" s="32" t="n">
        <v>0.66</v>
      </c>
      <c r="AN37" s="32" t="n">
        <v>9</v>
      </c>
      <c r="AO37" s="32" t="n">
        <v>1.29</v>
      </c>
      <c r="AP37" s="32" t="n">
        <v>250</v>
      </c>
      <c r="AQ37" s="32" t="n">
        <v>5</v>
      </c>
      <c r="AR37" s="32" t="n">
        <v>0</v>
      </c>
      <c r="AS37" s="24" t="n">
        <f aca="false">AI37/M37</f>
        <v>39.7691162790698</v>
      </c>
      <c r="AT37" s="18" t="n">
        <f aca="false">AH37/M37</f>
        <v>1935.71162790698</v>
      </c>
      <c r="AU37" s="4" t="s">
        <v>365</v>
      </c>
      <c r="AV37" s="4" t="s">
        <v>366</v>
      </c>
      <c r="AW37" s="4"/>
    </row>
    <row r="38" customFormat="false" ht="15" hidden="false" customHeight="false" outlineLevel="0" collapsed="false">
      <c r="A38" s="4" t="n">
        <v>33</v>
      </c>
      <c r="B38" s="49" t="s">
        <v>355</v>
      </c>
      <c r="C38" s="50" t="s">
        <v>356</v>
      </c>
      <c r="D38" s="14" t="s">
        <v>367</v>
      </c>
      <c r="E38" s="4" t="s">
        <v>368</v>
      </c>
      <c r="F38" s="37" t="n">
        <v>4.97</v>
      </c>
      <c r="G38" s="21" t="n">
        <v>510.3</v>
      </c>
      <c r="H38" s="31" t="n">
        <v>1</v>
      </c>
      <c r="I38" s="38" t="n">
        <f aca="false">F38/(G38*H38)*100</f>
        <v>0.973936899862826</v>
      </c>
      <c r="J38" s="4"/>
      <c r="K38" s="4"/>
      <c r="L38" s="4"/>
      <c r="M38" s="40" t="n">
        <f aca="false">IF(AND(IF(Planner!$C$39="BLS U.S. average (Sep 2026)",1,0)=1,L38&lt;&gt;""),L38,I38)</f>
        <v>0.973936899862826</v>
      </c>
      <c r="N38" s="13" t="n">
        <v>28</v>
      </c>
      <c r="O38" s="4" t="s">
        <v>317</v>
      </c>
      <c r="P38" s="8" t="n">
        <v>2</v>
      </c>
      <c r="Q38" s="41"/>
      <c r="R38" s="13"/>
      <c r="S38" s="42" t="n">
        <v>0</v>
      </c>
      <c r="T38" s="42" t="n">
        <v>0</v>
      </c>
      <c r="U38" s="42" t="n">
        <v>0</v>
      </c>
      <c r="V38" s="42" t="n">
        <v>0</v>
      </c>
      <c r="W38" s="42" t="n">
        <v>0</v>
      </c>
      <c r="X38" s="42" t="n">
        <v>0</v>
      </c>
      <c r="Y38" s="42" t="n">
        <v>0</v>
      </c>
      <c r="Z38" s="43" t="n">
        <f aca="false">SUMPRODUCT(S38:Y38,INDEX(Diets!$I$5:$O$12,MATCH(Planner!$C$36,Diets!$A$5:$A$12,0),0))+ISNUMBER(SEARCH(","&amp;A38&amp;",",","&amp;SUBSTITUTE(INDEX(Diets!$P$5:$P$12,MATCH(Planner!$C$36,Diets!$A$5:$A$12,0))," ","")&amp;","))*1</f>
        <v>0</v>
      </c>
      <c r="AA38" s="44" t="n">
        <f aca="false">IF(OR(UPPER(Q38)="Y",Z38&gt;0),0,1)</f>
        <v>1</v>
      </c>
      <c r="AB38" s="45" t="n">
        <v>1</v>
      </c>
      <c r="AC38" s="45" t="n">
        <v>0</v>
      </c>
      <c r="AD38" s="45" t="n">
        <v>0</v>
      </c>
      <c r="AE38" s="45" t="n">
        <v>0</v>
      </c>
      <c r="AF38" s="8"/>
      <c r="AG38" s="4" t="s">
        <v>360</v>
      </c>
      <c r="AH38" s="32" t="n">
        <v>376</v>
      </c>
      <c r="AI38" s="32" t="n">
        <v>12.09</v>
      </c>
      <c r="AJ38" s="32" t="n">
        <v>73.23</v>
      </c>
      <c r="AK38" s="32" t="n">
        <v>6.73</v>
      </c>
      <c r="AL38" s="32" t="n">
        <v>9.4</v>
      </c>
      <c r="AM38" s="32" t="n">
        <v>4.36</v>
      </c>
      <c r="AN38" s="32" t="n">
        <v>401</v>
      </c>
      <c r="AO38" s="32" t="n">
        <v>33.17</v>
      </c>
      <c r="AP38" s="32" t="n">
        <v>641</v>
      </c>
      <c r="AQ38" s="32" t="n">
        <v>497</v>
      </c>
      <c r="AR38" s="32" t="n">
        <v>21.6</v>
      </c>
      <c r="AS38" s="24" t="n">
        <f aca="false">AI38/M38</f>
        <v>12.4135352112676</v>
      </c>
      <c r="AT38" s="18" t="n">
        <f aca="false">AH38/M38</f>
        <v>386.061971830986</v>
      </c>
      <c r="AU38" s="4" t="s">
        <v>369</v>
      </c>
      <c r="AV38" s="4" t="s">
        <v>370</v>
      </c>
      <c r="AW38" s="4" t="s">
        <v>371</v>
      </c>
    </row>
    <row r="39" customFormat="false" ht="15" hidden="false" customHeight="false" outlineLevel="0" collapsed="false">
      <c r="A39" s="4" t="n">
        <v>34</v>
      </c>
      <c r="B39" s="49" t="s">
        <v>355</v>
      </c>
      <c r="C39" s="50" t="s">
        <v>356</v>
      </c>
      <c r="D39" s="14" t="s">
        <v>372</v>
      </c>
      <c r="E39" s="4" t="s">
        <v>373</v>
      </c>
      <c r="F39" s="37" t="n">
        <v>2.48</v>
      </c>
      <c r="G39" s="21" t="n">
        <v>791</v>
      </c>
      <c r="H39" s="31" t="n">
        <v>1</v>
      </c>
      <c r="I39" s="38" t="n">
        <f aca="false">F39/(G39*H39)*100</f>
        <v>0.313527180783818</v>
      </c>
      <c r="J39" s="4"/>
      <c r="K39" s="4"/>
      <c r="L39" s="4"/>
      <c r="M39" s="40" t="n">
        <f aca="false">IF(AND(IF(Planner!$C$39="BLS U.S. average (Sep 2026)",1,0)=1,L39&lt;&gt;""),L39,I39)</f>
        <v>0.313527180783818</v>
      </c>
      <c r="N39" s="13" t="n">
        <v>26</v>
      </c>
      <c r="O39" s="4" t="s">
        <v>374</v>
      </c>
      <c r="P39" s="8" t="n">
        <v>6</v>
      </c>
      <c r="Q39" s="41"/>
      <c r="R39" s="13"/>
      <c r="S39" s="42" t="n">
        <v>0</v>
      </c>
      <c r="T39" s="42" t="n">
        <v>0</v>
      </c>
      <c r="U39" s="42" t="n">
        <v>0</v>
      </c>
      <c r="V39" s="42" t="n">
        <v>0</v>
      </c>
      <c r="W39" s="42" t="n">
        <v>0</v>
      </c>
      <c r="X39" s="42" t="n">
        <v>0</v>
      </c>
      <c r="Y39" s="42" t="n">
        <v>0</v>
      </c>
      <c r="Z39" s="43" t="n">
        <f aca="false">SUMPRODUCT(S39:Y39,INDEX(Diets!$I$5:$O$12,MATCH(Planner!$C$36,Diets!$A$5:$A$12,0),0))+ISNUMBER(SEARCH(","&amp;A39&amp;",",","&amp;SUBSTITUTE(INDEX(Diets!$P$5:$P$12,MATCH(Planner!$C$36,Diets!$A$5:$A$12,0))," ","")&amp;","))*1</f>
        <v>0</v>
      </c>
      <c r="AA39" s="44" t="n">
        <f aca="false">IF(OR(UPPER(Q39)="Y",Z39&gt;0),0,1)</f>
        <v>1</v>
      </c>
      <c r="AB39" s="45" t="n">
        <v>0</v>
      </c>
      <c r="AC39" s="45" t="n">
        <v>0.5</v>
      </c>
      <c r="AD39" s="45" t="n">
        <v>0.5</v>
      </c>
      <c r="AE39" s="45" t="n">
        <v>0</v>
      </c>
      <c r="AF39" s="8"/>
      <c r="AG39" s="4" t="s">
        <v>360</v>
      </c>
      <c r="AH39" s="32" t="n">
        <v>218</v>
      </c>
      <c r="AI39" s="32" t="n">
        <v>5.7</v>
      </c>
      <c r="AJ39" s="32" t="n">
        <v>44.64</v>
      </c>
      <c r="AK39" s="32" t="n">
        <v>2.85</v>
      </c>
      <c r="AL39" s="32" t="n">
        <v>6.3</v>
      </c>
      <c r="AM39" s="32" t="n">
        <v>0.88</v>
      </c>
      <c r="AN39" s="32" t="n">
        <v>81</v>
      </c>
      <c r="AO39" s="32" t="n">
        <v>1.23</v>
      </c>
      <c r="AP39" s="32" t="n">
        <v>186</v>
      </c>
      <c r="AQ39" s="32" t="n">
        <v>45</v>
      </c>
      <c r="AR39" s="32" t="n">
        <v>0</v>
      </c>
      <c r="AS39" s="24" t="n">
        <f aca="false">AI39/M39</f>
        <v>18.1802419354839</v>
      </c>
      <c r="AT39" s="18" t="n">
        <f aca="false">AH39/M39</f>
        <v>695.314516129032</v>
      </c>
      <c r="AU39" s="4" t="s">
        <v>375</v>
      </c>
      <c r="AV39" s="4" t="s">
        <v>376</v>
      </c>
      <c r="AW39" s="4" t="s">
        <v>377</v>
      </c>
    </row>
    <row r="40" customFormat="false" ht="15" hidden="false" customHeight="false" outlineLevel="0" collapsed="false">
      <c r="A40" s="4" t="n">
        <v>35</v>
      </c>
      <c r="B40" s="49" t="s">
        <v>355</v>
      </c>
      <c r="C40" s="50" t="s">
        <v>356</v>
      </c>
      <c r="D40" s="14" t="s">
        <v>378</v>
      </c>
      <c r="E40" s="4" t="s">
        <v>379</v>
      </c>
      <c r="F40" s="37" t="n">
        <v>1.98</v>
      </c>
      <c r="G40" s="21" t="n">
        <v>453.6</v>
      </c>
      <c r="H40" s="31" t="n">
        <v>1</v>
      </c>
      <c r="I40" s="38" t="n">
        <f aca="false">F40/(G40*H40)*100</f>
        <v>0.436507936507937</v>
      </c>
      <c r="J40" s="4"/>
      <c r="K40" s="4"/>
      <c r="L40" s="4"/>
      <c r="M40" s="40" t="n">
        <f aca="false">IF(AND(IF(Planner!$C$39="BLS U.S. average (Sep 2026)",1,0)=1,L40&lt;&gt;""),L40,I40)</f>
        <v>0.436507936507937</v>
      </c>
      <c r="N40" s="13" t="n">
        <v>45</v>
      </c>
      <c r="O40" s="4" t="s">
        <v>374</v>
      </c>
      <c r="P40" s="8" t="n">
        <v>3</v>
      </c>
      <c r="Q40" s="41"/>
      <c r="R40" s="13"/>
      <c r="S40" s="42" t="n">
        <v>0</v>
      </c>
      <c r="T40" s="42" t="n">
        <v>0</v>
      </c>
      <c r="U40" s="42" t="n">
        <v>0</v>
      </c>
      <c r="V40" s="42" t="n">
        <v>0</v>
      </c>
      <c r="W40" s="42" t="n">
        <v>0</v>
      </c>
      <c r="X40" s="42" t="n">
        <v>0</v>
      </c>
      <c r="Y40" s="42" t="n">
        <v>1</v>
      </c>
      <c r="Z40" s="43" t="n">
        <f aca="false">SUMPRODUCT(S40:Y40,INDEX(Diets!$I$5:$O$12,MATCH(Planner!$C$36,Diets!$A$5:$A$12,0),0))+ISNUMBER(SEARCH(","&amp;A40&amp;",",","&amp;SUBSTITUTE(INDEX(Diets!$P$5:$P$12,MATCH(Planner!$C$36,Diets!$A$5:$A$12,0))," ","")&amp;","))*1</f>
        <v>0</v>
      </c>
      <c r="AA40" s="44" t="n">
        <f aca="false">IF(OR(UPPER(Q40)="Y",Z40&gt;0),0,1)</f>
        <v>1</v>
      </c>
      <c r="AB40" s="45" t="n">
        <v>0</v>
      </c>
      <c r="AC40" s="45" t="n">
        <v>0.5</v>
      </c>
      <c r="AD40" s="45" t="n">
        <v>0.5</v>
      </c>
      <c r="AE40" s="45" t="n">
        <v>0</v>
      </c>
      <c r="AF40" s="8"/>
      <c r="AG40" s="4" t="s">
        <v>360</v>
      </c>
      <c r="AH40" s="32" t="n">
        <v>297</v>
      </c>
      <c r="AI40" s="32" t="n">
        <v>8.01</v>
      </c>
      <c r="AJ40" s="32" t="n">
        <v>49.27</v>
      </c>
      <c r="AK40" s="32" t="n">
        <v>7.58</v>
      </c>
      <c r="AL40" s="32" t="n">
        <v>2.4</v>
      </c>
      <c r="AM40" s="32" t="n">
        <v>2.66</v>
      </c>
      <c r="AN40" s="32" t="n">
        <v>163</v>
      </c>
      <c r="AO40" s="32" t="n">
        <v>3.32</v>
      </c>
      <c r="AP40" s="32" t="n">
        <v>133</v>
      </c>
      <c r="AQ40" s="32" t="n">
        <v>742</v>
      </c>
      <c r="AR40" s="32" t="n">
        <v>0</v>
      </c>
      <c r="AS40" s="24" t="n">
        <f aca="false">AI40/M40</f>
        <v>18.3501818181818</v>
      </c>
      <c r="AT40" s="18" t="n">
        <f aca="false">AH40/M40</f>
        <v>680.4</v>
      </c>
      <c r="AU40" s="4" t="s">
        <v>380</v>
      </c>
      <c r="AV40" s="4" t="s">
        <v>381</v>
      </c>
      <c r="AW40" s="4"/>
    </row>
    <row r="41" customFormat="false" ht="15" hidden="false" customHeight="false" outlineLevel="0" collapsed="false">
      <c r="A41" s="4" t="n">
        <v>36</v>
      </c>
      <c r="B41" s="49" t="s">
        <v>355</v>
      </c>
      <c r="C41" s="50" t="s">
        <v>356</v>
      </c>
      <c r="D41" s="14" t="s">
        <v>382</v>
      </c>
      <c r="E41" s="4" t="s">
        <v>383</v>
      </c>
      <c r="F41" s="37" t="n">
        <v>3.44</v>
      </c>
      <c r="G41" s="21" t="n">
        <v>453.6</v>
      </c>
      <c r="H41" s="31" t="n">
        <v>1</v>
      </c>
      <c r="I41" s="38" t="n">
        <f aca="false">F41/(G41*H41)*100</f>
        <v>0.758377425044092</v>
      </c>
      <c r="J41" s="4"/>
      <c r="K41" s="4"/>
      <c r="L41" s="4"/>
      <c r="M41" s="40" t="n">
        <f aca="false">IF(AND(IF(Planner!$C$39="BLS U.S. average (Sep 2026)",1,0)=1,L41&lt;&gt;""),L41,I41)</f>
        <v>0.758377425044092</v>
      </c>
      <c r="N41" s="13" t="n">
        <v>43</v>
      </c>
      <c r="O41" s="4" t="s">
        <v>295</v>
      </c>
      <c r="P41" s="8" t="n">
        <v>3</v>
      </c>
      <c r="Q41" s="41"/>
      <c r="R41" s="13"/>
      <c r="S41" s="42" t="n">
        <v>0</v>
      </c>
      <c r="T41" s="42" t="n">
        <v>0</v>
      </c>
      <c r="U41" s="42" t="n">
        <v>0</v>
      </c>
      <c r="V41" s="42" t="n">
        <v>0</v>
      </c>
      <c r="W41" s="42" t="n">
        <v>0</v>
      </c>
      <c r="X41" s="42" t="n">
        <v>0</v>
      </c>
      <c r="Y41" s="42" t="n">
        <v>0</v>
      </c>
      <c r="Z41" s="43" t="n">
        <f aca="false">SUMPRODUCT(S41:Y41,INDEX(Diets!$I$5:$O$12,MATCH(Planner!$C$36,Diets!$A$5:$A$12,0),0))+ISNUMBER(SEARCH(","&amp;A41&amp;",",","&amp;SUBSTITUTE(INDEX(Diets!$P$5:$P$12,MATCH(Planner!$C$36,Diets!$A$5:$A$12,0))," ","")&amp;","))*1</f>
        <v>0</v>
      </c>
      <c r="AA41" s="44" t="n">
        <f aca="false">IF(OR(UPPER(Q41)="Y",Z41&gt;0),0,1)</f>
        <v>1</v>
      </c>
      <c r="AB41" s="45" t="n">
        <v>0</v>
      </c>
      <c r="AC41" s="45" t="n">
        <v>0.5</v>
      </c>
      <c r="AD41" s="45" t="n">
        <v>0.5</v>
      </c>
      <c r="AE41" s="45" t="n">
        <v>0</v>
      </c>
      <c r="AF41" s="8"/>
      <c r="AG41" s="4" t="s">
        <v>360</v>
      </c>
      <c r="AH41" s="32" t="n">
        <v>368</v>
      </c>
      <c r="AI41" s="32" t="n">
        <v>14.12</v>
      </c>
      <c r="AJ41" s="32" t="n">
        <v>64.16</v>
      </c>
      <c r="AK41" s="32" t="n">
        <v>6.07</v>
      </c>
      <c r="AL41" s="32" t="n">
        <v>7</v>
      </c>
      <c r="AM41" s="32" t="n">
        <v>0</v>
      </c>
      <c r="AN41" s="32" t="n">
        <v>47</v>
      </c>
      <c r="AO41" s="32" t="n">
        <v>4.57</v>
      </c>
      <c r="AP41" s="32" t="n">
        <v>563</v>
      </c>
      <c r="AQ41" s="32" t="n">
        <v>5</v>
      </c>
      <c r="AR41" s="32" t="n">
        <v>0</v>
      </c>
      <c r="AS41" s="24" t="n">
        <f aca="false">AI41/M41</f>
        <v>18.6186976744186</v>
      </c>
      <c r="AT41" s="18" t="n">
        <f aca="false">AH41/M41</f>
        <v>485.246511627907</v>
      </c>
      <c r="AU41" s="4" t="s">
        <v>384</v>
      </c>
      <c r="AV41" s="4" t="s">
        <v>385</v>
      </c>
      <c r="AW41" s="4"/>
    </row>
    <row r="42" customFormat="false" ht="15" hidden="false" customHeight="false" outlineLevel="0" collapsed="false">
      <c r="A42" s="4" t="n">
        <v>37</v>
      </c>
      <c r="B42" s="49" t="s">
        <v>355</v>
      </c>
      <c r="C42" s="50" t="s">
        <v>356</v>
      </c>
      <c r="D42" s="14" t="s">
        <v>386</v>
      </c>
      <c r="E42" s="4" t="s">
        <v>387</v>
      </c>
      <c r="F42" s="37" t="n">
        <v>4.38</v>
      </c>
      <c r="G42" s="21" t="n">
        <v>1190.7</v>
      </c>
      <c r="H42" s="31" t="n">
        <v>1</v>
      </c>
      <c r="I42" s="38" t="n">
        <f aca="false">F42/(G42*H42)*100</f>
        <v>0.36785084404132</v>
      </c>
      <c r="J42" s="4"/>
      <c r="K42" s="4"/>
      <c r="L42" s="4"/>
      <c r="M42" s="40" t="n">
        <f aca="false">IF(AND(IF(Planner!$C$39="BLS U.S. average (Sep 2026)",1,0)=1,L42&lt;&gt;""),L42,I42)</f>
        <v>0.36785084404132</v>
      </c>
      <c r="N42" s="13" t="n">
        <v>40</v>
      </c>
      <c r="O42" s="4" t="s">
        <v>388</v>
      </c>
      <c r="P42" s="8" t="n">
        <v>2</v>
      </c>
      <c r="Q42" s="41"/>
      <c r="R42" s="13"/>
      <c r="S42" s="42" t="n">
        <v>0</v>
      </c>
      <c r="T42" s="42" t="n">
        <v>0</v>
      </c>
      <c r="U42" s="42" t="n">
        <v>0</v>
      </c>
      <c r="V42" s="42" t="n">
        <v>0</v>
      </c>
      <c r="W42" s="42" t="n">
        <v>0</v>
      </c>
      <c r="X42" s="42" t="n">
        <v>0</v>
      </c>
      <c r="Y42" s="42" t="n">
        <v>1</v>
      </c>
      <c r="Z42" s="43" t="n">
        <f aca="false">SUMPRODUCT(S42:Y42,INDEX(Diets!$I$5:$O$12,MATCH(Planner!$C$36,Diets!$A$5:$A$12,0),0))+ISNUMBER(SEARCH(","&amp;A42&amp;",",","&amp;SUBSTITUTE(INDEX(Diets!$P$5:$P$12,MATCH(Planner!$C$36,Diets!$A$5:$A$12,0))," ","")&amp;","))*1</f>
        <v>0</v>
      </c>
      <c r="AA42" s="44" t="n">
        <f aca="false">IF(OR(UPPER(Q42)="Y",Z42&gt;0),0,1)</f>
        <v>1</v>
      </c>
      <c r="AB42" s="45" t="n">
        <v>1</v>
      </c>
      <c r="AC42" s="45" t="n">
        <v>0</v>
      </c>
      <c r="AD42" s="45" t="n">
        <v>0</v>
      </c>
      <c r="AE42" s="45" t="n">
        <v>0</v>
      </c>
      <c r="AF42" s="8"/>
      <c r="AG42" s="4" t="s">
        <v>360</v>
      </c>
      <c r="AH42" s="32" t="n">
        <v>379</v>
      </c>
      <c r="AI42" s="32" t="n">
        <v>13.15</v>
      </c>
      <c r="AJ42" s="32" t="n">
        <v>67.7</v>
      </c>
      <c r="AK42" s="32" t="n">
        <v>6.52</v>
      </c>
      <c r="AL42" s="32" t="n">
        <v>10.1</v>
      </c>
      <c r="AM42" s="32" t="n">
        <v>0.99</v>
      </c>
      <c r="AN42" s="32" t="n">
        <v>52</v>
      </c>
      <c r="AO42" s="32" t="n">
        <v>4.25</v>
      </c>
      <c r="AP42" s="32" t="n">
        <v>362</v>
      </c>
      <c r="AQ42" s="32" t="n">
        <v>6</v>
      </c>
      <c r="AR42" s="32" t="n">
        <v>0</v>
      </c>
      <c r="AS42" s="24" t="n">
        <f aca="false">AI42/M42</f>
        <v>35.7481849315069</v>
      </c>
      <c r="AT42" s="18" t="n">
        <f aca="false">AH42/M42</f>
        <v>1030.30890410959</v>
      </c>
      <c r="AU42" s="4" t="s">
        <v>389</v>
      </c>
      <c r="AV42" s="4" t="s">
        <v>390</v>
      </c>
      <c r="AW42" s="4" t="s">
        <v>391</v>
      </c>
    </row>
    <row r="43" customFormat="false" ht="15" hidden="false" customHeight="false" outlineLevel="0" collapsed="false">
      <c r="A43" s="4" t="n">
        <v>38</v>
      </c>
      <c r="B43" s="49" t="s">
        <v>355</v>
      </c>
      <c r="C43" s="50" t="s">
        <v>356</v>
      </c>
      <c r="D43" s="14" t="s">
        <v>392</v>
      </c>
      <c r="E43" s="4" t="s">
        <v>393</v>
      </c>
      <c r="F43" s="37" t="n">
        <v>1.36</v>
      </c>
      <c r="G43" s="21" t="n">
        <v>453.6</v>
      </c>
      <c r="H43" s="31" t="n">
        <v>1</v>
      </c>
      <c r="I43" s="38" t="n">
        <f aca="false">F43/(G43*H43)*100</f>
        <v>0.299823633156967</v>
      </c>
      <c r="J43" s="39" t="n">
        <v>1.375</v>
      </c>
      <c r="K43" s="21" t="n">
        <v>453.6</v>
      </c>
      <c r="L43" s="38" t="n">
        <f aca="false">J43/(K43*H43)*100</f>
        <v>0.303130511463845</v>
      </c>
      <c r="M43" s="40" t="n">
        <f aca="false">IF(AND(IF(Planner!$C$39="BLS U.S. average (Sep 2026)",1,0)=1,L43&lt;&gt;""),L43,I43)</f>
        <v>0.299823633156967</v>
      </c>
      <c r="N43" s="13" t="n">
        <v>57</v>
      </c>
      <c r="O43" s="4" t="s">
        <v>394</v>
      </c>
      <c r="P43" s="8" t="n">
        <v>3</v>
      </c>
      <c r="Q43" s="41"/>
      <c r="R43" s="13"/>
      <c r="S43" s="42" t="n">
        <v>0</v>
      </c>
      <c r="T43" s="42" t="n">
        <v>0</v>
      </c>
      <c r="U43" s="42" t="n">
        <v>0</v>
      </c>
      <c r="V43" s="42" t="n">
        <v>0</v>
      </c>
      <c r="W43" s="42" t="n">
        <v>0</v>
      </c>
      <c r="X43" s="42" t="n">
        <v>0</v>
      </c>
      <c r="Y43" s="42" t="n">
        <v>1</v>
      </c>
      <c r="Z43" s="43" t="n">
        <f aca="false">SUMPRODUCT(S43:Y43,INDEX(Diets!$I$5:$O$12,MATCH(Planner!$C$36,Diets!$A$5:$A$12,0),0))+ISNUMBER(SEARCH(","&amp;A43&amp;",",","&amp;SUBSTITUTE(INDEX(Diets!$P$5:$P$12,MATCH(Planner!$C$36,Diets!$A$5:$A$12,0))," ","")&amp;","))*1</f>
        <v>0</v>
      </c>
      <c r="AA43" s="44" t="n">
        <f aca="false">IF(OR(UPPER(Q43)="Y",Z43&gt;0),0,1)</f>
        <v>1</v>
      </c>
      <c r="AB43" s="45" t="n">
        <v>0</v>
      </c>
      <c r="AC43" s="45" t="n">
        <v>0.5</v>
      </c>
      <c r="AD43" s="45" t="n">
        <v>0.5</v>
      </c>
      <c r="AE43" s="45" t="n">
        <v>0</v>
      </c>
      <c r="AF43" s="8"/>
      <c r="AG43" s="4" t="s">
        <v>360</v>
      </c>
      <c r="AH43" s="32" t="n">
        <v>371</v>
      </c>
      <c r="AI43" s="32" t="n">
        <v>13.04</v>
      </c>
      <c r="AJ43" s="32" t="n">
        <v>74.67</v>
      </c>
      <c r="AK43" s="32" t="n">
        <v>1.51</v>
      </c>
      <c r="AL43" s="32" t="n">
        <v>3.2</v>
      </c>
      <c r="AM43" s="32" t="n">
        <v>2.67</v>
      </c>
      <c r="AN43" s="32" t="n">
        <v>21</v>
      </c>
      <c r="AO43" s="32" t="n">
        <v>3.3</v>
      </c>
      <c r="AP43" s="32" t="n">
        <v>223</v>
      </c>
      <c r="AQ43" s="32" t="n">
        <v>6</v>
      </c>
      <c r="AR43" s="32" t="n">
        <v>0</v>
      </c>
      <c r="AS43" s="24" t="n">
        <f aca="false">AI43/M43</f>
        <v>43.4922352941177</v>
      </c>
      <c r="AT43" s="18" t="n">
        <f aca="false">AH43/M43</f>
        <v>1237.39411764706</v>
      </c>
      <c r="AU43" s="4" t="s">
        <v>395</v>
      </c>
      <c r="AV43" s="4" t="s">
        <v>396</v>
      </c>
      <c r="AW43" s="4"/>
    </row>
    <row r="44" customFormat="false" ht="15" hidden="false" customHeight="false" outlineLevel="0" collapsed="false">
      <c r="A44" s="4" t="n">
        <v>39</v>
      </c>
      <c r="B44" s="49" t="s">
        <v>355</v>
      </c>
      <c r="C44" s="50" t="s">
        <v>356</v>
      </c>
      <c r="D44" s="14" t="s">
        <v>397</v>
      </c>
      <c r="E44" s="4" t="s">
        <v>398</v>
      </c>
      <c r="F44" s="37" t="n">
        <v>1.52</v>
      </c>
      <c r="G44" s="21" t="n">
        <v>567</v>
      </c>
      <c r="H44" s="31" t="n">
        <v>1</v>
      </c>
      <c r="I44" s="38" t="n">
        <f aca="false">F44/(G44*H44)*100</f>
        <v>0.268077601410935</v>
      </c>
      <c r="J44" s="39" t="n">
        <v>1.83</v>
      </c>
      <c r="K44" s="21" t="n">
        <v>453.6</v>
      </c>
      <c r="L44" s="38" t="n">
        <f aca="false">J44/(K44*H44)*100</f>
        <v>0.403439153439153</v>
      </c>
      <c r="M44" s="40" t="n">
        <f aca="false">IF(AND(IF(Planner!$C$39="BLS U.S. average (Sep 2026)",1,0)=1,L44&lt;&gt;""),L44,I44)</f>
        <v>0.268077601410935</v>
      </c>
      <c r="N44" s="13" t="n">
        <v>28</v>
      </c>
      <c r="O44" s="4" t="s">
        <v>337</v>
      </c>
      <c r="P44" s="8" t="n">
        <v>4</v>
      </c>
      <c r="Q44" s="41"/>
      <c r="R44" s="13"/>
      <c r="S44" s="42" t="n">
        <v>0</v>
      </c>
      <c r="T44" s="42" t="n">
        <v>0</v>
      </c>
      <c r="U44" s="42" t="n">
        <v>0</v>
      </c>
      <c r="V44" s="42" t="n">
        <v>0</v>
      </c>
      <c r="W44" s="42" t="n">
        <v>0</v>
      </c>
      <c r="X44" s="42" t="n">
        <v>0</v>
      </c>
      <c r="Y44" s="42" t="n">
        <v>1</v>
      </c>
      <c r="Z44" s="43" t="n">
        <f aca="false">SUMPRODUCT(S44:Y44,INDEX(Diets!$I$5:$O$12,MATCH(Planner!$C$36,Diets!$A$5:$A$12,0),0))+ISNUMBER(SEARCH(","&amp;A44&amp;",",","&amp;SUBSTITUTE(INDEX(Diets!$P$5:$P$12,MATCH(Planner!$C$36,Diets!$A$5:$A$12,0))," ","")&amp;","))*1</f>
        <v>0</v>
      </c>
      <c r="AA44" s="44" t="n">
        <f aca="false">IF(OR(UPPER(Q44)="Y",Z44&gt;0),0,1)</f>
        <v>1</v>
      </c>
      <c r="AB44" s="45" t="n">
        <v>0.5</v>
      </c>
      <c r="AC44" s="45" t="n">
        <v>0.5</v>
      </c>
      <c r="AD44" s="45" t="n">
        <v>0</v>
      </c>
      <c r="AE44" s="45" t="n">
        <v>0</v>
      </c>
      <c r="AF44" s="8"/>
      <c r="AG44" s="4" t="s">
        <v>360</v>
      </c>
      <c r="AH44" s="32" t="n">
        <v>266</v>
      </c>
      <c r="AI44" s="32" t="n">
        <v>8.85</v>
      </c>
      <c r="AJ44" s="32" t="n">
        <v>49.42</v>
      </c>
      <c r="AK44" s="32" t="n">
        <v>3.33</v>
      </c>
      <c r="AL44" s="32" t="n">
        <v>2.7</v>
      </c>
      <c r="AM44" s="32" t="n">
        <v>5.67</v>
      </c>
      <c r="AN44" s="32" t="n">
        <v>144</v>
      </c>
      <c r="AO44" s="32" t="n">
        <v>3.61</v>
      </c>
      <c r="AP44" s="32" t="n">
        <v>126</v>
      </c>
      <c r="AQ44" s="32" t="n">
        <v>490</v>
      </c>
      <c r="AR44" s="32" t="n">
        <v>0</v>
      </c>
      <c r="AS44" s="24" t="n">
        <f aca="false">AI44/M44</f>
        <v>33.0128289473684</v>
      </c>
      <c r="AT44" s="18" t="n">
        <f aca="false">AH44/M44</f>
        <v>992.25</v>
      </c>
      <c r="AU44" s="4" t="s">
        <v>399</v>
      </c>
      <c r="AV44" s="4" t="s">
        <v>400</v>
      </c>
      <c r="AW44" s="4"/>
    </row>
    <row r="45" customFormat="false" ht="15" hidden="false" customHeight="false" outlineLevel="0" collapsed="false">
      <c r="A45" s="4" t="n">
        <v>40</v>
      </c>
      <c r="B45" s="49" t="s">
        <v>355</v>
      </c>
      <c r="C45" s="50" t="s">
        <v>356</v>
      </c>
      <c r="D45" s="14" t="s">
        <v>401</v>
      </c>
      <c r="E45" s="4" t="s">
        <v>402</v>
      </c>
      <c r="F45" s="46" t="n">
        <v>2.48</v>
      </c>
      <c r="G45" s="21" t="n">
        <v>2268</v>
      </c>
      <c r="H45" s="31" t="n">
        <v>1</v>
      </c>
      <c r="I45" s="38" t="n">
        <f aca="false">F45/(G45*H45)*100</f>
        <v>0.109347442680776</v>
      </c>
      <c r="J45" s="39" t="n">
        <v>1.118</v>
      </c>
      <c r="K45" s="21" t="n">
        <v>453.6</v>
      </c>
      <c r="L45" s="38" t="n">
        <f aca="false">J45/(K45*H45)*100</f>
        <v>0.24647266313933</v>
      </c>
      <c r="M45" s="40" t="n">
        <f aca="false">IF(AND(IF(Planner!$C$39="BLS U.S. average (Sep 2026)",1,0)=1,L45&lt;&gt;""),L45,I45)</f>
        <v>0.109347442680776</v>
      </c>
      <c r="N45" s="13" t="n">
        <v>46</v>
      </c>
      <c r="O45" s="4" t="s">
        <v>295</v>
      </c>
      <c r="P45" s="8" t="n">
        <v>4</v>
      </c>
      <c r="Q45" s="41"/>
      <c r="R45" s="13"/>
      <c r="S45" s="42" t="n">
        <v>0</v>
      </c>
      <c r="T45" s="42" t="n">
        <v>0</v>
      </c>
      <c r="U45" s="42" t="n">
        <v>0</v>
      </c>
      <c r="V45" s="42" t="n">
        <v>0</v>
      </c>
      <c r="W45" s="42" t="n">
        <v>0</v>
      </c>
      <c r="X45" s="42" t="n">
        <v>0</v>
      </c>
      <c r="Y45" s="42" t="n">
        <v>0</v>
      </c>
      <c r="Z45" s="43" t="n">
        <f aca="false">SUMPRODUCT(S45:Y45,INDEX(Diets!$I$5:$O$12,MATCH(Planner!$C$36,Diets!$A$5:$A$12,0),0))+ISNUMBER(SEARCH(","&amp;A45&amp;",",","&amp;SUBSTITUTE(INDEX(Diets!$P$5:$P$12,MATCH(Planner!$C$36,Diets!$A$5:$A$12,0))," ","")&amp;","))*1</f>
        <v>0</v>
      </c>
      <c r="AA45" s="44" t="n">
        <f aca="false">IF(OR(UPPER(Q45)="Y",Z45&gt;0),0,1)</f>
        <v>1</v>
      </c>
      <c r="AB45" s="45" t="n">
        <v>0</v>
      </c>
      <c r="AC45" s="45" t="n">
        <v>0.5</v>
      </c>
      <c r="AD45" s="45" t="n">
        <v>0.5</v>
      </c>
      <c r="AE45" s="45" t="n">
        <v>0</v>
      </c>
      <c r="AF45" s="8"/>
      <c r="AG45" s="4" t="s">
        <v>360</v>
      </c>
      <c r="AH45" s="32" t="n">
        <v>365</v>
      </c>
      <c r="AI45" s="32" t="n">
        <v>7.13</v>
      </c>
      <c r="AJ45" s="32" t="n">
        <v>79.95</v>
      </c>
      <c r="AK45" s="32" t="n">
        <v>0.66</v>
      </c>
      <c r="AL45" s="32" t="n">
        <v>1.3</v>
      </c>
      <c r="AM45" s="32" t="n">
        <v>0.12</v>
      </c>
      <c r="AN45" s="32" t="n">
        <v>28</v>
      </c>
      <c r="AO45" s="32" t="n">
        <v>4.31</v>
      </c>
      <c r="AP45" s="32" t="n">
        <v>115</v>
      </c>
      <c r="AQ45" s="32" t="n">
        <v>5</v>
      </c>
      <c r="AR45" s="32" t="n">
        <v>0</v>
      </c>
      <c r="AS45" s="24" t="n">
        <f aca="false">AI45/M45</f>
        <v>65.205</v>
      </c>
      <c r="AT45" s="18" t="n">
        <f aca="false">AH45/M45</f>
        <v>3337.98387096774</v>
      </c>
      <c r="AU45" s="4" t="s">
        <v>403</v>
      </c>
      <c r="AV45" s="4" t="s">
        <v>404</v>
      </c>
      <c r="AW45" s="4" t="s">
        <v>312</v>
      </c>
    </row>
    <row r="46" customFormat="false" ht="15" hidden="false" customHeight="false" outlineLevel="0" collapsed="false">
      <c r="A46" s="4" t="n">
        <v>41</v>
      </c>
      <c r="B46" s="49" t="s">
        <v>355</v>
      </c>
      <c r="C46" s="50" t="s">
        <v>356</v>
      </c>
      <c r="D46" s="14" t="s">
        <v>405</v>
      </c>
      <c r="E46" s="4" t="s">
        <v>406</v>
      </c>
      <c r="F46" s="37" t="n">
        <v>2.02</v>
      </c>
      <c r="G46" s="21" t="n">
        <v>567</v>
      </c>
      <c r="H46" s="31" t="n">
        <v>1</v>
      </c>
      <c r="I46" s="38" t="n">
        <f aca="false">F46/(G46*H46)*100</f>
        <v>0.35626102292769</v>
      </c>
      <c r="J46" s="4"/>
      <c r="K46" s="4"/>
      <c r="L46" s="4"/>
      <c r="M46" s="40" t="n">
        <f aca="false">IF(AND(IF(Planner!$C$39="BLS U.S. average (Sep 2026)",1,0)=1,L46&lt;&gt;""),L46,I46)</f>
        <v>0.35626102292769</v>
      </c>
      <c r="N46" s="13" t="n">
        <v>32</v>
      </c>
      <c r="O46" s="4" t="s">
        <v>337</v>
      </c>
      <c r="P46" s="8" t="n">
        <v>4</v>
      </c>
      <c r="Q46" s="41"/>
      <c r="R46" s="13"/>
      <c r="S46" s="42" t="n">
        <v>0</v>
      </c>
      <c r="T46" s="42" t="n">
        <v>0</v>
      </c>
      <c r="U46" s="42" t="n">
        <v>0</v>
      </c>
      <c r="V46" s="42" t="n">
        <v>0</v>
      </c>
      <c r="W46" s="42" t="n">
        <v>0</v>
      </c>
      <c r="X46" s="42" t="n">
        <v>0</v>
      </c>
      <c r="Y46" s="42" t="n">
        <v>1</v>
      </c>
      <c r="Z46" s="43" t="n">
        <f aca="false">SUMPRODUCT(S46:Y46,INDEX(Diets!$I$5:$O$12,MATCH(Planner!$C$36,Diets!$A$5:$A$12,0),0))+ISNUMBER(SEARCH(","&amp;A46&amp;",",","&amp;SUBSTITUTE(INDEX(Diets!$P$5:$P$12,MATCH(Planner!$C$36,Diets!$A$5:$A$12,0))," ","")&amp;","))*1</f>
        <v>0</v>
      </c>
      <c r="AA46" s="44" t="n">
        <f aca="false">IF(OR(UPPER(Q46)="Y",Z46&gt;0),0,1)</f>
        <v>1</v>
      </c>
      <c r="AB46" s="45" t="n">
        <v>0.5</v>
      </c>
      <c r="AC46" s="45" t="n">
        <v>0.5</v>
      </c>
      <c r="AD46" s="45" t="n">
        <v>0</v>
      </c>
      <c r="AE46" s="45" t="n">
        <v>0</v>
      </c>
      <c r="AF46" s="8"/>
      <c r="AG46" s="4" t="s">
        <v>360</v>
      </c>
      <c r="AH46" s="32" t="n">
        <v>252</v>
      </c>
      <c r="AI46" s="32" t="n">
        <v>12.45</v>
      </c>
      <c r="AJ46" s="32" t="n">
        <v>42.71</v>
      </c>
      <c r="AK46" s="32" t="n">
        <v>3.5</v>
      </c>
      <c r="AL46" s="32" t="n">
        <v>6</v>
      </c>
      <c r="AM46" s="32" t="n">
        <v>4.34</v>
      </c>
      <c r="AN46" s="32" t="n">
        <v>161</v>
      </c>
      <c r="AO46" s="32" t="n">
        <v>2.47</v>
      </c>
      <c r="AP46" s="32" t="n">
        <v>254</v>
      </c>
      <c r="AQ46" s="32" t="n">
        <v>455</v>
      </c>
      <c r="AR46" s="32" t="n">
        <v>0</v>
      </c>
      <c r="AS46" s="24" t="n">
        <f aca="false">AI46/M46</f>
        <v>34.9462871287129</v>
      </c>
      <c r="AT46" s="18" t="n">
        <f aca="false">AH46/M46</f>
        <v>707.346534653465</v>
      </c>
      <c r="AU46" s="4" t="s">
        <v>407</v>
      </c>
      <c r="AV46" s="4" t="s">
        <v>408</v>
      </c>
      <c r="AW46" s="4"/>
    </row>
    <row r="47" customFormat="false" ht="15" hidden="false" customHeight="false" outlineLevel="0" collapsed="false">
      <c r="A47" s="4" t="n">
        <v>42</v>
      </c>
      <c r="B47" s="49" t="s">
        <v>355</v>
      </c>
      <c r="C47" s="50" t="s">
        <v>356</v>
      </c>
      <c r="D47" s="14" t="s">
        <v>409</v>
      </c>
      <c r="E47" s="4" t="s">
        <v>393</v>
      </c>
      <c r="F47" s="46" t="n">
        <v>1.74</v>
      </c>
      <c r="G47" s="21" t="n">
        <v>453.6</v>
      </c>
      <c r="H47" s="31" t="n">
        <v>1</v>
      </c>
      <c r="I47" s="38" t="n">
        <f aca="false">F47/(G47*H47)*100</f>
        <v>0.383597883597884</v>
      </c>
      <c r="J47" s="4"/>
      <c r="K47" s="4"/>
      <c r="L47" s="4"/>
      <c r="M47" s="40" t="n">
        <f aca="false">IF(AND(IF(Planner!$C$39="BLS U.S. average (Sep 2026)",1,0)=1,L47&lt;&gt;""),L47,I47)</f>
        <v>0.383597883597884</v>
      </c>
      <c r="N47" s="13" t="n">
        <v>57</v>
      </c>
      <c r="O47" s="4" t="s">
        <v>394</v>
      </c>
      <c r="P47" s="8" t="n">
        <v>3</v>
      </c>
      <c r="Q47" s="41"/>
      <c r="R47" s="13"/>
      <c r="S47" s="42" t="n">
        <v>0</v>
      </c>
      <c r="T47" s="42" t="n">
        <v>0</v>
      </c>
      <c r="U47" s="42" t="n">
        <v>0</v>
      </c>
      <c r="V47" s="42" t="n">
        <v>0</v>
      </c>
      <c r="W47" s="42" t="n">
        <v>0</v>
      </c>
      <c r="X47" s="42" t="n">
        <v>0</v>
      </c>
      <c r="Y47" s="42" t="n">
        <v>1</v>
      </c>
      <c r="Z47" s="43" t="n">
        <f aca="false">SUMPRODUCT(S47:Y47,INDEX(Diets!$I$5:$O$12,MATCH(Planner!$C$36,Diets!$A$5:$A$12,0),0))+ISNUMBER(SEARCH(","&amp;A47&amp;",",","&amp;SUBSTITUTE(INDEX(Diets!$P$5:$P$12,MATCH(Planner!$C$36,Diets!$A$5:$A$12,0))," ","")&amp;","))*1</f>
        <v>0</v>
      </c>
      <c r="AA47" s="44" t="n">
        <f aca="false">IF(OR(UPPER(Q47)="Y",Z47&gt;0),0,1)</f>
        <v>1</v>
      </c>
      <c r="AB47" s="45" t="n">
        <v>0</v>
      </c>
      <c r="AC47" s="45" t="n">
        <v>0.5</v>
      </c>
      <c r="AD47" s="45" t="n">
        <v>0.5</v>
      </c>
      <c r="AE47" s="45" t="n">
        <v>0</v>
      </c>
      <c r="AF47" s="8"/>
      <c r="AG47" s="4" t="s">
        <v>360</v>
      </c>
      <c r="AH47" s="32" t="n">
        <v>352</v>
      </c>
      <c r="AI47" s="32" t="n">
        <v>13.87</v>
      </c>
      <c r="AJ47" s="32" t="n">
        <v>73.37</v>
      </c>
      <c r="AK47" s="32" t="n">
        <v>2.93</v>
      </c>
      <c r="AL47" s="32" t="n">
        <v>9.2</v>
      </c>
      <c r="AM47" s="32" t="n">
        <v>2.74</v>
      </c>
      <c r="AN47" s="32" t="n">
        <v>29</v>
      </c>
      <c r="AO47" s="32" t="n">
        <v>3.62</v>
      </c>
      <c r="AP47" s="32" t="n">
        <v>434</v>
      </c>
      <c r="AQ47" s="32" t="n">
        <v>6</v>
      </c>
      <c r="AR47" s="32" t="n">
        <v>0</v>
      </c>
      <c r="AS47" s="24" t="n">
        <f aca="false">AI47/M47</f>
        <v>36.1576551724138</v>
      </c>
      <c r="AT47" s="18" t="n">
        <f aca="false">AH47/M47</f>
        <v>917.627586206897</v>
      </c>
      <c r="AU47" s="4" t="s">
        <v>410</v>
      </c>
      <c r="AV47" s="4" t="s">
        <v>411</v>
      </c>
      <c r="AW47" s="4" t="s">
        <v>354</v>
      </c>
    </row>
    <row r="48" customFormat="false" ht="15" hidden="false" customHeight="false" outlineLevel="0" collapsed="false">
      <c r="A48" s="4" t="n">
        <v>43</v>
      </c>
      <c r="B48" s="49" t="s">
        <v>355</v>
      </c>
      <c r="C48" s="50" t="s">
        <v>412</v>
      </c>
      <c r="D48" s="14" t="s">
        <v>413</v>
      </c>
      <c r="E48" s="4" t="s">
        <v>414</v>
      </c>
      <c r="F48" s="46" t="n">
        <v>0.98</v>
      </c>
      <c r="G48" s="21" t="n">
        <v>340.2</v>
      </c>
      <c r="H48" s="31" t="n">
        <v>1</v>
      </c>
      <c r="I48" s="38" t="n">
        <f aca="false">F48/(G48*H48)*100</f>
        <v>0.288065843621399</v>
      </c>
      <c r="J48" s="4"/>
      <c r="K48" s="4"/>
      <c r="L48" s="4"/>
      <c r="M48" s="40" t="n">
        <f aca="false">IF(AND(IF(Planner!$C$39="BLS U.S. average (Sep 2026)",1,0)=1,L48&lt;&gt;""),L48,I48)</f>
        <v>0.288065843621399</v>
      </c>
      <c r="N48" s="13" t="n">
        <v>68</v>
      </c>
      <c r="O48" s="4" t="s">
        <v>284</v>
      </c>
      <c r="P48" s="8" t="n">
        <v>3</v>
      </c>
      <c r="Q48" s="41"/>
      <c r="R48" s="13"/>
      <c r="S48" s="42" t="n">
        <v>0</v>
      </c>
      <c r="T48" s="42" t="n">
        <v>0</v>
      </c>
      <c r="U48" s="42" t="n">
        <v>0</v>
      </c>
      <c r="V48" s="42" t="n">
        <v>0</v>
      </c>
      <c r="W48" s="42" t="n">
        <v>0</v>
      </c>
      <c r="X48" s="42" t="n">
        <v>0</v>
      </c>
      <c r="Y48" s="42" t="n">
        <v>0</v>
      </c>
      <c r="Z48" s="43" t="n">
        <f aca="false">SUMPRODUCT(S48:Y48,INDEX(Diets!$I$5:$O$12,MATCH(Planner!$C$36,Diets!$A$5:$A$12,0),0))+ISNUMBER(SEARCH(","&amp;A48&amp;",",","&amp;SUBSTITUTE(INDEX(Diets!$P$5:$P$12,MATCH(Planner!$C$36,Diets!$A$5:$A$12,0))," ","")&amp;","))*1</f>
        <v>0</v>
      </c>
      <c r="AA48" s="44" t="n">
        <f aca="false">IF(OR(UPPER(Q48)="Y",Z48&gt;0),0,1)</f>
        <v>1</v>
      </c>
      <c r="AB48" s="45" t="n">
        <v>0</v>
      </c>
      <c r="AC48" s="45" t="n">
        <v>0.5</v>
      </c>
      <c r="AD48" s="45" t="n">
        <v>0.5</v>
      </c>
      <c r="AE48" s="45" t="n">
        <v>0</v>
      </c>
      <c r="AF48" s="8"/>
      <c r="AG48" s="4"/>
      <c r="AH48" s="32" t="n">
        <v>88</v>
      </c>
      <c r="AI48" s="32" t="n">
        <v>3.02</v>
      </c>
      <c r="AJ48" s="32" t="n">
        <v>20.71</v>
      </c>
      <c r="AK48" s="32" t="n">
        <v>0.78</v>
      </c>
      <c r="AL48" s="32" t="n">
        <v>2.1</v>
      </c>
      <c r="AM48" s="32" t="n">
        <v>2.5</v>
      </c>
      <c r="AN48" s="32" t="n">
        <v>4</v>
      </c>
      <c r="AO48" s="32" t="n">
        <v>0.42</v>
      </c>
      <c r="AP48" s="32" t="n">
        <v>213</v>
      </c>
      <c r="AQ48" s="32" t="n">
        <v>3</v>
      </c>
      <c r="AR48" s="32" t="n">
        <v>6.4</v>
      </c>
      <c r="AS48" s="24" t="n">
        <f aca="false">AI48/M48</f>
        <v>10.4837142857143</v>
      </c>
      <c r="AT48" s="18" t="n">
        <f aca="false">AH48/M48</f>
        <v>305.485714285714</v>
      </c>
      <c r="AU48" s="4" t="s">
        <v>415</v>
      </c>
      <c r="AV48" s="4" t="s">
        <v>416</v>
      </c>
      <c r="AW48" s="4" t="s">
        <v>354</v>
      </c>
    </row>
    <row r="49" customFormat="false" ht="15" hidden="false" customHeight="false" outlineLevel="0" collapsed="false">
      <c r="A49" s="4" t="n">
        <v>44</v>
      </c>
      <c r="B49" s="49" t="s">
        <v>355</v>
      </c>
      <c r="C49" s="50" t="s">
        <v>412</v>
      </c>
      <c r="D49" s="14" t="s">
        <v>417</v>
      </c>
      <c r="E49" s="4" t="s">
        <v>418</v>
      </c>
      <c r="F49" s="37" t="n">
        <v>4.86</v>
      </c>
      <c r="G49" s="21" t="n">
        <v>2268</v>
      </c>
      <c r="H49" s="31" t="n">
        <v>0.75</v>
      </c>
      <c r="I49" s="38" t="n">
        <f aca="false">F49/(G49*H49)*100</f>
        <v>0.285714285714286</v>
      </c>
      <c r="J49" s="39" t="n">
        <v>0.989</v>
      </c>
      <c r="K49" s="21" t="n">
        <v>453.6</v>
      </c>
      <c r="L49" s="38" t="n">
        <f aca="false">J49/(K49*H49)*100</f>
        <v>0.290711346266902</v>
      </c>
      <c r="M49" s="40" t="n">
        <f aca="false">IF(AND(IF(Planner!$C$39="BLS U.S. average (Sep 2026)",1,0)=1,L49&lt;&gt;""),L49,I49)</f>
        <v>0.285714285714286</v>
      </c>
      <c r="N49" s="13" t="n">
        <v>150</v>
      </c>
      <c r="O49" s="4" t="s">
        <v>419</v>
      </c>
      <c r="P49" s="8" t="n">
        <v>2</v>
      </c>
      <c r="Q49" s="41"/>
      <c r="R49" s="13"/>
      <c r="S49" s="42" t="n">
        <v>0</v>
      </c>
      <c r="T49" s="42" t="n">
        <v>0</v>
      </c>
      <c r="U49" s="42" t="n">
        <v>0</v>
      </c>
      <c r="V49" s="42" t="n">
        <v>0</v>
      </c>
      <c r="W49" s="42" t="n">
        <v>0</v>
      </c>
      <c r="X49" s="42" t="n">
        <v>0</v>
      </c>
      <c r="Y49" s="42" t="n">
        <v>0</v>
      </c>
      <c r="Z49" s="43" t="n">
        <f aca="false">SUMPRODUCT(S49:Y49,INDEX(Diets!$I$5:$O$12,MATCH(Planner!$C$36,Diets!$A$5:$A$12,0),0))+ISNUMBER(SEARCH(","&amp;A49&amp;",",","&amp;SUBSTITUTE(INDEX(Diets!$P$5:$P$12,MATCH(Planner!$C$36,Diets!$A$5:$A$12,0))," ","")&amp;","))*1</f>
        <v>0</v>
      </c>
      <c r="AA49" s="44" t="n">
        <f aca="false">IF(OR(UPPER(Q49)="Y",Z49&gt;0),0,1)</f>
        <v>1</v>
      </c>
      <c r="AB49" s="45" t="n">
        <v>0</v>
      </c>
      <c r="AC49" s="45" t="n">
        <v>0.5</v>
      </c>
      <c r="AD49" s="45" t="n">
        <v>0.5</v>
      </c>
      <c r="AE49" s="45" t="n">
        <v>0</v>
      </c>
      <c r="AF49" s="8"/>
      <c r="AG49" s="4"/>
      <c r="AH49" s="32" t="n">
        <v>77</v>
      </c>
      <c r="AI49" s="32" t="n">
        <v>2.05</v>
      </c>
      <c r="AJ49" s="32" t="n">
        <v>17.49</v>
      </c>
      <c r="AK49" s="32" t="n">
        <v>0.09</v>
      </c>
      <c r="AL49" s="32" t="n">
        <v>2.1</v>
      </c>
      <c r="AM49" s="32" t="n">
        <v>0.82</v>
      </c>
      <c r="AN49" s="32" t="n">
        <v>12</v>
      </c>
      <c r="AO49" s="32" t="n">
        <v>0.81</v>
      </c>
      <c r="AP49" s="32" t="n">
        <v>425</v>
      </c>
      <c r="AQ49" s="32" t="n">
        <v>6</v>
      </c>
      <c r="AR49" s="32" t="n">
        <v>19.7</v>
      </c>
      <c r="AS49" s="24" t="n">
        <f aca="false">AI49/M49</f>
        <v>7.175</v>
      </c>
      <c r="AT49" s="18" t="n">
        <f aca="false">AH49/M49</f>
        <v>269.5</v>
      </c>
      <c r="AU49" s="4" t="s">
        <v>420</v>
      </c>
      <c r="AV49" s="4" t="s">
        <v>421</v>
      </c>
      <c r="AW49" s="4" t="s">
        <v>422</v>
      </c>
    </row>
    <row r="50" customFormat="false" ht="15" hidden="false" customHeight="false" outlineLevel="0" collapsed="false">
      <c r="A50" s="4" t="n">
        <v>45</v>
      </c>
      <c r="B50" s="49" t="s">
        <v>355</v>
      </c>
      <c r="C50" s="50" t="s">
        <v>412</v>
      </c>
      <c r="D50" s="14" t="s">
        <v>423</v>
      </c>
      <c r="E50" s="4" t="s">
        <v>424</v>
      </c>
      <c r="F50" s="46" t="n">
        <v>3.62</v>
      </c>
      <c r="G50" s="21" t="n">
        <v>1360.8</v>
      </c>
      <c r="H50" s="31" t="n">
        <v>0.72</v>
      </c>
      <c r="I50" s="38" t="n">
        <f aca="false">F50/(G50*H50)*100</f>
        <v>0.369472205891959</v>
      </c>
      <c r="J50" s="4"/>
      <c r="K50" s="4"/>
      <c r="L50" s="4"/>
      <c r="M50" s="40" t="n">
        <f aca="false">IF(AND(IF(Planner!$C$39="BLS U.S. average (Sep 2026)",1,0)=1,L50&lt;&gt;""),L50,I50)</f>
        <v>0.369472205891959</v>
      </c>
      <c r="N50" s="13" t="n">
        <v>133</v>
      </c>
      <c r="O50" s="4" t="s">
        <v>425</v>
      </c>
      <c r="P50" s="8" t="n">
        <v>2</v>
      </c>
      <c r="Q50" s="41"/>
      <c r="R50" s="13"/>
      <c r="S50" s="42" t="n">
        <v>0</v>
      </c>
      <c r="T50" s="42" t="n">
        <v>0</v>
      </c>
      <c r="U50" s="42" t="n">
        <v>0</v>
      </c>
      <c r="V50" s="42" t="n">
        <v>0</v>
      </c>
      <c r="W50" s="42" t="n">
        <v>0</v>
      </c>
      <c r="X50" s="42" t="n">
        <v>0</v>
      </c>
      <c r="Y50" s="42" t="n">
        <v>0</v>
      </c>
      <c r="Z50" s="43" t="n">
        <f aca="false">SUMPRODUCT(S50:Y50,INDEX(Diets!$I$5:$O$12,MATCH(Planner!$C$36,Diets!$A$5:$A$12,0),0))+ISNUMBER(SEARCH(","&amp;A50&amp;",",","&amp;SUBSTITUTE(INDEX(Diets!$P$5:$P$12,MATCH(Planner!$C$36,Diets!$A$5:$A$12,0))," ","")&amp;","))*1</f>
        <v>0</v>
      </c>
      <c r="AA50" s="44" t="n">
        <f aca="false">IF(OR(UPPER(Q50)="Y",Z50&gt;0),0,1)</f>
        <v>1</v>
      </c>
      <c r="AB50" s="45" t="n">
        <v>0</v>
      </c>
      <c r="AC50" s="45" t="n">
        <v>0.5</v>
      </c>
      <c r="AD50" s="45" t="n">
        <v>0.5</v>
      </c>
      <c r="AE50" s="45" t="n">
        <v>0</v>
      </c>
      <c r="AF50" s="8"/>
      <c r="AG50" s="4"/>
      <c r="AH50" s="32" t="n">
        <v>86</v>
      </c>
      <c r="AI50" s="32" t="n">
        <v>1.57</v>
      </c>
      <c r="AJ50" s="32" t="n">
        <v>20.12</v>
      </c>
      <c r="AK50" s="32" t="n">
        <v>0.05</v>
      </c>
      <c r="AL50" s="32" t="n">
        <v>3</v>
      </c>
      <c r="AM50" s="32" t="n">
        <v>4.18</v>
      </c>
      <c r="AN50" s="32" t="n">
        <v>30</v>
      </c>
      <c r="AO50" s="32" t="n">
        <v>0.61</v>
      </c>
      <c r="AP50" s="32" t="n">
        <v>337</v>
      </c>
      <c r="AQ50" s="32" t="n">
        <v>55</v>
      </c>
      <c r="AR50" s="32" t="n">
        <v>2.4</v>
      </c>
      <c r="AS50" s="24" t="n">
        <f aca="false">AI50/M50</f>
        <v>4.24930475138122</v>
      </c>
      <c r="AT50" s="18" t="n">
        <f aca="false">AH50/M50</f>
        <v>232.764464088398</v>
      </c>
      <c r="AU50" s="4" t="s">
        <v>426</v>
      </c>
      <c r="AV50" s="4" t="s">
        <v>427</v>
      </c>
      <c r="AW50" s="4" t="s">
        <v>354</v>
      </c>
    </row>
    <row r="51" customFormat="false" ht="15" hidden="false" customHeight="false" outlineLevel="0" collapsed="false">
      <c r="A51" s="4" t="n">
        <v>46</v>
      </c>
      <c r="B51" s="51" t="s">
        <v>428</v>
      </c>
      <c r="C51" s="52" t="s">
        <v>429</v>
      </c>
      <c r="D51" s="14" t="s">
        <v>430</v>
      </c>
      <c r="E51" s="4" t="s">
        <v>431</v>
      </c>
      <c r="F51" s="46" t="n">
        <v>3.92</v>
      </c>
      <c r="G51" s="21" t="n">
        <v>1360.8</v>
      </c>
      <c r="H51" s="31" t="n">
        <v>0.9</v>
      </c>
      <c r="I51" s="38" t="n">
        <f aca="false">F51/(G51*H51)*100</f>
        <v>0.320073159579332</v>
      </c>
      <c r="J51" s="4"/>
      <c r="K51" s="4"/>
      <c r="L51" s="4"/>
      <c r="M51" s="40" t="n">
        <f aca="false">IF(AND(IF(Planner!$C$39="BLS U.S. average (Sep 2026)",1,0)=1,L51&lt;&gt;""),L51,I51)</f>
        <v>0.320073159579332</v>
      </c>
      <c r="N51" s="13" t="n">
        <v>125</v>
      </c>
      <c r="O51" s="4" t="s">
        <v>432</v>
      </c>
      <c r="P51" s="8" t="n">
        <v>2</v>
      </c>
      <c r="Q51" s="41"/>
      <c r="R51" s="13"/>
      <c r="S51" s="42" t="n">
        <v>0</v>
      </c>
      <c r="T51" s="42" t="n">
        <v>0</v>
      </c>
      <c r="U51" s="42" t="n">
        <v>0</v>
      </c>
      <c r="V51" s="42" t="n">
        <v>0</v>
      </c>
      <c r="W51" s="42" t="n">
        <v>0</v>
      </c>
      <c r="X51" s="42" t="n">
        <v>0</v>
      </c>
      <c r="Y51" s="42" t="n">
        <v>0</v>
      </c>
      <c r="Z51" s="43" t="n">
        <f aca="false">SUMPRODUCT(S51:Y51,INDEX(Diets!$I$5:$O$12,MATCH(Planner!$C$36,Diets!$A$5:$A$12,0),0))+ISNUMBER(SEARCH(","&amp;A51&amp;",",","&amp;SUBSTITUTE(INDEX(Diets!$P$5:$P$12,MATCH(Planner!$C$36,Diets!$A$5:$A$12,0))," ","")&amp;","))*1</f>
        <v>0</v>
      </c>
      <c r="AA51" s="44" t="n">
        <f aca="false">IF(OR(UPPER(Q51)="Y",Z51&gt;0),0,1)</f>
        <v>1</v>
      </c>
      <c r="AB51" s="45" t="n">
        <v>0</v>
      </c>
      <c r="AC51" s="45" t="n">
        <v>0.5</v>
      </c>
      <c r="AD51" s="45" t="n">
        <v>0</v>
      </c>
      <c r="AE51" s="45" t="n">
        <v>0.5</v>
      </c>
      <c r="AF51" s="8" t="n">
        <v>125</v>
      </c>
      <c r="AG51" s="4"/>
      <c r="AH51" s="32" t="n">
        <v>52</v>
      </c>
      <c r="AI51" s="32" t="n">
        <v>0.26</v>
      </c>
      <c r="AJ51" s="32" t="n">
        <v>13.81</v>
      </c>
      <c r="AK51" s="32" t="n">
        <v>0.17</v>
      </c>
      <c r="AL51" s="32" t="n">
        <v>2.4</v>
      </c>
      <c r="AM51" s="32" t="n">
        <v>10.39</v>
      </c>
      <c r="AN51" s="32" t="n">
        <v>6</v>
      </c>
      <c r="AO51" s="32" t="n">
        <v>0.12</v>
      </c>
      <c r="AP51" s="32" t="n">
        <v>107</v>
      </c>
      <c r="AQ51" s="32" t="n">
        <v>1</v>
      </c>
      <c r="AR51" s="32" t="n">
        <v>4.6</v>
      </c>
      <c r="AS51" s="24" t="n">
        <f aca="false">AI51/M51</f>
        <v>0.812314285714286</v>
      </c>
      <c r="AT51" s="18" t="n">
        <f aca="false">AH51/M51</f>
        <v>162.462857142857</v>
      </c>
      <c r="AU51" s="4" t="s">
        <v>433</v>
      </c>
      <c r="AV51" s="4" t="s">
        <v>434</v>
      </c>
      <c r="AW51" s="4" t="s">
        <v>435</v>
      </c>
    </row>
    <row r="52" customFormat="false" ht="15" hidden="false" customHeight="false" outlineLevel="0" collapsed="false">
      <c r="A52" s="4" t="n">
        <v>47</v>
      </c>
      <c r="B52" s="51" t="s">
        <v>428</v>
      </c>
      <c r="C52" s="52" t="s">
        <v>429</v>
      </c>
      <c r="D52" s="14" t="s">
        <v>436</v>
      </c>
      <c r="E52" s="4" t="s">
        <v>437</v>
      </c>
      <c r="F52" s="37" t="n">
        <v>0.5</v>
      </c>
      <c r="G52" s="21" t="n">
        <v>453.6</v>
      </c>
      <c r="H52" s="31" t="n">
        <v>0.64</v>
      </c>
      <c r="I52" s="38" t="n">
        <f aca="false">F52/(G52*H52)*100</f>
        <v>0.172233245149912</v>
      </c>
      <c r="J52" s="39" t="n">
        <v>0.656</v>
      </c>
      <c r="K52" s="21" t="n">
        <v>453.6</v>
      </c>
      <c r="L52" s="38" t="n">
        <f aca="false">J52/(K52*H52)*100</f>
        <v>0.225970017636684</v>
      </c>
      <c r="M52" s="40" t="n">
        <f aca="false">IF(AND(IF(Planner!$C$39="BLS U.S. average (Sep 2026)",1,0)=1,L52&lt;&gt;""),L52,I52)</f>
        <v>0.172233245149912</v>
      </c>
      <c r="N52" s="13" t="n">
        <v>118</v>
      </c>
      <c r="O52" s="4" t="s">
        <v>438</v>
      </c>
      <c r="P52" s="8" t="n">
        <v>2</v>
      </c>
      <c r="Q52" s="41"/>
      <c r="R52" s="13"/>
      <c r="S52" s="42" t="n">
        <v>0</v>
      </c>
      <c r="T52" s="42" t="n">
        <v>0</v>
      </c>
      <c r="U52" s="42" t="n">
        <v>0</v>
      </c>
      <c r="V52" s="42" t="n">
        <v>0</v>
      </c>
      <c r="W52" s="42" t="n">
        <v>0</v>
      </c>
      <c r="X52" s="42" t="n">
        <v>0</v>
      </c>
      <c r="Y52" s="42" t="n">
        <v>0</v>
      </c>
      <c r="Z52" s="43" t="n">
        <f aca="false">SUMPRODUCT(S52:Y52,INDEX(Diets!$I$5:$O$12,MATCH(Planner!$C$36,Diets!$A$5:$A$12,0),0))+ISNUMBER(SEARCH(","&amp;A52&amp;",",","&amp;SUBSTITUTE(INDEX(Diets!$P$5:$P$12,MATCH(Planner!$C$36,Diets!$A$5:$A$12,0))," ","")&amp;","))*1</f>
        <v>0</v>
      </c>
      <c r="AA52" s="44" t="n">
        <f aca="false">IF(OR(UPPER(Q52)="Y",Z52&gt;0),0,1)</f>
        <v>1</v>
      </c>
      <c r="AB52" s="45" t="n">
        <v>0.5</v>
      </c>
      <c r="AC52" s="45" t="n">
        <v>0</v>
      </c>
      <c r="AD52" s="45" t="n">
        <v>0</v>
      </c>
      <c r="AE52" s="45" t="n">
        <v>0.5</v>
      </c>
      <c r="AF52" s="8" t="n">
        <v>118</v>
      </c>
      <c r="AG52" s="4"/>
      <c r="AH52" s="32" t="n">
        <v>89</v>
      </c>
      <c r="AI52" s="32" t="n">
        <v>1.09</v>
      </c>
      <c r="AJ52" s="32" t="n">
        <v>22.84</v>
      </c>
      <c r="AK52" s="32" t="n">
        <v>0.33</v>
      </c>
      <c r="AL52" s="32" t="n">
        <v>2.6</v>
      </c>
      <c r="AM52" s="32" t="n">
        <v>12.23</v>
      </c>
      <c r="AN52" s="32" t="n">
        <v>5</v>
      </c>
      <c r="AO52" s="32" t="n">
        <v>0.26</v>
      </c>
      <c r="AP52" s="32" t="n">
        <v>358</v>
      </c>
      <c r="AQ52" s="32" t="n">
        <v>1</v>
      </c>
      <c r="AR52" s="32" t="n">
        <v>8.7</v>
      </c>
      <c r="AS52" s="24" t="n">
        <f aca="false">AI52/M52</f>
        <v>6.3286272</v>
      </c>
      <c r="AT52" s="18" t="n">
        <f aca="false">AH52/M52</f>
        <v>516.74112</v>
      </c>
      <c r="AU52" s="4" t="s">
        <v>439</v>
      </c>
      <c r="AV52" s="4" t="s">
        <v>440</v>
      </c>
      <c r="AW52" s="4"/>
    </row>
    <row r="53" customFormat="false" ht="15" hidden="false" customHeight="false" outlineLevel="0" collapsed="false">
      <c r="A53" s="4" t="n">
        <v>48</v>
      </c>
      <c r="B53" s="51" t="s">
        <v>428</v>
      </c>
      <c r="C53" s="52" t="s">
        <v>429</v>
      </c>
      <c r="D53" s="14" t="s">
        <v>441</v>
      </c>
      <c r="E53" s="4" t="s">
        <v>442</v>
      </c>
      <c r="F53" s="37" t="n">
        <v>7.97</v>
      </c>
      <c r="G53" s="21" t="n">
        <v>1360.8</v>
      </c>
      <c r="H53" s="31" t="n">
        <v>1</v>
      </c>
      <c r="I53" s="38" t="n">
        <f aca="false">F53/(G53*H53)*100</f>
        <v>0.585684891240447</v>
      </c>
      <c r="J53" s="4"/>
      <c r="K53" s="4"/>
      <c r="L53" s="4"/>
      <c r="M53" s="40" t="n">
        <f aca="false">IF(AND(IF(Planner!$C$39="BLS U.S. average (Sep 2026)",1,0)=1,L53&lt;&gt;""),L53,I53)</f>
        <v>0.585684891240447</v>
      </c>
      <c r="N53" s="13" t="n">
        <v>155</v>
      </c>
      <c r="O53" s="4" t="s">
        <v>317</v>
      </c>
      <c r="P53" s="8" t="n">
        <v>1</v>
      </c>
      <c r="Q53" s="41"/>
      <c r="R53" s="13"/>
      <c r="S53" s="42" t="n">
        <v>0</v>
      </c>
      <c r="T53" s="42" t="n">
        <v>0</v>
      </c>
      <c r="U53" s="42" t="n">
        <v>0</v>
      </c>
      <c r="V53" s="42" t="n">
        <v>0</v>
      </c>
      <c r="W53" s="42" t="n">
        <v>0</v>
      </c>
      <c r="X53" s="42" t="n">
        <v>0</v>
      </c>
      <c r="Y53" s="42" t="n">
        <v>0</v>
      </c>
      <c r="Z53" s="43" t="n">
        <f aca="false">SUMPRODUCT(S53:Y53,INDEX(Diets!$I$5:$O$12,MATCH(Planner!$C$36,Diets!$A$5:$A$12,0),0))+ISNUMBER(SEARCH(","&amp;A53&amp;",",","&amp;SUBSTITUTE(INDEX(Diets!$P$5:$P$12,MATCH(Planner!$C$36,Diets!$A$5:$A$12,0))," ","")&amp;","))*1</f>
        <v>0</v>
      </c>
      <c r="AA53" s="44" t="n">
        <f aca="false">IF(OR(UPPER(Q53)="Y",Z53&gt;0),0,1)</f>
        <v>1</v>
      </c>
      <c r="AB53" s="45" t="n">
        <v>1</v>
      </c>
      <c r="AC53" s="45" t="n">
        <v>0</v>
      </c>
      <c r="AD53" s="45" t="n">
        <v>0</v>
      </c>
      <c r="AE53" s="45" t="n">
        <v>0</v>
      </c>
      <c r="AF53" s="8" t="n">
        <v>155</v>
      </c>
      <c r="AG53" s="4"/>
      <c r="AH53" s="32" t="n">
        <v>51</v>
      </c>
      <c r="AI53" s="32" t="n">
        <v>0.42</v>
      </c>
      <c r="AJ53" s="32" t="n">
        <v>12.17</v>
      </c>
      <c r="AK53" s="32" t="n">
        <v>0.64</v>
      </c>
      <c r="AL53" s="32" t="n">
        <v>2.7</v>
      </c>
      <c r="AM53" s="32" t="n">
        <v>8.45</v>
      </c>
      <c r="AN53" s="32" t="n">
        <v>8</v>
      </c>
      <c r="AO53" s="32" t="n">
        <v>0.18</v>
      </c>
      <c r="AP53" s="32" t="n">
        <v>54</v>
      </c>
      <c r="AQ53" s="32" t="n">
        <v>1</v>
      </c>
      <c r="AR53" s="32" t="n">
        <v>2.5</v>
      </c>
      <c r="AS53" s="24" t="n">
        <f aca="false">AI53/M53</f>
        <v>0.717109159347553</v>
      </c>
      <c r="AT53" s="18" t="n">
        <f aca="false">AH53/M53</f>
        <v>87.0775407779172</v>
      </c>
      <c r="AU53" s="4" t="s">
        <v>443</v>
      </c>
      <c r="AV53" s="4" t="s">
        <v>444</v>
      </c>
      <c r="AW53" s="4"/>
    </row>
    <row r="54" customFormat="false" ht="15" hidden="false" customHeight="false" outlineLevel="0" collapsed="false">
      <c r="A54" s="4" t="n">
        <v>49</v>
      </c>
      <c r="B54" s="51" t="s">
        <v>428</v>
      </c>
      <c r="C54" s="52" t="s">
        <v>429</v>
      </c>
      <c r="D54" s="14" t="s">
        <v>445</v>
      </c>
      <c r="E54" s="4" t="s">
        <v>437</v>
      </c>
      <c r="F54" s="37" t="n">
        <v>1.87</v>
      </c>
      <c r="G54" s="21" t="n">
        <v>453.6</v>
      </c>
      <c r="H54" s="31" t="n">
        <v>0.96</v>
      </c>
      <c r="I54" s="38" t="n">
        <f aca="false">F54/(G54*H54)*100</f>
        <v>0.429434891240447</v>
      </c>
      <c r="J54" s="4"/>
      <c r="K54" s="4"/>
      <c r="L54" s="4"/>
      <c r="M54" s="40" t="n">
        <f aca="false">IF(AND(IF(Planner!$C$39="BLS U.S. average (Sep 2026)",1,0)=1,L54&lt;&gt;""),L54,I54)</f>
        <v>0.429434891240447</v>
      </c>
      <c r="N54" s="13" t="n">
        <v>151</v>
      </c>
      <c r="O54" s="4" t="s">
        <v>317</v>
      </c>
      <c r="P54" s="8" t="n">
        <v>2</v>
      </c>
      <c r="Q54" s="41"/>
      <c r="R54" s="13"/>
      <c r="S54" s="42" t="n">
        <v>0</v>
      </c>
      <c r="T54" s="42" t="n">
        <v>0</v>
      </c>
      <c r="U54" s="42" t="n">
        <v>0</v>
      </c>
      <c r="V54" s="42" t="n">
        <v>0</v>
      </c>
      <c r="W54" s="42" t="n">
        <v>0</v>
      </c>
      <c r="X54" s="42" t="n">
        <v>0</v>
      </c>
      <c r="Y54" s="42" t="n">
        <v>0</v>
      </c>
      <c r="Z54" s="43" t="n">
        <f aca="false">SUMPRODUCT(S54:Y54,INDEX(Diets!$I$5:$O$12,MATCH(Planner!$C$36,Diets!$A$5:$A$12,0),0))+ISNUMBER(SEARCH(","&amp;A54&amp;",",","&amp;SUBSTITUTE(INDEX(Diets!$P$5:$P$12,MATCH(Planner!$C$36,Diets!$A$5:$A$12,0))," ","")&amp;","))*1</f>
        <v>0</v>
      </c>
      <c r="AA54" s="44" t="n">
        <f aca="false">IF(OR(UPPER(Q54)="Y",Z54&gt;0),0,1)</f>
        <v>1</v>
      </c>
      <c r="AB54" s="45" t="n">
        <v>0</v>
      </c>
      <c r="AC54" s="45" t="n">
        <v>0</v>
      </c>
      <c r="AD54" s="45" t="n">
        <v>0</v>
      </c>
      <c r="AE54" s="45" t="n">
        <v>1</v>
      </c>
      <c r="AF54" s="8" t="n">
        <v>151</v>
      </c>
      <c r="AG54" s="4"/>
      <c r="AH54" s="32" t="n">
        <v>69</v>
      </c>
      <c r="AI54" s="32" t="n">
        <v>0.72</v>
      </c>
      <c r="AJ54" s="32" t="n">
        <v>18.1</v>
      </c>
      <c r="AK54" s="32" t="n">
        <v>0.16</v>
      </c>
      <c r="AL54" s="32" t="n">
        <v>0.9</v>
      </c>
      <c r="AM54" s="32" t="n">
        <v>15.48</v>
      </c>
      <c r="AN54" s="32" t="n">
        <v>10</v>
      </c>
      <c r="AO54" s="32" t="n">
        <v>0.36</v>
      </c>
      <c r="AP54" s="32" t="n">
        <v>191</v>
      </c>
      <c r="AQ54" s="32" t="n">
        <v>2</v>
      </c>
      <c r="AR54" s="32" t="n">
        <v>3.2</v>
      </c>
      <c r="AS54" s="24" t="n">
        <f aca="false">AI54/M54</f>
        <v>1.67662203208556</v>
      </c>
      <c r="AT54" s="18" t="n">
        <f aca="false">AH54/M54</f>
        <v>160.676278074866</v>
      </c>
      <c r="AU54" s="4" t="s">
        <v>446</v>
      </c>
      <c r="AV54" s="4" t="s">
        <v>447</v>
      </c>
      <c r="AW54" s="4"/>
    </row>
    <row r="55" customFormat="false" ht="15" hidden="false" customHeight="false" outlineLevel="0" collapsed="false">
      <c r="A55" s="4" t="n">
        <v>50</v>
      </c>
      <c r="B55" s="51" t="s">
        <v>428</v>
      </c>
      <c r="C55" s="52" t="s">
        <v>429</v>
      </c>
      <c r="D55" s="14" t="s">
        <v>448</v>
      </c>
      <c r="E55" s="4" t="s">
        <v>449</v>
      </c>
      <c r="F55" s="37" t="n">
        <v>3.96</v>
      </c>
      <c r="G55" s="21" t="n">
        <v>1618.5</v>
      </c>
      <c r="H55" s="31" t="n">
        <v>1</v>
      </c>
      <c r="I55" s="38" t="n">
        <f aca="false">F55/(G55*H55)*100</f>
        <v>0.244670991658943</v>
      </c>
      <c r="J55" s="4"/>
      <c r="K55" s="4"/>
      <c r="L55" s="4"/>
      <c r="M55" s="40" t="n">
        <f aca="false">IF(AND(IF(Planner!$C$39="BLS U.S. average (Sep 2026)",1,0)=1,L55&lt;&gt;""),L55,I55)</f>
        <v>0.244670991658943</v>
      </c>
      <c r="N55" s="13" t="n">
        <v>249</v>
      </c>
      <c r="O55" s="4" t="s">
        <v>317</v>
      </c>
      <c r="P55" s="8" t="n">
        <v>1</v>
      </c>
      <c r="Q55" s="41"/>
      <c r="R55" s="13"/>
      <c r="S55" s="42" t="n">
        <v>0</v>
      </c>
      <c r="T55" s="42" t="n">
        <v>0</v>
      </c>
      <c r="U55" s="42" t="n">
        <v>0</v>
      </c>
      <c r="V55" s="42" t="n">
        <v>0</v>
      </c>
      <c r="W55" s="42" t="n">
        <v>0</v>
      </c>
      <c r="X55" s="42" t="n">
        <v>0</v>
      </c>
      <c r="Y55" s="42" t="n">
        <v>0</v>
      </c>
      <c r="Z55" s="43" t="n">
        <f aca="false">SUMPRODUCT(S55:Y55,INDEX(Diets!$I$5:$O$12,MATCH(Planner!$C$36,Diets!$A$5:$A$12,0),0))+ISNUMBER(SEARCH(","&amp;A55&amp;",",","&amp;SUBSTITUTE(INDEX(Diets!$P$5:$P$12,MATCH(Planner!$C$36,Diets!$A$5:$A$12,0))," ","")&amp;","))*1</f>
        <v>0</v>
      </c>
      <c r="AA55" s="44" t="n">
        <f aca="false">IF(OR(UPPER(Q55)="Y",Z55&gt;0),0,1)</f>
        <v>1</v>
      </c>
      <c r="AB55" s="45" t="n">
        <v>1</v>
      </c>
      <c r="AC55" s="45" t="n">
        <v>0</v>
      </c>
      <c r="AD55" s="45" t="n">
        <v>0</v>
      </c>
      <c r="AE55" s="45" t="n">
        <v>0</v>
      </c>
      <c r="AF55" s="8" t="n">
        <v>249</v>
      </c>
      <c r="AG55" s="4"/>
      <c r="AH55" s="32" t="n">
        <v>49</v>
      </c>
      <c r="AI55" s="32" t="n">
        <v>0.68</v>
      </c>
      <c r="AJ55" s="32" t="n">
        <v>11.54</v>
      </c>
      <c r="AK55" s="32" t="n">
        <v>0.12</v>
      </c>
      <c r="AL55" s="32" t="n">
        <v>0.3</v>
      </c>
      <c r="AM55" s="32" t="n">
        <v>8.31</v>
      </c>
      <c r="AN55" s="32" t="n">
        <v>11</v>
      </c>
      <c r="AO55" s="32" t="n">
        <v>0.13</v>
      </c>
      <c r="AP55" s="32" t="n">
        <v>178</v>
      </c>
      <c r="AQ55" s="32" t="n">
        <v>2</v>
      </c>
      <c r="AR55" s="32" t="n">
        <v>33.6</v>
      </c>
      <c r="AS55" s="24" t="n">
        <f aca="false">AI55/M55</f>
        <v>2.77924242424242</v>
      </c>
      <c r="AT55" s="18" t="n">
        <f aca="false">AH55/M55</f>
        <v>200.268939393939</v>
      </c>
      <c r="AU55" s="4" t="s">
        <v>450</v>
      </c>
      <c r="AV55" s="4" t="s">
        <v>451</v>
      </c>
      <c r="AW55" s="4" t="s">
        <v>452</v>
      </c>
    </row>
    <row r="56" customFormat="false" ht="15" hidden="false" customHeight="false" outlineLevel="0" collapsed="false">
      <c r="A56" s="4" t="n">
        <v>51</v>
      </c>
      <c r="B56" s="51" t="s">
        <v>428</v>
      </c>
      <c r="C56" s="52" t="s">
        <v>429</v>
      </c>
      <c r="D56" s="14" t="s">
        <v>453</v>
      </c>
      <c r="E56" s="4" t="s">
        <v>454</v>
      </c>
      <c r="F56" s="37" t="n">
        <v>5.97</v>
      </c>
      <c r="G56" s="21" t="n">
        <v>1814.4</v>
      </c>
      <c r="H56" s="31" t="n">
        <v>0.68</v>
      </c>
      <c r="I56" s="38" t="n">
        <f aca="false">F56/(G56*H56)*100</f>
        <v>0.483874105197635</v>
      </c>
      <c r="J56" s="39" t="n">
        <v>1.723</v>
      </c>
      <c r="K56" s="21" t="n">
        <v>453.6</v>
      </c>
      <c r="L56" s="38" t="n">
        <f aca="false">J56/(K56*H56)*100</f>
        <v>0.558603070857973</v>
      </c>
      <c r="M56" s="40" t="n">
        <f aca="false">IF(AND(IF(Planner!$C$39="BLS U.S. average (Sep 2026)",1,0)=1,L56&lt;&gt;""),L56,I56)</f>
        <v>0.483874105197635</v>
      </c>
      <c r="N56" s="13" t="n">
        <v>140</v>
      </c>
      <c r="O56" s="4" t="s">
        <v>455</v>
      </c>
      <c r="P56" s="8" t="n">
        <v>2</v>
      </c>
      <c r="Q56" s="41"/>
      <c r="R56" s="13"/>
      <c r="S56" s="42" t="n">
        <v>0</v>
      </c>
      <c r="T56" s="42" t="n">
        <v>0</v>
      </c>
      <c r="U56" s="42" t="n">
        <v>0</v>
      </c>
      <c r="V56" s="42" t="n">
        <v>0</v>
      </c>
      <c r="W56" s="42" t="n">
        <v>0</v>
      </c>
      <c r="X56" s="42" t="n">
        <v>0</v>
      </c>
      <c r="Y56" s="42" t="n">
        <v>0</v>
      </c>
      <c r="Z56" s="43" t="n">
        <f aca="false">SUMPRODUCT(S56:Y56,INDEX(Diets!$I$5:$O$12,MATCH(Planner!$C$36,Diets!$A$5:$A$12,0),0))+ISNUMBER(SEARCH(","&amp;A56&amp;",",","&amp;SUBSTITUTE(INDEX(Diets!$P$5:$P$12,MATCH(Planner!$C$36,Diets!$A$5:$A$12,0))," ","")&amp;","))*1</f>
        <v>0</v>
      </c>
      <c r="AA56" s="44" t="n">
        <f aca="false">IF(OR(UPPER(Q56)="Y",Z56&gt;0),0,1)</f>
        <v>1</v>
      </c>
      <c r="AB56" s="45" t="n">
        <v>0</v>
      </c>
      <c r="AC56" s="45" t="n">
        <v>0.5</v>
      </c>
      <c r="AD56" s="45" t="n">
        <v>0</v>
      </c>
      <c r="AE56" s="45" t="n">
        <v>0.5</v>
      </c>
      <c r="AF56" s="8" t="n">
        <v>140</v>
      </c>
      <c r="AG56" s="4"/>
      <c r="AH56" s="32" t="n">
        <v>49</v>
      </c>
      <c r="AI56" s="32" t="n">
        <v>0.91</v>
      </c>
      <c r="AJ56" s="32" t="n">
        <v>12.54</v>
      </c>
      <c r="AK56" s="32" t="n">
        <v>0.15</v>
      </c>
      <c r="AL56" s="32" t="n">
        <v>2.2</v>
      </c>
      <c r="AM56" s="32" t="n">
        <v>8.5</v>
      </c>
      <c r="AN56" s="32" t="n">
        <v>43</v>
      </c>
      <c r="AO56" s="32" t="n">
        <v>0.13</v>
      </c>
      <c r="AP56" s="32" t="n">
        <v>166</v>
      </c>
      <c r="AQ56" s="32" t="n">
        <v>1</v>
      </c>
      <c r="AR56" s="32" t="n">
        <v>59.1</v>
      </c>
      <c r="AS56" s="24" t="n">
        <f aca="false">AI56/M56</f>
        <v>1.88065447236181</v>
      </c>
      <c r="AT56" s="18" t="n">
        <f aca="false">AH56/M56</f>
        <v>101.266010050251</v>
      </c>
      <c r="AU56" s="4" t="s">
        <v>456</v>
      </c>
      <c r="AV56" s="4" t="s">
        <v>457</v>
      </c>
      <c r="AW56" s="4"/>
    </row>
    <row r="57" customFormat="false" ht="15" hidden="false" customHeight="false" outlineLevel="0" collapsed="false">
      <c r="A57" s="4" t="n">
        <v>52</v>
      </c>
      <c r="B57" s="51" t="s">
        <v>428</v>
      </c>
      <c r="C57" s="52" t="s">
        <v>429</v>
      </c>
      <c r="D57" s="14" t="s">
        <v>458</v>
      </c>
      <c r="E57" s="4" t="s">
        <v>459</v>
      </c>
      <c r="F57" s="37" t="n">
        <v>4.38</v>
      </c>
      <c r="G57" s="21" t="n">
        <v>567</v>
      </c>
      <c r="H57" s="31" t="n">
        <v>1</v>
      </c>
      <c r="I57" s="38" t="n">
        <f aca="false">F57/(G57*H57)*100</f>
        <v>0.772486772486772</v>
      </c>
      <c r="J57" s="4"/>
      <c r="K57" s="4"/>
      <c r="L57" s="4"/>
      <c r="M57" s="40" t="n">
        <f aca="false">IF(AND(IF(Planner!$C$39="BLS U.S. average (Sep 2026)",1,0)=1,L57&lt;&gt;""),L57,I57)</f>
        <v>0.772486772486772</v>
      </c>
      <c r="N57" s="13" t="n">
        <v>41</v>
      </c>
      <c r="O57" s="4" t="s">
        <v>460</v>
      </c>
      <c r="P57" s="8" t="n">
        <v>1</v>
      </c>
      <c r="Q57" s="41"/>
      <c r="R57" s="13"/>
      <c r="S57" s="42" t="n">
        <v>0</v>
      </c>
      <c r="T57" s="42" t="n">
        <v>0</v>
      </c>
      <c r="U57" s="42" t="n">
        <v>0</v>
      </c>
      <c r="V57" s="42" t="n">
        <v>0</v>
      </c>
      <c r="W57" s="42" t="n">
        <v>0</v>
      </c>
      <c r="X57" s="42" t="n">
        <v>0</v>
      </c>
      <c r="Y57" s="42" t="n">
        <v>0</v>
      </c>
      <c r="Z57" s="43" t="n">
        <f aca="false">SUMPRODUCT(S57:Y57,INDEX(Diets!$I$5:$O$12,MATCH(Planner!$C$36,Diets!$A$5:$A$12,0),0))+ISNUMBER(SEARCH(","&amp;A57&amp;",",","&amp;SUBSTITUTE(INDEX(Diets!$P$5:$P$12,MATCH(Planner!$C$36,Diets!$A$5:$A$12,0))," ","")&amp;","))*1</f>
        <v>0</v>
      </c>
      <c r="AA57" s="44" t="n">
        <f aca="false">IF(OR(UPPER(Q57)="Y",Z57&gt;0),0,1)</f>
        <v>1</v>
      </c>
      <c r="AB57" s="45" t="n">
        <v>0</v>
      </c>
      <c r="AC57" s="45" t="n">
        <v>0</v>
      </c>
      <c r="AD57" s="45" t="n">
        <v>0</v>
      </c>
      <c r="AE57" s="45" t="n">
        <v>1</v>
      </c>
      <c r="AF57" s="8" t="n">
        <v>82</v>
      </c>
      <c r="AG57" s="4"/>
      <c r="AH57" s="32" t="n">
        <v>299</v>
      </c>
      <c r="AI57" s="32" t="n">
        <v>3.07</v>
      </c>
      <c r="AJ57" s="32" t="n">
        <v>79.18</v>
      </c>
      <c r="AK57" s="32" t="n">
        <v>0.46</v>
      </c>
      <c r="AL57" s="32" t="n">
        <v>3.7</v>
      </c>
      <c r="AM57" s="32" t="n">
        <v>59.19</v>
      </c>
      <c r="AN57" s="32" t="n">
        <v>50</v>
      </c>
      <c r="AO57" s="32" t="n">
        <v>1.88</v>
      </c>
      <c r="AP57" s="32" t="n">
        <v>749</v>
      </c>
      <c r="AQ57" s="32" t="n">
        <v>11</v>
      </c>
      <c r="AR57" s="32" t="n">
        <v>2.3</v>
      </c>
      <c r="AS57" s="24" t="n">
        <f aca="false">AI57/M57</f>
        <v>3.97417808219178</v>
      </c>
      <c r="AT57" s="18" t="n">
        <f aca="false">AH57/M57</f>
        <v>387.061643835616</v>
      </c>
      <c r="AU57" s="4" t="s">
        <v>461</v>
      </c>
      <c r="AV57" s="4" t="s">
        <v>462</v>
      </c>
      <c r="AW57" s="4"/>
    </row>
    <row r="58" customFormat="false" ht="15" hidden="false" customHeight="false" outlineLevel="0" collapsed="false">
      <c r="A58" s="4" t="n">
        <v>53</v>
      </c>
      <c r="B58" s="51" t="s">
        <v>428</v>
      </c>
      <c r="C58" s="52" t="s">
        <v>429</v>
      </c>
      <c r="D58" s="14" t="s">
        <v>463</v>
      </c>
      <c r="E58" s="4" t="s">
        <v>464</v>
      </c>
      <c r="F58" s="37" t="n">
        <v>2.97</v>
      </c>
      <c r="G58" s="21" t="n">
        <v>453.6</v>
      </c>
      <c r="H58" s="31" t="n">
        <v>0.94</v>
      </c>
      <c r="I58" s="38" t="n">
        <f aca="false">F58/(G58*H58)*100</f>
        <v>0.696555217831814</v>
      </c>
      <c r="J58" s="39" t="n">
        <v>2.84</v>
      </c>
      <c r="K58" s="21" t="n">
        <v>340.2</v>
      </c>
      <c r="L58" s="38" t="n">
        <f aca="false">J58/(K58*H58)*100</f>
        <v>0.888088358537531</v>
      </c>
      <c r="M58" s="40" t="n">
        <f aca="false">IF(AND(IF(Planner!$C$39="BLS U.S. average (Sep 2026)",1,0)=1,L58&lt;&gt;""),L58,I58)</f>
        <v>0.696555217831814</v>
      </c>
      <c r="N58" s="13" t="n">
        <v>152</v>
      </c>
      <c r="O58" s="4" t="s">
        <v>465</v>
      </c>
      <c r="P58" s="8" t="n">
        <v>2</v>
      </c>
      <c r="Q58" s="41"/>
      <c r="R58" s="13"/>
      <c r="S58" s="42" t="n">
        <v>0</v>
      </c>
      <c r="T58" s="42" t="n">
        <v>0</v>
      </c>
      <c r="U58" s="42" t="n">
        <v>0</v>
      </c>
      <c r="V58" s="42" t="n">
        <v>0</v>
      </c>
      <c r="W58" s="42" t="n">
        <v>0</v>
      </c>
      <c r="X58" s="42" t="n">
        <v>0</v>
      </c>
      <c r="Y58" s="42" t="n">
        <v>0</v>
      </c>
      <c r="Z58" s="43" t="n">
        <f aca="false">SUMPRODUCT(S58:Y58,INDEX(Diets!$I$5:$O$12,MATCH(Planner!$C$36,Diets!$A$5:$A$12,0),0))+ISNUMBER(SEARCH(","&amp;A58&amp;",",","&amp;SUBSTITUTE(INDEX(Diets!$P$5:$P$12,MATCH(Planner!$C$36,Diets!$A$5:$A$12,0))," ","")&amp;","))*1</f>
        <v>0</v>
      </c>
      <c r="AA58" s="44" t="n">
        <f aca="false">IF(OR(UPPER(Q58)="Y",Z58&gt;0),0,1)</f>
        <v>1</v>
      </c>
      <c r="AB58" s="45" t="n">
        <v>0.5</v>
      </c>
      <c r="AC58" s="45" t="n">
        <v>0</v>
      </c>
      <c r="AD58" s="45" t="n">
        <v>0</v>
      </c>
      <c r="AE58" s="45" t="n">
        <v>0.5</v>
      </c>
      <c r="AF58" s="8" t="n">
        <v>152</v>
      </c>
      <c r="AG58" s="4"/>
      <c r="AH58" s="32" t="n">
        <v>32</v>
      </c>
      <c r="AI58" s="32" t="n">
        <v>0.67</v>
      </c>
      <c r="AJ58" s="32" t="n">
        <v>7.68</v>
      </c>
      <c r="AK58" s="32" t="n">
        <v>0.3</v>
      </c>
      <c r="AL58" s="32" t="n">
        <v>2</v>
      </c>
      <c r="AM58" s="32" t="n">
        <v>4.89</v>
      </c>
      <c r="AN58" s="32" t="n">
        <v>16</v>
      </c>
      <c r="AO58" s="32" t="n">
        <v>0.41</v>
      </c>
      <c r="AP58" s="32" t="n">
        <v>153</v>
      </c>
      <c r="AQ58" s="32" t="n">
        <v>1</v>
      </c>
      <c r="AR58" s="32" t="n">
        <v>58.8</v>
      </c>
      <c r="AS58" s="24" t="n">
        <f aca="false">AI58/M58</f>
        <v>0.961876363636364</v>
      </c>
      <c r="AT58" s="18" t="n">
        <f aca="false">AH58/M58</f>
        <v>45.9403636363636</v>
      </c>
      <c r="AU58" s="4" t="s">
        <v>466</v>
      </c>
      <c r="AV58" s="4" t="s">
        <v>467</v>
      </c>
      <c r="AW58" s="4"/>
    </row>
    <row r="59" customFormat="false" ht="15" hidden="false" customHeight="false" outlineLevel="0" collapsed="false">
      <c r="A59" s="4" t="n">
        <v>54</v>
      </c>
      <c r="B59" s="53" t="s">
        <v>468</v>
      </c>
      <c r="C59" s="54" t="s">
        <v>468</v>
      </c>
      <c r="D59" s="14" t="s">
        <v>469</v>
      </c>
      <c r="E59" s="4" t="s">
        <v>470</v>
      </c>
      <c r="F59" s="37" t="n">
        <v>1.16</v>
      </c>
      <c r="G59" s="21" t="n">
        <v>340.2</v>
      </c>
      <c r="H59" s="31" t="n">
        <v>1</v>
      </c>
      <c r="I59" s="38" t="n">
        <f aca="false">F59/(G59*H59)*100</f>
        <v>0.340975896531452</v>
      </c>
      <c r="J59" s="4"/>
      <c r="K59" s="4"/>
      <c r="L59" s="4"/>
      <c r="M59" s="40" t="n">
        <f aca="false">IF(AND(IF(Planner!$C$39="BLS U.S. average (Sep 2026)",1,0)=1,L59&lt;&gt;""),L59,I59)</f>
        <v>0.340975896531452</v>
      </c>
      <c r="N59" s="13" t="n">
        <v>95</v>
      </c>
      <c r="O59" s="4" t="s">
        <v>317</v>
      </c>
      <c r="P59" s="8" t="n">
        <v>2</v>
      </c>
      <c r="Q59" s="41"/>
      <c r="R59" s="13"/>
      <c r="S59" s="42" t="n">
        <v>0</v>
      </c>
      <c r="T59" s="42" t="n">
        <v>0</v>
      </c>
      <c r="U59" s="42" t="n">
        <v>0</v>
      </c>
      <c r="V59" s="42" t="n">
        <v>0</v>
      </c>
      <c r="W59" s="42" t="n">
        <v>0</v>
      </c>
      <c r="X59" s="42" t="n">
        <v>0</v>
      </c>
      <c r="Y59" s="42" t="n">
        <v>0</v>
      </c>
      <c r="Z59" s="43" t="n">
        <f aca="false">SUMPRODUCT(S59:Y59,INDEX(Diets!$I$5:$O$12,MATCH(Planner!$C$36,Diets!$A$5:$A$12,0),0))+ISNUMBER(SEARCH(","&amp;A59&amp;",",","&amp;SUBSTITUTE(INDEX(Diets!$P$5:$P$12,MATCH(Planner!$C$36,Diets!$A$5:$A$12,0))," ","")&amp;","))*1</f>
        <v>0</v>
      </c>
      <c r="AA59" s="44" t="n">
        <f aca="false">IF(OR(UPPER(Q59)="Y",Z59&gt;0),0,1)</f>
        <v>1</v>
      </c>
      <c r="AB59" s="45" t="n">
        <v>0</v>
      </c>
      <c r="AC59" s="45" t="n">
        <v>0.5</v>
      </c>
      <c r="AD59" s="45" t="n">
        <v>0.5</v>
      </c>
      <c r="AE59" s="45" t="n">
        <v>0</v>
      </c>
      <c r="AF59" s="8" t="n">
        <v>91</v>
      </c>
      <c r="AG59" s="4"/>
      <c r="AH59" s="32" t="n">
        <v>29</v>
      </c>
      <c r="AI59" s="32" t="n">
        <v>3.06</v>
      </c>
      <c r="AJ59" s="32" t="n">
        <v>5.35</v>
      </c>
      <c r="AK59" s="32" t="n">
        <v>0.34</v>
      </c>
      <c r="AL59" s="32" t="n">
        <v>3</v>
      </c>
      <c r="AM59" s="32" t="n">
        <v>1.47</v>
      </c>
      <c r="AN59" s="32" t="n">
        <v>41</v>
      </c>
      <c r="AO59" s="32" t="n">
        <v>0.72</v>
      </c>
      <c r="AP59" s="32" t="n">
        <v>250</v>
      </c>
      <c r="AQ59" s="32" t="n">
        <v>17</v>
      </c>
      <c r="AR59" s="32" t="n">
        <v>68.3</v>
      </c>
      <c r="AS59" s="24" t="n">
        <f aca="false">AI59/M59</f>
        <v>8.97424137931035</v>
      </c>
      <c r="AT59" s="18" t="n">
        <f aca="false">AH59/M59</f>
        <v>85.05</v>
      </c>
      <c r="AU59" s="4" t="s">
        <v>471</v>
      </c>
      <c r="AV59" s="4" t="s">
        <v>472</v>
      </c>
      <c r="AW59" s="4"/>
    </row>
    <row r="60" customFormat="false" ht="15" hidden="false" customHeight="false" outlineLevel="0" collapsed="false">
      <c r="A60" s="4" t="n">
        <v>55</v>
      </c>
      <c r="B60" s="53" t="s">
        <v>468</v>
      </c>
      <c r="C60" s="54" t="s">
        <v>468</v>
      </c>
      <c r="D60" s="14" t="s">
        <v>473</v>
      </c>
      <c r="E60" s="4" t="s">
        <v>474</v>
      </c>
      <c r="F60" s="37" t="n">
        <v>2.26</v>
      </c>
      <c r="G60" s="21" t="n">
        <v>907.2</v>
      </c>
      <c r="H60" s="31" t="n">
        <v>0.89</v>
      </c>
      <c r="I60" s="38" t="n">
        <f aca="false">F60/(G60*H60)*100</f>
        <v>0.279908051443632</v>
      </c>
      <c r="J60" s="4"/>
      <c r="K60" s="4"/>
      <c r="L60" s="4"/>
      <c r="M60" s="40" t="n">
        <f aca="false">IF(AND(IF(Planner!$C$39="BLS U.S. average (Sep 2026)",1,0)=1,L60&lt;&gt;""),L60,I60)</f>
        <v>0.279908051443632</v>
      </c>
      <c r="N60" s="13" t="n">
        <v>128</v>
      </c>
      <c r="O60" s="4" t="s">
        <v>475</v>
      </c>
      <c r="P60" s="8" t="n">
        <v>2</v>
      </c>
      <c r="Q60" s="41"/>
      <c r="R60" s="13"/>
      <c r="S60" s="42" t="n">
        <v>0</v>
      </c>
      <c r="T60" s="42" t="n">
        <v>0</v>
      </c>
      <c r="U60" s="42" t="n">
        <v>0</v>
      </c>
      <c r="V60" s="42" t="n">
        <v>0</v>
      </c>
      <c r="W60" s="42" t="n">
        <v>0</v>
      </c>
      <c r="X60" s="42" t="n">
        <v>0</v>
      </c>
      <c r="Y60" s="42" t="n">
        <v>0</v>
      </c>
      <c r="Z60" s="43" t="n">
        <f aca="false">SUMPRODUCT(S60:Y60,INDEX(Diets!$I$5:$O$12,MATCH(Planner!$C$36,Diets!$A$5:$A$12,0),0))+ISNUMBER(SEARCH(","&amp;A60&amp;",",","&amp;SUBSTITUTE(INDEX(Diets!$P$5:$P$12,MATCH(Planner!$C$36,Diets!$A$5:$A$12,0))," ","")&amp;","))*1</f>
        <v>0</v>
      </c>
      <c r="AA60" s="44" t="n">
        <f aca="false">IF(OR(UPPER(Q60)="Y",Z60&gt;0),0,1)</f>
        <v>1</v>
      </c>
      <c r="AB60" s="45" t="n">
        <v>0</v>
      </c>
      <c r="AC60" s="45" t="n">
        <v>0.5</v>
      </c>
      <c r="AD60" s="45" t="n">
        <v>0</v>
      </c>
      <c r="AE60" s="45" t="n">
        <v>0.5</v>
      </c>
      <c r="AF60" s="8" t="n">
        <v>128</v>
      </c>
      <c r="AG60" s="4"/>
      <c r="AH60" s="32" t="n">
        <v>41</v>
      </c>
      <c r="AI60" s="32" t="n">
        <v>0.93</v>
      </c>
      <c r="AJ60" s="32" t="n">
        <v>9.58</v>
      </c>
      <c r="AK60" s="32" t="n">
        <v>0.24</v>
      </c>
      <c r="AL60" s="32" t="n">
        <v>2.8</v>
      </c>
      <c r="AM60" s="32" t="n">
        <v>4.74</v>
      </c>
      <c r="AN60" s="32" t="n">
        <v>33</v>
      </c>
      <c r="AO60" s="32" t="n">
        <v>0.3</v>
      </c>
      <c r="AP60" s="32" t="n">
        <v>320</v>
      </c>
      <c r="AQ60" s="32" t="n">
        <v>69</v>
      </c>
      <c r="AR60" s="32" t="n">
        <v>5.9</v>
      </c>
      <c r="AS60" s="24" t="n">
        <f aca="false">AI60/M60</f>
        <v>3.3225196460177</v>
      </c>
      <c r="AT60" s="18" t="n">
        <f aca="false">AH60/M60</f>
        <v>146.476672566372</v>
      </c>
      <c r="AU60" s="4" t="s">
        <v>476</v>
      </c>
      <c r="AV60" s="4" t="s">
        <v>477</v>
      </c>
      <c r="AW60" s="4"/>
    </row>
    <row r="61" customFormat="false" ht="15" hidden="false" customHeight="false" outlineLevel="0" collapsed="false">
      <c r="A61" s="4" t="n">
        <v>56</v>
      </c>
      <c r="B61" s="53" t="s">
        <v>468</v>
      </c>
      <c r="C61" s="54" t="s">
        <v>468</v>
      </c>
      <c r="D61" s="14" t="s">
        <v>478</v>
      </c>
      <c r="E61" s="4" t="s">
        <v>479</v>
      </c>
      <c r="F61" s="37" t="n">
        <v>0.84</v>
      </c>
      <c r="G61" s="21" t="n">
        <v>411.1</v>
      </c>
      <c r="H61" s="31" t="n">
        <v>1</v>
      </c>
      <c r="I61" s="38" t="n">
        <f aca="false">F61/(G61*H61)*100</f>
        <v>0.204329846752615</v>
      </c>
      <c r="J61" s="4"/>
      <c r="K61" s="4"/>
      <c r="L61" s="4"/>
      <c r="M61" s="40" t="n">
        <f aca="false">IF(AND(IF(Planner!$C$39="BLS U.S. average (Sep 2026)",1,0)=1,L61&lt;&gt;""),L61,I61)</f>
        <v>0.204329846752615</v>
      </c>
      <c r="N61" s="13" t="n">
        <v>120</v>
      </c>
      <c r="O61" s="4" t="s">
        <v>284</v>
      </c>
      <c r="P61" s="8" t="n">
        <v>3</v>
      </c>
      <c r="Q61" s="41"/>
      <c r="R61" s="13"/>
      <c r="S61" s="42" t="n">
        <v>0</v>
      </c>
      <c r="T61" s="42" t="n">
        <v>0</v>
      </c>
      <c r="U61" s="42" t="n">
        <v>0</v>
      </c>
      <c r="V61" s="42" t="n">
        <v>0</v>
      </c>
      <c r="W61" s="42" t="n">
        <v>0</v>
      </c>
      <c r="X61" s="42" t="n">
        <v>0</v>
      </c>
      <c r="Y61" s="42" t="n">
        <v>0</v>
      </c>
      <c r="Z61" s="43" t="n">
        <f aca="false">SUMPRODUCT(S61:Y61,INDEX(Diets!$I$5:$O$12,MATCH(Planner!$C$36,Diets!$A$5:$A$12,0),0))+ISNUMBER(SEARCH(","&amp;A61&amp;",",","&amp;SUBSTITUTE(INDEX(Diets!$P$5:$P$12,MATCH(Planner!$C$36,Diets!$A$5:$A$12,0))," ","")&amp;","))*1</f>
        <v>0</v>
      </c>
      <c r="AA61" s="44" t="n">
        <f aca="false">IF(OR(UPPER(Q61)="Y",Z61&gt;0),0,1)</f>
        <v>1</v>
      </c>
      <c r="AB61" s="45" t="n">
        <v>0</v>
      </c>
      <c r="AC61" s="45" t="n">
        <v>0.5</v>
      </c>
      <c r="AD61" s="45" t="n">
        <v>0.5</v>
      </c>
      <c r="AE61" s="45" t="n">
        <v>0</v>
      </c>
      <c r="AF61" s="8" t="n">
        <v>235</v>
      </c>
      <c r="AG61" s="4"/>
      <c r="AH61" s="32" t="n">
        <v>15</v>
      </c>
      <c r="AI61" s="32" t="n">
        <v>0.72</v>
      </c>
      <c r="AJ61" s="32" t="n">
        <v>3.27</v>
      </c>
      <c r="AK61" s="32" t="n">
        <v>0.17</v>
      </c>
      <c r="AL61" s="32" t="n">
        <v>1.5</v>
      </c>
      <c r="AM61" s="32" t="n">
        <v>1.25</v>
      </c>
      <c r="AN61" s="32" t="n">
        <v>29</v>
      </c>
      <c r="AO61" s="32" t="n">
        <v>1.02</v>
      </c>
      <c r="AP61" s="32" t="n">
        <v>92</v>
      </c>
      <c r="AQ61" s="32" t="n">
        <v>192</v>
      </c>
      <c r="AR61" s="32" t="n">
        <v>2.2</v>
      </c>
      <c r="AS61" s="24" t="n">
        <f aca="false">AI61/M61</f>
        <v>3.52371428571429</v>
      </c>
      <c r="AT61" s="18" t="n">
        <f aca="false">AH61/M61</f>
        <v>73.4107142857143</v>
      </c>
      <c r="AU61" s="4" t="s">
        <v>480</v>
      </c>
      <c r="AV61" s="4" t="s">
        <v>481</v>
      </c>
      <c r="AW61" s="4" t="s">
        <v>482</v>
      </c>
    </row>
    <row r="62" customFormat="false" ht="15" hidden="false" customHeight="false" outlineLevel="0" collapsed="false">
      <c r="A62" s="4" t="n">
        <v>57</v>
      </c>
      <c r="B62" s="53" t="s">
        <v>468</v>
      </c>
      <c r="C62" s="54" t="s">
        <v>468</v>
      </c>
      <c r="D62" s="14" t="s">
        <v>483</v>
      </c>
      <c r="E62" s="4" t="s">
        <v>484</v>
      </c>
      <c r="F62" s="37" t="n">
        <v>0.86</v>
      </c>
      <c r="G62" s="21" t="n">
        <v>145</v>
      </c>
      <c r="H62" s="31" t="n">
        <v>0.82</v>
      </c>
      <c r="I62" s="38" t="n">
        <f aca="false">F62/(G62*H62)*100</f>
        <v>0.723296888141295</v>
      </c>
      <c r="J62" s="4"/>
      <c r="K62" s="4"/>
      <c r="L62" s="4"/>
      <c r="M62" s="40" t="n">
        <f aca="false">IF(AND(IF(Planner!$C$39="BLS U.S. average (Sep 2026)",1,0)=1,L62&lt;&gt;""),L62,I62)</f>
        <v>0.723296888141295</v>
      </c>
      <c r="N62" s="13" t="n">
        <v>149</v>
      </c>
      <c r="O62" s="4" t="s">
        <v>475</v>
      </c>
      <c r="P62" s="8" t="n">
        <v>1</v>
      </c>
      <c r="Q62" s="41"/>
      <c r="R62" s="13"/>
      <c r="S62" s="42" t="n">
        <v>0</v>
      </c>
      <c r="T62" s="42" t="n">
        <v>0</v>
      </c>
      <c r="U62" s="42" t="n">
        <v>0</v>
      </c>
      <c r="V62" s="42" t="n">
        <v>0</v>
      </c>
      <c r="W62" s="42" t="n">
        <v>0</v>
      </c>
      <c r="X62" s="42" t="n">
        <v>0</v>
      </c>
      <c r="Y62" s="42" t="n">
        <v>0</v>
      </c>
      <c r="Z62" s="43" t="n">
        <f aca="false">SUMPRODUCT(S62:Y62,INDEX(Diets!$I$5:$O$12,MATCH(Planner!$C$36,Diets!$A$5:$A$12,0),0))+ISNUMBER(SEARCH(","&amp;A62&amp;",",","&amp;SUBSTITUTE(INDEX(Diets!$P$5:$P$12,MATCH(Planner!$C$36,Diets!$A$5:$A$12,0))," ","")&amp;","))*1</f>
        <v>0</v>
      </c>
      <c r="AA62" s="44" t="n">
        <f aca="false">IF(OR(UPPER(Q62)="Y",Z62&gt;0),0,1)</f>
        <v>1</v>
      </c>
      <c r="AB62" s="45" t="n">
        <v>0</v>
      </c>
      <c r="AC62" s="45" t="n">
        <v>0.5</v>
      </c>
      <c r="AD62" s="45" t="n">
        <v>0.5</v>
      </c>
      <c r="AE62" s="45" t="n">
        <v>0</v>
      </c>
      <c r="AF62" s="8" t="n">
        <v>149</v>
      </c>
      <c r="AG62" s="4"/>
      <c r="AH62" s="32" t="n">
        <v>20</v>
      </c>
      <c r="AI62" s="32" t="n">
        <v>0.86</v>
      </c>
      <c r="AJ62" s="32" t="n">
        <v>4.64</v>
      </c>
      <c r="AK62" s="32" t="n">
        <v>0.17</v>
      </c>
      <c r="AL62" s="32" t="n">
        <v>1.7</v>
      </c>
      <c r="AM62" s="32" t="n">
        <v>2.4</v>
      </c>
      <c r="AN62" s="32" t="n">
        <v>10</v>
      </c>
      <c r="AO62" s="32" t="n">
        <v>0.34</v>
      </c>
      <c r="AP62" s="32" t="n">
        <v>175</v>
      </c>
      <c r="AQ62" s="32" t="n">
        <v>3</v>
      </c>
      <c r="AR62" s="32" t="n">
        <v>80.4</v>
      </c>
      <c r="AS62" s="24" t="n">
        <f aca="false">AI62/M62</f>
        <v>1.189</v>
      </c>
      <c r="AT62" s="18" t="n">
        <f aca="false">AH62/M62</f>
        <v>27.6511627906977</v>
      </c>
      <c r="AU62" s="4" t="s">
        <v>485</v>
      </c>
      <c r="AV62" s="4" t="s">
        <v>486</v>
      </c>
      <c r="AW62" s="4" t="s">
        <v>487</v>
      </c>
    </row>
    <row r="63" customFormat="false" ht="15" hidden="false" customHeight="false" outlineLevel="0" collapsed="false">
      <c r="A63" s="4" t="n">
        <v>58</v>
      </c>
      <c r="B63" s="53" t="s">
        <v>468</v>
      </c>
      <c r="C63" s="54" t="s">
        <v>468</v>
      </c>
      <c r="D63" s="14" t="s">
        <v>488</v>
      </c>
      <c r="E63" s="4" t="s">
        <v>322</v>
      </c>
      <c r="F63" s="37" t="n">
        <v>2.58</v>
      </c>
      <c r="G63" s="21" t="n">
        <v>907.2</v>
      </c>
      <c r="H63" s="31" t="n">
        <v>1</v>
      </c>
      <c r="I63" s="38" t="n">
        <f aca="false">F63/(G63*H63)*100</f>
        <v>0.284391534391534</v>
      </c>
      <c r="J63" s="4"/>
      <c r="K63" s="4"/>
      <c r="L63" s="4"/>
      <c r="M63" s="40" t="n">
        <f aca="false">IF(AND(IF(Planner!$C$39="BLS U.S. average (Sep 2026)",1,0)=1,L63&lt;&gt;""),L63,I63)</f>
        <v>0.284391534391534</v>
      </c>
      <c r="N63" s="13" t="n">
        <v>95</v>
      </c>
      <c r="O63" s="4" t="s">
        <v>489</v>
      </c>
      <c r="P63" s="8" t="n">
        <v>3</v>
      </c>
      <c r="Q63" s="41"/>
      <c r="R63" s="13"/>
      <c r="S63" s="42" t="n">
        <v>0</v>
      </c>
      <c r="T63" s="42" t="n">
        <v>0</v>
      </c>
      <c r="U63" s="42" t="n">
        <v>0</v>
      </c>
      <c r="V63" s="42" t="n">
        <v>0</v>
      </c>
      <c r="W63" s="42" t="n">
        <v>0</v>
      </c>
      <c r="X63" s="42" t="n">
        <v>0</v>
      </c>
      <c r="Y63" s="42" t="n">
        <v>0</v>
      </c>
      <c r="Z63" s="43" t="n">
        <f aca="false">SUMPRODUCT(S63:Y63,INDEX(Diets!$I$5:$O$12,MATCH(Planner!$C$36,Diets!$A$5:$A$12,0),0))+ISNUMBER(SEARCH(","&amp;A63&amp;",",","&amp;SUBSTITUTE(INDEX(Diets!$P$5:$P$12,MATCH(Planner!$C$36,Diets!$A$5:$A$12,0))," ","")&amp;","))*1</f>
        <v>0</v>
      </c>
      <c r="AA63" s="44" t="n">
        <f aca="false">IF(OR(UPPER(Q63)="Y",Z63&gt;0),0,1)</f>
        <v>1</v>
      </c>
      <c r="AB63" s="45" t="n">
        <v>0</v>
      </c>
      <c r="AC63" s="45" t="n">
        <v>0.5</v>
      </c>
      <c r="AD63" s="45" t="n">
        <v>0.5</v>
      </c>
      <c r="AE63" s="45" t="n">
        <v>0</v>
      </c>
      <c r="AF63" s="8" t="n">
        <v>136</v>
      </c>
      <c r="AG63" s="4"/>
      <c r="AH63" s="32" t="n">
        <v>72</v>
      </c>
      <c r="AI63" s="32" t="n">
        <v>3.33</v>
      </c>
      <c r="AJ63" s="32" t="n">
        <v>13.47</v>
      </c>
      <c r="AK63" s="32" t="n">
        <v>0.52</v>
      </c>
      <c r="AL63" s="32" t="n">
        <v>4</v>
      </c>
      <c r="AM63" s="32" t="n">
        <v>0</v>
      </c>
      <c r="AN63" s="32" t="n">
        <v>25</v>
      </c>
      <c r="AO63" s="32" t="n">
        <v>0.95</v>
      </c>
      <c r="AP63" s="32" t="n">
        <v>212</v>
      </c>
      <c r="AQ63" s="32" t="n">
        <v>47</v>
      </c>
      <c r="AR63" s="32" t="n">
        <v>10.4</v>
      </c>
      <c r="AS63" s="24" t="n">
        <f aca="false">AI63/M63</f>
        <v>11.7092093023256</v>
      </c>
      <c r="AT63" s="18" t="n">
        <f aca="false">AH63/M63</f>
        <v>253.172093023256</v>
      </c>
      <c r="AU63" s="4" t="s">
        <v>490</v>
      </c>
      <c r="AV63" s="4" t="s">
        <v>491</v>
      </c>
      <c r="AW63" s="4"/>
    </row>
    <row r="64" customFormat="false" ht="15" hidden="false" customHeight="false" outlineLevel="0" collapsed="false">
      <c r="A64" s="4" t="n">
        <v>59</v>
      </c>
      <c r="B64" s="53" t="s">
        <v>468</v>
      </c>
      <c r="C64" s="54" t="s">
        <v>468</v>
      </c>
      <c r="D64" s="14" t="s">
        <v>492</v>
      </c>
      <c r="E64" s="4" t="s">
        <v>493</v>
      </c>
      <c r="F64" s="46" t="n">
        <v>2.96</v>
      </c>
      <c r="G64" s="21" t="n">
        <v>1360.8</v>
      </c>
      <c r="H64" s="31" t="n">
        <v>0.9</v>
      </c>
      <c r="I64" s="38" t="n">
        <f aca="false">F64/(G64*H64)*100</f>
        <v>0.241687896008884</v>
      </c>
      <c r="J64" s="4"/>
      <c r="K64" s="4"/>
      <c r="L64" s="4"/>
      <c r="M64" s="40" t="n">
        <f aca="false">IF(AND(IF(Planner!$C$39="BLS U.S. average (Sep 2026)",1,0)=1,L64&lt;&gt;""),L64,I64)</f>
        <v>0.241687896008884</v>
      </c>
      <c r="N64" s="13" t="n">
        <v>80</v>
      </c>
      <c r="O64" s="4" t="s">
        <v>494</v>
      </c>
      <c r="P64" s="8" t="n">
        <v>2</v>
      </c>
      <c r="Q64" s="41"/>
      <c r="R64" s="13"/>
      <c r="S64" s="42" t="n">
        <v>0</v>
      </c>
      <c r="T64" s="42" t="n">
        <v>0</v>
      </c>
      <c r="U64" s="42" t="n">
        <v>0</v>
      </c>
      <c r="V64" s="42" t="n">
        <v>0</v>
      </c>
      <c r="W64" s="42" t="n">
        <v>0</v>
      </c>
      <c r="X64" s="42" t="n">
        <v>0</v>
      </c>
      <c r="Y64" s="42" t="n">
        <v>0</v>
      </c>
      <c r="Z64" s="43" t="n">
        <f aca="false">SUMPRODUCT(S64:Y64,INDEX(Diets!$I$5:$O$12,MATCH(Planner!$C$36,Diets!$A$5:$A$12,0),0))+ISNUMBER(SEARCH(","&amp;A64&amp;",",","&amp;SUBSTITUTE(INDEX(Diets!$P$5:$P$12,MATCH(Planner!$C$36,Diets!$A$5:$A$12,0))," ","")&amp;","))*1</f>
        <v>0</v>
      </c>
      <c r="AA64" s="44" t="n">
        <f aca="false">IF(OR(UPPER(Q64)="Y",Z64&gt;0),0,1)</f>
        <v>1</v>
      </c>
      <c r="AB64" s="45" t="n">
        <v>0</v>
      </c>
      <c r="AC64" s="45" t="n">
        <v>0.5</v>
      </c>
      <c r="AD64" s="45" t="n">
        <v>0.5</v>
      </c>
      <c r="AE64" s="45" t="n">
        <v>0</v>
      </c>
      <c r="AF64" s="8" t="n">
        <v>160</v>
      </c>
      <c r="AG64" s="4"/>
      <c r="AH64" s="32" t="n">
        <v>40</v>
      </c>
      <c r="AI64" s="32" t="n">
        <v>1.1</v>
      </c>
      <c r="AJ64" s="32" t="n">
        <v>9.34</v>
      </c>
      <c r="AK64" s="32" t="n">
        <v>0.1</v>
      </c>
      <c r="AL64" s="32" t="n">
        <v>1.7</v>
      </c>
      <c r="AM64" s="32" t="n">
        <v>4.24</v>
      </c>
      <c r="AN64" s="32" t="n">
        <v>23</v>
      </c>
      <c r="AO64" s="32" t="n">
        <v>0.21</v>
      </c>
      <c r="AP64" s="32" t="n">
        <v>146</v>
      </c>
      <c r="AQ64" s="32" t="n">
        <v>4</v>
      </c>
      <c r="AR64" s="32" t="n">
        <v>7.4</v>
      </c>
      <c r="AS64" s="24" t="n">
        <f aca="false">AI64/M64</f>
        <v>4.55132432432433</v>
      </c>
      <c r="AT64" s="18" t="n">
        <f aca="false">AH64/M64</f>
        <v>165.502702702703</v>
      </c>
      <c r="AU64" s="4" t="s">
        <v>495</v>
      </c>
      <c r="AV64" s="4" t="s">
        <v>496</v>
      </c>
      <c r="AW64" s="4" t="s">
        <v>354</v>
      </c>
    </row>
    <row r="65" customFormat="false" ht="15" hidden="false" customHeight="false" outlineLevel="0" collapsed="false">
      <c r="A65" s="4" t="n">
        <v>60</v>
      </c>
      <c r="B65" s="53" t="s">
        <v>468</v>
      </c>
      <c r="C65" s="54" t="s">
        <v>468</v>
      </c>
      <c r="D65" s="14" t="s">
        <v>497</v>
      </c>
      <c r="E65" s="4" t="s">
        <v>498</v>
      </c>
      <c r="F65" s="37" t="n">
        <v>3.312</v>
      </c>
      <c r="G65" s="21" t="n">
        <v>453.6</v>
      </c>
      <c r="H65" s="31" t="n">
        <v>0.94</v>
      </c>
      <c r="I65" s="38" t="n">
        <f aca="false">F65/(G65*H65)*100</f>
        <v>0.776764606551841</v>
      </c>
      <c r="J65" s="39" t="n">
        <v>3.312</v>
      </c>
      <c r="K65" s="21" t="n">
        <v>453.6</v>
      </c>
      <c r="L65" s="38" t="n">
        <f aca="false">J65/(K65*H65)*100</f>
        <v>0.776764606551841</v>
      </c>
      <c r="M65" s="40" t="n">
        <f aca="false">IF(AND(IF(Planner!$C$39="BLS U.S. average (Sep 2026)",1,0)=1,L65&lt;&gt;""),L65,I65)</f>
        <v>0.776764606551841</v>
      </c>
      <c r="N65" s="13" t="n">
        <v>94</v>
      </c>
      <c r="O65" s="4" t="s">
        <v>499</v>
      </c>
      <c r="P65" s="8" t="n">
        <v>2</v>
      </c>
      <c r="Q65" s="41"/>
      <c r="R65" s="13"/>
      <c r="S65" s="42" t="n">
        <v>0</v>
      </c>
      <c r="T65" s="42" t="n">
        <v>0</v>
      </c>
      <c r="U65" s="42" t="n">
        <v>0</v>
      </c>
      <c r="V65" s="42" t="n">
        <v>0</v>
      </c>
      <c r="W65" s="42" t="n">
        <v>0</v>
      </c>
      <c r="X65" s="42" t="n">
        <v>0</v>
      </c>
      <c r="Y65" s="42" t="n">
        <v>0</v>
      </c>
      <c r="Z65" s="43" t="n">
        <f aca="false">SUMPRODUCT(S65:Y65,INDEX(Diets!$I$5:$O$12,MATCH(Planner!$C$36,Diets!$A$5:$A$12,0),0))+ISNUMBER(SEARCH(","&amp;A65&amp;",",","&amp;SUBSTITUTE(INDEX(Diets!$P$5:$P$12,MATCH(Planner!$C$36,Diets!$A$5:$A$12,0))," ","")&amp;","))*1</f>
        <v>0</v>
      </c>
      <c r="AA65" s="44" t="n">
        <f aca="false">IF(OR(UPPER(Q65)="Y",Z65&gt;0),0,1)</f>
        <v>1</v>
      </c>
      <c r="AB65" s="45" t="n">
        <v>0</v>
      </c>
      <c r="AC65" s="45" t="n">
        <v>0.5</v>
      </c>
      <c r="AD65" s="45" t="n">
        <v>0.5</v>
      </c>
      <c r="AE65" s="45" t="n">
        <v>0</v>
      </c>
      <c r="AF65" s="8" t="n">
        <v>94</v>
      </c>
      <c r="AG65" s="4"/>
      <c r="AH65" s="32" t="n">
        <v>17</v>
      </c>
      <c r="AI65" s="32" t="n">
        <v>1.23</v>
      </c>
      <c r="AJ65" s="32" t="n">
        <v>3.29</v>
      </c>
      <c r="AK65" s="32" t="n">
        <v>0.3</v>
      </c>
      <c r="AL65" s="32" t="n">
        <v>2.1</v>
      </c>
      <c r="AM65" s="32" t="n">
        <v>1.19</v>
      </c>
      <c r="AN65" s="32" t="n">
        <v>33</v>
      </c>
      <c r="AO65" s="32" t="n">
        <v>0.97</v>
      </c>
      <c r="AP65" s="32" t="n">
        <v>247</v>
      </c>
      <c r="AQ65" s="32" t="n">
        <v>8</v>
      </c>
      <c r="AR65" s="32" t="n">
        <v>4</v>
      </c>
      <c r="AS65" s="24" t="n">
        <f aca="false">AI65/M65</f>
        <v>1.58349130434783</v>
      </c>
      <c r="AT65" s="18" t="n">
        <f aca="false">AH65/M65</f>
        <v>21.885652173913</v>
      </c>
      <c r="AU65" s="4" t="s">
        <v>500</v>
      </c>
      <c r="AV65" s="4" t="s">
        <v>501</v>
      </c>
      <c r="AW65" s="4" t="s">
        <v>502</v>
      </c>
    </row>
    <row r="66" customFormat="false" ht="15" hidden="false" customHeight="false" outlineLevel="0" collapsed="false">
      <c r="A66" s="4" t="n">
        <v>61</v>
      </c>
      <c r="B66" s="53" t="s">
        <v>468</v>
      </c>
      <c r="C66" s="54" t="s">
        <v>468</v>
      </c>
      <c r="D66" s="14" t="s">
        <v>503</v>
      </c>
      <c r="E66" s="4" t="s">
        <v>504</v>
      </c>
      <c r="F66" s="37" t="n">
        <v>1.97</v>
      </c>
      <c r="G66" s="21" t="n">
        <v>283.5</v>
      </c>
      <c r="H66" s="31" t="n">
        <v>1</v>
      </c>
      <c r="I66" s="38" t="n">
        <f aca="false">F66/(G66*H66)*100</f>
        <v>0.694885361552028</v>
      </c>
      <c r="J66" s="4"/>
      <c r="K66" s="4"/>
      <c r="L66" s="4"/>
      <c r="M66" s="40" t="n">
        <f aca="false">IF(AND(IF(Planner!$C$39="BLS U.S. average (Sep 2026)",1,0)=1,L66&lt;&gt;""),L66,I66)</f>
        <v>0.694885361552028</v>
      </c>
      <c r="N66" s="13" t="n">
        <v>60</v>
      </c>
      <c r="O66" s="4" t="s">
        <v>505</v>
      </c>
      <c r="P66" s="8" t="n">
        <v>3</v>
      </c>
      <c r="Q66" s="41"/>
      <c r="R66" s="13"/>
      <c r="S66" s="42" t="n">
        <v>0</v>
      </c>
      <c r="T66" s="42" t="n">
        <v>0</v>
      </c>
      <c r="U66" s="42" t="n">
        <v>0</v>
      </c>
      <c r="V66" s="42" t="n">
        <v>0</v>
      </c>
      <c r="W66" s="42" t="n">
        <v>0</v>
      </c>
      <c r="X66" s="42" t="n">
        <v>0</v>
      </c>
      <c r="Y66" s="42" t="n">
        <v>0</v>
      </c>
      <c r="Z66" s="43" t="n">
        <f aca="false">SUMPRODUCT(S66:Y66,INDEX(Diets!$I$5:$O$12,MATCH(Planner!$C$36,Diets!$A$5:$A$12,0),0))+ISNUMBER(SEARCH(","&amp;A66&amp;",",","&amp;SUBSTITUTE(INDEX(Diets!$P$5:$P$12,MATCH(Planner!$C$36,Diets!$A$5:$A$12,0))," ","")&amp;","))*1</f>
        <v>0</v>
      </c>
      <c r="AA66" s="44" t="n">
        <f aca="false">IF(OR(UPPER(Q66)="Y",Z66&gt;0),0,1)</f>
        <v>1</v>
      </c>
      <c r="AB66" s="45" t="n">
        <v>0</v>
      </c>
      <c r="AC66" s="45" t="n">
        <v>0.5</v>
      </c>
      <c r="AD66" s="45" t="n">
        <v>0.5</v>
      </c>
      <c r="AE66" s="45" t="n">
        <v>0</v>
      </c>
      <c r="AF66" s="8" t="n">
        <v>60</v>
      </c>
      <c r="AG66" s="4"/>
      <c r="AH66" s="32" t="n">
        <v>23</v>
      </c>
      <c r="AI66" s="32" t="n">
        <v>2.86</v>
      </c>
      <c r="AJ66" s="32" t="n">
        <v>3.63</v>
      </c>
      <c r="AK66" s="32" t="n">
        <v>0.39</v>
      </c>
      <c r="AL66" s="32" t="n">
        <v>2.2</v>
      </c>
      <c r="AM66" s="32" t="n">
        <v>0.42</v>
      </c>
      <c r="AN66" s="32" t="n">
        <v>99</v>
      </c>
      <c r="AO66" s="32" t="n">
        <v>2.71</v>
      </c>
      <c r="AP66" s="32" t="n">
        <v>558</v>
      </c>
      <c r="AQ66" s="32" t="n">
        <v>79</v>
      </c>
      <c r="AR66" s="32" t="n">
        <v>28.1</v>
      </c>
      <c r="AS66" s="24" t="n">
        <f aca="false">AI66/M66</f>
        <v>4.11578680203046</v>
      </c>
      <c r="AT66" s="18" t="n">
        <f aca="false">AH66/M66</f>
        <v>33.0989847715736</v>
      </c>
      <c r="AU66" s="4" t="s">
        <v>506</v>
      </c>
      <c r="AV66" s="4" t="s">
        <v>507</v>
      </c>
      <c r="AW66" s="4" t="s">
        <v>508</v>
      </c>
    </row>
    <row r="67" customFormat="false" ht="15" hidden="false" customHeight="false" outlineLevel="0" collapsed="false">
      <c r="A67" s="4" t="n">
        <v>62</v>
      </c>
      <c r="B67" s="53" t="s">
        <v>468</v>
      </c>
      <c r="C67" s="54" t="s">
        <v>468</v>
      </c>
      <c r="D67" s="14" t="s">
        <v>509</v>
      </c>
      <c r="E67" s="4" t="s">
        <v>510</v>
      </c>
      <c r="F67" s="37" t="n">
        <v>0.85</v>
      </c>
      <c r="G67" s="21" t="n">
        <v>453.6</v>
      </c>
      <c r="H67" s="31" t="n">
        <v>0.91</v>
      </c>
      <c r="I67" s="38" t="n">
        <f aca="false">F67/(G67*H67)*100</f>
        <v>0.205922824970444</v>
      </c>
      <c r="J67" s="39" t="n">
        <v>1.992</v>
      </c>
      <c r="K67" s="21" t="n">
        <v>453.6</v>
      </c>
      <c r="L67" s="38" t="n">
        <f aca="false">J67/(K67*H67)*100</f>
        <v>0.482586196871911</v>
      </c>
      <c r="M67" s="40" t="n">
        <f aca="false">IF(AND(IF(Planner!$C$39="BLS U.S. average (Sep 2026)",1,0)=1,L67&lt;&gt;""),L67,I67)</f>
        <v>0.205922824970444</v>
      </c>
      <c r="N67" s="13" t="n">
        <v>180</v>
      </c>
      <c r="O67" s="4" t="s">
        <v>475</v>
      </c>
      <c r="P67" s="8" t="n">
        <v>2</v>
      </c>
      <c r="Q67" s="41"/>
      <c r="R67" s="13"/>
      <c r="S67" s="42" t="n">
        <v>0</v>
      </c>
      <c r="T67" s="42" t="n">
        <v>0</v>
      </c>
      <c r="U67" s="42" t="n">
        <v>0</v>
      </c>
      <c r="V67" s="42" t="n">
        <v>0</v>
      </c>
      <c r="W67" s="42" t="n">
        <v>0</v>
      </c>
      <c r="X67" s="42" t="n">
        <v>0</v>
      </c>
      <c r="Y67" s="42" t="n">
        <v>0</v>
      </c>
      <c r="Z67" s="43" t="n">
        <f aca="false">SUMPRODUCT(S67:Y67,INDEX(Diets!$I$5:$O$12,MATCH(Planner!$C$36,Diets!$A$5:$A$12,0),0))+ISNUMBER(SEARCH(","&amp;A67&amp;",",","&amp;SUBSTITUTE(INDEX(Diets!$P$5:$P$12,MATCH(Planner!$C$36,Diets!$A$5:$A$12,0))," ","")&amp;","))*1</f>
        <v>0</v>
      </c>
      <c r="AA67" s="44" t="n">
        <f aca="false">IF(OR(UPPER(Q67)="Y",Z67&gt;0),0,1)</f>
        <v>1</v>
      </c>
      <c r="AB67" s="45" t="n">
        <v>0</v>
      </c>
      <c r="AC67" s="45" t="n">
        <v>0.5</v>
      </c>
      <c r="AD67" s="45" t="n">
        <v>0.5</v>
      </c>
      <c r="AE67" s="45" t="n">
        <v>0</v>
      </c>
      <c r="AF67" s="8" t="n">
        <v>180</v>
      </c>
      <c r="AG67" s="4"/>
      <c r="AH67" s="32" t="n">
        <v>18</v>
      </c>
      <c r="AI67" s="32" t="n">
        <v>0.88</v>
      </c>
      <c r="AJ67" s="32" t="n">
        <v>3.89</v>
      </c>
      <c r="AK67" s="32" t="n">
        <v>0.2</v>
      </c>
      <c r="AL67" s="32" t="n">
        <v>1.2</v>
      </c>
      <c r="AM67" s="32" t="n">
        <v>2.63</v>
      </c>
      <c r="AN67" s="32" t="n">
        <v>10</v>
      </c>
      <c r="AO67" s="32" t="n">
        <v>0.27</v>
      </c>
      <c r="AP67" s="32" t="n">
        <v>237</v>
      </c>
      <c r="AQ67" s="32" t="n">
        <v>5</v>
      </c>
      <c r="AR67" s="32" t="n">
        <v>13.7</v>
      </c>
      <c r="AS67" s="24" t="n">
        <f aca="false">AI67/M67</f>
        <v>4.27344564705882</v>
      </c>
      <c r="AT67" s="18" t="n">
        <f aca="false">AH67/M67</f>
        <v>87.4113882352941</v>
      </c>
      <c r="AU67" s="4" t="s">
        <v>511</v>
      </c>
      <c r="AV67" s="4" t="s">
        <v>512</v>
      </c>
      <c r="AW67" s="4"/>
    </row>
    <row r="68" customFormat="false" ht="15" hidden="false" customHeight="false" outlineLevel="0" collapsed="false">
      <c r="A68" s="4" t="n">
        <v>63</v>
      </c>
      <c r="B68" s="55" t="s">
        <v>513</v>
      </c>
      <c r="C68" s="56" t="s">
        <v>514</v>
      </c>
      <c r="D68" s="14" t="s">
        <v>515</v>
      </c>
      <c r="E68" s="4" t="s">
        <v>516</v>
      </c>
      <c r="F68" s="37" t="n">
        <v>5.96</v>
      </c>
      <c r="G68" s="21" t="n">
        <v>907.2</v>
      </c>
      <c r="H68" s="31" t="n">
        <v>1</v>
      </c>
      <c r="I68" s="38" t="n">
        <f aca="false">F68/(G68*H68)*100</f>
        <v>0.656966490299824</v>
      </c>
      <c r="J68" s="4"/>
      <c r="K68" s="4"/>
      <c r="L68" s="4"/>
      <c r="M68" s="40" t="n">
        <f aca="false">IF(AND(IF(Planner!$C$39="BLS U.S. average (Sep 2026)",1,0)=1,L68&lt;&gt;""),L68,I68)</f>
        <v>0.656966490299824</v>
      </c>
      <c r="N68" s="13" t="n">
        <v>14.2</v>
      </c>
      <c r="O68" s="4" t="s">
        <v>517</v>
      </c>
      <c r="P68" s="8" t="n">
        <v>2</v>
      </c>
      <c r="Q68" s="41"/>
      <c r="R68" s="13"/>
      <c r="S68" s="42" t="n">
        <v>0</v>
      </c>
      <c r="T68" s="42" t="n">
        <v>0</v>
      </c>
      <c r="U68" s="42" t="n">
        <v>0</v>
      </c>
      <c r="V68" s="42" t="n">
        <v>0</v>
      </c>
      <c r="W68" s="42" t="n">
        <v>0</v>
      </c>
      <c r="X68" s="42" t="n">
        <v>1</v>
      </c>
      <c r="Y68" s="42" t="n">
        <v>0</v>
      </c>
      <c r="Z68" s="43" t="n">
        <f aca="false">SUMPRODUCT(S68:Y68,INDEX(Diets!$I$5:$O$12,MATCH(Planner!$C$36,Diets!$A$5:$A$12,0),0))+ISNUMBER(SEARCH(","&amp;A68&amp;",",","&amp;SUBSTITUTE(INDEX(Diets!$P$5:$P$12,MATCH(Planner!$C$36,Diets!$A$5:$A$12,0))," ","")&amp;","))*1</f>
        <v>0</v>
      </c>
      <c r="AA68" s="44" t="n">
        <f aca="false">IF(OR(UPPER(Q68)="Y",Z68&gt;0),0,1)</f>
        <v>1</v>
      </c>
      <c r="AB68" s="45" t="n">
        <v>0.5</v>
      </c>
      <c r="AC68" s="45" t="n">
        <v>0</v>
      </c>
      <c r="AD68" s="45" t="n">
        <v>0.5</v>
      </c>
      <c r="AE68" s="45" t="n">
        <v>0</v>
      </c>
      <c r="AF68" s="8"/>
      <c r="AG68" s="4" t="s">
        <v>518</v>
      </c>
      <c r="AH68" s="32" t="n">
        <v>717</v>
      </c>
      <c r="AI68" s="32" t="n">
        <v>0.85</v>
      </c>
      <c r="AJ68" s="32" t="n">
        <v>0.06</v>
      </c>
      <c r="AK68" s="32" t="n">
        <v>81.11</v>
      </c>
      <c r="AL68" s="32" t="n">
        <v>0</v>
      </c>
      <c r="AM68" s="32" t="n">
        <v>0.06</v>
      </c>
      <c r="AN68" s="32" t="n">
        <v>24</v>
      </c>
      <c r="AO68" s="32" t="n">
        <v>0.02</v>
      </c>
      <c r="AP68" s="32" t="n">
        <v>24</v>
      </c>
      <c r="AQ68" s="32" t="n">
        <v>643</v>
      </c>
      <c r="AR68" s="32" t="n">
        <v>0</v>
      </c>
      <c r="AS68" s="24" t="n">
        <f aca="false">AI68/M68</f>
        <v>1.2938255033557</v>
      </c>
      <c r="AT68" s="18" t="n">
        <f aca="false">AH68/M68</f>
        <v>1091.37986577181</v>
      </c>
      <c r="AU68" s="4" t="s">
        <v>519</v>
      </c>
      <c r="AV68" s="4" t="s">
        <v>520</v>
      </c>
      <c r="AW68" s="4"/>
    </row>
    <row r="69" customFormat="false" ht="15" hidden="false" customHeight="false" outlineLevel="0" collapsed="false">
      <c r="A69" s="4" t="n">
        <v>64</v>
      </c>
      <c r="B69" s="55" t="s">
        <v>513</v>
      </c>
      <c r="C69" s="56" t="s">
        <v>514</v>
      </c>
      <c r="D69" s="14" t="s">
        <v>521</v>
      </c>
      <c r="E69" s="4" t="s">
        <v>522</v>
      </c>
      <c r="F69" s="37" t="n">
        <v>4.08</v>
      </c>
      <c r="G69" s="21" t="n">
        <v>1308</v>
      </c>
      <c r="H69" s="31" t="n">
        <v>1</v>
      </c>
      <c r="I69" s="38" t="n">
        <f aca="false">F69/(G69*H69)*100</f>
        <v>0.311926605504587</v>
      </c>
      <c r="J69" s="4"/>
      <c r="K69" s="4"/>
      <c r="L69" s="4"/>
      <c r="M69" s="40" t="n">
        <f aca="false">IF(AND(IF(Planner!$C$39="BLS U.S. average (Sep 2026)",1,0)=1,L69&lt;&gt;""),L69,I69)</f>
        <v>0.311926605504587</v>
      </c>
      <c r="N69" s="13" t="n">
        <v>14</v>
      </c>
      <c r="O69" s="4" t="s">
        <v>517</v>
      </c>
      <c r="P69" s="8" t="n">
        <v>3</v>
      </c>
      <c r="Q69" s="41"/>
      <c r="R69" s="13"/>
      <c r="S69" s="42" t="n">
        <v>0</v>
      </c>
      <c r="T69" s="42" t="n">
        <v>0</v>
      </c>
      <c r="U69" s="42" t="n">
        <v>0</v>
      </c>
      <c r="V69" s="42" t="n">
        <v>0</v>
      </c>
      <c r="W69" s="42" t="n">
        <v>0</v>
      </c>
      <c r="X69" s="42" t="n">
        <v>0</v>
      </c>
      <c r="Y69" s="42" t="n">
        <v>0</v>
      </c>
      <c r="Z69" s="43" t="n">
        <f aca="false">SUMPRODUCT(S69:Y69,INDEX(Diets!$I$5:$O$12,MATCH(Planner!$C$36,Diets!$A$5:$A$12,0),0))+ISNUMBER(SEARCH(","&amp;A69&amp;",",","&amp;SUBSTITUTE(INDEX(Diets!$P$5:$P$12,MATCH(Planner!$C$36,Diets!$A$5:$A$12,0))," ","")&amp;","))*1</f>
        <v>0</v>
      </c>
      <c r="AA69" s="44" t="n">
        <f aca="false">IF(OR(UPPER(Q69)="Y",Z69&gt;0),0,1)</f>
        <v>1</v>
      </c>
      <c r="AB69" s="45" t="n">
        <v>0</v>
      </c>
      <c r="AC69" s="45" t="n">
        <v>0.5</v>
      </c>
      <c r="AD69" s="45" t="n">
        <v>0.5</v>
      </c>
      <c r="AE69" s="45" t="n">
        <v>0</v>
      </c>
      <c r="AF69" s="8"/>
      <c r="AG69" s="4" t="s">
        <v>518</v>
      </c>
      <c r="AH69" s="32" t="n">
        <v>884</v>
      </c>
      <c r="AI69" s="32" t="n">
        <v>0</v>
      </c>
      <c r="AJ69" s="32" t="n">
        <v>0</v>
      </c>
      <c r="AK69" s="32" t="n">
        <v>100</v>
      </c>
      <c r="AL69" s="32" t="n">
        <v>0</v>
      </c>
      <c r="AM69" s="32" t="n">
        <v>0</v>
      </c>
      <c r="AN69" s="32" t="n">
        <v>0</v>
      </c>
      <c r="AO69" s="32" t="n">
        <v>0</v>
      </c>
      <c r="AP69" s="32" t="n">
        <v>0</v>
      </c>
      <c r="AQ69" s="32" t="n">
        <v>0</v>
      </c>
      <c r="AR69" s="32" t="n">
        <v>0</v>
      </c>
      <c r="AS69" s="24" t="n">
        <f aca="false">AI69/M69</f>
        <v>0</v>
      </c>
      <c r="AT69" s="18" t="n">
        <f aca="false">AH69/M69</f>
        <v>2834</v>
      </c>
      <c r="AU69" s="4" t="s">
        <v>523</v>
      </c>
      <c r="AV69" s="4" t="s">
        <v>524</v>
      </c>
      <c r="AW69" s="4" t="s">
        <v>525</v>
      </c>
    </row>
    <row r="70" customFormat="false" ht="15" hidden="false" customHeight="false" outlineLevel="0" collapsed="false">
      <c r="A70" s="4" t="n">
        <v>65</v>
      </c>
      <c r="B70" s="55" t="s">
        <v>513</v>
      </c>
      <c r="C70" s="56" t="s">
        <v>514</v>
      </c>
      <c r="D70" s="14" t="s">
        <v>526</v>
      </c>
      <c r="E70" s="4" t="s">
        <v>527</v>
      </c>
      <c r="F70" s="37" t="n">
        <v>17.87</v>
      </c>
      <c r="G70" s="21" t="n">
        <v>1377</v>
      </c>
      <c r="H70" s="31" t="n">
        <v>1</v>
      </c>
      <c r="I70" s="38" t="n">
        <f aca="false">F70/(G70*H70)*100</f>
        <v>1.29774872912128</v>
      </c>
      <c r="J70" s="4"/>
      <c r="K70" s="4"/>
      <c r="L70" s="4"/>
      <c r="M70" s="40" t="n">
        <f aca="false">IF(AND(IF(Planner!$C$39="BLS U.S. average (Sep 2026)",1,0)=1,L70&lt;&gt;""),L70,I70)</f>
        <v>1.29774872912128</v>
      </c>
      <c r="N70" s="13" t="n">
        <v>13.5</v>
      </c>
      <c r="O70" s="4" t="s">
        <v>517</v>
      </c>
      <c r="P70" s="8" t="n">
        <v>3</v>
      </c>
      <c r="Q70" s="41"/>
      <c r="R70" s="13"/>
      <c r="S70" s="42" t="n">
        <v>0</v>
      </c>
      <c r="T70" s="42" t="n">
        <v>0</v>
      </c>
      <c r="U70" s="42" t="n">
        <v>0</v>
      </c>
      <c r="V70" s="42" t="n">
        <v>0</v>
      </c>
      <c r="W70" s="42" t="n">
        <v>0</v>
      </c>
      <c r="X70" s="42" t="n">
        <v>0</v>
      </c>
      <c r="Y70" s="42" t="n">
        <v>0</v>
      </c>
      <c r="Z70" s="43" t="n">
        <f aca="false">SUMPRODUCT(S70:Y70,INDEX(Diets!$I$5:$O$12,MATCH(Planner!$C$36,Diets!$A$5:$A$12,0),0))+ISNUMBER(SEARCH(","&amp;A70&amp;",",","&amp;SUBSTITUTE(INDEX(Diets!$P$5:$P$12,MATCH(Planner!$C$36,Diets!$A$5:$A$12,0))," ","")&amp;","))*1</f>
        <v>0</v>
      </c>
      <c r="AA70" s="44" t="n">
        <f aca="false">IF(OR(UPPER(Q70)="Y",Z70&gt;0),0,1)</f>
        <v>1</v>
      </c>
      <c r="AB70" s="45" t="n">
        <v>0</v>
      </c>
      <c r="AC70" s="45" t="n">
        <v>0.5</v>
      </c>
      <c r="AD70" s="45" t="n">
        <v>0.5</v>
      </c>
      <c r="AE70" s="45" t="n">
        <v>0</v>
      </c>
      <c r="AF70" s="8"/>
      <c r="AG70" s="4" t="s">
        <v>518</v>
      </c>
      <c r="AH70" s="32" t="n">
        <v>884</v>
      </c>
      <c r="AI70" s="32" t="n">
        <v>0</v>
      </c>
      <c r="AJ70" s="32" t="n">
        <v>0</v>
      </c>
      <c r="AK70" s="32" t="n">
        <v>100</v>
      </c>
      <c r="AL70" s="32" t="n">
        <v>0</v>
      </c>
      <c r="AM70" s="32" t="n">
        <v>0</v>
      </c>
      <c r="AN70" s="32" t="n">
        <v>1</v>
      </c>
      <c r="AO70" s="32" t="n">
        <v>0.56</v>
      </c>
      <c r="AP70" s="32" t="n">
        <v>1</v>
      </c>
      <c r="AQ70" s="32" t="n">
        <v>2</v>
      </c>
      <c r="AR70" s="32" t="n">
        <v>0</v>
      </c>
      <c r="AS70" s="24" t="n">
        <f aca="false">AI70/M70</f>
        <v>0</v>
      </c>
      <c r="AT70" s="18" t="n">
        <f aca="false">AH70/M70</f>
        <v>681.179630665921</v>
      </c>
      <c r="AU70" s="4" t="s">
        <v>528</v>
      </c>
      <c r="AV70" s="4" t="s">
        <v>529</v>
      </c>
      <c r="AW70" s="4" t="s">
        <v>530</v>
      </c>
    </row>
    <row r="71" customFormat="false" ht="15" hidden="false" customHeight="false" outlineLevel="0" collapsed="false">
      <c r="A71" s="4" t="n">
        <v>66</v>
      </c>
      <c r="B71" s="55" t="s">
        <v>513</v>
      </c>
      <c r="C71" s="56" t="s">
        <v>531</v>
      </c>
      <c r="D71" s="14" t="s">
        <v>532</v>
      </c>
      <c r="E71" s="4" t="s">
        <v>533</v>
      </c>
      <c r="F71" s="46" t="n">
        <v>9.48</v>
      </c>
      <c r="G71" s="21" t="n">
        <v>453.6</v>
      </c>
      <c r="H71" s="31" t="n">
        <v>1</v>
      </c>
      <c r="I71" s="38" t="n">
        <f aca="false">F71/(G71*H71)*100</f>
        <v>2.08994708994709</v>
      </c>
      <c r="J71" s="4"/>
      <c r="K71" s="4"/>
      <c r="L71" s="4"/>
      <c r="M71" s="40" t="n">
        <f aca="false">IF(AND(IF(Planner!$C$39="BLS U.S. average (Sep 2026)",1,0)=1,L71&lt;&gt;""),L71,I71)</f>
        <v>2.08994708994709</v>
      </c>
      <c r="N71" s="13" t="n">
        <v>28</v>
      </c>
      <c r="O71" s="4" t="s">
        <v>534</v>
      </c>
      <c r="P71" s="8" t="n">
        <v>2</v>
      </c>
      <c r="Q71" s="41"/>
      <c r="R71" s="13"/>
      <c r="S71" s="42" t="n">
        <v>0</v>
      </c>
      <c r="T71" s="42" t="n">
        <v>0</v>
      </c>
      <c r="U71" s="42" t="n">
        <v>0</v>
      </c>
      <c r="V71" s="42" t="n">
        <v>0</v>
      </c>
      <c r="W71" s="42" t="n">
        <v>0</v>
      </c>
      <c r="X71" s="42" t="n">
        <v>0</v>
      </c>
      <c r="Y71" s="42" t="n">
        <v>0</v>
      </c>
      <c r="Z71" s="43" t="n">
        <f aca="false">SUMPRODUCT(S71:Y71,INDEX(Diets!$I$5:$O$12,MATCH(Planner!$C$36,Diets!$A$5:$A$12,0),0))+ISNUMBER(SEARCH(","&amp;A71&amp;",",","&amp;SUBSTITUTE(INDEX(Diets!$P$5:$P$12,MATCH(Planner!$C$36,Diets!$A$5:$A$12,0))," ","")&amp;","))*1</f>
        <v>0</v>
      </c>
      <c r="AA71" s="44" t="n">
        <f aca="false">IF(OR(UPPER(Q71)="Y",Z71&gt;0),0,1)</f>
        <v>1</v>
      </c>
      <c r="AB71" s="45" t="n">
        <v>0</v>
      </c>
      <c r="AC71" s="45" t="n">
        <v>0</v>
      </c>
      <c r="AD71" s="45" t="n">
        <v>0</v>
      </c>
      <c r="AE71" s="45" t="n">
        <v>1</v>
      </c>
      <c r="AF71" s="8"/>
      <c r="AG71" s="4"/>
      <c r="AH71" s="32" t="n">
        <v>579</v>
      </c>
      <c r="AI71" s="32" t="n">
        <v>21.15</v>
      </c>
      <c r="AJ71" s="32" t="n">
        <v>21.55</v>
      </c>
      <c r="AK71" s="32" t="n">
        <v>49.93</v>
      </c>
      <c r="AL71" s="32" t="n">
        <v>12.5</v>
      </c>
      <c r="AM71" s="32" t="n">
        <v>4.35</v>
      </c>
      <c r="AN71" s="32" t="n">
        <v>269</v>
      </c>
      <c r="AO71" s="32" t="n">
        <v>3.71</v>
      </c>
      <c r="AP71" s="32" t="n">
        <v>733</v>
      </c>
      <c r="AQ71" s="32" t="n">
        <v>1</v>
      </c>
      <c r="AR71" s="32" t="n">
        <v>0</v>
      </c>
      <c r="AS71" s="24" t="n">
        <f aca="false">AI71/M71</f>
        <v>10.1198734177215</v>
      </c>
      <c r="AT71" s="18" t="n">
        <f aca="false">AH71/M71</f>
        <v>277.040506329114</v>
      </c>
      <c r="AU71" s="4" t="s">
        <v>535</v>
      </c>
      <c r="AV71" s="4" t="s">
        <v>536</v>
      </c>
      <c r="AW71" s="4" t="s">
        <v>537</v>
      </c>
    </row>
    <row r="72" customFormat="false" ht="15" hidden="false" customHeight="false" outlineLevel="0" collapsed="false">
      <c r="A72" s="4" t="n">
        <v>67</v>
      </c>
      <c r="B72" s="55" t="s">
        <v>513</v>
      </c>
      <c r="C72" s="56" t="s">
        <v>531</v>
      </c>
      <c r="D72" s="14" t="s">
        <v>538</v>
      </c>
      <c r="E72" s="4" t="s">
        <v>539</v>
      </c>
      <c r="F72" s="37" t="n">
        <v>0.87</v>
      </c>
      <c r="G72" s="21" t="n">
        <v>203</v>
      </c>
      <c r="H72" s="31" t="n">
        <v>0.67</v>
      </c>
      <c r="I72" s="38" t="n">
        <f aca="false">F72/(G72*H72)*100</f>
        <v>0.639658848614072</v>
      </c>
      <c r="J72" s="4"/>
      <c r="K72" s="4"/>
      <c r="L72" s="4"/>
      <c r="M72" s="40" t="n">
        <f aca="false">IF(AND(IF(Planner!$C$39="BLS U.S. average (Sep 2026)",1,0)=1,L72&lt;&gt;""),L72,I72)</f>
        <v>0.639658848614072</v>
      </c>
      <c r="N72" s="13" t="n">
        <v>68</v>
      </c>
      <c r="O72" s="4" t="s">
        <v>540</v>
      </c>
      <c r="P72" s="8" t="n">
        <v>2</v>
      </c>
      <c r="Q72" s="41"/>
      <c r="R72" s="13"/>
      <c r="S72" s="42" t="n">
        <v>0</v>
      </c>
      <c r="T72" s="42" t="n">
        <v>0</v>
      </c>
      <c r="U72" s="42" t="n">
        <v>0</v>
      </c>
      <c r="V72" s="42" t="n">
        <v>0</v>
      </c>
      <c r="W72" s="42" t="n">
        <v>0</v>
      </c>
      <c r="X72" s="42" t="n">
        <v>0</v>
      </c>
      <c r="Y72" s="42" t="n">
        <v>0</v>
      </c>
      <c r="Z72" s="43" t="n">
        <f aca="false">SUMPRODUCT(S72:Y72,INDEX(Diets!$I$5:$O$12,MATCH(Planner!$C$36,Diets!$A$5:$A$12,0),0))+ISNUMBER(SEARCH(","&amp;A72&amp;",",","&amp;SUBSTITUTE(INDEX(Diets!$P$5:$P$12,MATCH(Planner!$C$36,Diets!$A$5:$A$12,0))," ","")&amp;","))*1</f>
        <v>0</v>
      </c>
      <c r="AA72" s="44" t="n">
        <f aca="false">IF(OR(UPPER(Q72)="Y",Z72&gt;0),0,1)</f>
        <v>1</v>
      </c>
      <c r="AB72" s="45" t="n">
        <v>0</v>
      </c>
      <c r="AC72" s="45" t="n">
        <v>0.5</v>
      </c>
      <c r="AD72" s="45" t="n">
        <v>0.5</v>
      </c>
      <c r="AE72" s="45" t="n">
        <v>0</v>
      </c>
      <c r="AF72" s="8"/>
      <c r="AG72" s="4"/>
      <c r="AH72" s="32" t="n">
        <v>167</v>
      </c>
      <c r="AI72" s="32" t="n">
        <v>1.96</v>
      </c>
      <c r="AJ72" s="32" t="n">
        <v>8.64</v>
      </c>
      <c r="AK72" s="32" t="n">
        <v>15.41</v>
      </c>
      <c r="AL72" s="32" t="n">
        <v>6.8</v>
      </c>
      <c r="AM72" s="32" t="n">
        <v>0.3</v>
      </c>
      <c r="AN72" s="32" t="n">
        <v>13</v>
      </c>
      <c r="AO72" s="32" t="n">
        <v>0.61</v>
      </c>
      <c r="AP72" s="32" t="n">
        <v>507</v>
      </c>
      <c r="AQ72" s="32" t="n">
        <v>8</v>
      </c>
      <c r="AR72" s="32" t="n">
        <v>8.8</v>
      </c>
      <c r="AS72" s="24" t="n">
        <f aca="false">AI72/M72</f>
        <v>3.06413333333333</v>
      </c>
      <c r="AT72" s="18" t="n">
        <f aca="false">AH72/M72</f>
        <v>261.076666666667</v>
      </c>
      <c r="AU72" s="4" t="s">
        <v>541</v>
      </c>
      <c r="AV72" s="4" t="s">
        <v>542</v>
      </c>
      <c r="AW72" s="4" t="s">
        <v>543</v>
      </c>
    </row>
    <row r="73" customFormat="false" ht="15" hidden="false" customHeight="false" outlineLevel="0" collapsed="false">
      <c r="A73" s="4" t="n">
        <v>68</v>
      </c>
      <c r="B73" s="57" t="s">
        <v>544</v>
      </c>
      <c r="C73" s="58" t="s">
        <v>113</v>
      </c>
      <c r="D73" s="14" t="s">
        <v>545</v>
      </c>
      <c r="E73" s="4" t="s">
        <v>546</v>
      </c>
      <c r="F73" s="46" t="n">
        <v>3.02</v>
      </c>
      <c r="G73" s="21" t="n">
        <v>368.5</v>
      </c>
      <c r="H73" s="31" t="n">
        <v>1</v>
      </c>
      <c r="I73" s="38" t="n">
        <f aca="false">F73/(G73*H73)*100</f>
        <v>0.819538670284939</v>
      </c>
      <c r="J73" s="39" t="n">
        <v>5.152</v>
      </c>
      <c r="K73" s="21" t="n">
        <v>453.6</v>
      </c>
      <c r="L73" s="38" t="n">
        <f aca="false">J73/(K73*H73)*100</f>
        <v>1.1358024691358</v>
      </c>
      <c r="M73" s="40" t="n">
        <f aca="false">IF(AND(IF(Planner!$C$39="BLS U.S. average (Sep 2026)",1,0)=1,L73&lt;&gt;""),L73,I73)</f>
        <v>0.819538670284939</v>
      </c>
      <c r="N73" s="13" t="n">
        <v>26</v>
      </c>
      <c r="O73" s="4" t="s">
        <v>547</v>
      </c>
      <c r="P73" s="8" t="n">
        <v>1</v>
      </c>
      <c r="Q73" s="41"/>
      <c r="R73" s="13"/>
      <c r="S73" s="42" t="n">
        <v>0</v>
      </c>
      <c r="T73" s="42" t="n">
        <v>0</v>
      </c>
      <c r="U73" s="42" t="n">
        <v>0</v>
      </c>
      <c r="V73" s="42" t="n">
        <v>0</v>
      </c>
      <c r="W73" s="42" t="n">
        <v>1</v>
      </c>
      <c r="X73" s="42" t="n">
        <v>1</v>
      </c>
      <c r="Y73" s="42" t="n">
        <v>1</v>
      </c>
      <c r="Z73" s="43" t="n">
        <f aca="false">SUMPRODUCT(S73:Y73,INDEX(Diets!$I$5:$O$12,MATCH(Planner!$C$36,Diets!$A$5:$A$12,0),0))+ISNUMBER(SEARCH(","&amp;A73&amp;",",","&amp;SUBSTITUTE(INDEX(Diets!$P$5:$P$12,MATCH(Planner!$C$36,Diets!$A$5:$A$12,0))," ","")&amp;","))*1</f>
        <v>0</v>
      </c>
      <c r="AA73" s="44" t="n">
        <f aca="false">IF(OR(UPPER(Q73)="Y",Z73&gt;0),0,1)</f>
        <v>1</v>
      </c>
      <c r="AB73" s="45" t="n">
        <v>0</v>
      </c>
      <c r="AC73" s="45" t="n">
        <v>0</v>
      </c>
      <c r="AD73" s="45" t="n">
        <v>0</v>
      </c>
      <c r="AE73" s="45" t="n">
        <v>1</v>
      </c>
      <c r="AF73" s="8"/>
      <c r="AG73" s="4" t="s">
        <v>548</v>
      </c>
      <c r="AH73" s="32" t="n">
        <v>492</v>
      </c>
      <c r="AI73" s="32" t="n">
        <v>5.1</v>
      </c>
      <c r="AJ73" s="32" t="n">
        <v>65.36</v>
      </c>
      <c r="AK73" s="32" t="n">
        <v>24.72</v>
      </c>
      <c r="AL73" s="32" t="n">
        <v>2</v>
      </c>
      <c r="AM73" s="32" t="n">
        <v>32.9</v>
      </c>
      <c r="AN73" s="32" t="n">
        <v>21</v>
      </c>
      <c r="AO73" s="32" t="n">
        <v>5.58</v>
      </c>
      <c r="AP73" s="32" t="n">
        <v>171</v>
      </c>
      <c r="AQ73" s="32" t="n">
        <v>311</v>
      </c>
      <c r="AR73" s="32" t="n">
        <v>0</v>
      </c>
      <c r="AS73" s="24" t="n">
        <f aca="false">AI73/M73</f>
        <v>6.22301324503311</v>
      </c>
      <c r="AT73" s="18" t="n">
        <f aca="false">AH73/M73</f>
        <v>600.337748344371</v>
      </c>
      <c r="AU73" s="4" t="s">
        <v>549</v>
      </c>
      <c r="AV73" s="4" t="s">
        <v>550</v>
      </c>
      <c r="AW73" s="4" t="s">
        <v>551</v>
      </c>
    </row>
    <row r="74" customFormat="false" ht="15" hidden="false" customHeight="false" outlineLevel="0" collapsed="false">
      <c r="A74" s="4" t="n">
        <v>69</v>
      </c>
      <c r="B74" s="57" t="s">
        <v>544</v>
      </c>
      <c r="C74" s="58" t="s">
        <v>113</v>
      </c>
      <c r="D74" s="14" t="s">
        <v>552</v>
      </c>
      <c r="E74" s="4" t="s">
        <v>553</v>
      </c>
      <c r="F74" s="46" t="n">
        <v>2.28</v>
      </c>
      <c r="G74" s="21" t="n">
        <v>238.1</v>
      </c>
      <c r="H74" s="31" t="n">
        <v>1</v>
      </c>
      <c r="I74" s="38" t="n">
        <f aca="false">F74/(G74*H74)*100</f>
        <v>0.957580848383032</v>
      </c>
      <c r="J74" s="4"/>
      <c r="K74" s="4"/>
      <c r="L74" s="4"/>
      <c r="M74" s="40" t="n">
        <f aca="false">IF(AND(IF(Planner!$C$39="BLS U.S. average (Sep 2026)",1,0)=1,L74&lt;&gt;""),L74,I74)</f>
        <v>0.957580848383032</v>
      </c>
      <c r="N74" s="13" t="n">
        <v>24</v>
      </c>
      <c r="O74" s="4" t="s">
        <v>554</v>
      </c>
      <c r="P74" s="8" t="n">
        <v>2</v>
      </c>
      <c r="Q74" s="41"/>
      <c r="R74" s="13"/>
      <c r="S74" s="42" t="n">
        <v>0</v>
      </c>
      <c r="T74" s="42" t="n">
        <v>0</v>
      </c>
      <c r="U74" s="42" t="n">
        <v>0</v>
      </c>
      <c r="V74" s="42" t="n">
        <v>0</v>
      </c>
      <c r="W74" s="42" t="n">
        <v>0</v>
      </c>
      <c r="X74" s="42" t="n">
        <v>1</v>
      </c>
      <c r="Y74" s="42" t="n">
        <v>1</v>
      </c>
      <c r="Z74" s="43" t="n">
        <f aca="false">SUMPRODUCT(S74:Y74,INDEX(Diets!$I$5:$O$12,MATCH(Planner!$C$36,Diets!$A$5:$A$12,0),0))+ISNUMBER(SEARCH(","&amp;A74&amp;",",","&amp;SUBSTITUTE(INDEX(Diets!$P$5:$P$12,MATCH(Planner!$C$36,Diets!$A$5:$A$12,0))," ","")&amp;","))*1</f>
        <v>0</v>
      </c>
      <c r="AA74" s="44" t="n">
        <f aca="false">IF(OR(UPPER(Q74)="Y",Z74&gt;0),0,1)</f>
        <v>1</v>
      </c>
      <c r="AB74" s="45" t="n">
        <v>0</v>
      </c>
      <c r="AC74" s="45" t="n">
        <v>0</v>
      </c>
      <c r="AD74" s="45" t="n">
        <v>0</v>
      </c>
      <c r="AE74" s="45" t="n">
        <v>1</v>
      </c>
      <c r="AF74" s="8"/>
      <c r="AG74" s="4" t="s">
        <v>548</v>
      </c>
      <c r="AH74" s="32" t="n">
        <v>418</v>
      </c>
      <c r="AI74" s="32" t="n">
        <v>5.65</v>
      </c>
      <c r="AJ74" s="32" t="n">
        <v>70.2</v>
      </c>
      <c r="AK74" s="32" t="n">
        <v>16.57</v>
      </c>
      <c r="AL74" s="32" t="n">
        <v>3.8</v>
      </c>
      <c r="AM74" s="32" t="n">
        <v>28.92</v>
      </c>
      <c r="AN74" s="32" t="n">
        <v>41</v>
      </c>
      <c r="AO74" s="32" t="n">
        <v>2.19</v>
      </c>
      <c r="AP74" s="32" t="n">
        <v>237</v>
      </c>
      <c r="AQ74" s="32" t="n">
        <v>251</v>
      </c>
      <c r="AR74" s="32" t="n">
        <v>0</v>
      </c>
      <c r="AS74" s="24" t="n">
        <f aca="false">AI74/M74</f>
        <v>5.9002850877193</v>
      </c>
      <c r="AT74" s="18" t="n">
        <f aca="false">AH74/M74</f>
        <v>436.516666666667</v>
      </c>
      <c r="AU74" s="4" t="s">
        <v>555</v>
      </c>
      <c r="AV74" s="4" t="s">
        <v>556</v>
      </c>
      <c r="AW74" s="4" t="s">
        <v>312</v>
      </c>
    </row>
    <row r="75" customFormat="false" ht="15" hidden="false" customHeight="false" outlineLevel="0" collapsed="false">
      <c r="A75" s="4" t="n">
        <v>70</v>
      </c>
      <c r="B75" s="57" t="s">
        <v>544</v>
      </c>
      <c r="C75" s="58" t="s">
        <v>113</v>
      </c>
      <c r="D75" s="14" t="s">
        <v>557</v>
      </c>
      <c r="E75" s="4" t="s">
        <v>558</v>
      </c>
      <c r="F75" s="37" t="n">
        <v>1.87</v>
      </c>
      <c r="G75" s="21" t="n">
        <v>226.8</v>
      </c>
      <c r="H75" s="31" t="n">
        <v>1</v>
      </c>
      <c r="I75" s="38" t="n">
        <f aca="false">F75/(G75*H75)*100</f>
        <v>0.824514991181658</v>
      </c>
      <c r="J75" s="39" t="n">
        <v>6.668</v>
      </c>
      <c r="K75" s="21" t="n">
        <v>453.6</v>
      </c>
      <c r="L75" s="38" t="n">
        <f aca="false">J75/(K75*H75)*100</f>
        <v>1.4700176366843</v>
      </c>
      <c r="M75" s="40" t="n">
        <f aca="false">IF(AND(IF(Planner!$C$39="BLS U.S. average (Sep 2026)",1,0)=1,L75&lt;&gt;""),L75,I75)</f>
        <v>0.824514991181658</v>
      </c>
      <c r="N75" s="13" t="n">
        <v>28</v>
      </c>
      <c r="O75" s="4" t="s">
        <v>342</v>
      </c>
      <c r="P75" s="8" t="n">
        <v>1</v>
      </c>
      <c r="Q75" s="41"/>
      <c r="R75" s="13"/>
      <c r="S75" s="42" t="n">
        <v>0</v>
      </c>
      <c r="T75" s="42" t="n">
        <v>0</v>
      </c>
      <c r="U75" s="42" t="n">
        <v>0</v>
      </c>
      <c r="V75" s="42" t="n">
        <v>0</v>
      </c>
      <c r="W75" s="42" t="n">
        <v>0</v>
      </c>
      <c r="X75" s="42" t="n">
        <v>0</v>
      </c>
      <c r="Y75" s="42" t="n">
        <v>0</v>
      </c>
      <c r="Z75" s="43" t="n">
        <f aca="false">SUMPRODUCT(S75:Y75,INDEX(Diets!$I$5:$O$12,MATCH(Planner!$C$36,Diets!$A$5:$A$12,0),0))+ISNUMBER(SEARCH(","&amp;A75&amp;",",","&amp;SUBSTITUTE(INDEX(Diets!$P$5:$P$12,MATCH(Planner!$C$36,Diets!$A$5:$A$12,0))," ","")&amp;","))*1</f>
        <v>0</v>
      </c>
      <c r="AA75" s="44" t="n">
        <f aca="false">IF(OR(UPPER(Q75)="Y",Z75&gt;0),0,1)</f>
        <v>1</v>
      </c>
      <c r="AB75" s="45" t="n">
        <v>0</v>
      </c>
      <c r="AC75" s="45" t="n">
        <v>0</v>
      </c>
      <c r="AD75" s="45" t="n">
        <v>0</v>
      </c>
      <c r="AE75" s="45" t="n">
        <v>1</v>
      </c>
      <c r="AF75" s="8"/>
      <c r="AG75" s="4" t="s">
        <v>548</v>
      </c>
      <c r="AH75" s="32" t="n">
        <v>532</v>
      </c>
      <c r="AI75" s="32" t="n">
        <v>6.39</v>
      </c>
      <c r="AJ75" s="32" t="n">
        <v>53.83</v>
      </c>
      <c r="AK75" s="32" t="n">
        <v>33.98</v>
      </c>
      <c r="AL75" s="32" t="n">
        <v>3.1</v>
      </c>
      <c r="AM75" s="32" t="n">
        <v>0.33</v>
      </c>
      <c r="AN75" s="32" t="n">
        <v>21</v>
      </c>
      <c r="AO75" s="32" t="n">
        <v>1.28</v>
      </c>
      <c r="AP75" s="32" t="n">
        <v>1196</v>
      </c>
      <c r="AQ75" s="32" t="n">
        <v>527</v>
      </c>
      <c r="AR75" s="32" t="n">
        <v>21.6</v>
      </c>
      <c r="AS75" s="24" t="n">
        <f aca="false">AI75/M75</f>
        <v>7.75001069518716</v>
      </c>
      <c r="AT75" s="18" t="n">
        <f aca="false">AH75/M75</f>
        <v>645.227807486631</v>
      </c>
      <c r="AU75" s="4" t="s">
        <v>559</v>
      </c>
      <c r="AV75" s="4" t="s">
        <v>560</v>
      </c>
      <c r="AW75" s="4" t="s">
        <v>561</v>
      </c>
    </row>
    <row r="76" customFormat="false" ht="15" hidden="false" customHeight="false" outlineLevel="0" collapsed="false">
      <c r="A76" s="4" t="n">
        <v>71</v>
      </c>
      <c r="B76" s="57" t="s">
        <v>544</v>
      </c>
      <c r="C76" s="58" t="s">
        <v>113</v>
      </c>
      <c r="D76" s="14" t="s">
        <v>562</v>
      </c>
      <c r="E76" s="4" t="s">
        <v>522</v>
      </c>
      <c r="F76" s="37" t="n">
        <v>3.12</v>
      </c>
      <c r="G76" s="21" t="n">
        <v>792</v>
      </c>
      <c r="H76" s="31" t="n">
        <v>1</v>
      </c>
      <c r="I76" s="38" t="n">
        <f aca="false">F76/(G76*H76)*100</f>
        <v>0.393939393939394</v>
      </c>
      <c r="J76" s="39" t="n">
        <v>5.931</v>
      </c>
      <c r="K76" s="21" t="n">
        <v>1056</v>
      </c>
      <c r="L76" s="38" t="n">
        <f aca="false">J76/(K76*H76)*100</f>
        <v>0.561647727272727</v>
      </c>
      <c r="M76" s="40" t="n">
        <f aca="false">IF(AND(IF(Planner!$C$39="BLS U.S. average (Sep 2026)",1,0)=1,L76&lt;&gt;""),L76,I76)</f>
        <v>0.393939393939394</v>
      </c>
      <c r="N76" s="13" t="n">
        <v>66</v>
      </c>
      <c r="O76" s="4" t="s">
        <v>284</v>
      </c>
      <c r="P76" s="8" t="n">
        <v>1</v>
      </c>
      <c r="Q76" s="41"/>
      <c r="R76" s="13"/>
      <c r="S76" s="42" t="n">
        <v>0</v>
      </c>
      <c r="T76" s="42" t="n">
        <v>0</v>
      </c>
      <c r="U76" s="42" t="n">
        <v>0</v>
      </c>
      <c r="V76" s="42" t="n">
        <v>0</v>
      </c>
      <c r="W76" s="42" t="n">
        <v>0</v>
      </c>
      <c r="X76" s="42" t="n">
        <v>1</v>
      </c>
      <c r="Y76" s="42" t="n">
        <v>0</v>
      </c>
      <c r="Z76" s="43" t="n">
        <f aca="false">SUMPRODUCT(S76:Y76,INDEX(Diets!$I$5:$O$12,MATCH(Planner!$C$36,Diets!$A$5:$A$12,0),0))+ISNUMBER(SEARCH(","&amp;A76&amp;",",","&amp;SUBSTITUTE(INDEX(Diets!$P$5:$P$12,MATCH(Planner!$C$36,Diets!$A$5:$A$12,0))," ","")&amp;","))*1</f>
        <v>0</v>
      </c>
      <c r="AA76" s="44" t="n">
        <f aca="false">IF(OR(UPPER(Q76)="Y",Z76&gt;0),0,1)</f>
        <v>1</v>
      </c>
      <c r="AB76" s="45" t="n">
        <v>0</v>
      </c>
      <c r="AC76" s="45" t="n">
        <v>0</v>
      </c>
      <c r="AD76" s="45" t="n">
        <v>0</v>
      </c>
      <c r="AE76" s="45" t="n">
        <v>1</v>
      </c>
      <c r="AF76" s="8"/>
      <c r="AG76" s="4" t="s">
        <v>548</v>
      </c>
      <c r="AH76" s="32" t="n">
        <v>207</v>
      </c>
      <c r="AI76" s="32" t="n">
        <v>3.5</v>
      </c>
      <c r="AJ76" s="32" t="n">
        <v>23.6</v>
      </c>
      <c r="AK76" s="32" t="n">
        <v>11</v>
      </c>
      <c r="AL76" s="32" t="n">
        <v>0.7</v>
      </c>
      <c r="AM76" s="32" t="n">
        <v>21.22</v>
      </c>
      <c r="AN76" s="32" t="n">
        <v>128</v>
      </c>
      <c r="AO76" s="32" t="n">
        <v>0.09</v>
      </c>
      <c r="AP76" s="32" t="n">
        <v>199</v>
      </c>
      <c r="AQ76" s="32" t="n">
        <v>80</v>
      </c>
      <c r="AR76" s="32" t="n">
        <v>0.6</v>
      </c>
      <c r="AS76" s="24" t="n">
        <f aca="false">AI76/M76</f>
        <v>8.88461538461538</v>
      </c>
      <c r="AT76" s="18" t="n">
        <f aca="false">AH76/M76</f>
        <v>525.461538461539</v>
      </c>
      <c r="AU76" s="4" t="s">
        <v>563</v>
      </c>
      <c r="AV76" s="4" t="s">
        <v>564</v>
      </c>
      <c r="AW76" s="4" t="s">
        <v>565</v>
      </c>
    </row>
  </sheetData>
  <autoFilter ref="A5:AW76"/>
  <conditionalFormatting sqref="A6:D76">
    <cfRule type="expression" priority="2" aboveAverage="0" equalAverage="0" bottom="0" percent="0" rank="0" text="" dxfId="15">
      <formula>$AA6=0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15" min="3" style="0" width="10"/>
    <col collapsed="false" customWidth="true" hidden="false" outlineLevel="0" max="16" min="16" style="0" width="18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566</v>
      </c>
    </row>
    <row r="2" customFormat="false" ht="15" hidden="false" customHeight="false" outlineLevel="0" collapsed="false">
      <c r="A2" s="2" t="s">
        <v>567</v>
      </c>
    </row>
    <row r="4" customFormat="false" ht="39.75" hidden="false" customHeight="true" outlineLevel="0" collapsed="false">
      <c r="A4" s="16" t="s">
        <v>79</v>
      </c>
      <c r="B4" s="16" t="s">
        <v>568</v>
      </c>
      <c r="C4" s="16" t="s">
        <v>569</v>
      </c>
      <c r="D4" s="16" t="s">
        <v>570</v>
      </c>
      <c r="E4" s="16" t="s">
        <v>571</v>
      </c>
      <c r="F4" s="16" t="s">
        <v>572</v>
      </c>
      <c r="G4" s="16" t="s">
        <v>573</v>
      </c>
      <c r="H4" s="16" t="s">
        <v>574</v>
      </c>
      <c r="I4" s="16" t="s">
        <v>575</v>
      </c>
      <c r="J4" s="16" t="s">
        <v>576</v>
      </c>
      <c r="K4" s="16" t="s">
        <v>577</v>
      </c>
      <c r="L4" s="16" t="s">
        <v>578</v>
      </c>
      <c r="M4" s="16" t="s">
        <v>579</v>
      </c>
      <c r="N4" s="16" t="s">
        <v>580</v>
      </c>
      <c r="O4" s="16" t="s">
        <v>581</v>
      </c>
      <c r="P4" s="16" t="s">
        <v>582</v>
      </c>
      <c r="Q4" s="16" t="s">
        <v>583</v>
      </c>
    </row>
    <row r="5" customFormat="false" ht="15" hidden="false" customHeight="false" outlineLevel="0" collapsed="false">
      <c r="A5" s="14" t="s">
        <v>80</v>
      </c>
      <c r="B5" s="29" t="s">
        <v>584</v>
      </c>
      <c r="C5" s="31" t="n">
        <v>0.1</v>
      </c>
      <c r="D5" s="31" t="n">
        <v>0.35</v>
      </c>
      <c r="E5" s="31" t="n">
        <v>0.45</v>
      </c>
      <c r="F5" s="31" t="n">
        <v>0.65</v>
      </c>
      <c r="G5" s="31" t="n">
        <v>0.2</v>
      </c>
      <c r="H5" s="31" t="n">
        <v>0.35</v>
      </c>
      <c r="I5" s="42" t="n">
        <v>0</v>
      </c>
      <c r="J5" s="42" t="n">
        <v>0</v>
      </c>
      <c r="K5" s="42" t="n">
        <v>0</v>
      </c>
      <c r="L5" s="42" t="n">
        <v>0</v>
      </c>
      <c r="M5" s="42" t="n">
        <v>0</v>
      </c>
      <c r="N5" s="42" t="n">
        <v>0</v>
      </c>
      <c r="O5" s="42" t="n">
        <v>0</v>
      </c>
      <c r="P5" s="59"/>
      <c r="Q5" s="29"/>
    </row>
    <row r="6" customFormat="false" ht="15" hidden="false" customHeight="false" outlineLevel="0" collapsed="false">
      <c r="A6" s="14" t="s">
        <v>585</v>
      </c>
      <c r="B6" s="29" t="s">
        <v>586</v>
      </c>
      <c r="C6" s="31" t="n">
        <v>0.25</v>
      </c>
      <c r="D6" s="31" t="n">
        <v>0.35</v>
      </c>
      <c r="E6" s="31" t="n">
        <v>0.4</v>
      </c>
      <c r="F6" s="31" t="n">
        <v>0.55</v>
      </c>
      <c r="G6" s="31" t="n">
        <v>0.2</v>
      </c>
      <c r="H6" s="31" t="n">
        <v>0.3</v>
      </c>
      <c r="I6" s="42" t="n">
        <v>0</v>
      </c>
      <c r="J6" s="42" t="n">
        <v>0</v>
      </c>
      <c r="K6" s="42" t="n">
        <v>0</v>
      </c>
      <c r="L6" s="42" t="n">
        <v>0</v>
      </c>
      <c r="M6" s="42" t="n">
        <v>0</v>
      </c>
      <c r="N6" s="42" t="n">
        <v>0</v>
      </c>
      <c r="O6" s="42" t="n">
        <v>0</v>
      </c>
      <c r="P6" s="59"/>
      <c r="Q6" s="29"/>
    </row>
    <row r="7" customFormat="false" ht="23.85" hidden="false" customHeight="false" outlineLevel="0" collapsed="false">
      <c r="A7" s="14" t="s">
        <v>587</v>
      </c>
      <c r="B7" s="29" t="s">
        <v>588</v>
      </c>
      <c r="C7" s="31" t="n">
        <v>0.2</v>
      </c>
      <c r="D7" s="31" t="n">
        <v>0.35</v>
      </c>
      <c r="E7" s="31" t="n">
        <v>0.2</v>
      </c>
      <c r="F7" s="31" t="n">
        <v>0.35</v>
      </c>
      <c r="G7" s="31" t="n">
        <v>0.35</v>
      </c>
      <c r="H7" s="31" t="n">
        <v>0.5</v>
      </c>
      <c r="I7" s="42" t="n">
        <v>0</v>
      </c>
      <c r="J7" s="42" t="n">
        <v>0</v>
      </c>
      <c r="K7" s="42" t="n">
        <v>0</v>
      </c>
      <c r="L7" s="42" t="n">
        <v>0</v>
      </c>
      <c r="M7" s="42" t="n">
        <v>0</v>
      </c>
      <c r="N7" s="42" t="n">
        <v>0</v>
      </c>
      <c r="O7" s="42" t="n">
        <v>0</v>
      </c>
      <c r="P7" s="59"/>
      <c r="Q7" s="29"/>
    </row>
    <row r="8" customFormat="false" ht="15" hidden="false" customHeight="false" outlineLevel="0" collapsed="false">
      <c r="A8" s="14" t="s">
        <v>589</v>
      </c>
      <c r="B8" s="29" t="s">
        <v>590</v>
      </c>
      <c r="C8" s="31" t="n">
        <v>0.1</v>
      </c>
      <c r="D8" s="31" t="n">
        <v>0.35</v>
      </c>
      <c r="E8" s="31" t="n">
        <v>0.45</v>
      </c>
      <c r="F8" s="31" t="n">
        <v>0.65</v>
      </c>
      <c r="G8" s="31" t="n">
        <v>0.2</v>
      </c>
      <c r="H8" s="31" t="n">
        <v>0.35</v>
      </c>
      <c r="I8" s="42" t="n">
        <v>1</v>
      </c>
      <c r="J8" s="42" t="n">
        <v>1</v>
      </c>
      <c r="K8" s="42" t="n">
        <v>1</v>
      </c>
      <c r="L8" s="42" t="n">
        <v>1</v>
      </c>
      <c r="M8" s="42" t="n">
        <v>0</v>
      </c>
      <c r="N8" s="42" t="n">
        <v>0</v>
      </c>
      <c r="O8" s="42" t="n">
        <v>0</v>
      </c>
      <c r="P8" s="59"/>
      <c r="Q8" s="29"/>
    </row>
    <row r="9" customFormat="false" ht="15" hidden="false" customHeight="false" outlineLevel="0" collapsed="false">
      <c r="A9" s="14" t="s">
        <v>591</v>
      </c>
      <c r="B9" s="29" t="s">
        <v>592</v>
      </c>
      <c r="C9" s="31" t="n">
        <v>0.1</v>
      </c>
      <c r="D9" s="31" t="n">
        <v>0.35</v>
      </c>
      <c r="E9" s="31" t="n">
        <v>0.45</v>
      </c>
      <c r="F9" s="31" t="n">
        <v>0.65</v>
      </c>
      <c r="G9" s="31" t="n">
        <v>0.2</v>
      </c>
      <c r="H9" s="31" t="n">
        <v>0.35</v>
      </c>
      <c r="I9" s="42" t="n">
        <v>1</v>
      </c>
      <c r="J9" s="42" t="n">
        <v>1</v>
      </c>
      <c r="K9" s="42" t="n">
        <v>1</v>
      </c>
      <c r="L9" s="42" t="n">
        <v>1</v>
      </c>
      <c r="M9" s="42" t="n">
        <v>1</v>
      </c>
      <c r="N9" s="42" t="n">
        <v>1</v>
      </c>
      <c r="O9" s="42" t="n">
        <v>0</v>
      </c>
      <c r="P9" s="59"/>
      <c r="Q9" s="29"/>
    </row>
    <row r="10" customFormat="false" ht="15" hidden="false" customHeight="false" outlineLevel="0" collapsed="false">
      <c r="A10" s="14" t="s">
        <v>593</v>
      </c>
      <c r="B10" s="29" t="s">
        <v>594</v>
      </c>
      <c r="C10" s="31" t="n">
        <v>0.1</v>
      </c>
      <c r="D10" s="31" t="n">
        <v>0.35</v>
      </c>
      <c r="E10" s="31" t="n">
        <v>0.45</v>
      </c>
      <c r="F10" s="31" t="n">
        <v>0.65</v>
      </c>
      <c r="G10" s="31" t="n">
        <v>0.2</v>
      </c>
      <c r="H10" s="31" t="n">
        <v>0.35</v>
      </c>
      <c r="I10" s="42" t="n">
        <v>1</v>
      </c>
      <c r="J10" s="42" t="n">
        <v>1</v>
      </c>
      <c r="K10" s="42" t="n">
        <v>1</v>
      </c>
      <c r="L10" s="42" t="n">
        <v>0</v>
      </c>
      <c r="M10" s="42" t="n">
        <v>0</v>
      </c>
      <c r="N10" s="42" t="n">
        <v>0</v>
      </c>
      <c r="O10" s="42" t="n">
        <v>0</v>
      </c>
      <c r="P10" s="59"/>
      <c r="Q10" s="29"/>
    </row>
    <row r="11" customFormat="false" ht="15" hidden="false" customHeight="false" outlineLevel="0" collapsed="false">
      <c r="A11" s="14" t="s">
        <v>595</v>
      </c>
      <c r="B11" s="29" t="s">
        <v>596</v>
      </c>
      <c r="C11" s="31" t="n">
        <v>0.1</v>
      </c>
      <c r="D11" s="31" t="n">
        <v>0.35</v>
      </c>
      <c r="E11" s="31" t="n">
        <v>0.45</v>
      </c>
      <c r="F11" s="31" t="n">
        <v>0.65</v>
      </c>
      <c r="G11" s="31" t="n">
        <v>0.2</v>
      </c>
      <c r="H11" s="31" t="n">
        <v>0.35</v>
      </c>
      <c r="I11" s="42" t="n">
        <v>0</v>
      </c>
      <c r="J11" s="42" t="n">
        <v>0</v>
      </c>
      <c r="K11" s="42" t="n">
        <v>0</v>
      </c>
      <c r="L11" s="42" t="n">
        <v>0</v>
      </c>
      <c r="M11" s="42" t="n">
        <v>0</v>
      </c>
      <c r="N11" s="42" t="n">
        <v>0</v>
      </c>
      <c r="O11" s="42" t="n">
        <v>1</v>
      </c>
      <c r="P11" s="59"/>
      <c r="Q11" s="29"/>
    </row>
    <row r="12" customFormat="false" ht="15" hidden="false" customHeight="false" outlineLevel="0" collapsed="false">
      <c r="A12" s="14" t="s">
        <v>597</v>
      </c>
      <c r="B12" s="29" t="s">
        <v>598</v>
      </c>
      <c r="C12" s="31" t="n">
        <v>0.1</v>
      </c>
      <c r="D12" s="31" t="n">
        <v>0.35</v>
      </c>
      <c r="E12" s="31" t="n">
        <v>0.45</v>
      </c>
      <c r="F12" s="31" t="n">
        <v>0.65</v>
      </c>
      <c r="G12" s="31" t="n">
        <v>0.2</v>
      </c>
      <c r="H12" s="31" t="n">
        <v>0.35</v>
      </c>
      <c r="I12" s="42" t="n">
        <v>0</v>
      </c>
      <c r="J12" s="42" t="n">
        <v>1</v>
      </c>
      <c r="K12" s="42" t="n">
        <v>0</v>
      </c>
      <c r="L12" s="42" t="n">
        <v>0</v>
      </c>
      <c r="M12" s="42" t="n">
        <v>0</v>
      </c>
      <c r="N12" s="42" t="n">
        <v>0</v>
      </c>
      <c r="O12" s="42" t="n">
        <v>0</v>
      </c>
      <c r="P12" s="59"/>
      <c r="Q12" s="29"/>
    </row>
    <row r="14" customFormat="false" ht="15" hidden="false" customHeight="false" outlineLevel="0" collapsed="false">
      <c r="A14" s="2" t="s">
        <v>599</v>
      </c>
    </row>
    <row r="15" customFormat="false" ht="15" hidden="false" customHeight="false" outlineLevel="0" collapsed="false">
      <c r="A15" s="2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3" topLeftCell="F14" activePane="bottomRight" state="frozen"/>
      <selection pane="topLeft" activeCell="A1" activeCellId="0" sqref="A1"/>
      <selection pane="topRight" activeCell="F1" activeCellId="0" sqref="F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76" min="6" style="0" width="10"/>
  </cols>
  <sheetData>
    <row r="1" customFormat="false" ht="17.35" hidden="false" customHeight="false" outlineLevel="0" collapsed="false">
      <c r="A1" s="1" t="s">
        <v>601</v>
      </c>
    </row>
    <row r="2" customFormat="false" ht="15" hidden="false" customHeight="false" outlineLevel="0" collapsed="false">
      <c r="A2" s="2" t="s">
        <v>602</v>
      </c>
    </row>
    <row r="4" customFormat="false" ht="15" hidden="false" customHeight="false" outlineLevel="0" collapsed="false">
      <c r="B4" s="15" t="s">
        <v>603</v>
      </c>
      <c r="C4" s="60" t="str">
        <f aca="false">Planner!$C$36</f>
        <v>Balanced</v>
      </c>
    </row>
    <row r="7" customFormat="false" ht="15" hidden="false" customHeight="false" outlineLevel="0" collapsed="false">
      <c r="B7" s="16" t="s">
        <v>604</v>
      </c>
      <c r="C7" s="16" t="s">
        <v>605</v>
      </c>
      <c r="D7" s="16" t="s">
        <v>606</v>
      </c>
    </row>
    <row r="8" customFormat="false" ht="15" hidden="false" customHeight="false" outlineLevel="0" collapsed="false">
      <c r="B8" s="4" t="s">
        <v>607</v>
      </c>
      <c r="C8" s="61" t="n">
        <f aca="false">INDEX(Diets!$C$5:$C$12,MATCH(Planner!$C$36,Diets!$A$5:$A$12,0))</f>
        <v>0.1</v>
      </c>
      <c r="D8" s="61" t="n">
        <f aca="false">INDEX(Diets!$D$5:$D$12,MATCH(Planner!$C$36,Diets!$A$5:$A$12,0))</f>
        <v>0.35</v>
      </c>
    </row>
    <row r="9" customFormat="false" ht="15" hidden="false" customHeight="false" outlineLevel="0" collapsed="false">
      <c r="B9" s="4" t="s">
        <v>608</v>
      </c>
      <c r="C9" s="61" t="n">
        <f aca="false">INDEX(Diets!$E$5:$E$12,MATCH(Planner!$C$36,Diets!$A$5:$A$12,0))</f>
        <v>0.45</v>
      </c>
      <c r="D9" s="61" t="n">
        <f aca="false">INDEX(Diets!$F$5:$F$12,MATCH(Planner!$C$36,Diets!$A$5:$A$12,0))</f>
        <v>0.65</v>
      </c>
    </row>
    <row r="10" customFormat="false" ht="15" hidden="false" customHeight="false" outlineLevel="0" collapsed="false">
      <c r="B10" s="4" t="s">
        <v>609</v>
      </c>
      <c r="C10" s="61" t="n">
        <f aca="false">INDEX(Diets!$G$5:$G$12,MATCH(Planner!$C$36,Diets!$A$5:$A$12,0))</f>
        <v>0.2</v>
      </c>
      <c r="D10" s="61" t="n">
        <f aca="false">INDEX(Diets!$H$5:$H$12,MATCH(Planner!$C$36,Diets!$A$5:$A$12,0))</f>
        <v>0.35</v>
      </c>
    </row>
    <row r="12" customFormat="false" ht="15" hidden="false" customHeight="false" outlineLevel="0" collapsed="false">
      <c r="A12" s="3" t="s">
        <v>610</v>
      </c>
    </row>
    <row r="13" customFormat="false" ht="57.75" hidden="false" customHeight="true" outlineLevel="0" collapsed="false">
      <c r="B13" s="62" t="s">
        <v>157</v>
      </c>
      <c r="F13" s="63" t="str">
        <f aca="false">'Food Data'!D6</f>
        <v>Chicken breast (boneless, skinless)</v>
      </c>
      <c r="G13" s="63" t="str">
        <f aca="false">'Food Data'!D7</f>
        <v>Chicken drumsticks (bone-in)</v>
      </c>
      <c r="H13" s="63" t="str">
        <f aca="false">'Food Data'!D8</f>
        <v>Chicken thighs (boneless, skinless)</v>
      </c>
      <c r="I13" s="63" t="str">
        <f aca="false">'Food Data'!D9</f>
        <v>Deli turkey breast (sliced)</v>
      </c>
      <c r="J13" s="63" t="str">
        <f aca="false">'Food Data'!D10</f>
        <v>Ground turkey 93/7</v>
      </c>
      <c r="K13" s="63" t="str">
        <f aca="false">'Food Data'!D11</f>
        <v>Bacon</v>
      </c>
      <c r="L13" s="63" t="str">
        <f aca="false">'Food Data'!D12</f>
        <v>Ground beef 80/20</v>
      </c>
      <c r="M13" s="63" t="str">
        <f aca="false">'Food Data'!D13</f>
        <v>Ground beef 93/7 (lean)</v>
      </c>
      <c r="N13" s="63" t="str">
        <f aca="false">'Food Data'!D14</f>
        <v>Ham (sliced, cooked)</v>
      </c>
      <c r="O13" s="63" t="str">
        <f aca="false">'Food Data'!D15</f>
        <v>Pork loin chops (boneless)</v>
      </c>
      <c r="P13" s="63" t="str">
        <f aca="false">'Food Data'!D16</f>
        <v>Top sirloin steak</v>
      </c>
      <c r="Q13" s="63" t="str">
        <f aca="false">'Food Data'!D17</f>
        <v>Canned light tuna (in water)</v>
      </c>
      <c r="R13" s="63" t="str">
        <f aca="false">'Food Data'!D18</f>
        <v>Salmon (Atlantic, fillet)</v>
      </c>
      <c r="S13" s="63" t="str">
        <f aca="false">'Food Data'!D19</f>
        <v>Shrimp (raw, peeled)</v>
      </c>
      <c r="T13" s="63" t="str">
        <f aca="false">'Food Data'!D20</f>
        <v>Tilapia (fillet)</v>
      </c>
      <c r="U13" s="63" t="str">
        <f aca="false">'Food Data'!D21</f>
        <v>Eggs (large)</v>
      </c>
      <c r="V13" s="63" t="str">
        <f aca="false">'Food Data'!D22</f>
        <v>Black beans (canned)</v>
      </c>
      <c r="W13" s="63" t="str">
        <f aca="false">'Food Data'!D23</f>
        <v>Chickpeas (canned)</v>
      </c>
      <c r="X13" s="63" t="str">
        <f aca="false">'Food Data'!D24</f>
        <v>Lentils (dry)</v>
      </c>
      <c r="Y13" s="63" t="str">
        <f aca="false">'Food Data'!D25</f>
        <v>Peanut butter</v>
      </c>
      <c r="Z13" s="63" t="str">
        <f aca="false">'Food Data'!D26</f>
        <v>Pinto beans (dry)</v>
      </c>
      <c r="AA13" s="63" t="str">
        <f aca="false">'Food Data'!D27</f>
        <v>Tofu (extra firm)</v>
      </c>
      <c r="AB13" s="64" t="str">
        <f aca="false">'Food Data'!D28</f>
        <v>2% milk</v>
      </c>
      <c r="AC13" s="64" t="str">
        <f aca="false">'Food Data'!D29</f>
        <v>Greek yogurt (plain, nonfat)</v>
      </c>
      <c r="AD13" s="64" t="str">
        <f aca="false">'Food Data'!D30</f>
        <v>Soy milk (calcium-fortified)</v>
      </c>
      <c r="AE13" s="64" t="str">
        <f aca="false">'Food Data'!D31</f>
        <v>Whole milk</v>
      </c>
      <c r="AF13" s="64" t="str">
        <f aca="false">'Food Data'!D32</f>
        <v>American cheese (singles)</v>
      </c>
      <c r="AG13" s="64" t="str">
        <f aca="false">'Food Data'!D33</f>
        <v>Cheddar cheese</v>
      </c>
      <c r="AH13" s="64" t="str">
        <f aca="false">'Food Data'!D34</f>
        <v>Cottage cheese (2%)</v>
      </c>
      <c r="AI13" s="64" t="str">
        <f aca="false">'Food Data'!D35</f>
        <v>Mozzarella string cheese</v>
      </c>
      <c r="AJ13" s="65" t="str">
        <f aca="false">'Food Data'!D36</f>
        <v>Bagels (plain)</v>
      </c>
      <c r="AK13" s="65" t="str">
        <f aca="false">'Food Data'!D37</f>
        <v>Brown rice (dry)</v>
      </c>
      <c r="AL13" s="65" t="str">
        <f aca="false">'Food Data'!D38</f>
        <v>Cheerios</v>
      </c>
      <c r="AM13" s="65" t="str">
        <f aca="false">'Food Data'!D39</f>
        <v>Corn tortillas</v>
      </c>
      <c r="AN13" s="65" t="str">
        <f aca="false">'Food Data'!D40</f>
        <v>Flour tortillas</v>
      </c>
      <c r="AO13" s="65" t="str">
        <f aca="false">'Food Data'!D41</f>
        <v>Quinoa (dry)</v>
      </c>
      <c r="AP13" s="65" t="str">
        <f aca="false">'Food Data'!D42</f>
        <v>Rolled oats (dry)</v>
      </c>
      <c r="AQ13" s="65" t="str">
        <f aca="false">'Food Data'!D43</f>
        <v>Spaghetti (dry)</v>
      </c>
      <c r="AR13" s="65" t="str">
        <f aca="false">'Food Data'!D44</f>
        <v>White bread</v>
      </c>
      <c r="AS13" s="65" t="str">
        <f aca="false">'Food Data'!D45</f>
        <v>White rice (dry)</v>
      </c>
      <c r="AT13" s="65" t="str">
        <f aca="false">'Food Data'!D46</f>
        <v>Whole-wheat bread</v>
      </c>
      <c r="AU13" s="65" t="str">
        <f aca="false">'Food Data'!D47</f>
        <v>Whole-wheat spaghetti (dry)</v>
      </c>
      <c r="AV13" s="65" t="str">
        <f aca="false">'Food Data'!D48</f>
        <v>Corn (frozen)</v>
      </c>
      <c r="AW13" s="65" t="str">
        <f aca="false">'Food Data'!D49</f>
        <v>Potatoes (russet)</v>
      </c>
      <c r="AX13" s="65" t="str">
        <f aca="false">'Food Data'!D50</f>
        <v>Sweet potatoes</v>
      </c>
      <c r="AY13" s="66" t="str">
        <f aca="false">'Food Data'!D51</f>
        <v>Apples (Gala)</v>
      </c>
      <c r="AZ13" s="66" t="str">
        <f aca="false">'Food Data'!D52</f>
        <v>Bananas</v>
      </c>
      <c r="BA13" s="66" t="str">
        <f aca="false">'Food Data'!D53</f>
        <v>Blueberries (frozen)</v>
      </c>
      <c r="BB13" s="66" t="str">
        <f aca="false">'Food Data'!D54</f>
        <v>Grapes (red seedless)</v>
      </c>
      <c r="BC13" s="66" t="str">
        <f aca="false">'Food Data'!D55</f>
        <v>Orange juice (100%)</v>
      </c>
      <c r="BD13" s="66" t="str">
        <f aca="false">'Food Data'!D56</f>
        <v>Oranges (navel)</v>
      </c>
      <c r="BE13" s="66" t="str">
        <f aca="false">'Food Data'!D57</f>
        <v>Raisins</v>
      </c>
      <c r="BF13" s="66" t="str">
        <f aca="false">'Food Data'!D58</f>
        <v>Strawberries</v>
      </c>
      <c r="BG13" s="67" t="str">
        <f aca="false">'Food Data'!D59</f>
        <v>Broccoli (frozen)</v>
      </c>
      <c r="BH13" s="67" t="str">
        <f aca="false">'Food Data'!D60</f>
        <v>Carrots</v>
      </c>
      <c r="BI13" s="67" t="str">
        <f aca="false">'Food Data'!D61</f>
        <v>Green beans (canned)</v>
      </c>
      <c r="BJ13" s="67" t="str">
        <f aca="false">'Food Data'!D62</f>
        <v>Green bell pepper</v>
      </c>
      <c r="BK13" s="67" t="str">
        <f aca="false">'Food Data'!D63</f>
        <v>Mixed vegetables (frozen)</v>
      </c>
      <c r="BL13" s="67" t="str">
        <f aca="false">'Food Data'!D64</f>
        <v>Onions (yellow)</v>
      </c>
      <c r="BM13" s="67" t="str">
        <f aca="false">'Food Data'!D65</f>
        <v>Romaine lettuce</v>
      </c>
      <c r="BN13" s="67" t="str">
        <f aca="false">'Food Data'!D66</f>
        <v>Spinach (fresh)</v>
      </c>
      <c r="BO13" s="67" t="str">
        <f aca="false">'Food Data'!D67</f>
        <v>Tomatoes (roma)</v>
      </c>
      <c r="BP13" s="68" t="str">
        <f aca="false">'Food Data'!D68</f>
        <v>Butter (salted)</v>
      </c>
      <c r="BQ13" s="68" t="str">
        <f aca="false">'Food Data'!D69</f>
        <v>Canola oil</v>
      </c>
      <c r="BR13" s="68" t="str">
        <f aca="false">'Food Data'!D70</f>
        <v>Olive oil (extra virgin)</v>
      </c>
      <c r="BS13" s="68" t="str">
        <f aca="false">'Food Data'!D71</f>
        <v>Almonds</v>
      </c>
      <c r="BT13" s="68" t="str">
        <f aca="false">'Food Data'!D72</f>
        <v>Avocado (Hass)</v>
      </c>
      <c r="BU13" s="69" t="str">
        <f aca="false">'Food Data'!D73</f>
        <v>Chocolate chip cookies</v>
      </c>
      <c r="BV13" s="69" t="str">
        <f aca="false">'Food Data'!D74</f>
        <v>Granola bars (chocolate chip)</v>
      </c>
      <c r="BW13" s="69" t="str">
        <f aca="false">'Food Data'!D75</f>
        <v>Potato chips</v>
      </c>
      <c r="BX13" s="69" t="str">
        <f aca="false">'Food Data'!D76</f>
        <v>Vanilla ice cream</v>
      </c>
    </row>
    <row r="14" customFormat="false" ht="15" hidden="false" customHeight="false" outlineLevel="0" collapsed="false">
      <c r="B14" s="62" t="s">
        <v>611</v>
      </c>
      <c r="F14" s="70" t="n">
        <f aca="false">'Food Data'!M6</f>
        <v>0.72310405643739</v>
      </c>
      <c r="G14" s="70" t="n">
        <f aca="false">'Food Data'!M7</f>
        <v>0.397318960751797</v>
      </c>
      <c r="H14" s="70" t="n">
        <f aca="false">'Food Data'!M8</f>
        <v>0.725308641975309</v>
      </c>
      <c r="I14" s="70" t="n">
        <f aca="false">'Food Data'!M9</f>
        <v>1.31613756613757</v>
      </c>
      <c r="J14" s="70" t="n">
        <f aca="false">'Food Data'!M10</f>
        <v>1.22574955908289</v>
      </c>
      <c r="K14" s="70" t="n">
        <f aca="false">'Food Data'!M11</f>
        <v>0.934744268077602</v>
      </c>
      <c r="L14" s="70" t="n">
        <f aca="false">'Food Data'!M12</f>
        <v>1.41754850088183</v>
      </c>
      <c r="M14" s="70" t="n">
        <f aca="false">'Food Data'!M13</f>
        <v>1.73500881834215</v>
      </c>
      <c r="N14" s="70" t="n">
        <f aca="false">'Food Data'!M14</f>
        <v>1.09567901234568</v>
      </c>
      <c r="O14" s="70" t="n">
        <f aca="false">'Food Data'!M15</f>
        <v>0.919312169312169</v>
      </c>
      <c r="P14" s="70" t="n">
        <f aca="false">'Food Data'!M16</f>
        <v>2.94096256295569</v>
      </c>
      <c r="Q14" s="70" t="n">
        <f aca="false">'Food Data'!M17</f>
        <v>0.857579303752803</v>
      </c>
      <c r="R14" s="70" t="n">
        <f aca="false">'Food Data'!M18</f>
        <v>2.418430335097</v>
      </c>
      <c r="S14" s="70" t="n">
        <f aca="false">'Food Data'!M19</f>
        <v>1.75925925925926</v>
      </c>
      <c r="T14" s="70" t="n">
        <f aca="false">'Food Data'!M20</f>
        <v>0.977733686067019</v>
      </c>
      <c r="U14" s="70" t="n">
        <f aca="false">'Food Data'!M21</f>
        <v>0.278340755753487</v>
      </c>
      <c r="V14" s="70" t="n">
        <f aca="false">'Food Data'!M22</f>
        <v>0.216368767638758</v>
      </c>
      <c r="W14" s="70" t="n">
        <f aca="false">'Food Data'!M23</f>
        <v>0.209376422394174</v>
      </c>
      <c r="X14" s="70" t="n">
        <f aca="false">'Food Data'!M24</f>
        <v>0.423280423280423</v>
      </c>
      <c r="Y14" s="70" t="n">
        <f aca="false">'Food Data'!M25</f>
        <v>0.350970017636684</v>
      </c>
      <c r="Z14" s="70" t="n">
        <f aca="false">'Food Data'!M26</f>
        <v>0.218253968253968</v>
      </c>
      <c r="AA14" s="70" t="n">
        <f aca="false">'Food Data'!M27</f>
        <v>0.748299319727891</v>
      </c>
      <c r="AB14" s="70" t="n">
        <f aca="false">'Food Data'!M28</f>
        <v>0.0847848360655738</v>
      </c>
      <c r="AC14" s="70" t="n">
        <f aca="false">'Food Data'!M29</f>
        <v>0.361552028218695</v>
      </c>
      <c r="AD14" s="70" t="n">
        <f aca="false">'Food Data'!M30</f>
        <v>0.235082304526749</v>
      </c>
      <c r="AE14" s="70" t="n">
        <f aca="false">'Food Data'!M31</f>
        <v>0.0891393442622951</v>
      </c>
      <c r="AF14" s="70" t="n">
        <f aca="false">'Food Data'!M32</f>
        <v>0.54673721340388</v>
      </c>
      <c r="AG14" s="70" t="n">
        <f aca="false">'Food Data'!M33</f>
        <v>0.824514991181658</v>
      </c>
      <c r="AH14" s="70" t="n">
        <f aca="false">'Food Data'!M34</f>
        <v>0.421810699588477</v>
      </c>
      <c r="AI14" s="70" t="n">
        <f aca="false">'Food Data'!M35</f>
        <v>0.96413874191652</v>
      </c>
      <c r="AJ14" s="70" t="n">
        <f aca="false">'Food Data'!M36</f>
        <v>0.377425044091711</v>
      </c>
      <c r="AK14" s="70" t="n">
        <f aca="false">'Food Data'!M37</f>
        <v>0.189594356261023</v>
      </c>
      <c r="AL14" s="70" t="n">
        <f aca="false">'Food Data'!M38</f>
        <v>0.973936899862826</v>
      </c>
      <c r="AM14" s="70" t="n">
        <f aca="false">'Food Data'!M39</f>
        <v>0.313527180783818</v>
      </c>
      <c r="AN14" s="70" t="n">
        <f aca="false">'Food Data'!M40</f>
        <v>0.436507936507937</v>
      </c>
      <c r="AO14" s="70" t="n">
        <f aca="false">'Food Data'!M41</f>
        <v>0.758377425044092</v>
      </c>
      <c r="AP14" s="70" t="n">
        <f aca="false">'Food Data'!M42</f>
        <v>0.36785084404132</v>
      </c>
      <c r="AQ14" s="70" t="n">
        <f aca="false">'Food Data'!M43</f>
        <v>0.299823633156967</v>
      </c>
      <c r="AR14" s="70" t="n">
        <f aca="false">'Food Data'!M44</f>
        <v>0.268077601410935</v>
      </c>
      <c r="AS14" s="70" t="n">
        <f aca="false">'Food Data'!M45</f>
        <v>0.109347442680776</v>
      </c>
      <c r="AT14" s="70" t="n">
        <f aca="false">'Food Data'!M46</f>
        <v>0.35626102292769</v>
      </c>
      <c r="AU14" s="70" t="n">
        <f aca="false">'Food Data'!M47</f>
        <v>0.383597883597884</v>
      </c>
      <c r="AV14" s="70" t="n">
        <f aca="false">'Food Data'!M48</f>
        <v>0.288065843621399</v>
      </c>
      <c r="AW14" s="70" t="n">
        <f aca="false">'Food Data'!M49</f>
        <v>0.285714285714286</v>
      </c>
      <c r="AX14" s="70" t="n">
        <f aca="false">'Food Data'!M50</f>
        <v>0.369472205891959</v>
      </c>
      <c r="AY14" s="70" t="n">
        <f aca="false">'Food Data'!M51</f>
        <v>0.320073159579332</v>
      </c>
      <c r="AZ14" s="70" t="n">
        <f aca="false">'Food Data'!M52</f>
        <v>0.172233245149912</v>
      </c>
      <c r="BA14" s="70" t="n">
        <f aca="false">'Food Data'!M53</f>
        <v>0.585684891240447</v>
      </c>
      <c r="BB14" s="70" t="n">
        <f aca="false">'Food Data'!M54</f>
        <v>0.429434891240447</v>
      </c>
      <c r="BC14" s="70" t="n">
        <f aca="false">'Food Data'!M55</f>
        <v>0.244670991658943</v>
      </c>
      <c r="BD14" s="70" t="n">
        <f aca="false">'Food Data'!M56</f>
        <v>0.483874105197635</v>
      </c>
      <c r="BE14" s="70" t="n">
        <f aca="false">'Food Data'!M57</f>
        <v>0.772486772486772</v>
      </c>
      <c r="BF14" s="70" t="n">
        <f aca="false">'Food Data'!M58</f>
        <v>0.696555217831814</v>
      </c>
      <c r="BG14" s="70" t="n">
        <f aca="false">'Food Data'!M59</f>
        <v>0.340975896531452</v>
      </c>
      <c r="BH14" s="70" t="n">
        <f aca="false">'Food Data'!M60</f>
        <v>0.279908051443632</v>
      </c>
      <c r="BI14" s="70" t="n">
        <f aca="false">'Food Data'!M61</f>
        <v>0.204329846752615</v>
      </c>
      <c r="BJ14" s="70" t="n">
        <f aca="false">'Food Data'!M62</f>
        <v>0.723296888141295</v>
      </c>
      <c r="BK14" s="70" t="n">
        <f aca="false">'Food Data'!M63</f>
        <v>0.284391534391534</v>
      </c>
      <c r="BL14" s="70" t="n">
        <f aca="false">'Food Data'!M64</f>
        <v>0.241687896008884</v>
      </c>
      <c r="BM14" s="70" t="n">
        <f aca="false">'Food Data'!M65</f>
        <v>0.776764606551841</v>
      </c>
      <c r="BN14" s="70" t="n">
        <f aca="false">'Food Data'!M66</f>
        <v>0.694885361552028</v>
      </c>
      <c r="BO14" s="70" t="n">
        <f aca="false">'Food Data'!M67</f>
        <v>0.205922824970444</v>
      </c>
      <c r="BP14" s="70" t="n">
        <f aca="false">'Food Data'!M68</f>
        <v>0.656966490299824</v>
      </c>
      <c r="BQ14" s="70" t="n">
        <f aca="false">'Food Data'!M69</f>
        <v>0.311926605504587</v>
      </c>
      <c r="BR14" s="70" t="n">
        <f aca="false">'Food Data'!M70</f>
        <v>1.29774872912128</v>
      </c>
      <c r="BS14" s="70" t="n">
        <f aca="false">'Food Data'!M71</f>
        <v>2.08994708994709</v>
      </c>
      <c r="BT14" s="70" t="n">
        <f aca="false">'Food Data'!M72</f>
        <v>0.639658848614072</v>
      </c>
      <c r="BU14" s="70" t="n">
        <f aca="false">'Food Data'!M73</f>
        <v>0.819538670284939</v>
      </c>
      <c r="BV14" s="70" t="n">
        <f aca="false">'Food Data'!M74</f>
        <v>0.957580848383032</v>
      </c>
      <c r="BW14" s="70" t="n">
        <f aca="false">'Food Data'!M75</f>
        <v>0.824514991181658</v>
      </c>
      <c r="BX14" s="70" t="n">
        <f aca="false">'Food Data'!M76</f>
        <v>0.393939393939394</v>
      </c>
    </row>
    <row r="15" customFormat="false" ht="15" hidden="false" customHeight="false" outlineLevel="0" collapsed="false">
      <c r="B15" s="62" t="s">
        <v>612</v>
      </c>
      <c r="F15" s="71" t="n">
        <f aca="false">'Food Data'!N6*'Food Data'!P6/100*'Food Data'!AA6</f>
        <v>2.26</v>
      </c>
      <c r="G15" s="71" t="n">
        <f aca="false">'Food Data'!N7*'Food Data'!P7/100*'Food Data'!AA7</f>
        <v>2</v>
      </c>
      <c r="H15" s="71" t="n">
        <f aca="false">'Food Data'!N8*'Food Data'!P8/100*'Food Data'!AA8</f>
        <v>2.26</v>
      </c>
      <c r="I15" s="71" t="n">
        <f aca="false">'Food Data'!N9*'Food Data'!P9/100*'Food Data'!AA9</f>
        <v>1.12</v>
      </c>
      <c r="J15" s="71" t="n">
        <f aca="false">'Food Data'!N10*'Food Data'!P10/100*'Food Data'!AA10</f>
        <v>2.26</v>
      </c>
      <c r="K15" s="71" t="n">
        <f aca="false">'Food Data'!N11*'Food Data'!P11/100*'Food Data'!AA11</f>
        <v>0.84</v>
      </c>
      <c r="L15" s="71" t="n">
        <f aca="false">'Food Data'!N12*'Food Data'!P12/100*'Food Data'!AA12</f>
        <v>2.26</v>
      </c>
      <c r="M15" s="71" t="n">
        <f aca="false">'Food Data'!N13*'Food Data'!P13/100*'Food Data'!AA13</f>
        <v>2.26</v>
      </c>
      <c r="N15" s="71" t="n">
        <f aca="false">'Food Data'!N14*'Food Data'!P14/100*'Food Data'!AA14</f>
        <v>1.12</v>
      </c>
      <c r="O15" s="71" t="n">
        <f aca="false">'Food Data'!N15*'Food Data'!P15/100*'Food Data'!AA15</f>
        <v>2.26</v>
      </c>
      <c r="P15" s="71" t="n">
        <f aca="false">'Food Data'!N16*'Food Data'!P16/100*'Food Data'!AA16</f>
        <v>2.26</v>
      </c>
      <c r="Q15" s="71" t="n">
        <f aca="false">'Food Data'!N17*'Food Data'!P17/100*'Food Data'!AA17</f>
        <v>1.7</v>
      </c>
      <c r="R15" s="71" t="n">
        <f aca="false">'Food Data'!N18*'Food Data'!P18/100*'Food Data'!AA18</f>
        <v>2.26</v>
      </c>
      <c r="S15" s="71" t="n">
        <f aca="false">'Food Data'!N19*'Food Data'!P19/100*'Food Data'!AA19</f>
        <v>2.26</v>
      </c>
      <c r="T15" s="71" t="n">
        <f aca="false">'Food Data'!N20*'Food Data'!P20/100*'Food Data'!AA20</f>
        <v>2.26</v>
      </c>
      <c r="U15" s="71" t="n">
        <f aca="false">'Food Data'!N21*'Food Data'!P21/100*'Food Data'!AA21</f>
        <v>1.5</v>
      </c>
      <c r="V15" s="71" t="n">
        <f aca="false">'Food Data'!N22*'Food Data'!P22/100*'Food Data'!AA22</f>
        <v>3.6</v>
      </c>
      <c r="W15" s="71" t="n">
        <f aca="false">'Food Data'!N23*'Food Data'!P23/100*'Food Data'!AA23</f>
        <v>3.6</v>
      </c>
      <c r="X15" s="71" t="n">
        <f aca="false">'Food Data'!N24*'Food Data'!P24/100*'Food Data'!AA24</f>
        <v>1.44</v>
      </c>
      <c r="Y15" s="71" t="n">
        <f aca="false">'Food Data'!N25*'Food Data'!P25/100*'Food Data'!AA25</f>
        <v>0.64</v>
      </c>
      <c r="Z15" s="71" t="n">
        <f aca="false">'Food Data'!N26*'Food Data'!P26/100*'Food Data'!AA26</f>
        <v>1.44</v>
      </c>
      <c r="AA15" s="71" t="n">
        <f aca="false">'Food Data'!N27*'Food Data'!P27/100*'Food Data'!AA27</f>
        <v>2.55</v>
      </c>
      <c r="AB15" s="71" t="n">
        <f aca="false">'Food Data'!N28*'Food Data'!P28/100*'Food Data'!AA28</f>
        <v>7.32</v>
      </c>
      <c r="AC15" s="71" t="n">
        <f aca="false">'Food Data'!N29*'Food Data'!P29/100*'Food Data'!AA29</f>
        <v>3.4</v>
      </c>
      <c r="AD15" s="71" t="n">
        <f aca="false">'Food Data'!N30*'Food Data'!P30/100*'Food Data'!AA30</f>
        <v>7.29</v>
      </c>
      <c r="AE15" s="71" t="n">
        <f aca="false">'Food Data'!N31*'Food Data'!P31/100*'Food Data'!AA31</f>
        <v>7.32</v>
      </c>
      <c r="AF15" s="71" t="n">
        <f aca="false">'Food Data'!N32*'Food Data'!P32/100*'Food Data'!AA32</f>
        <v>0.57</v>
      </c>
      <c r="AG15" s="71" t="n">
        <f aca="false">'Food Data'!N33*'Food Data'!P33/100*'Food Data'!AA33</f>
        <v>0.56</v>
      </c>
      <c r="AH15" s="71" t="n">
        <f aca="false">'Food Data'!N34*'Food Data'!P34/100*'Food Data'!AA34</f>
        <v>2.26</v>
      </c>
      <c r="AI15" s="71" t="n">
        <f aca="false">'Food Data'!N35*'Food Data'!P35/100*'Food Data'!AA35</f>
        <v>0.56</v>
      </c>
      <c r="AJ15" s="71" t="n">
        <f aca="false">'Food Data'!N36*'Food Data'!P36/100*'Food Data'!AA36</f>
        <v>0.94</v>
      </c>
      <c r="AK15" s="71" t="n">
        <f aca="false">'Food Data'!N37*'Food Data'!P37/100*'Food Data'!AA37</f>
        <v>1.84</v>
      </c>
      <c r="AL15" s="71" t="n">
        <f aca="false">'Food Data'!N38*'Food Data'!P38/100*'Food Data'!AA38</f>
        <v>0.56</v>
      </c>
      <c r="AM15" s="71" t="n">
        <f aca="false">'Food Data'!N39*'Food Data'!P39/100*'Food Data'!AA39</f>
        <v>1.56</v>
      </c>
      <c r="AN15" s="71" t="n">
        <f aca="false">'Food Data'!N40*'Food Data'!P40/100*'Food Data'!AA40</f>
        <v>1.35</v>
      </c>
      <c r="AO15" s="71" t="n">
        <f aca="false">'Food Data'!N41*'Food Data'!P41/100*'Food Data'!AA41</f>
        <v>1.29</v>
      </c>
      <c r="AP15" s="71" t="n">
        <f aca="false">'Food Data'!N42*'Food Data'!P42/100*'Food Data'!AA42</f>
        <v>0.8</v>
      </c>
      <c r="AQ15" s="71" t="n">
        <f aca="false">'Food Data'!N43*'Food Data'!P43/100*'Food Data'!AA43</f>
        <v>1.71</v>
      </c>
      <c r="AR15" s="71" t="n">
        <f aca="false">'Food Data'!N44*'Food Data'!P44/100*'Food Data'!AA44</f>
        <v>1.12</v>
      </c>
      <c r="AS15" s="71" t="n">
        <f aca="false">'Food Data'!N45*'Food Data'!P45/100*'Food Data'!AA45</f>
        <v>1.84</v>
      </c>
      <c r="AT15" s="71" t="n">
        <f aca="false">'Food Data'!N46*'Food Data'!P46/100*'Food Data'!AA46</f>
        <v>1.28</v>
      </c>
      <c r="AU15" s="71" t="n">
        <f aca="false">'Food Data'!N47*'Food Data'!P47/100*'Food Data'!AA47</f>
        <v>1.71</v>
      </c>
      <c r="AV15" s="71" t="n">
        <f aca="false">'Food Data'!N48*'Food Data'!P48/100*'Food Data'!AA48</f>
        <v>2.04</v>
      </c>
      <c r="AW15" s="71" t="n">
        <f aca="false">'Food Data'!N49*'Food Data'!P49/100*'Food Data'!AA49</f>
        <v>3</v>
      </c>
      <c r="AX15" s="71" t="n">
        <f aca="false">'Food Data'!N50*'Food Data'!P50/100*'Food Data'!AA50</f>
        <v>2.66</v>
      </c>
      <c r="AY15" s="71" t="n">
        <f aca="false">'Food Data'!N51*'Food Data'!P51/100*'Food Data'!AA51</f>
        <v>2.5</v>
      </c>
      <c r="AZ15" s="71" t="n">
        <f aca="false">'Food Data'!N52*'Food Data'!P52/100*'Food Data'!AA52</f>
        <v>2.36</v>
      </c>
      <c r="BA15" s="71" t="n">
        <f aca="false">'Food Data'!N53*'Food Data'!P53/100*'Food Data'!AA53</f>
        <v>1.55</v>
      </c>
      <c r="BB15" s="71" t="n">
        <f aca="false">'Food Data'!N54*'Food Data'!P54/100*'Food Data'!AA54</f>
        <v>3.02</v>
      </c>
      <c r="BC15" s="71" t="n">
        <f aca="false">'Food Data'!N55*'Food Data'!P55/100*'Food Data'!AA55</f>
        <v>2.49</v>
      </c>
      <c r="BD15" s="71" t="n">
        <f aca="false">'Food Data'!N56*'Food Data'!P56/100*'Food Data'!AA56</f>
        <v>2.8</v>
      </c>
      <c r="BE15" s="71" t="n">
        <f aca="false">'Food Data'!N57*'Food Data'!P57/100*'Food Data'!AA57</f>
        <v>0.41</v>
      </c>
      <c r="BF15" s="71" t="n">
        <f aca="false">'Food Data'!N58*'Food Data'!P58/100*'Food Data'!AA58</f>
        <v>3.04</v>
      </c>
      <c r="BG15" s="71" t="n">
        <f aca="false">'Food Data'!N59*'Food Data'!P59/100*'Food Data'!AA59</f>
        <v>1.9</v>
      </c>
      <c r="BH15" s="71" t="n">
        <f aca="false">'Food Data'!N60*'Food Data'!P60/100*'Food Data'!AA60</f>
        <v>2.56</v>
      </c>
      <c r="BI15" s="71" t="n">
        <f aca="false">'Food Data'!N61*'Food Data'!P61/100*'Food Data'!AA61</f>
        <v>3.6</v>
      </c>
      <c r="BJ15" s="71" t="n">
        <f aca="false">'Food Data'!N62*'Food Data'!P62/100*'Food Data'!AA62</f>
        <v>1.49</v>
      </c>
      <c r="BK15" s="71" t="n">
        <f aca="false">'Food Data'!N63*'Food Data'!P63/100*'Food Data'!AA63</f>
        <v>2.85</v>
      </c>
      <c r="BL15" s="71" t="n">
        <f aca="false">'Food Data'!N64*'Food Data'!P64/100*'Food Data'!AA64</f>
        <v>1.6</v>
      </c>
      <c r="BM15" s="71" t="n">
        <f aca="false">'Food Data'!N65*'Food Data'!P65/100*'Food Data'!AA65</f>
        <v>1.88</v>
      </c>
      <c r="BN15" s="71" t="n">
        <f aca="false">'Food Data'!N66*'Food Data'!P66/100*'Food Data'!AA66</f>
        <v>1.8</v>
      </c>
      <c r="BO15" s="71" t="n">
        <f aca="false">'Food Data'!N67*'Food Data'!P67/100*'Food Data'!AA67</f>
        <v>3.6</v>
      </c>
      <c r="BP15" s="71" t="n">
        <f aca="false">'Food Data'!N68*'Food Data'!P68/100*'Food Data'!AA68</f>
        <v>0.284</v>
      </c>
      <c r="BQ15" s="71" t="n">
        <f aca="false">'Food Data'!N69*'Food Data'!P69/100*'Food Data'!AA69</f>
        <v>0.42</v>
      </c>
      <c r="BR15" s="71" t="n">
        <f aca="false">'Food Data'!N70*'Food Data'!P70/100*'Food Data'!AA70</f>
        <v>0.405</v>
      </c>
      <c r="BS15" s="71" t="n">
        <f aca="false">'Food Data'!N71*'Food Data'!P71/100*'Food Data'!AA71</f>
        <v>0.56</v>
      </c>
      <c r="BT15" s="71" t="n">
        <f aca="false">'Food Data'!N72*'Food Data'!P72/100*'Food Data'!AA72</f>
        <v>1.36</v>
      </c>
      <c r="BU15" s="71" t="n">
        <f aca="false">'Food Data'!N73*'Food Data'!P73/100*'Food Data'!AA73</f>
        <v>0.26</v>
      </c>
      <c r="BV15" s="71" t="n">
        <f aca="false">'Food Data'!N74*'Food Data'!P74/100*'Food Data'!AA74</f>
        <v>0.48</v>
      </c>
      <c r="BW15" s="71" t="n">
        <f aca="false">'Food Data'!N75*'Food Data'!P75/100*'Food Data'!AA75</f>
        <v>0.28</v>
      </c>
      <c r="BX15" s="71" t="n">
        <f aca="false">'Food Data'!N76*'Food Data'!P76/100*'Food Data'!AA76</f>
        <v>0.66</v>
      </c>
    </row>
    <row r="16" customFormat="false" ht="15" hidden="false" customHeight="false" outlineLevel="0" collapsed="false">
      <c r="B16" s="62" t="s">
        <v>613</v>
      </c>
      <c r="F16" s="71" t="n">
        <f aca="false">MIN(F15,N('Food Data'!R6)*'Food Data'!N6/100)</f>
        <v>0</v>
      </c>
      <c r="G16" s="71" t="n">
        <f aca="false">MIN(G15,N('Food Data'!R7)*'Food Data'!N7/100)</f>
        <v>0</v>
      </c>
      <c r="H16" s="71" t="n">
        <f aca="false">MIN(H15,N('Food Data'!R8)*'Food Data'!N8/100)</f>
        <v>0</v>
      </c>
      <c r="I16" s="71" t="n">
        <f aca="false">MIN(I15,N('Food Data'!R9)*'Food Data'!N9/100)</f>
        <v>0</v>
      </c>
      <c r="J16" s="71" t="n">
        <f aca="false">MIN(J15,N('Food Data'!R10)*'Food Data'!N10/100)</f>
        <v>0</v>
      </c>
      <c r="K16" s="71" t="n">
        <f aca="false">MIN(K15,N('Food Data'!R11)*'Food Data'!N11/100)</f>
        <v>0</v>
      </c>
      <c r="L16" s="71" t="n">
        <f aca="false">MIN(L15,N('Food Data'!R12)*'Food Data'!N12/100)</f>
        <v>0</v>
      </c>
      <c r="M16" s="71" t="n">
        <f aca="false">MIN(M15,N('Food Data'!R13)*'Food Data'!N13/100)</f>
        <v>0</v>
      </c>
      <c r="N16" s="71" t="n">
        <f aca="false">MIN(N15,N('Food Data'!R14)*'Food Data'!N14/100)</f>
        <v>0</v>
      </c>
      <c r="O16" s="71" t="n">
        <f aca="false">MIN(O15,N('Food Data'!R15)*'Food Data'!N15/100)</f>
        <v>0</v>
      </c>
      <c r="P16" s="71" t="n">
        <f aca="false">MIN(P15,N('Food Data'!R16)*'Food Data'!N16/100)</f>
        <v>0</v>
      </c>
      <c r="Q16" s="71" t="n">
        <f aca="false">MIN(Q15,N('Food Data'!R17)*'Food Data'!N17/100)</f>
        <v>0</v>
      </c>
      <c r="R16" s="71" t="n">
        <f aca="false">MIN(R15,N('Food Data'!R18)*'Food Data'!N18/100)</f>
        <v>0</v>
      </c>
      <c r="S16" s="71" t="n">
        <f aca="false">MIN(S15,N('Food Data'!R19)*'Food Data'!N19/100)</f>
        <v>0</v>
      </c>
      <c r="T16" s="71" t="n">
        <f aca="false">MIN(T15,N('Food Data'!R20)*'Food Data'!N20/100)</f>
        <v>0</v>
      </c>
      <c r="U16" s="71" t="n">
        <f aca="false">MIN(U15,N('Food Data'!R21)*'Food Data'!N21/100)</f>
        <v>0</v>
      </c>
      <c r="V16" s="71" t="n">
        <f aca="false">MIN(V15,N('Food Data'!R22)*'Food Data'!N22/100)</f>
        <v>0</v>
      </c>
      <c r="W16" s="71" t="n">
        <f aca="false">MIN(W15,N('Food Data'!R23)*'Food Data'!N23/100)</f>
        <v>0</v>
      </c>
      <c r="X16" s="71" t="n">
        <f aca="false">MIN(X15,N('Food Data'!R24)*'Food Data'!N24/100)</f>
        <v>0</v>
      </c>
      <c r="Y16" s="71" t="n">
        <f aca="false">MIN(Y15,N('Food Data'!R25)*'Food Data'!N25/100)</f>
        <v>0</v>
      </c>
      <c r="Z16" s="71" t="n">
        <f aca="false">MIN(Z15,N('Food Data'!R26)*'Food Data'!N26/100)</f>
        <v>0</v>
      </c>
      <c r="AA16" s="71" t="n">
        <f aca="false">MIN(AA15,N('Food Data'!R27)*'Food Data'!N27/100)</f>
        <v>0</v>
      </c>
      <c r="AB16" s="71" t="n">
        <f aca="false">MIN(AB15,N('Food Data'!R28)*'Food Data'!N28/100)</f>
        <v>0</v>
      </c>
      <c r="AC16" s="71" t="n">
        <f aca="false">MIN(AC15,N('Food Data'!R29)*'Food Data'!N29/100)</f>
        <v>0</v>
      </c>
      <c r="AD16" s="71" t="n">
        <f aca="false">MIN(AD15,N('Food Data'!R30)*'Food Data'!N30/100)</f>
        <v>0</v>
      </c>
      <c r="AE16" s="71" t="n">
        <f aca="false">MIN(AE15,N('Food Data'!R31)*'Food Data'!N31/100)</f>
        <v>0</v>
      </c>
      <c r="AF16" s="71" t="n">
        <f aca="false">MIN(AF15,N('Food Data'!R32)*'Food Data'!N32/100)</f>
        <v>0</v>
      </c>
      <c r="AG16" s="71" t="n">
        <f aca="false">MIN(AG15,N('Food Data'!R33)*'Food Data'!N33/100)</f>
        <v>0</v>
      </c>
      <c r="AH16" s="71" t="n">
        <f aca="false">MIN(AH15,N('Food Data'!R34)*'Food Data'!N34/100)</f>
        <v>0</v>
      </c>
      <c r="AI16" s="71" t="n">
        <f aca="false">MIN(AI15,N('Food Data'!R35)*'Food Data'!N35/100)</f>
        <v>0</v>
      </c>
      <c r="AJ16" s="71" t="n">
        <f aca="false">MIN(AJ15,N('Food Data'!R36)*'Food Data'!N36/100)</f>
        <v>0</v>
      </c>
      <c r="AK16" s="71" t="n">
        <f aca="false">MIN(AK15,N('Food Data'!R37)*'Food Data'!N37/100)</f>
        <v>0</v>
      </c>
      <c r="AL16" s="71" t="n">
        <f aca="false">MIN(AL15,N('Food Data'!R38)*'Food Data'!N38/100)</f>
        <v>0</v>
      </c>
      <c r="AM16" s="71" t="n">
        <f aca="false">MIN(AM15,N('Food Data'!R39)*'Food Data'!N39/100)</f>
        <v>0</v>
      </c>
      <c r="AN16" s="71" t="n">
        <f aca="false">MIN(AN15,N('Food Data'!R40)*'Food Data'!N40/100)</f>
        <v>0</v>
      </c>
      <c r="AO16" s="71" t="n">
        <f aca="false">MIN(AO15,N('Food Data'!R41)*'Food Data'!N41/100)</f>
        <v>0</v>
      </c>
      <c r="AP16" s="71" t="n">
        <f aca="false">MIN(AP15,N('Food Data'!R42)*'Food Data'!N42/100)</f>
        <v>0</v>
      </c>
      <c r="AQ16" s="71" t="n">
        <f aca="false">MIN(AQ15,N('Food Data'!R43)*'Food Data'!N43/100)</f>
        <v>0</v>
      </c>
      <c r="AR16" s="71" t="n">
        <f aca="false">MIN(AR15,N('Food Data'!R44)*'Food Data'!N44/100)</f>
        <v>0</v>
      </c>
      <c r="AS16" s="71" t="n">
        <f aca="false">MIN(AS15,N('Food Data'!R45)*'Food Data'!N45/100)</f>
        <v>0</v>
      </c>
      <c r="AT16" s="71" t="n">
        <f aca="false">MIN(AT15,N('Food Data'!R46)*'Food Data'!N46/100)</f>
        <v>0</v>
      </c>
      <c r="AU16" s="71" t="n">
        <f aca="false">MIN(AU15,N('Food Data'!R47)*'Food Data'!N47/100)</f>
        <v>0</v>
      </c>
      <c r="AV16" s="71" t="n">
        <f aca="false">MIN(AV15,N('Food Data'!R48)*'Food Data'!N48/100)</f>
        <v>0</v>
      </c>
      <c r="AW16" s="71" t="n">
        <f aca="false">MIN(AW15,N('Food Data'!R49)*'Food Data'!N49/100)</f>
        <v>0</v>
      </c>
      <c r="AX16" s="71" t="n">
        <f aca="false">MIN(AX15,N('Food Data'!R50)*'Food Data'!N50/100)</f>
        <v>0</v>
      </c>
      <c r="AY16" s="71" t="n">
        <f aca="false">MIN(AY15,N('Food Data'!R51)*'Food Data'!N51/100)</f>
        <v>0</v>
      </c>
      <c r="AZ16" s="71" t="n">
        <f aca="false">MIN(AZ15,N('Food Data'!R52)*'Food Data'!N52/100)</f>
        <v>0</v>
      </c>
      <c r="BA16" s="71" t="n">
        <f aca="false">MIN(BA15,N('Food Data'!R53)*'Food Data'!N53/100)</f>
        <v>0</v>
      </c>
      <c r="BB16" s="71" t="n">
        <f aca="false">MIN(BB15,N('Food Data'!R54)*'Food Data'!N54/100)</f>
        <v>0</v>
      </c>
      <c r="BC16" s="71" t="n">
        <f aca="false">MIN(BC15,N('Food Data'!R55)*'Food Data'!N55/100)</f>
        <v>0</v>
      </c>
      <c r="BD16" s="71" t="n">
        <f aca="false">MIN(BD15,N('Food Data'!R56)*'Food Data'!N56/100)</f>
        <v>0</v>
      </c>
      <c r="BE16" s="71" t="n">
        <f aca="false">MIN(BE15,N('Food Data'!R57)*'Food Data'!N57/100)</f>
        <v>0</v>
      </c>
      <c r="BF16" s="71" t="n">
        <f aca="false">MIN(BF15,N('Food Data'!R58)*'Food Data'!N58/100)</f>
        <v>0</v>
      </c>
      <c r="BG16" s="71" t="n">
        <f aca="false">MIN(BG15,N('Food Data'!R59)*'Food Data'!N59/100)</f>
        <v>0</v>
      </c>
      <c r="BH16" s="71" t="n">
        <f aca="false">MIN(BH15,N('Food Data'!R60)*'Food Data'!N60/100)</f>
        <v>0</v>
      </c>
      <c r="BI16" s="71" t="n">
        <f aca="false">MIN(BI15,N('Food Data'!R61)*'Food Data'!N61/100)</f>
        <v>0</v>
      </c>
      <c r="BJ16" s="71" t="n">
        <f aca="false">MIN(BJ15,N('Food Data'!R62)*'Food Data'!N62/100)</f>
        <v>0</v>
      </c>
      <c r="BK16" s="71" t="n">
        <f aca="false">MIN(BK15,N('Food Data'!R63)*'Food Data'!N63/100)</f>
        <v>0</v>
      </c>
      <c r="BL16" s="71" t="n">
        <f aca="false">MIN(BL15,N('Food Data'!R64)*'Food Data'!N64/100)</f>
        <v>0</v>
      </c>
      <c r="BM16" s="71" t="n">
        <f aca="false">MIN(BM15,N('Food Data'!R65)*'Food Data'!N65/100)</f>
        <v>0</v>
      </c>
      <c r="BN16" s="71" t="n">
        <f aca="false">MIN(BN15,N('Food Data'!R66)*'Food Data'!N66/100)</f>
        <v>0</v>
      </c>
      <c r="BO16" s="71" t="n">
        <f aca="false">MIN(BO15,N('Food Data'!R67)*'Food Data'!N67/100)</f>
        <v>0</v>
      </c>
      <c r="BP16" s="71" t="n">
        <f aca="false">MIN(BP15,N('Food Data'!R68)*'Food Data'!N68/100)</f>
        <v>0</v>
      </c>
      <c r="BQ16" s="71" t="n">
        <f aca="false">MIN(BQ15,N('Food Data'!R69)*'Food Data'!N69/100)</f>
        <v>0</v>
      </c>
      <c r="BR16" s="71" t="n">
        <f aca="false">MIN(BR15,N('Food Data'!R70)*'Food Data'!N70/100)</f>
        <v>0</v>
      </c>
      <c r="BS16" s="71" t="n">
        <f aca="false">MIN(BS15,N('Food Data'!R71)*'Food Data'!N71/100)</f>
        <v>0</v>
      </c>
      <c r="BT16" s="71" t="n">
        <f aca="false">MIN(BT15,N('Food Data'!R72)*'Food Data'!N72/100)</f>
        <v>0</v>
      </c>
      <c r="BU16" s="71" t="n">
        <f aca="false">MIN(BU15,N('Food Data'!R73)*'Food Data'!N73/100)</f>
        <v>0</v>
      </c>
      <c r="BV16" s="71" t="n">
        <f aca="false">MIN(BV15,N('Food Data'!R74)*'Food Data'!N74/100)</f>
        <v>0</v>
      </c>
      <c r="BW16" s="71" t="n">
        <f aca="false">MIN(BW15,N('Food Data'!R75)*'Food Data'!N75/100)</f>
        <v>0</v>
      </c>
      <c r="BX16" s="71" t="n">
        <f aca="false">MIN(BX15,N('Food Data'!R76)*'Food Data'!N76/100)</f>
        <v>0</v>
      </c>
    </row>
    <row r="17" customFormat="false" ht="15" hidden="false" customHeight="false" outlineLevel="0" collapsed="false">
      <c r="B17" s="62" t="s">
        <v>614</v>
      </c>
      <c r="F17" s="72" t="n">
        <f aca="false">'Food Data'!AA6</f>
        <v>1</v>
      </c>
      <c r="G17" s="72" t="n">
        <f aca="false">'Food Data'!AA7</f>
        <v>1</v>
      </c>
      <c r="H17" s="72" t="n">
        <f aca="false">'Food Data'!AA8</f>
        <v>1</v>
      </c>
      <c r="I17" s="72" t="n">
        <f aca="false">'Food Data'!AA9</f>
        <v>1</v>
      </c>
      <c r="J17" s="72" t="n">
        <f aca="false">'Food Data'!AA10</f>
        <v>1</v>
      </c>
      <c r="K17" s="72" t="n">
        <f aca="false">'Food Data'!AA11</f>
        <v>1</v>
      </c>
      <c r="L17" s="72" t="n">
        <f aca="false">'Food Data'!AA12</f>
        <v>1</v>
      </c>
      <c r="M17" s="72" t="n">
        <f aca="false">'Food Data'!AA13</f>
        <v>1</v>
      </c>
      <c r="N17" s="72" t="n">
        <f aca="false">'Food Data'!AA14</f>
        <v>1</v>
      </c>
      <c r="O17" s="72" t="n">
        <f aca="false">'Food Data'!AA15</f>
        <v>1</v>
      </c>
      <c r="P17" s="72" t="n">
        <f aca="false">'Food Data'!AA16</f>
        <v>1</v>
      </c>
      <c r="Q17" s="72" t="n">
        <f aca="false">'Food Data'!AA17</f>
        <v>1</v>
      </c>
      <c r="R17" s="72" t="n">
        <f aca="false">'Food Data'!AA18</f>
        <v>1</v>
      </c>
      <c r="S17" s="72" t="n">
        <f aca="false">'Food Data'!AA19</f>
        <v>1</v>
      </c>
      <c r="T17" s="72" t="n">
        <f aca="false">'Food Data'!AA20</f>
        <v>1</v>
      </c>
      <c r="U17" s="72" t="n">
        <f aca="false">'Food Data'!AA21</f>
        <v>1</v>
      </c>
      <c r="V17" s="72" t="n">
        <f aca="false">'Food Data'!AA22</f>
        <v>1</v>
      </c>
      <c r="W17" s="72" t="n">
        <f aca="false">'Food Data'!AA23</f>
        <v>1</v>
      </c>
      <c r="X17" s="72" t="n">
        <f aca="false">'Food Data'!AA24</f>
        <v>1</v>
      </c>
      <c r="Y17" s="72" t="n">
        <f aca="false">'Food Data'!AA25</f>
        <v>1</v>
      </c>
      <c r="Z17" s="72" t="n">
        <f aca="false">'Food Data'!AA26</f>
        <v>1</v>
      </c>
      <c r="AA17" s="72" t="n">
        <f aca="false">'Food Data'!AA27</f>
        <v>1</v>
      </c>
      <c r="AB17" s="72" t="n">
        <f aca="false">'Food Data'!AA28</f>
        <v>1</v>
      </c>
      <c r="AC17" s="72" t="n">
        <f aca="false">'Food Data'!AA29</f>
        <v>1</v>
      </c>
      <c r="AD17" s="72" t="n">
        <f aca="false">'Food Data'!AA30</f>
        <v>1</v>
      </c>
      <c r="AE17" s="72" t="n">
        <f aca="false">'Food Data'!AA31</f>
        <v>1</v>
      </c>
      <c r="AF17" s="72" t="n">
        <f aca="false">'Food Data'!AA32</f>
        <v>1</v>
      </c>
      <c r="AG17" s="72" t="n">
        <f aca="false">'Food Data'!AA33</f>
        <v>1</v>
      </c>
      <c r="AH17" s="72" t="n">
        <f aca="false">'Food Data'!AA34</f>
        <v>1</v>
      </c>
      <c r="AI17" s="72" t="n">
        <f aca="false">'Food Data'!AA35</f>
        <v>1</v>
      </c>
      <c r="AJ17" s="72" t="n">
        <f aca="false">'Food Data'!AA36</f>
        <v>1</v>
      </c>
      <c r="AK17" s="72" t="n">
        <f aca="false">'Food Data'!AA37</f>
        <v>1</v>
      </c>
      <c r="AL17" s="72" t="n">
        <f aca="false">'Food Data'!AA38</f>
        <v>1</v>
      </c>
      <c r="AM17" s="72" t="n">
        <f aca="false">'Food Data'!AA39</f>
        <v>1</v>
      </c>
      <c r="AN17" s="72" t="n">
        <f aca="false">'Food Data'!AA40</f>
        <v>1</v>
      </c>
      <c r="AO17" s="72" t="n">
        <f aca="false">'Food Data'!AA41</f>
        <v>1</v>
      </c>
      <c r="AP17" s="72" t="n">
        <f aca="false">'Food Data'!AA42</f>
        <v>1</v>
      </c>
      <c r="AQ17" s="72" t="n">
        <f aca="false">'Food Data'!AA43</f>
        <v>1</v>
      </c>
      <c r="AR17" s="72" t="n">
        <f aca="false">'Food Data'!AA44</f>
        <v>1</v>
      </c>
      <c r="AS17" s="72" t="n">
        <f aca="false">'Food Data'!AA45</f>
        <v>1</v>
      </c>
      <c r="AT17" s="72" t="n">
        <f aca="false">'Food Data'!AA46</f>
        <v>1</v>
      </c>
      <c r="AU17" s="72" t="n">
        <f aca="false">'Food Data'!AA47</f>
        <v>1</v>
      </c>
      <c r="AV17" s="72" t="n">
        <f aca="false">'Food Data'!AA48</f>
        <v>1</v>
      </c>
      <c r="AW17" s="72" t="n">
        <f aca="false">'Food Data'!AA49</f>
        <v>1</v>
      </c>
      <c r="AX17" s="72" t="n">
        <f aca="false">'Food Data'!AA50</f>
        <v>1</v>
      </c>
      <c r="AY17" s="72" t="n">
        <f aca="false">'Food Data'!AA51</f>
        <v>1</v>
      </c>
      <c r="AZ17" s="72" t="n">
        <f aca="false">'Food Data'!AA52</f>
        <v>1</v>
      </c>
      <c r="BA17" s="72" t="n">
        <f aca="false">'Food Data'!AA53</f>
        <v>1</v>
      </c>
      <c r="BB17" s="72" t="n">
        <f aca="false">'Food Data'!AA54</f>
        <v>1</v>
      </c>
      <c r="BC17" s="72" t="n">
        <f aca="false">'Food Data'!AA55</f>
        <v>1</v>
      </c>
      <c r="BD17" s="72" t="n">
        <f aca="false">'Food Data'!AA56</f>
        <v>1</v>
      </c>
      <c r="BE17" s="72" t="n">
        <f aca="false">'Food Data'!AA57</f>
        <v>1</v>
      </c>
      <c r="BF17" s="72" t="n">
        <f aca="false">'Food Data'!AA58</f>
        <v>1</v>
      </c>
      <c r="BG17" s="72" t="n">
        <f aca="false">'Food Data'!AA59</f>
        <v>1</v>
      </c>
      <c r="BH17" s="72" t="n">
        <f aca="false">'Food Data'!AA60</f>
        <v>1</v>
      </c>
      <c r="BI17" s="72" t="n">
        <f aca="false">'Food Data'!AA61</f>
        <v>1</v>
      </c>
      <c r="BJ17" s="72" t="n">
        <f aca="false">'Food Data'!AA62</f>
        <v>1</v>
      </c>
      <c r="BK17" s="72" t="n">
        <f aca="false">'Food Data'!AA63</f>
        <v>1</v>
      </c>
      <c r="BL17" s="72" t="n">
        <f aca="false">'Food Data'!AA64</f>
        <v>1</v>
      </c>
      <c r="BM17" s="72" t="n">
        <f aca="false">'Food Data'!AA65</f>
        <v>1</v>
      </c>
      <c r="BN17" s="72" t="n">
        <f aca="false">'Food Data'!AA66</f>
        <v>1</v>
      </c>
      <c r="BO17" s="72" t="n">
        <f aca="false">'Food Data'!AA67</f>
        <v>1</v>
      </c>
      <c r="BP17" s="72" t="n">
        <f aca="false">'Food Data'!AA68</f>
        <v>1</v>
      </c>
      <c r="BQ17" s="72" t="n">
        <f aca="false">'Food Data'!AA69</f>
        <v>1</v>
      </c>
      <c r="BR17" s="72" t="n">
        <f aca="false">'Food Data'!AA70</f>
        <v>1</v>
      </c>
      <c r="BS17" s="72" t="n">
        <f aca="false">'Food Data'!AA71</f>
        <v>1</v>
      </c>
      <c r="BT17" s="72" t="n">
        <f aca="false">'Food Data'!AA72</f>
        <v>1</v>
      </c>
      <c r="BU17" s="72" t="n">
        <f aca="false">'Food Data'!AA73</f>
        <v>1</v>
      </c>
      <c r="BV17" s="72" t="n">
        <f aca="false">'Food Data'!AA74</f>
        <v>1</v>
      </c>
      <c r="BW17" s="72" t="n">
        <f aca="false">'Food Data'!AA75</f>
        <v>1</v>
      </c>
      <c r="BX17" s="72" t="n">
        <f aca="false">'Food Data'!AA76</f>
        <v>1</v>
      </c>
    </row>
    <row r="19" customFormat="false" ht="15" hidden="false" customHeight="false" outlineLevel="0" collapsed="false">
      <c r="A19" s="3" t="s">
        <v>615</v>
      </c>
    </row>
    <row r="20" customFormat="false" ht="15" hidden="false" customHeight="false" outlineLevel="0" collapsed="false">
      <c r="B20" s="14" t="s">
        <v>34</v>
      </c>
      <c r="F20" s="73" t="n">
        <f aca="false">'Food Data'!AH6</f>
        <v>120</v>
      </c>
      <c r="G20" s="73" t="n">
        <f aca="false">'Food Data'!AH7</f>
        <v>161</v>
      </c>
      <c r="H20" s="73" t="n">
        <f aca="false">'Food Data'!AH8</f>
        <v>121</v>
      </c>
      <c r="I20" s="73" t="n">
        <f aca="false">'Food Data'!AH9</f>
        <v>100</v>
      </c>
      <c r="J20" s="73" t="n">
        <f aca="false">'Food Data'!AH10</f>
        <v>150</v>
      </c>
      <c r="K20" s="73" t="n">
        <f aca="false">'Food Data'!AH11</f>
        <v>417</v>
      </c>
      <c r="L20" s="73" t="n">
        <f aca="false">'Food Data'!AH12</f>
        <v>254</v>
      </c>
      <c r="M20" s="73" t="n">
        <f aca="false">'Food Data'!AH13</f>
        <v>152</v>
      </c>
      <c r="N20" s="73" t="n">
        <f aca="false">'Food Data'!AH14</f>
        <v>163</v>
      </c>
      <c r="O20" s="73" t="n">
        <f aca="false">'Food Data'!AH15</f>
        <v>201</v>
      </c>
      <c r="P20" s="73" t="n">
        <f aca="false">'Food Data'!AH16</f>
        <v>214</v>
      </c>
      <c r="Q20" s="73" t="n">
        <f aca="false">'Food Data'!AH17</f>
        <v>86</v>
      </c>
      <c r="R20" s="73" t="n">
        <f aca="false">'Food Data'!AH18</f>
        <v>208</v>
      </c>
      <c r="S20" s="73" t="n">
        <f aca="false">'Food Data'!AH19</f>
        <v>71</v>
      </c>
      <c r="T20" s="73" t="n">
        <f aca="false">'Food Data'!AH20</f>
        <v>96</v>
      </c>
      <c r="U20" s="73" t="n">
        <f aca="false">'Food Data'!AH21</f>
        <v>143</v>
      </c>
      <c r="V20" s="73" t="n">
        <f aca="false">'Food Data'!AH22</f>
        <v>91</v>
      </c>
      <c r="W20" s="73" t="n">
        <f aca="false">'Food Data'!AH23</f>
        <v>88</v>
      </c>
      <c r="X20" s="73" t="n">
        <f aca="false">'Food Data'!AH24</f>
        <v>352</v>
      </c>
      <c r="Y20" s="73" t="n">
        <f aca="false">'Food Data'!AH25</f>
        <v>598</v>
      </c>
      <c r="Z20" s="73" t="n">
        <f aca="false">'Food Data'!AH26</f>
        <v>347</v>
      </c>
      <c r="AA20" s="73" t="n">
        <f aca="false">'Food Data'!AH27</f>
        <v>98</v>
      </c>
      <c r="AB20" s="73" t="n">
        <f aca="false">'Food Data'!AH28</f>
        <v>50</v>
      </c>
      <c r="AC20" s="73" t="n">
        <f aca="false">'Food Data'!AH29</f>
        <v>59</v>
      </c>
      <c r="AD20" s="73" t="n">
        <f aca="false">'Food Data'!AH30</f>
        <v>43</v>
      </c>
      <c r="AE20" s="73" t="n">
        <f aca="false">'Food Data'!AH31</f>
        <v>61</v>
      </c>
      <c r="AF20" s="73" t="n">
        <f aca="false">'Food Data'!AH32</f>
        <v>366</v>
      </c>
      <c r="AG20" s="73" t="n">
        <f aca="false">'Food Data'!AH33</f>
        <v>404</v>
      </c>
      <c r="AH20" s="73" t="n">
        <f aca="false">'Food Data'!AH34</f>
        <v>81</v>
      </c>
      <c r="AI20" s="73" t="n">
        <f aca="false">'Food Data'!AH35</f>
        <v>295</v>
      </c>
      <c r="AJ20" s="73" t="n">
        <f aca="false">'Food Data'!AH36</f>
        <v>264</v>
      </c>
      <c r="AK20" s="73" t="n">
        <f aca="false">'Food Data'!AH37</f>
        <v>367</v>
      </c>
      <c r="AL20" s="73" t="n">
        <f aca="false">'Food Data'!AH38</f>
        <v>376</v>
      </c>
      <c r="AM20" s="73" t="n">
        <f aca="false">'Food Data'!AH39</f>
        <v>218</v>
      </c>
      <c r="AN20" s="73" t="n">
        <f aca="false">'Food Data'!AH40</f>
        <v>297</v>
      </c>
      <c r="AO20" s="73" t="n">
        <f aca="false">'Food Data'!AH41</f>
        <v>368</v>
      </c>
      <c r="AP20" s="73" t="n">
        <f aca="false">'Food Data'!AH42</f>
        <v>379</v>
      </c>
      <c r="AQ20" s="73" t="n">
        <f aca="false">'Food Data'!AH43</f>
        <v>371</v>
      </c>
      <c r="AR20" s="73" t="n">
        <f aca="false">'Food Data'!AH44</f>
        <v>266</v>
      </c>
      <c r="AS20" s="73" t="n">
        <f aca="false">'Food Data'!AH45</f>
        <v>365</v>
      </c>
      <c r="AT20" s="73" t="n">
        <f aca="false">'Food Data'!AH46</f>
        <v>252</v>
      </c>
      <c r="AU20" s="73" t="n">
        <f aca="false">'Food Data'!AH47</f>
        <v>352</v>
      </c>
      <c r="AV20" s="73" t="n">
        <f aca="false">'Food Data'!AH48</f>
        <v>88</v>
      </c>
      <c r="AW20" s="73" t="n">
        <f aca="false">'Food Data'!AH49</f>
        <v>77</v>
      </c>
      <c r="AX20" s="73" t="n">
        <f aca="false">'Food Data'!AH50</f>
        <v>86</v>
      </c>
      <c r="AY20" s="73" t="n">
        <f aca="false">'Food Data'!AH51</f>
        <v>52</v>
      </c>
      <c r="AZ20" s="73" t="n">
        <f aca="false">'Food Data'!AH52</f>
        <v>89</v>
      </c>
      <c r="BA20" s="73" t="n">
        <f aca="false">'Food Data'!AH53</f>
        <v>51</v>
      </c>
      <c r="BB20" s="73" t="n">
        <f aca="false">'Food Data'!AH54</f>
        <v>69</v>
      </c>
      <c r="BC20" s="73" t="n">
        <f aca="false">'Food Data'!AH55</f>
        <v>49</v>
      </c>
      <c r="BD20" s="73" t="n">
        <f aca="false">'Food Data'!AH56</f>
        <v>49</v>
      </c>
      <c r="BE20" s="73" t="n">
        <f aca="false">'Food Data'!AH57</f>
        <v>299</v>
      </c>
      <c r="BF20" s="73" t="n">
        <f aca="false">'Food Data'!AH58</f>
        <v>32</v>
      </c>
      <c r="BG20" s="73" t="n">
        <f aca="false">'Food Data'!AH59</f>
        <v>29</v>
      </c>
      <c r="BH20" s="73" t="n">
        <f aca="false">'Food Data'!AH60</f>
        <v>41</v>
      </c>
      <c r="BI20" s="73" t="n">
        <f aca="false">'Food Data'!AH61</f>
        <v>15</v>
      </c>
      <c r="BJ20" s="73" t="n">
        <f aca="false">'Food Data'!AH62</f>
        <v>20</v>
      </c>
      <c r="BK20" s="73" t="n">
        <f aca="false">'Food Data'!AH63</f>
        <v>72</v>
      </c>
      <c r="BL20" s="73" t="n">
        <f aca="false">'Food Data'!AH64</f>
        <v>40</v>
      </c>
      <c r="BM20" s="73" t="n">
        <f aca="false">'Food Data'!AH65</f>
        <v>17</v>
      </c>
      <c r="BN20" s="73" t="n">
        <f aca="false">'Food Data'!AH66</f>
        <v>23</v>
      </c>
      <c r="BO20" s="73" t="n">
        <f aca="false">'Food Data'!AH67</f>
        <v>18</v>
      </c>
      <c r="BP20" s="73" t="n">
        <f aca="false">'Food Data'!AH68</f>
        <v>717</v>
      </c>
      <c r="BQ20" s="73" t="n">
        <f aca="false">'Food Data'!AH69</f>
        <v>884</v>
      </c>
      <c r="BR20" s="73" t="n">
        <f aca="false">'Food Data'!AH70</f>
        <v>884</v>
      </c>
      <c r="BS20" s="73" t="n">
        <f aca="false">'Food Data'!AH71</f>
        <v>579</v>
      </c>
      <c r="BT20" s="73" t="n">
        <f aca="false">'Food Data'!AH72</f>
        <v>167</v>
      </c>
      <c r="BU20" s="73" t="n">
        <f aca="false">'Food Data'!AH73</f>
        <v>492</v>
      </c>
      <c r="BV20" s="73" t="n">
        <f aca="false">'Food Data'!AH74</f>
        <v>418</v>
      </c>
      <c r="BW20" s="73" t="n">
        <f aca="false">'Food Data'!AH75</f>
        <v>532</v>
      </c>
      <c r="BX20" s="73" t="n">
        <f aca="false">'Food Data'!AH76</f>
        <v>207</v>
      </c>
    </row>
    <row r="21" customFormat="false" ht="15" hidden="false" customHeight="false" outlineLevel="0" collapsed="false">
      <c r="B21" s="14" t="s">
        <v>36</v>
      </c>
      <c r="F21" s="73" t="n">
        <f aca="false">'Food Data'!AI6</f>
        <v>22.5</v>
      </c>
      <c r="G21" s="73" t="n">
        <f aca="false">'Food Data'!AI7</f>
        <v>18.08</v>
      </c>
      <c r="H21" s="73" t="n">
        <f aca="false">'Food Data'!AI8</f>
        <v>19.66</v>
      </c>
      <c r="I21" s="73" t="n">
        <f aca="false">'Food Data'!AI9</f>
        <v>16.33</v>
      </c>
      <c r="J21" s="73" t="n">
        <f aca="false">'Food Data'!AI10</f>
        <v>18.73</v>
      </c>
      <c r="K21" s="73" t="n">
        <f aca="false">'Food Data'!AI11</f>
        <v>12.62</v>
      </c>
      <c r="L21" s="73" t="n">
        <f aca="false">'Food Data'!AI12</f>
        <v>17.17</v>
      </c>
      <c r="M21" s="73" t="n">
        <f aca="false">'Food Data'!AI13</f>
        <v>20.85</v>
      </c>
      <c r="N21" s="73" t="n">
        <f aca="false">'Food Data'!AI14</f>
        <v>16.6</v>
      </c>
      <c r="O21" s="73" t="n">
        <f aca="false">'Food Data'!AI15</f>
        <v>21.14</v>
      </c>
      <c r="P21" s="73" t="n">
        <f aca="false">'Food Data'!AI16</f>
        <v>19.92</v>
      </c>
      <c r="Q21" s="73" t="n">
        <f aca="false">'Food Data'!AI17</f>
        <v>19.44</v>
      </c>
      <c r="R21" s="73" t="n">
        <f aca="false">'Food Data'!AI18</f>
        <v>20.42</v>
      </c>
      <c r="S21" s="73" t="n">
        <f aca="false">'Food Data'!AI19</f>
        <v>13.61</v>
      </c>
      <c r="T21" s="73" t="n">
        <f aca="false">'Food Data'!AI20</f>
        <v>20.08</v>
      </c>
      <c r="U21" s="73" t="n">
        <f aca="false">'Food Data'!AI21</f>
        <v>12.56</v>
      </c>
      <c r="V21" s="73" t="n">
        <f aca="false">'Food Data'!AI22</f>
        <v>6.03</v>
      </c>
      <c r="W21" s="73" t="n">
        <f aca="false">'Food Data'!AI23</f>
        <v>4.92</v>
      </c>
      <c r="X21" s="73" t="n">
        <f aca="false">'Food Data'!AI24</f>
        <v>24.63</v>
      </c>
      <c r="Y21" s="73" t="n">
        <f aca="false">'Food Data'!AI25</f>
        <v>22.21</v>
      </c>
      <c r="Z21" s="73" t="n">
        <f aca="false">'Food Data'!AI26</f>
        <v>21.42</v>
      </c>
      <c r="AA21" s="73" t="n">
        <f aca="false">'Food Data'!AI27</f>
        <v>10.1</v>
      </c>
      <c r="AB21" s="73" t="n">
        <f aca="false">'Food Data'!AI28</f>
        <v>3.3</v>
      </c>
      <c r="AC21" s="73" t="n">
        <f aca="false">'Food Data'!AI29</f>
        <v>10.19</v>
      </c>
      <c r="AD21" s="73" t="n">
        <f aca="false">'Food Data'!AI30</f>
        <v>2.6</v>
      </c>
      <c r="AE21" s="73" t="n">
        <f aca="false">'Food Data'!AI31</f>
        <v>3.15</v>
      </c>
      <c r="AF21" s="73" t="n">
        <f aca="false">'Food Data'!AI32</f>
        <v>18.13</v>
      </c>
      <c r="AG21" s="73" t="n">
        <f aca="false">'Food Data'!AI33</f>
        <v>22.87</v>
      </c>
      <c r="AH21" s="73" t="n">
        <f aca="false">'Food Data'!AI34</f>
        <v>10.45</v>
      </c>
      <c r="AI21" s="73" t="n">
        <f aca="false">'Food Data'!AI35</f>
        <v>23.75</v>
      </c>
      <c r="AJ21" s="73" t="n">
        <f aca="false">'Food Data'!AI36</f>
        <v>10.56</v>
      </c>
      <c r="AK21" s="73" t="n">
        <f aca="false">'Food Data'!AI37</f>
        <v>7.54</v>
      </c>
      <c r="AL21" s="73" t="n">
        <f aca="false">'Food Data'!AI38</f>
        <v>12.09</v>
      </c>
      <c r="AM21" s="73" t="n">
        <f aca="false">'Food Data'!AI39</f>
        <v>5.7</v>
      </c>
      <c r="AN21" s="73" t="n">
        <f aca="false">'Food Data'!AI40</f>
        <v>8.01</v>
      </c>
      <c r="AO21" s="73" t="n">
        <f aca="false">'Food Data'!AI41</f>
        <v>14.12</v>
      </c>
      <c r="AP21" s="73" t="n">
        <f aca="false">'Food Data'!AI42</f>
        <v>13.15</v>
      </c>
      <c r="AQ21" s="73" t="n">
        <f aca="false">'Food Data'!AI43</f>
        <v>13.04</v>
      </c>
      <c r="AR21" s="73" t="n">
        <f aca="false">'Food Data'!AI44</f>
        <v>8.85</v>
      </c>
      <c r="AS21" s="73" t="n">
        <f aca="false">'Food Data'!AI45</f>
        <v>7.13</v>
      </c>
      <c r="AT21" s="73" t="n">
        <f aca="false">'Food Data'!AI46</f>
        <v>12.45</v>
      </c>
      <c r="AU21" s="73" t="n">
        <f aca="false">'Food Data'!AI47</f>
        <v>13.87</v>
      </c>
      <c r="AV21" s="73" t="n">
        <f aca="false">'Food Data'!AI48</f>
        <v>3.02</v>
      </c>
      <c r="AW21" s="73" t="n">
        <f aca="false">'Food Data'!AI49</f>
        <v>2.05</v>
      </c>
      <c r="AX21" s="73" t="n">
        <f aca="false">'Food Data'!AI50</f>
        <v>1.57</v>
      </c>
      <c r="AY21" s="73" t="n">
        <f aca="false">'Food Data'!AI51</f>
        <v>0.26</v>
      </c>
      <c r="AZ21" s="73" t="n">
        <f aca="false">'Food Data'!AI52</f>
        <v>1.09</v>
      </c>
      <c r="BA21" s="73" t="n">
        <f aca="false">'Food Data'!AI53</f>
        <v>0.42</v>
      </c>
      <c r="BB21" s="73" t="n">
        <f aca="false">'Food Data'!AI54</f>
        <v>0.72</v>
      </c>
      <c r="BC21" s="73" t="n">
        <f aca="false">'Food Data'!AI55</f>
        <v>0.68</v>
      </c>
      <c r="BD21" s="73" t="n">
        <f aca="false">'Food Data'!AI56</f>
        <v>0.91</v>
      </c>
      <c r="BE21" s="73" t="n">
        <f aca="false">'Food Data'!AI57</f>
        <v>3.07</v>
      </c>
      <c r="BF21" s="73" t="n">
        <f aca="false">'Food Data'!AI58</f>
        <v>0.67</v>
      </c>
      <c r="BG21" s="73" t="n">
        <f aca="false">'Food Data'!AI59</f>
        <v>3.06</v>
      </c>
      <c r="BH21" s="73" t="n">
        <f aca="false">'Food Data'!AI60</f>
        <v>0.93</v>
      </c>
      <c r="BI21" s="73" t="n">
        <f aca="false">'Food Data'!AI61</f>
        <v>0.72</v>
      </c>
      <c r="BJ21" s="73" t="n">
        <f aca="false">'Food Data'!AI62</f>
        <v>0.86</v>
      </c>
      <c r="BK21" s="73" t="n">
        <f aca="false">'Food Data'!AI63</f>
        <v>3.33</v>
      </c>
      <c r="BL21" s="73" t="n">
        <f aca="false">'Food Data'!AI64</f>
        <v>1.1</v>
      </c>
      <c r="BM21" s="73" t="n">
        <f aca="false">'Food Data'!AI65</f>
        <v>1.23</v>
      </c>
      <c r="BN21" s="73" t="n">
        <f aca="false">'Food Data'!AI66</f>
        <v>2.86</v>
      </c>
      <c r="BO21" s="73" t="n">
        <f aca="false">'Food Data'!AI67</f>
        <v>0.88</v>
      </c>
      <c r="BP21" s="73" t="n">
        <f aca="false">'Food Data'!AI68</f>
        <v>0.85</v>
      </c>
      <c r="BQ21" s="73" t="n">
        <f aca="false">'Food Data'!AI69</f>
        <v>0</v>
      </c>
      <c r="BR21" s="73" t="n">
        <f aca="false">'Food Data'!AI70</f>
        <v>0</v>
      </c>
      <c r="BS21" s="73" t="n">
        <f aca="false">'Food Data'!AI71</f>
        <v>21.15</v>
      </c>
      <c r="BT21" s="73" t="n">
        <f aca="false">'Food Data'!AI72</f>
        <v>1.96</v>
      </c>
      <c r="BU21" s="73" t="n">
        <f aca="false">'Food Data'!AI73</f>
        <v>5.1</v>
      </c>
      <c r="BV21" s="73" t="n">
        <f aca="false">'Food Data'!AI74</f>
        <v>5.65</v>
      </c>
      <c r="BW21" s="73" t="n">
        <f aca="false">'Food Data'!AI75</f>
        <v>6.39</v>
      </c>
      <c r="BX21" s="73" t="n">
        <f aca="false">'Food Data'!AI76</f>
        <v>3.5</v>
      </c>
    </row>
    <row r="22" customFormat="false" ht="15" hidden="false" customHeight="false" outlineLevel="0" collapsed="false">
      <c r="B22" s="14" t="s">
        <v>39</v>
      </c>
      <c r="F22" s="73" t="n">
        <f aca="false">'Food Data'!AJ6</f>
        <v>0</v>
      </c>
      <c r="G22" s="73" t="n">
        <f aca="false">'Food Data'!AJ7</f>
        <v>0.11</v>
      </c>
      <c r="H22" s="73" t="n">
        <f aca="false">'Food Data'!AJ8</f>
        <v>0</v>
      </c>
      <c r="I22" s="73" t="n">
        <f aca="false">'Food Data'!AJ9</f>
        <v>2.34</v>
      </c>
      <c r="J22" s="73" t="n">
        <f aca="false">'Food Data'!AJ10</f>
        <v>0</v>
      </c>
      <c r="K22" s="73" t="n">
        <f aca="false">'Food Data'!AJ11</f>
        <v>1.28</v>
      </c>
      <c r="L22" s="73" t="n">
        <f aca="false">'Food Data'!AJ12</f>
        <v>0</v>
      </c>
      <c r="M22" s="73" t="n">
        <f aca="false">'Food Data'!AJ13</f>
        <v>0</v>
      </c>
      <c r="N22" s="73" t="n">
        <f aca="false">'Food Data'!AJ14</f>
        <v>3.83</v>
      </c>
      <c r="O22" s="73" t="n">
        <f aca="false">'Food Data'!AJ15</f>
        <v>0</v>
      </c>
      <c r="P22" s="73" t="n">
        <f aca="false">'Food Data'!AJ16</f>
        <v>0</v>
      </c>
      <c r="Q22" s="73" t="n">
        <f aca="false">'Food Data'!AJ17</f>
        <v>0</v>
      </c>
      <c r="R22" s="73" t="n">
        <f aca="false">'Food Data'!AJ18</f>
        <v>0</v>
      </c>
      <c r="S22" s="73" t="n">
        <f aca="false">'Food Data'!AJ19</f>
        <v>0.91</v>
      </c>
      <c r="T22" s="73" t="n">
        <f aca="false">'Food Data'!AJ20</f>
        <v>0</v>
      </c>
      <c r="U22" s="73" t="n">
        <f aca="false">'Food Data'!AJ21</f>
        <v>0.72</v>
      </c>
      <c r="V22" s="73" t="n">
        <f aca="false">'Food Data'!AJ22</f>
        <v>16.55</v>
      </c>
      <c r="W22" s="73" t="n">
        <f aca="false">'Food Data'!AJ23</f>
        <v>13.49</v>
      </c>
      <c r="X22" s="73" t="n">
        <f aca="false">'Food Data'!AJ24</f>
        <v>63.35</v>
      </c>
      <c r="Y22" s="73" t="n">
        <f aca="false">'Food Data'!AJ25</f>
        <v>22.31</v>
      </c>
      <c r="Z22" s="73" t="n">
        <f aca="false">'Food Data'!AJ26</f>
        <v>62.55</v>
      </c>
      <c r="AA22" s="73" t="n">
        <f aca="false">'Food Data'!AJ27</f>
        <v>2.6</v>
      </c>
      <c r="AB22" s="73" t="n">
        <f aca="false">'Food Data'!AJ28</f>
        <v>4.8</v>
      </c>
      <c r="AC22" s="73" t="n">
        <f aca="false">'Food Data'!AJ29</f>
        <v>3.6</v>
      </c>
      <c r="AD22" s="73" t="n">
        <f aca="false">'Food Data'!AJ30</f>
        <v>4.92</v>
      </c>
      <c r="AE22" s="73" t="n">
        <f aca="false">'Food Data'!AJ31</f>
        <v>4.8</v>
      </c>
      <c r="AF22" s="73" t="n">
        <f aca="false">'Food Data'!AJ32</f>
        <v>4.78</v>
      </c>
      <c r="AG22" s="73" t="n">
        <f aca="false">'Food Data'!AJ33</f>
        <v>3.09</v>
      </c>
      <c r="AH22" s="73" t="n">
        <f aca="false">'Food Data'!AJ34</f>
        <v>4.76</v>
      </c>
      <c r="AI22" s="73" t="n">
        <f aca="false">'Food Data'!AJ35</f>
        <v>5.58</v>
      </c>
      <c r="AJ22" s="73" t="n">
        <f aca="false">'Food Data'!AJ36</f>
        <v>52.38</v>
      </c>
      <c r="AK22" s="73" t="n">
        <f aca="false">'Food Data'!AJ37</f>
        <v>76.25</v>
      </c>
      <c r="AL22" s="73" t="n">
        <f aca="false">'Food Data'!AJ38</f>
        <v>73.23</v>
      </c>
      <c r="AM22" s="73" t="n">
        <f aca="false">'Food Data'!AJ39</f>
        <v>44.64</v>
      </c>
      <c r="AN22" s="73" t="n">
        <f aca="false">'Food Data'!AJ40</f>
        <v>49.27</v>
      </c>
      <c r="AO22" s="73" t="n">
        <f aca="false">'Food Data'!AJ41</f>
        <v>64.16</v>
      </c>
      <c r="AP22" s="73" t="n">
        <f aca="false">'Food Data'!AJ42</f>
        <v>67.7</v>
      </c>
      <c r="AQ22" s="73" t="n">
        <f aca="false">'Food Data'!AJ43</f>
        <v>74.67</v>
      </c>
      <c r="AR22" s="73" t="n">
        <f aca="false">'Food Data'!AJ44</f>
        <v>49.42</v>
      </c>
      <c r="AS22" s="73" t="n">
        <f aca="false">'Food Data'!AJ45</f>
        <v>79.95</v>
      </c>
      <c r="AT22" s="73" t="n">
        <f aca="false">'Food Data'!AJ46</f>
        <v>42.71</v>
      </c>
      <c r="AU22" s="73" t="n">
        <f aca="false">'Food Data'!AJ47</f>
        <v>73.37</v>
      </c>
      <c r="AV22" s="73" t="n">
        <f aca="false">'Food Data'!AJ48</f>
        <v>20.71</v>
      </c>
      <c r="AW22" s="73" t="n">
        <f aca="false">'Food Data'!AJ49</f>
        <v>17.49</v>
      </c>
      <c r="AX22" s="73" t="n">
        <f aca="false">'Food Data'!AJ50</f>
        <v>20.12</v>
      </c>
      <c r="AY22" s="73" t="n">
        <f aca="false">'Food Data'!AJ51</f>
        <v>13.81</v>
      </c>
      <c r="AZ22" s="73" t="n">
        <f aca="false">'Food Data'!AJ52</f>
        <v>22.84</v>
      </c>
      <c r="BA22" s="73" t="n">
        <f aca="false">'Food Data'!AJ53</f>
        <v>12.17</v>
      </c>
      <c r="BB22" s="73" t="n">
        <f aca="false">'Food Data'!AJ54</f>
        <v>18.1</v>
      </c>
      <c r="BC22" s="73" t="n">
        <f aca="false">'Food Data'!AJ55</f>
        <v>11.54</v>
      </c>
      <c r="BD22" s="73" t="n">
        <f aca="false">'Food Data'!AJ56</f>
        <v>12.54</v>
      </c>
      <c r="BE22" s="73" t="n">
        <f aca="false">'Food Data'!AJ57</f>
        <v>79.18</v>
      </c>
      <c r="BF22" s="73" t="n">
        <f aca="false">'Food Data'!AJ58</f>
        <v>7.68</v>
      </c>
      <c r="BG22" s="73" t="n">
        <f aca="false">'Food Data'!AJ59</f>
        <v>5.35</v>
      </c>
      <c r="BH22" s="73" t="n">
        <f aca="false">'Food Data'!AJ60</f>
        <v>9.58</v>
      </c>
      <c r="BI22" s="73" t="n">
        <f aca="false">'Food Data'!AJ61</f>
        <v>3.27</v>
      </c>
      <c r="BJ22" s="73" t="n">
        <f aca="false">'Food Data'!AJ62</f>
        <v>4.64</v>
      </c>
      <c r="BK22" s="73" t="n">
        <f aca="false">'Food Data'!AJ63</f>
        <v>13.47</v>
      </c>
      <c r="BL22" s="73" t="n">
        <f aca="false">'Food Data'!AJ64</f>
        <v>9.34</v>
      </c>
      <c r="BM22" s="73" t="n">
        <f aca="false">'Food Data'!AJ65</f>
        <v>3.29</v>
      </c>
      <c r="BN22" s="73" t="n">
        <f aca="false">'Food Data'!AJ66</f>
        <v>3.63</v>
      </c>
      <c r="BO22" s="73" t="n">
        <f aca="false">'Food Data'!AJ67</f>
        <v>3.89</v>
      </c>
      <c r="BP22" s="73" t="n">
        <f aca="false">'Food Data'!AJ68</f>
        <v>0.06</v>
      </c>
      <c r="BQ22" s="73" t="n">
        <f aca="false">'Food Data'!AJ69</f>
        <v>0</v>
      </c>
      <c r="BR22" s="73" t="n">
        <f aca="false">'Food Data'!AJ70</f>
        <v>0</v>
      </c>
      <c r="BS22" s="73" t="n">
        <f aca="false">'Food Data'!AJ71</f>
        <v>21.55</v>
      </c>
      <c r="BT22" s="73" t="n">
        <f aca="false">'Food Data'!AJ72</f>
        <v>8.64</v>
      </c>
      <c r="BU22" s="73" t="n">
        <f aca="false">'Food Data'!AJ73</f>
        <v>65.36</v>
      </c>
      <c r="BV22" s="73" t="n">
        <f aca="false">'Food Data'!AJ74</f>
        <v>70.2</v>
      </c>
      <c r="BW22" s="73" t="n">
        <f aca="false">'Food Data'!AJ75</f>
        <v>53.83</v>
      </c>
      <c r="BX22" s="73" t="n">
        <f aca="false">'Food Data'!AJ76</f>
        <v>23.6</v>
      </c>
    </row>
    <row r="23" customFormat="false" ht="15" hidden="false" customHeight="false" outlineLevel="0" collapsed="false">
      <c r="B23" s="14" t="s">
        <v>45</v>
      </c>
      <c r="F23" s="73" t="n">
        <f aca="false">'Food Data'!AK6</f>
        <v>2.62</v>
      </c>
      <c r="G23" s="73" t="n">
        <f aca="false">'Food Data'!AK7</f>
        <v>9.2</v>
      </c>
      <c r="H23" s="73" t="n">
        <f aca="false">'Food Data'!AK8</f>
        <v>4.12</v>
      </c>
      <c r="I23" s="73" t="n">
        <f aca="false">'Food Data'!AK9</f>
        <v>2.37</v>
      </c>
      <c r="J23" s="73" t="n">
        <f aca="false">'Food Data'!AK10</f>
        <v>8.34</v>
      </c>
      <c r="K23" s="73" t="n">
        <f aca="false">'Food Data'!AK11</f>
        <v>39.69</v>
      </c>
      <c r="L23" s="73" t="n">
        <f aca="false">'Food Data'!AK12</f>
        <v>20</v>
      </c>
      <c r="M23" s="73" t="n">
        <f aca="false">'Food Data'!AK13</f>
        <v>7</v>
      </c>
      <c r="N23" s="73" t="n">
        <f aca="false">'Food Data'!AK14</f>
        <v>8.6</v>
      </c>
      <c r="O23" s="73" t="n">
        <f aca="false">'Food Data'!AK15</f>
        <v>12.96</v>
      </c>
      <c r="P23" s="73" t="n">
        <f aca="false">'Food Data'!AK16</f>
        <v>14.28</v>
      </c>
      <c r="Q23" s="73" t="n">
        <f aca="false">'Food Data'!AK17</f>
        <v>0.96</v>
      </c>
      <c r="R23" s="73" t="n">
        <f aca="false">'Food Data'!AK18</f>
        <v>13.42</v>
      </c>
      <c r="S23" s="73" t="n">
        <f aca="false">'Food Data'!AK19</f>
        <v>1.01</v>
      </c>
      <c r="T23" s="73" t="n">
        <f aca="false">'Food Data'!AK20</f>
        <v>1.7</v>
      </c>
      <c r="U23" s="73" t="n">
        <f aca="false">'Food Data'!AK21</f>
        <v>9.51</v>
      </c>
      <c r="V23" s="73" t="n">
        <f aca="false">'Food Data'!AK22</f>
        <v>0.29</v>
      </c>
      <c r="W23" s="73" t="n">
        <f aca="false">'Food Data'!AK23</f>
        <v>1.95</v>
      </c>
      <c r="X23" s="73" t="n">
        <f aca="false">'Food Data'!AK24</f>
        <v>1.06</v>
      </c>
      <c r="Y23" s="73" t="n">
        <f aca="false">'Food Data'!AK25</f>
        <v>51.36</v>
      </c>
      <c r="Z23" s="73" t="n">
        <f aca="false">'Food Data'!AK26</f>
        <v>1.23</v>
      </c>
      <c r="AA23" s="73" t="n">
        <f aca="false">'Food Data'!AK27</f>
        <v>5.2</v>
      </c>
      <c r="AB23" s="73" t="n">
        <f aca="false">'Food Data'!AK28</f>
        <v>1.98</v>
      </c>
      <c r="AC23" s="73" t="n">
        <f aca="false">'Food Data'!AK29</f>
        <v>0.39</v>
      </c>
      <c r="AD23" s="73" t="n">
        <f aca="false">'Food Data'!AK30</f>
        <v>1.47</v>
      </c>
      <c r="AE23" s="73" t="n">
        <f aca="false">'Food Data'!AK31</f>
        <v>3.25</v>
      </c>
      <c r="AF23" s="73" t="n">
        <f aca="false">'Food Data'!AK32</f>
        <v>30.71</v>
      </c>
      <c r="AG23" s="73" t="n">
        <f aca="false">'Food Data'!AK33</f>
        <v>33.31</v>
      </c>
      <c r="AH23" s="73" t="n">
        <f aca="false">'Food Data'!AK34</f>
        <v>2.27</v>
      </c>
      <c r="AI23" s="73" t="n">
        <f aca="false">'Food Data'!AK35</f>
        <v>19.78</v>
      </c>
      <c r="AJ23" s="73" t="n">
        <f aca="false">'Food Data'!AK36</f>
        <v>1.32</v>
      </c>
      <c r="AK23" s="73" t="n">
        <f aca="false">'Food Data'!AK37</f>
        <v>3.2</v>
      </c>
      <c r="AL23" s="73" t="n">
        <f aca="false">'Food Data'!AK38</f>
        <v>6.73</v>
      </c>
      <c r="AM23" s="73" t="n">
        <f aca="false">'Food Data'!AK39</f>
        <v>2.85</v>
      </c>
      <c r="AN23" s="73" t="n">
        <f aca="false">'Food Data'!AK40</f>
        <v>7.58</v>
      </c>
      <c r="AO23" s="73" t="n">
        <f aca="false">'Food Data'!AK41</f>
        <v>6.07</v>
      </c>
      <c r="AP23" s="73" t="n">
        <f aca="false">'Food Data'!AK42</f>
        <v>6.52</v>
      </c>
      <c r="AQ23" s="73" t="n">
        <f aca="false">'Food Data'!AK43</f>
        <v>1.51</v>
      </c>
      <c r="AR23" s="73" t="n">
        <f aca="false">'Food Data'!AK44</f>
        <v>3.33</v>
      </c>
      <c r="AS23" s="73" t="n">
        <f aca="false">'Food Data'!AK45</f>
        <v>0.66</v>
      </c>
      <c r="AT23" s="73" t="n">
        <f aca="false">'Food Data'!AK46</f>
        <v>3.5</v>
      </c>
      <c r="AU23" s="73" t="n">
        <f aca="false">'Food Data'!AK47</f>
        <v>2.93</v>
      </c>
      <c r="AV23" s="73" t="n">
        <f aca="false">'Food Data'!AK48</f>
        <v>0.78</v>
      </c>
      <c r="AW23" s="73" t="n">
        <f aca="false">'Food Data'!AK49</f>
        <v>0.09</v>
      </c>
      <c r="AX23" s="73" t="n">
        <f aca="false">'Food Data'!AK50</f>
        <v>0.05</v>
      </c>
      <c r="AY23" s="73" t="n">
        <f aca="false">'Food Data'!AK51</f>
        <v>0.17</v>
      </c>
      <c r="AZ23" s="73" t="n">
        <f aca="false">'Food Data'!AK52</f>
        <v>0.33</v>
      </c>
      <c r="BA23" s="73" t="n">
        <f aca="false">'Food Data'!AK53</f>
        <v>0.64</v>
      </c>
      <c r="BB23" s="73" t="n">
        <f aca="false">'Food Data'!AK54</f>
        <v>0.16</v>
      </c>
      <c r="BC23" s="73" t="n">
        <f aca="false">'Food Data'!AK55</f>
        <v>0.12</v>
      </c>
      <c r="BD23" s="73" t="n">
        <f aca="false">'Food Data'!AK56</f>
        <v>0.15</v>
      </c>
      <c r="BE23" s="73" t="n">
        <f aca="false">'Food Data'!AK57</f>
        <v>0.46</v>
      </c>
      <c r="BF23" s="73" t="n">
        <f aca="false">'Food Data'!AK58</f>
        <v>0.3</v>
      </c>
      <c r="BG23" s="73" t="n">
        <f aca="false">'Food Data'!AK59</f>
        <v>0.34</v>
      </c>
      <c r="BH23" s="73" t="n">
        <f aca="false">'Food Data'!AK60</f>
        <v>0.24</v>
      </c>
      <c r="BI23" s="73" t="n">
        <f aca="false">'Food Data'!AK61</f>
        <v>0.17</v>
      </c>
      <c r="BJ23" s="73" t="n">
        <f aca="false">'Food Data'!AK62</f>
        <v>0.17</v>
      </c>
      <c r="BK23" s="73" t="n">
        <f aca="false">'Food Data'!AK63</f>
        <v>0.52</v>
      </c>
      <c r="BL23" s="73" t="n">
        <f aca="false">'Food Data'!AK64</f>
        <v>0.1</v>
      </c>
      <c r="BM23" s="73" t="n">
        <f aca="false">'Food Data'!AK65</f>
        <v>0.3</v>
      </c>
      <c r="BN23" s="73" t="n">
        <f aca="false">'Food Data'!AK66</f>
        <v>0.39</v>
      </c>
      <c r="BO23" s="73" t="n">
        <f aca="false">'Food Data'!AK67</f>
        <v>0.2</v>
      </c>
      <c r="BP23" s="73" t="n">
        <f aca="false">'Food Data'!AK68</f>
        <v>81.11</v>
      </c>
      <c r="BQ23" s="73" t="n">
        <f aca="false">'Food Data'!AK69</f>
        <v>100</v>
      </c>
      <c r="BR23" s="73" t="n">
        <f aca="false">'Food Data'!AK70</f>
        <v>100</v>
      </c>
      <c r="BS23" s="73" t="n">
        <f aca="false">'Food Data'!AK71</f>
        <v>49.93</v>
      </c>
      <c r="BT23" s="73" t="n">
        <f aca="false">'Food Data'!AK72</f>
        <v>15.41</v>
      </c>
      <c r="BU23" s="73" t="n">
        <f aca="false">'Food Data'!AK73</f>
        <v>24.72</v>
      </c>
      <c r="BV23" s="73" t="n">
        <f aca="false">'Food Data'!AK74</f>
        <v>16.57</v>
      </c>
      <c r="BW23" s="73" t="n">
        <f aca="false">'Food Data'!AK75</f>
        <v>33.98</v>
      </c>
      <c r="BX23" s="73" t="n">
        <f aca="false">'Food Data'!AK76</f>
        <v>11</v>
      </c>
    </row>
    <row r="24" customFormat="false" ht="15" hidden="false" customHeight="false" outlineLevel="0" collapsed="false">
      <c r="B24" s="14" t="s">
        <v>48</v>
      </c>
      <c r="F24" s="73" t="n">
        <f aca="false">'Food Data'!AL6</f>
        <v>0</v>
      </c>
      <c r="G24" s="73" t="n">
        <f aca="false">'Food Data'!AL7</f>
        <v>0</v>
      </c>
      <c r="H24" s="73" t="n">
        <f aca="false">'Food Data'!AL8</f>
        <v>0</v>
      </c>
      <c r="I24" s="73" t="n">
        <f aca="false">'Food Data'!AL9</f>
        <v>0</v>
      </c>
      <c r="J24" s="73" t="n">
        <f aca="false">'Food Data'!AL10</f>
        <v>0</v>
      </c>
      <c r="K24" s="73" t="n">
        <f aca="false">'Food Data'!AL11</f>
        <v>0</v>
      </c>
      <c r="L24" s="73" t="n">
        <f aca="false">'Food Data'!AL12</f>
        <v>0</v>
      </c>
      <c r="M24" s="73" t="n">
        <f aca="false">'Food Data'!AL13</f>
        <v>0</v>
      </c>
      <c r="N24" s="73" t="n">
        <f aca="false">'Food Data'!AL14</f>
        <v>1.3</v>
      </c>
      <c r="O24" s="73" t="n">
        <f aca="false">'Food Data'!AL15</f>
        <v>0</v>
      </c>
      <c r="P24" s="73" t="n">
        <f aca="false">'Food Data'!AL16</f>
        <v>0</v>
      </c>
      <c r="Q24" s="73" t="n">
        <f aca="false">'Food Data'!AL17</f>
        <v>0</v>
      </c>
      <c r="R24" s="73" t="n">
        <f aca="false">'Food Data'!AL18</f>
        <v>0</v>
      </c>
      <c r="S24" s="73" t="n">
        <f aca="false">'Food Data'!AL19</f>
        <v>0</v>
      </c>
      <c r="T24" s="73" t="n">
        <f aca="false">'Food Data'!AL20</f>
        <v>0</v>
      </c>
      <c r="U24" s="73" t="n">
        <f aca="false">'Food Data'!AL21</f>
        <v>0</v>
      </c>
      <c r="V24" s="73" t="n">
        <f aca="false">'Food Data'!AL22</f>
        <v>6.9</v>
      </c>
      <c r="W24" s="73" t="n">
        <f aca="false">'Food Data'!AL23</f>
        <v>4.4</v>
      </c>
      <c r="X24" s="73" t="n">
        <f aca="false">'Food Data'!AL24</f>
        <v>10.7</v>
      </c>
      <c r="Y24" s="73" t="n">
        <f aca="false">'Food Data'!AL25</f>
        <v>5</v>
      </c>
      <c r="Z24" s="73" t="n">
        <f aca="false">'Food Data'!AL26</f>
        <v>15.5</v>
      </c>
      <c r="AA24" s="73" t="n">
        <f aca="false">'Food Data'!AL27</f>
        <v>1.3</v>
      </c>
      <c r="AB24" s="73" t="n">
        <f aca="false">'Food Data'!AL28</f>
        <v>0</v>
      </c>
      <c r="AC24" s="73" t="n">
        <f aca="false">'Food Data'!AL29</f>
        <v>0</v>
      </c>
      <c r="AD24" s="73" t="n">
        <f aca="false">'Food Data'!AL30</f>
        <v>0.2</v>
      </c>
      <c r="AE24" s="73" t="n">
        <f aca="false">'Food Data'!AL31</f>
        <v>0</v>
      </c>
      <c r="AF24" s="73" t="n">
        <f aca="false">'Food Data'!AL32</f>
        <v>0</v>
      </c>
      <c r="AG24" s="73" t="n">
        <f aca="false">'Food Data'!AL33</f>
        <v>0</v>
      </c>
      <c r="AH24" s="73" t="n">
        <f aca="false">'Food Data'!AL34</f>
        <v>0</v>
      </c>
      <c r="AI24" s="73" t="n">
        <f aca="false">'Food Data'!AL35</f>
        <v>0</v>
      </c>
      <c r="AJ24" s="73" t="n">
        <f aca="false">'Food Data'!AL36</f>
        <v>1.6</v>
      </c>
      <c r="AK24" s="73" t="n">
        <f aca="false">'Food Data'!AL37</f>
        <v>3.6</v>
      </c>
      <c r="AL24" s="73" t="n">
        <f aca="false">'Food Data'!AL38</f>
        <v>9.4</v>
      </c>
      <c r="AM24" s="73" t="n">
        <f aca="false">'Food Data'!AL39</f>
        <v>6.3</v>
      </c>
      <c r="AN24" s="73" t="n">
        <f aca="false">'Food Data'!AL40</f>
        <v>2.4</v>
      </c>
      <c r="AO24" s="73" t="n">
        <f aca="false">'Food Data'!AL41</f>
        <v>7</v>
      </c>
      <c r="AP24" s="73" t="n">
        <f aca="false">'Food Data'!AL42</f>
        <v>10.1</v>
      </c>
      <c r="AQ24" s="73" t="n">
        <f aca="false">'Food Data'!AL43</f>
        <v>3.2</v>
      </c>
      <c r="AR24" s="73" t="n">
        <f aca="false">'Food Data'!AL44</f>
        <v>2.7</v>
      </c>
      <c r="AS24" s="73" t="n">
        <f aca="false">'Food Data'!AL45</f>
        <v>1.3</v>
      </c>
      <c r="AT24" s="73" t="n">
        <f aca="false">'Food Data'!AL46</f>
        <v>6</v>
      </c>
      <c r="AU24" s="73" t="n">
        <f aca="false">'Food Data'!AL47</f>
        <v>9.2</v>
      </c>
      <c r="AV24" s="73" t="n">
        <f aca="false">'Food Data'!AL48</f>
        <v>2.1</v>
      </c>
      <c r="AW24" s="73" t="n">
        <f aca="false">'Food Data'!AL49</f>
        <v>2.1</v>
      </c>
      <c r="AX24" s="73" t="n">
        <f aca="false">'Food Data'!AL50</f>
        <v>3</v>
      </c>
      <c r="AY24" s="73" t="n">
        <f aca="false">'Food Data'!AL51</f>
        <v>2.4</v>
      </c>
      <c r="AZ24" s="73" t="n">
        <f aca="false">'Food Data'!AL52</f>
        <v>2.6</v>
      </c>
      <c r="BA24" s="73" t="n">
        <f aca="false">'Food Data'!AL53</f>
        <v>2.7</v>
      </c>
      <c r="BB24" s="73" t="n">
        <f aca="false">'Food Data'!AL54</f>
        <v>0.9</v>
      </c>
      <c r="BC24" s="73" t="n">
        <f aca="false">'Food Data'!AL55</f>
        <v>0.3</v>
      </c>
      <c r="BD24" s="73" t="n">
        <f aca="false">'Food Data'!AL56</f>
        <v>2.2</v>
      </c>
      <c r="BE24" s="73" t="n">
        <f aca="false">'Food Data'!AL57</f>
        <v>3.7</v>
      </c>
      <c r="BF24" s="73" t="n">
        <f aca="false">'Food Data'!AL58</f>
        <v>2</v>
      </c>
      <c r="BG24" s="73" t="n">
        <f aca="false">'Food Data'!AL59</f>
        <v>3</v>
      </c>
      <c r="BH24" s="73" t="n">
        <f aca="false">'Food Data'!AL60</f>
        <v>2.8</v>
      </c>
      <c r="BI24" s="73" t="n">
        <f aca="false">'Food Data'!AL61</f>
        <v>1.5</v>
      </c>
      <c r="BJ24" s="73" t="n">
        <f aca="false">'Food Data'!AL62</f>
        <v>1.7</v>
      </c>
      <c r="BK24" s="73" t="n">
        <f aca="false">'Food Data'!AL63</f>
        <v>4</v>
      </c>
      <c r="BL24" s="73" t="n">
        <f aca="false">'Food Data'!AL64</f>
        <v>1.7</v>
      </c>
      <c r="BM24" s="73" t="n">
        <f aca="false">'Food Data'!AL65</f>
        <v>2.1</v>
      </c>
      <c r="BN24" s="73" t="n">
        <f aca="false">'Food Data'!AL66</f>
        <v>2.2</v>
      </c>
      <c r="BO24" s="73" t="n">
        <f aca="false">'Food Data'!AL67</f>
        <v>1.2</v>
      </c>
      <c r="BP24" s="73" t="n">
        <f aca="false">'Food Data'!AL68</f>
        <v>0</v>
      </c>
      <c r="BQ24" s="73" t="n">
        <f aca="false">'Food Data'!AL69</f>
        <v>0</v>
      </c>
      <c r="BR24" s="73" t="n">
        <f aca="false">'Food Data'!AL70</f>
        <v>0</v>
      </c>
      <c r="BS24" s="73" t="n">
        <f aca="false">'Food Data'!AL71</f>
        <v>12.5</v>
      </c>
      <c r="BT24" s="73" t="n">
        <f aca="false">'Food Data'!AL72</f>
        <v>6.8</v>
      </c>
      <c r="BU24" s="73" t="n">
        <f aca="false">'Food Data'!AL73</f>
        <v>2</v>
      </c>
      <c r="BV24" s="73" t="n">
        <f aca="false">'Food Data'!AL74</f>
        <v>3.8</v>
      </c>
      <c r="BW24" s="73" t="n">
        <f aca="false">'Food Data'!AL75</f>
        <v>3.1</v>
      </c>
      <c r="BX24" s="73" t="n">
        <f aca="false">'Food Data'!AL76</f>
        <v>0.7</v>
      </c>
    </row>
    <row r="25" customFormat="false" ht="15" hidden="false" customHeight="false" outlineLevel="0" collapsed="false">
      <c r="B25" s="14" t="s">
        <v>51</v>
      </c>
      <c r="F25" s="73" t="n">
        <f aca="false">'Food Data'!AM6</f>
        <v>0</v>
      </c>
      <c r="G25" s="73" t="n">
        <f aca="false">'Food Data'!AM7</f>
        <v>0</v>
      </c>
      <c r="H25" s="73" t="n">
        <f aca="false">'Food Data'!AM8</f>
        <v>0</v>
      </c>
      <c r="I25" s="73" t="n">
        <f aca="false">'Food Data'!AM9</f>
        <v>3.28</v>
      </c>
      <c r="J25" s="73" t="n">
        <f aca="false">'Food Data'!AM10</f>
        <v>0</v>
      </c>
      <c r="K25" s="73" t="n">
        <f aca="false">'Food Data'!AM11</f>
        <v>1</v>
      </c>
      <c r="L25" s="73" t="n">
        <f aca="false">'Food Data'!AM12</f>
        <v>0</v>
      </c>
      <c r="M25" s="73" t="n">
        <f aca="false">'Food Data'!AM13</f>
        <v>0</v>
      </c>
      <c r="N25" s="73" t="n">
        <f aca="false">'Food Data'!AM14</f>
        <v>0</v>
      </c>
      <c r="O25" s="73" t="n">
        <f aca="false">'Food Data'!AM15</f>
        <v>0</v>
      </c>
      <c r="P25" s="73" t="n">
        <f aca="false">'Food Data'!AM16</f>
        <v>0</v>
      </c>
      <c r="Q25" s="73" t="n">
        <f aca="false">'Food Data'!AM17</f>
        <v>0</v>
      </c>
      <c r="R25" s="73" t="n">
        <f aca="false">'Food Data'!AM18</f>
        <v>0</v>
      </c>
      <c r="S25" s="73" t="n">
        <f aca="false">'Food Data'!AM19</f>
        <v>0</v>
      </c>
      <c r="T25" s="73" t="n">
        <f aca="false">'Food Data'!AM20</f>
        <v>0</v>
      </c>
      <c r="U25" s="73" t="n">
        <f aca="false">'Food Data'!AM21</f>
        <v>0.37</v>
      </c>
      <c r="V25" s="73" t="n">
        <f aca="false">'Food Data'!AM22</f>
        <v>0.23</v>
      </c>
      <c r="W25" s="73" t="n">
        <f aca="false">'Food Data'!AM23</f>
        <v>0</v>
      </c>
      <c r="X25" s="73" t="n">
        <f aca="false">'Food Data'!AM24</f>
        <v>2.03</v>
      </c>
      <c r="Y25" s="73" t="n">
        <f aca="false">'Food Data'!AM25</f>
        <v>10.49</v>
      </c>
      <c r="Z25" s="73" t="n">
        <f aca="false">'Food Data'!AM26</f>
        <v>2.11</v>
      </c>
      <c r="AA25" s="73" t="n">
        <f aca="false">'Food Data'!AM27</f>
        <v>0.4</v>
      </c>
      <c r="AB25" s="73" t="n">
        <f aca="false">'Food Data'!AM28</f>
        <v>5.06</v>
      </c>
      <c r="AC25" s="73" t="n">
        <f aca="false">'Food Data'!AM29</f>
        <v>3.24</v>
      </c>
      <c r="AD25" s="73" t="n">
        <f aca="false">'Food Data'!AM30</f>
        <v>3.65</v>
      </c>
      <c r="AE25" s="73" t="n">
        <f aca="false">'Food Data'!AM31</f>
        <v>5.05</v>
      </c>
      <c r="AF25" s="73" t="n">
        <f aca="false">'Food Data'!AM32</f>
        <v>2.26</v>
      </c>
      <c r="AG25" s="73" t="n">
        <f aca="false">'Food Data'!AM33</f>
        <v>0.48</v>
      </c>
      <c r="AH25" s="73" t="n">
        <f aca="false">'Food Data'!AM34</f>
        <v>4</v>
      </c>
      <c r="AI25" s="73" t="n">
        <f aca="false">'Food Data'!AM35</f>
        <v>1.9</v>
      </c>
      <c r="AJ25" s="73" t="n">
        <f aca="false">'Food Data'!AM36</f>
        <v>8.43</v>
      </c>
      <c r="AK25" s="73" t="n">
        <f aca="false">'Food Data'!AM37</f>
        <v>0.66</v>
      </c>
      <c r="AL25" s="73" t="n">
        <f aca="false">'Food Data'!AM38</f>
        <v>4.36</v>
      </c>
      <c r="AM25" s="73" t="n">
        <f aca="false">'Food Data'!AM39</f>
        <v>0.88</v>
      </c>
      <c r="AN25" s="73" t="n">
        <f aca="false">'Food Data'!AM40</f>
        <v>2.66</v>
      </c>
      <c r="AO25" s="73" t="n">
        <f aca="false">'Food Data'!AM41</f>
        <v>0</v>
      </c>
      <c r="AP25" s="73" t="n">
        <f aca="false">'Food Data'!AM42</f>
        <v>0.99</v>
      </c>
      <c r="AQ25" s="73" t="n">
        <f aca="false">'Food Data'!AM43</f>
        <v>2.67</v>
      </c>
      <c r="AR25" s="73" t="n">
        <f aca="false">'Food Data'!AM44</f>
        <v>5.67</v>
      </c>
      <c r="AS25" s="73" t="n">
        <f aca="false">'Food Data'!AM45</f>
        <v>0.12</v>
      </c>
      <c r="AT25" s="73" t="n">
        <f aca="false">'Food Data'!AM46</f>
        <v>4.34</v>
      </c>
      <c r="AU25" s="73" t="n">
        <f aca="false">'Food Data'!AM47</f>
        <v>2.74</v>
      </c>
      <c r="AV25" s="73" t="n">
        <f aca="false">'Food Data'!AM48</f>
        <v>2.5</v>
      </c>
      <c r="AW25" s="73" t="n">
        <f aca="false">'Food Data'!AM49</f>
        <v>0.82</v>
      </c>
      <c r="AX25" s="73" t="n">
        <f aca="false">'Food Data'!AM50</f>
        <v>4.18</v>
      </c>
      <c r="AY25" s="73" t="n">
        <f aca="false">'Food Data'!AM51</f>
        <v>10.39</v>
      </c>
      <c r="AZ25" s="73" t="n">
        <f aca="false">'Food Data'!AM52</f>
        <v>12.23</v>
      </c>
      <c r="BA25" s="73" t="n">
        <f aca="false">'Food Data'!AM53</f>
        <v>8.45</v>
      </c>
      <c r="BB25" s="73" t="n">
        <f aca="false">'Food Data'!AM54</f>
        <v>15.48</v>
      </c>
      <c r="BC25" s="73" t="n">
        <f aca="false">'Food Data'!AM55</f>
        <v>8.31</v>
      </c>
      <c r="BD25" s="73" t="n">
        <f aca="false">'Food Data'!AM56</f>
        <v>8.5</v>
      </c>
      <c r="BE25" s="73" t="n">
        <f aca="false">'Food Data'!AM57</f>
        <v>59.19</v>
      </c>
      <c r="BF25" s="73" t="n">
        <f aca="false">'Food Data'!AM58</f>
        <v>4.89</v>
      </c>
      <c r="BG25" s="73" t="n">
        <f aca="false">'Food Data'!AM59</f>
        <v>1.47</v>
      </c>
      <c r="BH25" s="73" t="n">
        <f aca="false">'Food Data'!AM60</f>
        <v>4.74</v>
      </c>
      <c r="BI25" s="73" t="n">
        <f aca="false">'Food Data'!AM61</f>
        <v>1.25</v>
      </c>
      <c r="BJ25" s="73" t="n">
        <f aca="false">'Food Data'!AM62</f>
        <v>2.4</v>
      </c>
      <c r="BK25" s="73" t="n">
        <f aca="false">'Food Data'!AM63</f>
        <v>0</v>
      </c>
      <c r="BL25" s="73" t="n">
        <f aca="false">'Food Data'!AM64</f>
        <v>4.24</v>
      </c>
      <c r="BM25" s="73" t="n">
        <f aca="false">'Food Data'!AM65</f>
        <v>1.19</v>
      </c>
      <c r="BN25" s="73" t="n">
        <f aca="false">'Food Data'!AM66</f>
        <v>0.42</v>
      </c>
      <c r="BO25" s="73" t="n">
        <f aca="false">'Food Data'!AM67</f>
        <v>2.63</v>
      </c>
      <c r="BP25" s="73" t="n">
        <f aca="false">'Food Data'!AM68</f>
        <v>0.06</v>
      </c>
      <c r="BQ25" s="73" t="n">
        <f aca="false">'Food Data'!AM69</f>
        <v>0</v>
      </c>
      <c r="BR25" s="73" t="n">
        <f aca="false">'Food Data'!AM70</f>
        <v>0</v>
      </c>
      <c r="BS25" s="73" t="n">
        <f aca="false">'Food Data'!AM71</f>
        <v>4.35</v>
      </c>
      <c r="BT25" s="73" t="n">
        <f aca="false">'Food Data'!AM72</f>
        <v>0.3</v>
      </c>
      <c r="BU25" s="73" t="n">
        <f aca="false">'Food Data'!AM73</f>
        <v>32.9</v>
      </c>
      <c r="BV25" s="73" t="n">
        <f aca="false">'Food Data'!AM74</f>
        <v>28.92</v>
      </c>
      <c r="BW25" s="73" t="n">
        <f aca="false">'Food Data'!AM75</f>
        <v>0.33</v>
      </c>
      <c r="BX25" s="73" t="n">
        <f aca="false">'Food Data'!AM76</f>
        <v>21.22</v>
      </c>
    </row>
    <row r="26" customFormat="false" ht="15" hidden="false" customHeight="false" outlineLevel="0" collapsed="false">
      <c r="B26" s="14" t="s">
        <v>53</v>
      </c>
      <c r="F26" s="73" t="n">
        <f aca="false">'Food Data'!AN6</f>
        <v>5</v>
      </c>
      <c r="G26" s="73" t="n">
        <f aca="false">'Food Data'!AN7</f>
        <v>8</v>
      </c>
      <c r="H26" s="73" t="n">
        <f aca="false">'Food Data'!AN8</f>
        <v>7</v>
      </c>
      <c r="I26" s="73" t="n">
        <f aca="false">'Food Data'!AN9</f>
        <v>7</v>
      </c>
      <c r="J26" s="73" t="n">
        <f aca="false">'Food Data'!AN10</f>
        <v>21</v>
      </c>
      <c r="K26" s="73" t="n">
        <f aca="false">'Food Data'!AN11</f>
        <v>5</v>
      </c>
      <c r="L26" s="73" t="n">
        <f aca="false">'Food Data'!AN12</f>
        <v>18</v>
      </c>
      <c r="M26" s="73" t="n">
        <f aca="false">'Food Data'!AN13</f>
        <v>10</v>
      </c>
      <c r="N26" s="73" t="n">
        <f aca="false">'Food Data'!AN14</f>
        <v>24</v>
      </c>
      <c r="O26" s="73" t="n">
        <f aca="false">'Food Data'!AN15</f>
        <v>9</v>
      </c>
      <c r="P26" s="73" t="n">
        <f aca="false">'Food Data'!AN16</f>
        <v>25</v>
      </c>
      <c r="Q26" s="73" t="n">
        <f aca="false">'Food Data'!AN17</f>
        <v>17</v>
      </c>
      <c r="R26" s="73" t="n">
        <f aca="false">'Food Data'!AN18</f>
        <v>9</v>
      </c>
      <c r="S26" s="73" t="n">
        <f aca="false">'Food Data'!AN19</f>
        <v>54</v>
      </c>
      <c r="T26" s="73" t="n">
        <f aca="false">'Food Data'!AN20</f>
        <v>10</v>
      </c>
      <c r="U26" s="73" t="n">
        <f aca="false">'Food Data'!AN21</f>
        <v>56</v>
      </c>
      <c r="V26" s="73" t="n">
        <f aca="false">'Food Data'!AN22</f>
        <v>35</v>
      </c>
      <c r="W26" s="73" t="n">
        <f aca="false">'Food Data'!AN23</f>
        <v>35</v>
      </c>
      <c r="X26" s="73" t="n">
        <f aca="false">'Food Data'!AN24</f>
        <v>35</v>
      </c>
      <c r="Y26" s="73" t="n">
        <f aca="false">'Food Data'!AN25</f>
        <v>49</v>
      </c>
      <c r="Z26" s="73" t="n">
        <f aca="false">'Food Data'!AN26</f>
        <v>113</v>
      </c>
      <c r="AA26" s="73" t="n">
        <f aca="false">'Food Data'!AN27</f>
        <v>77</v>
      </c>
      <c r="AB26" s="73" t="n">
        <f aca="false">'Food Data'!AN28</f>
        <v>120</v>
      </c>
      <c r="AC26" s="73" t="n">
        <f aca="false">'Food Data'!AN29</f>
        <v>110</v>
      </c>
      <c r="AD26" s="73" t="n">
        <f aca="false">'Food Data'!AN30</f>
        <v>123</v>
      </c>
      <c r="AE26" s="73" t="n">
        <f aca="false">'Food Data'!AN31</f>
        <v>113</v>
      </c>
      <c r="AF26" s="73" t="n">
        <f aca="false">'Food Data'!AN32</f>
        <v>1045</v>
      </c>
      <c r="AG26" s="73" t="n">
        <f aca="false">'Food Data'!AN33</f>
        <v>710</v>
      </c>
      <c r="AH26" s="73" t="n">
        <f aca="false">'Food Data'!AN34</f>
        <v>111</v>
      </c>
      <c r="AI26" s="73" t="n">
        <f aca="false">'Food Data'!AN35</f>
        <v>697</v>
      </c>
      <c r="AJ26" s="73" t="n">
        <f aca="false">'Food Data'!AN36</f>
        <v>219</v>
      </c>
      <c r="AK26" s="73" t="n">
        <f aca="false">'Food Data'!AN37</f>
        <v>9</v>
      </c>
      <c r="AL26" s="73" t="n">
        <f aca="false">'Food Data'!AN38</f>
        <v>401</v>
      </c>
      <c r="AM26" s="73" t="n">
        <f aca="false">'Food Data'!AN39</f>
        <v>81</v>
      </c>
      <c r="AN26" s="73" t="n">
        <f aca="false">'Food Data'!AN40</f>
        <v>163</v>
      </c>
      <c r="AO26" s="73" t="n">
        <f aca="false">'Food Data'!AN41</f>
        <v>47</v>
      </c>
      <c r="AP26" s="73" t="n">
        <f aca="false">'Food Data'!AN42</f>
        <v>52</v>
      </c>
      <c r="AQ26" s="73" t="n">
        <f aca="false">'Food Data'!AN43</f>
        <v>21</v>
      </c>
      <c r="AR26" s="73" t="n">
        <f aca="false">'Food Data'!AN44</f>
        <v>144</v>
      </c>
      <c r="AS26" s="73" t="n">
        <f aca="false">'Food Data'!AN45</f>
        <v>28</v>
      </c>
      <c r="AT26" s="73" t="n">
        <f aca="false">'Food Data'!AN46</f>
        <v>161</v>
      </c>
      <c r="AU26" s="73" t="n">
        <f aca="false">'Food Data'!AN47</f>
        <v>29</v>
      </c>
      <c r="AV26" s="73" t="n">
        <f aca="false">'Food Data'!AN48</f>
        <v>4</v>
      </c>
      <c r="AW26" s="73" t="n">
        <f aca="false">'Food Data'!AN49</f>
        <v>12</v>
      </c>
      <c r="AX26" s="73" t="n">
        <f aca="false">'Food Data'!AN50</f>
        <v>30</v>
      </c>
      <c r="AY26" s="73" t="n">
        <f aca="false">'Food Data'!AN51</f>
        <v>6</v>
      </c>
      <c r="AZ26" s="73" t="n">
        <f aca="false">'Food Data'!AN52</f>
        <v>5</v>
      </c>
      <c r="BA26" s="73" t="n">
        <f aca="false">'Food Data'!AN53</f>
        <v>8</v>
      </c>
      <c r="BB26" s="73" t="n">
        <f aca="false">'Food Data'!AN54</f>
        <v>10</v>
      </c>
      <c r="BC26" s="73" t="n">
        <f aca="false">'Food Data'!AN55</f>
        <v>11</v>
      </c>
      <c r="BD26" s="73" t="n">
        <f aca="false">'Food Data'!AN56</f>
        <v>43</v>
      </c>
      <c r="BE26" s="73" t="n">
        <f aca="false">'Food Data'!AN57</f>
        <v>50</v>
      </c>
      <c r="BF26" s="73" t="n">
        <f aca="false">'Food Data'!AN58</f>
        <v>16</v>
      </c>
      <c r="BG26" s="73" t="n">
        <f aca="false">'Food Data'!AN59</f>
        <v>41</v>
      </c>
      <c r="BH26" s="73" t="n">
        <f aca="false">'Food Data'!AN60</f>
        <v>33</v>
      </c>
      <c r="BI26" s="73" t="n">
        <f aca="false">'Food Data'!AN61</f>
        <v>29</v>
      </c>
      <c r="BJ26" s="73" t="n">
        <f aca="false">'Food Data'!AN62</f>
        <v>10</v>
      </c>
      <c r="BK26" s="73" t="n">
        <f aca="false">'Food Data'!AN63</f>
        <v>25</v>
      </c>
      <c r="BL26" s="73" t="n">
        <f aca="false">'Food Data'!AN64</f>
        <v>23</v>
      </c>
      <c r="BM26" s="73" t="n">
        <f aca="false">'Food Data'!AN65</f>
        <v>33</v>
      </c>
      <c r="BN26" s="73" t="n">
        <f aca="false">'Food Data'!AN66</f>
        <v>99</v>
      </c>
      <c r="BO26" s="73" t="n">
        <f aca="false">'Food Data'!AN67</f>
        <v>10</v>
      </c>
      <c r="BP26" s="73" t="n">
        <f aca="false">'Food Data'!AN68</f>
        <v>24</v>
      </c>
      <c r="BQ26" s="73" t="n">
        <f aca="false">'Food Data'!AN69</f>
        <v>0</v>
      </c>
      <c r="BR26" s="73" t="n">
        <f aca="false">'Food Data'!AN70</f>
        <v>1</v>
      </c>
      <c r="BS26" s="73" t="n">
        <f aca="false">'Food Data'!AN71</f>
        <v>269</v>
      </c>
      <c r="BT26" s="73" t="n">
        <f aca="false">'Food Data'!AN72</f>
        <v>13</v>
      </c>
      <c r="BU26" s="73" t="n">
        <f aca="false">'Food Data'!AN73</f>
        <v>21</v>
      </c>
      <c r="BV26" s="73" t="n">
        <f aca="false">'Food Data'!AN74</f>
        <v>41</v>
      </c>
      <c r="BW26" s="73" t="n">
        <f aca="false">'Food Data'!AN75</f>
        <v>21</v>
      </c>
      <c r="BX26" s="73" t="n">
        <f aca="false">'Food Data'!AN76</f>
        <v>128</v>
      </c>
    </row>
    <row r="27" customFormat="false" ht="15" hidden="false" customHeight="false" outlineLevel="0" collapsed="false">
      <c r="B27" s="14" t="s">
        <v>55</v>
      </c>
      <c r="F27" s="73" t="n">
        <f aca="false">'Food Data'!AO6</f>
        <v>0.37</v>
      </c>
      <c r="G27" s="73" t="n">
        <f aca="false">'Food Data'!AO7</f>
        <v>0.71</v>
      </c>
      <c r="H27" s="73" t="n">
        <f aca="false">'Food Data'!AO8</f>
        <v>0.81</v>
      </c>
      <c r="I27" s="73" t="n">
        <f aca="false">'Food Data'!AO9</f>
        <v>0.34</v>
      </c>
      <c r="J27" s="73" t="n">
        <f aca="false">'Food Data'!AO10</f>
        <v>1.17</v>
      </c>
      <c r="K27" s="73" t="n">
        <f aca="false">'Food Data'!AO11</f>
        <v>0.41</v>
      </c>
      <c r="L27" s="73" t="n">
        <f aca="false">'Food Data'!AO12</f>
        <v>1.94</v>
      </c>
      <c r="M27" s="73" t="n">
        <f aca="false">'Food Data'!AO13</f>
        <v>2.33</v>
      </c>
      <c r="N27" s="73" t="n">
        <f aca="false">'Food Data'!AO14</f>
        <v>1.02</v>
      </c>
      <c r="O27" s="73" t="n">
        <f aca="false">'Food Data'!AO15</f>
        <v>0.48</v>
      </c>
      <c r="P27" s="73" t="n">
        <f aca="false">'Food Data'!AO16</f>
        <v>1.46</v>
      </c>
      <c r="Q27" s="73" t="n">
        <f aca="false">'Food Data'!AO17</f>
        <v>1.63</v>
      </c>
      <c r="R27" s="73" t="n">
        <f aca="false">'Food Data'!AO18</f>
        <v>0.34</v>
      </c>
      <c r="S27" s="73" t="n">
        <f aca="false">'Food Data'!AO19</f>
        <v>0.21</v>
      </c>
      <c r="T27" s="73" t="n">
        <f aca="false">'Food Data'!AO20</f>
        <v>0.56</v>
      </c>
      <c r="U27" s="73" t="n">
        <f aca="false">'Food Data'!AO21</f>
        <v>1.75</v>
      </c>
      <c r="V27" s="73" t="n">
        <f aca="false">'Food Data'!AO22</f>
        <v>1.9</v>
      </c>
      <c r="W27" s="73" t="n">
        <f aca="false">'Food Data'!AO23</f>
        <v>1.23</v>
      </c>
      <c r="X27" s="73" t="n">
        <f aca="false">'Food Data'!AO24</f>
        <v>6.51</v>
      </c>
      <c r="Y27" s="73" t="n">
        <f aca="false">'Food Data'!AO25</f>
        <v>1.74</v>
      </c>
      <c r="Z27" s="73" t="n">
        <f aca="false">'Food Data'!AO26</f>
        <v>5.07</v>
      </c>
      <c r="AA27" s="73" t="n">
        <f aca="false">'Food Data'!AO27</f>
        <v>1.6</v>
      </c>
      <c r="AB27" s="73" t="n">
        <f aca="false">'Food Data'!AO28</f>
        <v>0.02</v>
      </c>
      <c r="AC27" s="73" t="n">
        <f aca="false">'Food Data'!AO29</f>
        <v>0.07</v>
      </c>
      <c r="AD27" s="73" t="n">
        <f aca="false">'Food Data'!AO30</f>
        <v>0.42</v>
      </c>
      <c r="AE27" s="73" t="n">
        <f aca="false">'Food Data'!AO31</f>
        <v>0.03</v>
      </c>
      <c r="AF27" s="73" t="n">
        <f aca="false">'Food Data'!AO32</f>
        <v>0.63</v>
      </c>
      <c r="AG27" s="73" t="n">
        <f aca="false">'Food Data'!AO33</f>
        <v>0.14</v>
      </c>
      <c r="AH27" s="73" t="n">
        <f aca="false">'Food Data'!AO34</f>
        <v>0.13</v>
      </c>
      <c r="AI27" s="73" t="n">
        <f aca="false">'Food Data'!AO35</f>
        <v>0.22</v>
      </c>
      <c r="AJ27" s="73" t="n">
        <f aca="false">'Food Data'!AO36</f>
        <v>3.57</v>
      </c>
      <c r="AK27" s="73" t="n">
        <f aca="false">'Food Data'!AO37</f>
        <v>1.29</v>
      </c>
      <c r="AL27" s="73" t="n">
        <f aca="false">'Food Data'!AO38</f>
        <v>33.17</v>
      </c>
      <c r="AM27" s="73" t="n">
        <f aca="false">'Food Data'!AO39</f>
        <v>1.23</v>
      </c>
      <c r="AN27" s="73" t="n">
        <f aca="false">'Food Data'!AO40</f>
        <v>3.32</v>
      </c>
      <c r="AO27" s="73" t="n">
        <f aca="false">'Food Data'!AO41</f>
        <v>4.57</v>
      </c>
      <c r="AP27" s="73" t="n">
        <f aca="false">'Food Data'!AO42</f>
        <v>4.25</v>
      </c>
      <c r="AQ27" s="73" t="n">
        <f aca="false">'Food Data'!AO43</f>
        <v>3.3</v>
      </c>
      <c r="AR27" s="73" t="n">
        <f aca="false">'Food Data'!AO44</f>
        <v>3.61</v>
      </c>
      <c r="AS27" s="73" t="n">
        <f aca="false">'Food Data'!AO45</f>
        <v>4.31</v>
      </c>
      <c r="AT27" s="73" t="n">
        <f aca="false">'Food Data'!AO46</f>
        <v>2.47</v>
      </c>
      <c r="AU27" s="73" t="n">
        <f aca="false">'Food Data'!AO47</f>
        <v>3.62</v>
      </c>
      <c r="AV27" s="73" t="n">
        <f aca="false">'Food Data'!AO48</f>
        <v>0.42</v>
      </c>
      <c r="AW27" s="73" t="n">
        <f aca="false">'Food Data'!AO49</f>
        <v>0.81</v>
      </c>
      <c r="AX27" s="73" t="n">
        <f aca="false">'Food Data'!AO50</f>
        <v>0.61</v>
      </c>
      <c r="AY27" s="73" t="n">
        <f aca="false">'Food Data'!AO51</f>
        <v>0.12</v>
      </c>
      <c r="AZ27" s="73" t="n">
        <f aca="false">'Food Data'!AO52</f>
        <v>0.26</v>
      </c>
      <c r="BA27" s="73" t="n">
        <f aca="false">'Food Data'!AO53</f>
        <v>0.18</v>
      </c>
      <c r="BB27" s="73" t="n">
        <f aca="false">'Food Data'!AO54</f>
        <v>0.36</v>
      </c>
      <c r="BC27" s="73" t="n">
        <f aca="false">'Food Data'!AO55</f>
        <v>0.13</v>
      </c>
      <c r="BD27" s="73" t="n">
        <f aca="false">'Food Data'!AO56</f>
        <v>0.13</v>
      </c>
      <c r="BE27" s="73" t="n">
        <f aca="false">'Food Data'!AO57</f>
        <v>1.88</v>
      </c>
      <c r="BF27" s="73" t="n">
        <f aca="false">'Food Data'!AO58</f>
        <v>0.41</v>
      </c>
      <c r="BG27" s="73" t="n">
        <f aca="false">'Food Data'!AO59</f>
        <v>0.72</v>
      </c>
      <c r="BH27" s="73" t="n">
        <f aca="false">'Food Data'!AO60</f>
        <v>0.3</v>
      </c>
      <c r="BI27" s="73" t="n">
        <f aca="false">'Food Data'!AO61</f>
        <v>1.02</v>
      </c>
      <c r="BJ27" s="73" t="n">
        <f aca="false">'Food Data'!AO62</f>
        <v>0.34</v>
      </c>
      <c r="BK27" s="73" t="n">
        <f aca="false">'Food Data'!AO63</f>
        <v>0.95</v>
      </c>
      <c r="BL27" s="73" t="n">
        <f aca="false">'Food Data'!AO64</f>
        <v>0.21</v>
      </c>
      <c r="BM27" s="73" t="n">
        <f aca="false">'Food Data'!AO65</f>
        <v>0.97</v>
      </c>
      <c r="BN27" s="73" t="n">
        <f aca="false">'Food Data'!AO66</f>
        <v>2.71</v>
      </c>
      <c r="BO27" s="73" t="n">
        <f aca="false">'Food Data'!AO67</f>
        <v>0.27</v>
      </c>
      <c r="BP27" s="73" t="n">
        <f aca="false">'Food Data'!AO68</f>
        <v>0.02</v>
      </c>
      <c r="BQ27" s="73" t="n">
        <f aca="false">'Food Data'!AO69</f>
        <v>0</v>
      </c>
      <c r="BR27" s="73" t="n">
        <f aca="false">'Food Data'!AO70</f>
        <v>0.56</v>
      </c>
      <c r="BS27" s="73" t="n">
        <f aca="false">'Food Data'!AO71</f>
        <v>3.71</v>
      </c>
      <c r="BT27" s="73" t="n">
        <f aca="false">'Food Data'!AO72</f>
        <v>0.61</v>
      </c>
      <c r="BU27" s="73" t="n">
        <f aca="false">'Food Data'!AO73</f>
        <v>5.58</v>
      </c>
      <c r="BV27" s="73" t="n">
        <f aca="false">'Food Data'!AO74</f>
        <v>2.19</v>
      </c>
      <c r="BW27" s="73" t="n">
        <f aca="false">'Food Data'!AO75</f>
        <v>1.28</v>
      </c>
      <c r="BX27" s="73" t="n">
        <f aca="false">'Food Data'!AO76</f>
        <v>0.09</v>
      </c>
    </row>
    <row r="28" customFormat="false" ht="15" hidden="false" customHeight="false" outlineLevel="0" collapsed="false">
      <c r="B28" s="14" t="s">
        <v>57</v>
      </c>
      <c r="F28" s="73" t="n">
        <f aca="false">'Food Data'!AP6</f>
        <v>334</v>
      </c>
      <c r="G28" s="73" t="n">
        <f aca="false">'Food Data'!AP7</f>
        <v>211</v>
      </c>
      <c r="H28" s="73" t="n">
        <f aca="false">'Food Data'!AP8</f>
        <v>242</v>
      </c>
      <c r="I28" s="73" t="n">
        <f aca="false">'Food Data'!AP9</f>
        <v>401</v>
      </c>
      <c r="J28" s="73" t="n">
        <f aca="false">'Food Data'!AP10</f>
        <v>213</v>
      </c>
      <c r="K28" s="73" t="n">
        <f aca="false">'Food Data'!AP11</f>
        <v>198</v>
      </c>
      <c r="L28" s="73" t="n">
        <f aca="false">'Food Data'!AP12</f>
        <v>270</v>
      </c>
      <c r="M28" s="73" t="n">
        <f aca="false">'Food Data'!AP13</f>
        <v>336</v>
      </c>
      <c r="N28" s="73" t="n">
        <f aca="false">'Food Data'!AP14</f>
        <v>287</v>
      </c>
      <c r="O28" s="73" t="n">
        <f aca="false">'Food Data'!AP15</f>
        <v>345</v>
      </c>
      <c r="P28" s="73" t="n">
        <f aca="false">'Food Data'!AP16</f>
        <v>309</v>
      </c>
      <c r="Q28" s="73" t="n">
        <f aca="false">'Food Data'!AP17</f>
        <v>179</v>
      </c>
      <c r="R28" s="73" t="n">
        <f aca="false">'Food Data'!AP18</f>
        <v>363</v>
      </c>
      <c r="S28" s="73" t="n">
        <f aca="false">'Food Data'!AP19</f>
        <v>113</v>
      </c>
      <c r="T28" s="73" t="n">
        <f aca="false">'Food Data'!AP20</f>
        <v>302</v>
      </c>
      <c r="U28" s="73" t="n">
        <f aca="false">'Food Data'!AP21</f>
        <v>138</v>
      </c>
      <c r="V28" s="73" t="n">
        <f aca="false">'Food Data'!AP22</f>
        <v>308</v>
      </c>
      <c r="W28" s="73" t="n">
        <f aca="false">'Food Data'!AP23</f>
        <v>144</v>
      </c>
      <c r="X28" s="73" t="n">
        <f aca="false">'Food Data'!AP24</f>
        <v>677</v>
      </c>
      <c r="Y28" s="73" t="n">
        <f aca="false">'Food Data'!AP25</f>
        <v>558</v>
      </c>
      <c r="Z28" s="73" t="n">
        <f aca="false">'Food Data'!AP26</f>
        <v>1393</v>
      </c>
      <c r="AA28" s="73" t="n">
        <f aca="false">'Food Data'!AP27</f>
        <v>0</v>
      </c>
      <c r="AB28" s="73" t="n">
        <f aca="false">'Food Data'!AP28</f>
        <v>140</v>
      </c>
      <c r="AC28" s="73" t="n">
        <f aca="false">'Food Data'!AP29</f>
        <v>141</v>
      </c>
      <c r="AD28" s="73" t="n">
        <f aca="false">'Food Data'!AP30</f>
        <v>122</v>
      </c>
      <c r="AE28" s="73" t="n">
        <f aca="false">'Food Data'!AP31</f>
        <v>132</v>
      </c>
      <c r="AF28" s="73" t="n">
        <f aca="false">'Food Data'!AP32</f>
        <v>132</v>
      </c>
      <c r="AG28" s="73" t="n">
        <f aca="false">'Food Data'!AP33</f>
        <v>76</v>
      </c>
      <c r="AH28" s="73" t="n">
        <f aca="false">'Food Data'!AP34</f>
        <v>125</v>
      </c>
      <c r="AI28" s="73" t="n">
        <f aca="false">'Food Data'!AP35</f>
        <v>188</v>
      </c>
      <c r="AJ28" s="73" t="n">
        <f aca="false">'Food Data'!AP36</f>
        <v>107</v>
      </c>
      <c r="AK28" s="73" t="n">
        <f aca="false">'Food Data'!AP37</f>
        <v>250</v>
      </c>
      <c r="AL28" s="73" t="n">
        <f aca="false">'Food Data'!AP38</f>
        <v>641</v>
      </c>
      <c r="AM28" s="73" t="n">
        <f aca="false">'Food Data'!AP39</f>
        <v>186</v>
      </c>
      <c r="AN28" s="73" t="n">
        <f aca="false">'Food Data'!AP40</f>
        <v>133</v>
      </c>
      <c r="AO28" s="73" t="n">
        <f aca="false">'Food Data'!AP41</f>
        <v>563</v>
      </c>
      <c r="AP28" s="73" t="n">
        <f aca="false">'Food Data'!AP42</f>
        <v>362</v>
      </c>
      <c r="AQ28" s="73" t="n">
        <f aca="false">'Food Data'!AP43</f>
        <v>223</v>
      </c>
      <c r="AR28" s="73" t="n">
        <f aca="false">'Food Data'!AP44</f>
        <v>126</v>
      </c>
      <c r="AS28" s="73" t="n">
        <f aca="false">'Food Data'!AP45</f>
        <v>115</v>
      </c>
      <c r="AT28" s="73" t="n">
        <f aca="false">'Food Data'!AP46</f>
        <v>254</v>
      </c>
      <c r="AU28" s="73" t="n">
        <f aca="false">'Food Data'!AP47</f>
        <v>434</v>
      </c>
      <c r="AV28" s="73" t="n">
        <f aca="false">'Food Data'!AP48</f>
        <v>213</v>
      </c>
      <c r="AW28" s="73" t="n">
        <f aca="false">'Food Data'!AP49</f>
        <v>425</v>
      </c>
      <c r="AX28" s="73" t="n">
        <f aca="false">'Food Data'!AP50</f>
        <v>337</v>
      </c>
      <c r="AY28" s="73" t="n">
        <f aca="false">'Food Data'!AP51</f>
        <v>107</v>
      </c>
      <c r="AZ28" s="73" t="n">
        <f aca="false">'Food Data'!AP52</f>
        <v>358</v>
      </c>
      <c r="BA28" s="73" t="n">
        <f aca="false">'Food Data'!AP53</f>
        <v>54</v>
      </c>
      <c r="BB28" s="73" t="n">
        <f aca="false">'Food Data'!AP54</f>
        <v>191</v>
      </c>
      <c r="BC28" s="73" t="n">
        <f aca="false">'Food Data'!AP55</f>
        <v>178</v>
      </c>
      <c r="BD28" s="73" t="n">
        <f aca="false">'Food Data'!AP56</f>
        <v>166</v>
      </c>
      <c r="BE28" s="73" t="n">
        <f aca="false">'Food Data'!AP57</f>
        <v>749</v>
      </c>
      <c r="BF28" s="73" t="n">
        <f aca="false">'Food Data'!AP58</f>
        <v>153</v>
      </c>
      <c r="BG28" s="73" t="n">
        <f aca="false">'Food Data'!AP59</f>
        <v>250</v>
      </c>
      <c r="BH28" s="73" t="n">
        <f aca="false">'Food Data'!AP60</f>
        <v>320</v>
      </c>
      <c r="BI28" s="73" t="n">
        <f aca="false">'Food Data'!AP61</f>
        <v>92</v>
      </c>
      <c r="BJ28" s="73" t="n">
        <f aca="false">'Food Data'!AP62</f>
        <v>175</v>
      </c>
      <c r="BK28" s="73" t="n">
        <f aca="false">'Food Data'!AP63</f>
        <v>212</v>
      </c>
      <c r="BL28" s="73" t="n">
        <f aca="false">'Food Data'!AP64</f>
        <v>146</v>
      </c>
      <c r="BM28" s="73" t="n">
        <f aca="false">'Food Data'!AP65</f>
        <v>247</v>
      </c>
      <c r="BN28" s="73" t="n">
        <f aca="false">'Food Data'!AP66</f>
        <v>558</v>
      </c>
      <c r="BO28" s="73" t="n">
        <f aca="false">'Food Data'!AP67</f>
        <v>237</v>
      </c>
      <c r="BP28" s="73" t="n">
        <f aca="false">'Food Data'!AP68</f>
        <v>24</v>
      </c>
      <c r="BQ28" s="73" t="n">
        <f aca="false">'Food Data'!AP69</f>
        <v>0</v>
      </c>
      <c r="BR28" s="73" t="n">
        <f aca="false">'Food Data'!AP70</f>
        <v>1</v>
      </c>
      <c r="BS28" s="73" t="n">
        <f aca="false">'Food Data'!AP71</f>
        <v>733</v>
      </c>
      <c r="BT28" s="73" t="n">
        <f aca="false">'Food Data'!AP72</f>
        <v>507</v>
      </c>
      <c r="BU28" s="73" t="n">
        <f aca="false">'Food Data'!AP73</f>
        <v>171</v>
      </c>
      <c r="BV28" s="73" t="n">
        <f aca="false">'Food Data'!AP74</f>
        <v>237</v>
      </c>
      <c r="BW28" s="73" t="n">
        <f aca="false">'Food Data'!AP75</f>
        <v>1196</v>
      </c>
      <c r="BX28" s="73" t="n">
        <f aca="false">'Food Data'!AP76</f>
        <v>199</v>
      </c>
    </row>
    <row r="29" customFormat="false" ht="15" hidden="false" customHeight="false" outlineLevel="0" collapsed="false">
      <c r="B29" s="14" t="s">
        <v>59</v>
      </c>
      <c r="F29" s="73" t="n">
        <f aca="false">'Food Data'!AQ6</f>
        <v>45</v>
      </c>
      <c r="G29" s="73" t="n">
        <f aca="false">'Food Data'!AQ7</f>
        <v>106</v>
      </c>
      <c r="H29" s="73" t="n">
        <f aca="false">'Food Data'!AQ8</f>
        <v>95</v>
      </c>
      <c r="I29" s="73" t="n">
        <f aca="false">'Food Data'!AQ9</f>
        <v>922</v>
      </c>
      <c r="J29" s="73" t="n">
        <f aca="false">'Food Data'!AQ10</f>
        <v>69</v>
      </c>
      <c r="K29" s="73" t="n">
        <f aca="false">'Food Data'!AQ11</f>
        <v>662</v>
      </c>
      <c r="L29" s="73" t="n">
        <f aca="false">'Food Data'!AQ12</f>
        <v>66</v>
      </c>
      <c r="M29" s="73" t="n">
        <f aca="false">'Food Data'!AQ13</f>
        <v>66</v>
      </c>
      <c r="N29" s="73" t="n">
        <f aca="false">'Food Data'!AQ14</f>
        <v>1143</v>
      </c>
      <c r="O29" s="73" t="n">
        <f aca="false">'Food Data'!AQ15</f>
        <v>82</v>
      </c>
      <c r="P29" s="73" t="n">
        <f aca="false">'Food Data'!AQ16</f>
        <v>51</v>
      </c>
      <c r="Q29" s="73" t="n">
        <f aca="false">'Food Data'!AQ17</f>
        <v>247</v>
      </c>
      <c r="R29" s="73" t="n">
        <f aca="false">'Food Data'!AQ18</f>
        <v>59</v>
      </c>
      <c r="S29" s="73" t="n">
        <f aca="false">'Food Data'!AQ19</f>
        <v>566</v>
      </c>
      <c r="T29" s="73" t="n">
        <f aca="false">'Food Data'!AQ20</f>
        <v>52</v>
      </c>
      <c r="U29" s="73" t="n">
        <f aca="false">'Food Data'!AQ21</f>
        <v>142</v>
      </c>
      <c r="V29" s="73" t="n">
        <f aca="false">'Food Data'!AQ22</f>
        <v>138</v>
      </c>
      <c r="W29" s="73" t="n">
        <f aca="false">'Food Data'!AQ23</f>
        <v>278</v>
      </c>
      <c r="X29" s="73" t="n">
        <f aca="false">'Food Data'!AQ24</f>
        <v>6</v>
      </c>
      <c r="Y29" s="73" t="n">
        <f aca="false">'Food Data'!AQ25</f>
        <v>426</v>
      </c>
      <c r="Z29" s="73" t="n">
        <f aca="false">'Food Data'!AQ26</f>
        <v>12</v>
      </c>
      <c r="AA29" s="73" t="n">
        <f aca="false">'Food Data'!AQ27</f>
        <v>4</v>
      </c>
      <c r="AB29" s="73" t="n">
        <f aca="false">'Food Data'!AQ28</f>
        <v>47</v>
      </c>
      <c r="AC29" s="73" t="n">
        <f aca="false">'Food Data'!AQ29</f>
        <v>36</v>
      </c>
      <c r="AD29" s="73" t="n">
        <f aca="false">'Food Data'!AQ30</f>
        <v>47</v>
      </c>
      <c r="AE29" s="73" t="n">
        <f aca="false">'Food Data'!AQ31</f>
        <v>43</v>
      </c>
      <c r="AF29" s="73" t="n">
        <f aca="false">'Food Data'!AQ32</f>
        <v>1671</v>
      </c>
      <c r="AG29" s="73" t="n">
        <f aca="false">'Food Data'!AQ33</f>
        <v>653</v>
      </c>
      <c r="AH29" s="73" t="n">
        <f aca="false">'Food Data'!AQ34</f>
        <v>308</v>
      </c>
      <c r="AI29" s="73" t="n">
        <f aca="false">'Food Data'!AQ35</f>
        <v>666</v>
      </c>
      <c r="AJ29" s="73" t="n">
        <f aca="false">'Food Data'!AQ36</f>
        <v>422</v>
      </c>
      <c r="AK29" s="73" t="n">
        <f aca="false">'Food Data'!AQ37</f>
        <v>5</v>
      </c>
      <c r="AL29" s="73" t="n">
        <f aca="false">'Food Data'!AQ38</f>
        <v>497</v>
      </c>
      <c r="AM29" s="73" t="n">
        <f aca="false">'Food Data'!AQ39</f>
        <v>45</v>
      </c>
      <c r="AN29" s="73" t="n">
        <f aca="false">'Food Data'!AQ40</f>
        <v>742</v>
      </c>
      <c r="AO29" s="73" t="n">
        <f aca="false">'Food Data'!AQ41</f>
        <v>5</v>
      </c>
      <c r="AP29" s="73" t="n">
        <f aca="false">'Food Data'!AQ42</f>
        <v>6</v>
      </c>
      <c r="AQ29" s="73" t="n">
        <f aca="false">'Food Data'!AQ43</f>
        <v>6</v>
      </c>
      <c r="AR29" s="73" t="n">
        <f aca="false">'Food Data'!AQ44</f>
        <v>490</v>
      </c>
      <c r="AS29" s="73" t="n">
        <f aca="false">'Food Data'!AQ45</f>
        <v>5</v>
      </c>
      <c r="AT29" s="73" t="n">
        <f aca="false">'Food Data'!AQ46</f>
        <v>455</v>
      </c>
      <c r="AU29" s="73" t="n">
        <f aca="false">'Food Data'!AQ47</f>
        <v>6</v>
      </c>
      <c r="AV29" s="73" t="n">
        <f aca="false">'Food Data'!AQ48</f>
        <v>3</v>
      </c>
      <c r="AW29" s="73" t="n">
        <f aca="false">'Food Data'!AQ49</f>
        <v>6</v>
      </c>
      <c r="AX29" s="73" t="n">
        <f aca="false">'Food Data'!AQ50</f>
        <v>55</v>
      </c>
      <c r="AY29" s="73" t="n">
        <f aca="false">'Food Data'!AQ51</f>
        <v>1</v>
      </c>
      <c r="AZ29" s="73" t="n">
        <f aca="false">'Food Data'!AQ52</f>
        <v>1</v>
      </c>
      <c r="BA29" s="73" t="n">
        <f aca="false">'Food Data'!AQ53</f>
        <v>1</v>
      </c>
      <c r="BB29" s="73" t="n">
        <f aca="false">'Food Data'!AQ54</f>
        <v>2</v>
      </c>
      <c r="BC29" s="73" t="n">
        <f aca="false">'Food Data'!AQ55</f>
        <v>2</v>
      </c>
      <c r="BD29" s="73" t="n">
        <f aca="false">'Food Data'!AQ56</f>
        <v>1</v>
      </c>
      <c r="BE29" s="73" t="n">
        <f aca="false">'Food Data'!AQ57</f>
        <v>11</v>
      </c>
      <c r="BF29" s="73" t="n">
        <f aca="false">'Food Data'!AQ58</f>
        <v>1</v>
      </c>
      <c r="BG29" s="73" t="n">
        <f aca="false">'Food Data'!AQ59</f>
        <v>17</v>
      </c>
      <c r="BH29" s="73" t="n">
        <f aca="false">'Food Data'!AQ60</f>
        <v>69</v>
      </c>
      <c r="BI29" s="73" t="n">
        <f aca="false">'Food Data'!AQ61</f>
        <v>192</v>
      </c>
      <c r="BJ29" s="73" t="n">
        <f aca="false">'Food Data'!AQ62</f>
        <v>3</v>
      </c>
      <c r="BK29" s="73" t="n">
        <f aca="false">'Food Data'!AQ63</f>
        <v>47</v>
      </c>
      <c r="BL29" s="73" t="n">
        <f aca="false">'Food Data'!AQ64</f>
        <v>4</v>
      </c>
      <c r="BM29" s="73" t="n">
        <f aca="false">'Food Data'!AQ65</f>
        <v>8</v>
      </c>
      <c r="BN29" s="73" t="n">
        <f aca="false">'Food Data'!AQ66</f>
        <v>79</v>
      </c>
      <c r="BO29" s="73" t="n">
        <f aca="false">'Food Data'!AQ67</f>
        <v>5</v>
      </c>
      <c r="BP29" s="73" t="n">
        <f aca="false">'Food Data'!AQ68</f>
        <v>643</v>
      </c>
      <c r="BQ29" s="73" t="n">
        <f aca="false">'Food Data'!AQ69</f>
        <v>0</v>
      </c>
      <c r="BR29" s="73" t="n">
        <f aca="false">'Food Data'!AQ70</f>
        <v>2</v>
      </c>
      <c r="BS29" s="73" t="n">
        <f aca="false">'Food Data'!AQ71</f>
        <v>1</v>
      </c>
      <c r="BT29" s="73" t="n">
        <f aca="false">'Food Data'!AQ72</f>
        <v>8</v>
      </c>
      <c r="BU29" s="73" t="n">
        <f aca="false">'Food Data'!AQ73</f>
        <v>311</v>
      </c>
      <c r="BV29" s="73" t="n">
        <f aca="false">'Food Data'!AQ74</f>
        <v>251</v>
      </c>
      <c r="BW29" s="73" t="n">
        <f aca="false">'Food Data'!AQ75</f>
        <v>527</v>
      </c>
      <c r="BX29" s="73" t="n">
        <f aca="false">'Food Data'!AQ76</f>
        <v>80</v>
      </c>
    </row>
    <row r="30" customFormat="false" ht="15" hidden="false" customHeight="false" outlineLevel="0" collapsed="false">
      <c r="B30" s="14" t="s">
        <v>61</v>
      </c>
      <c r="F30" s="73" t="n">
        <f aca="false">'Food Data'!AR6</f>
        <v>0</v>
      </c>
      <c r="G30" s="73" t="n">
        <f aca="false">'Food Data'!AR7</f>
        <v>0</v>
      </c>
      <c r="H30" s="73" t="n">
        <f aca="false">'Food Data'!AR8</f>
        <v>0</v>
      </c>
      <c r="I30" s="73" t="n">
        <f aca="false">'Food Data'!AR9</f>
        <v>0</v>
      </c>
      <c r="J30" s="73" t="n">
        <f aca="false">'Food Data'!AR10</f>
        <v>0</v>
      </c>
      <c r="K30" s="73" t="n">
        <f aca="false">'Food Data'!AR11</f>
        <v>0</v>
      </c>
      <c r="L30" s="73" t="n">
        <f aca="false">'Food Data'!AR12</f>
        <v>0</v>
      </c>
      <c r="M30" s="73" t="n">
        <f aca="false">'Food Data'!AR13</f>
        <v>0</v>
      </c>
      <c r="N30" s="73" t="n">
        <f aca="false">'Food Data'!AR14</f>
        <v>4</v>
      </c>
      <c r="O30" s="73" t="n">
        <f aca="false">'Food Data'!AR15</f>
        <v>0</v>
      </c>
      <c r="P30" s="73" t="n">
        <f aca="false">'Food Data'!AR16</f>
        <v>0</v>
      </c>
      <c r="Q30" s="73" t="n">
        <f aca="false">'Food Data'!AR17</f>
        <v>0</v>
      </c>
      <c r="R30" s="73" t="n">
        <f aca="false">'Food Data'!AR18</f>
        <v>3.9</v>
      </c>
      <c r="S30" s="73" t="n">
        <f aca="false">'Food Data'!AR19</f>
        <v>0</v>
      </c>
      <c r="T30" s="73" t="n">
        <f aca="false">'Food Data'!AR20</f>
        <v>0</v>
      </c>
      <c r="U30" s="73" t="n">
        <f aca="false">'Food Data'!AR21</f>
        <v>0</v>
      </c>
      <c r="V30" s="73" t="n">
        <f aca="false">'Food Data'!AR22</f>
        <v>2.7</v>
      </c>
      <c r="W30" s="73" t="n">
        <f aca="false">'Food Data'!AR23</f>
        <v>0.1</v>
      </c>
      <c r="X30" s="73" t="n">
        <f aca="false">'Food Data'!AR24</f>
        <v>4.5</v>
      </c>
      <c r="Y30" s="73" t="n">
        <f aca="false">'Food Data'!AR25</f>
        <v>0</v>
      </c>
      <c r="Z30" s="73" t="n">
        <f aca="false">'Food Data'!AR26</f>
        <v>6.3</v>
      </c>
      <c r="AA30" s="73" t="n">
        <f aca="false">'Food Data'!AR27</f>
        <v>0</v>
      </c>
      <c r="AB30" s="73" t="n">
        <f aca="false">'Food Data'!AR28</f>
        <v>0.2</v>
      </c>
      <c r="AC30" s="73" t="n">
        <f aca="false">'Food Data'!AR29</f>
        <v>0</v>
      </c>
      <c r="AD30" s="73" t="n">
        <f aca="false">'Food Data'!AR30</f>
        <v>0</v>
      </c>
      <c r="AE30" s="73" t="n">
        <f aca="false">'Food Data'!AR31</f>
        <v>0</v>
      </c>
      <c r="AF30" s="73" t="n">
        <f aca="false">'Food Data'!AR32</f>
        <v>0</v>
      </c>
      <c r="AG30" s="73" t="n">
        <f aca="false">'Food Data'!AR33</f>
        <v>0</v>
      </c>
      <c r="AH30" s="73" t="n">
        <f aca="false">'Food Data'!AR34</f>
        <v>0</v>
      </c>
      <c r="AI30" s="73" t="n">
        <f aca="false">'Food Data'!AR35</f>
        <v>0</v>
      </c>
      <c r="AJ30" s="73" t="n">
        <f aca="false">'Food Data'!AR36</f>
        <v>0</v>
      </c>
      <c r="AK30" s="73" t="n">
        <f aca="false">'Food Data'!AR37</f>
        <v>0</v>
      </c>
      <c r="AL30" s="73" t="n">
        <f aca="false">'Food Data'!AR38</f>
        <v>21.6</v>
      </c>
      <c r="AM30" s="73" t="n">
        <f aca="false">'Food Data'!AR39</f>
        <v>0</v>
      </c>
      <c r="AN30" s="73" t="n">
        <f aca="false">'Food Data'!AR40</f>
        <v>0</v>
      </c>
      <c r="AO30" s="73" t="n">
        <f aca="false">'Food Data'!AR41</f>
        <v>0</v>
      </c>
      <c r="AP30" s="73" t="n">
        <f aca="false">'Food Data'!AR42</f>
        <v>0</v>
      </c>
      <c r="AQ30" s="73" t="n">
        <f aca="false">'Food Data'!AR43</f>
        <v>0</v>
      </c>
      <c r="AR30" s="73" t="n">
        <f aca="false">'Food Data'!AR44</f>
        <v>0</v>
      </c>
      <c r="AS30" s="73" t="n">
        <f aca="false">'Food Data'!AR45</f>
        <v>0</v>
      </c>
      <c r="AT30" s="73" t="n">
        <f aca="false">'Food Data'!AR46</f>
        <v>0</v>
      </c>
      <c r="AU30" s="73" t="n">
        <f aca="false">'Food Data'!AR47</f>
        <v>0</v>
      </c>
      <c r="AV30" s="73" t="n">
        <f aca="false">'Food Data'!AR48</f>
        <v>6.4</v>
      </c>
      <c r="AW30" s="73" t="n">
        <f aca="false">'Food Data'!AR49</f>
        <v>19.7</v>
      </c>
      <c r="AX30" s="73" t="n">
        <f aca="false">'Food Data'!AR50</f>
        <v>2.4</v>
      </c>
      <c r="AY30" s="73" t="n">
        <f aca="false">'Food Data'!AR51</f>
        <v>4.6</v>
      </c>
      <c r="AZ30" s="73" t="n">
        <f aca="false">'Food Data'!AR52</f>
        <v>8.7</v>
      </c>
      <c r="BA30" s="73" t="n">
        <f aca="false">'Food Data'!AR53</f>
        <v>2.5</v>
      </c>
      <c r="BB30" s="73" t="n">
        <f aca="false">'Food Data'!AR54</f>
        <v>3.2</v>
      </c>
      <c r="BC30" s="73" t="n">
        <f aca="false">'Food Data'!AR55</f>
        <v>33.6</v>
      </c>
      <c r="BD30" s="73" t="n">
        <f aca="false">'Food Data'!AR56</f>
        <v>59.1</v>
      </c>
      <c r="BE30" s="73" t="n">
        <f aca="false">'Food Data'!AR57</f>
        <v>2.3</v>
      </c>
      <c r="BF30" s="73" t="n">
        <f aca="false">'Food Data'!AR58</f>
        <v>58.8</v>
      </c>
      <c r="BG30" s="73" t="n">
        <f aca="false">'Food Data'!AR59</f>
        <v>68.3</v>
      </c>
      <c r="BH30" s="73" t="n">
        <f aca="false">'Food Data'!AR60</f>
        <v>5.9</v>
      </c>
      <c r="BI30" s="73" t="n">
        <f aca="false">'Food Data'!AR61</f>
        <v>2.2</v>
      </c>
      <c r="BJ30" s="73" t="n">
        <f aca="false">'Food Data'!AR62</f>
        <v>80.4</v>
      </c>
      <c r="BK30" s="73" t="n">
        <f aca="false">'Food Data'!AR63</f>
        <v>10.4</v>
      </c>
      <c r="BL30" s="73" t="n">
        <f aca="false">'Food Data'!AR64</f>
        <v>7.4</v>
      </c>
      <c r="BM30" s="73" t="n">
        <f aca="false">'Food Data'!AR65</f>
        <v>4</v>
      </c>
      <c r="BN30" s="73" t="n">
        <f aca="false">'Food Data'!AR66</f>
        <v>28.1</v>
      </c>
      <c r="BO30" s="73" t="n">
        <f aca="false">'Food Data'!AR67</f>
        <v>13.7</v>
      </c>
      <c r="BP30" s="73" t="n">
        <f aca="false">'Food Data'!AR68</f>
        <v>0</v>
      </c>
      <c r="BQ30" s="73" t="n">
        <f aca="false">'Food Data'!AR69</f>
        <v>0</v>
      </c>
      <c r="BR30" s="73" t="n">
        <f aca="false">'Food Data'!AR70</f>
        <v>0</v>
      </c>
      <c r="BS30" s="73" t="n">
        <f aca="false">'Food Data'!AR71</f>
        <v>0</v>
      </c>
      <c r="BT30" s="73" t="n">
        <f aca="false">'Food Data'!AR72</f>
        <v>8.8</v>
      </c>
      <c r="BU30" s="73" t="n">
        <f aca="false">'Food Data'!AR73</f>
        <v>0</v>
      </c>
      <c r="BV30" s="73" t="n">
        <f aca="false">'Food Data'!AR74</f>
        <v>0</v>
      </c>
      <c r="BW30" s="73" t="n">
        <f aca="false">'Food Data'!AR75</f>
        <v>21.6</v>
      </c>
      <c r="BX30" s="73" t="n">
        <f aca="false">'Food Data'!AR76</f>
        <v>0.6</v>
      </c>
    </row>
    <row r="32" customFormat="false" ht="15" hidden="false" customHeight="false" outlineLevel="0" collapsed="false">
      <c r="A32" s="3" t="s">
        <v>616</v>
      </c>
    </row>
    <row r="33" customFormat="false" ht="15" hidden="false" customHeight="false" outlineLevel="0" collapsed="false">
      <c r="B33" s="14" t="s">
        <v>66</v>
      </c>
      <c r="F33" s="61" t="n">
        <f aca="false">'Food Data'!AB6</f>
        <v>0</v>
      </c>
      <c r="G33" s="61" t="n">
        <f aca="false">'Food Data'!AB7</f>
        <v>0</v>
      </c>
      <c r="H33" s="61" t="n">
        <f aca="false">'Food Data'!AB8</f>
        <v>0</v>
      </c>
      <c r="I33" s="61" t="n">
        <f aca="false">'Food Data'!AB9</f>
        <v>0</v>
      </c>
      <c r="J33" s="61" t="n">
        <f aca="false">'Food Data'!AB10</f>
        <v>0</v>
      </c>
      <c r="K33" s="61" t="n">
        <f aca="false">'Food Data'!AB11</f>
        <v>1</v>
      </c>
      <c r="L33" s="61" t="n">
        <f aca="false">'Food Data'!AB12</f>
        <v>0</v>
      </c>
      <c r="M33" s="61" t="n">
        <f aca="false">'Food Data'!AB13</f>
        <v>0</v>
      </c>
      <c r="N33" s="61" t="n">
        <f aca="false">'Food Data'!AB14</f>
        <v>0</v>
      </c>
      <c r="O33" s="61" t="n">
        <f aca="false">'Food Data'!AB15</f>
        <v>0</v>
      </c>
      <c r="P33" s="61" t="n">
        <f aca="false">'Food Data'!AB16</f>
        <v>0</v>
      </c>
      <c r="Q33" s="61" t="n">
        <f aca="false">'Food Data'!AB17</f>
        <v>0</v>
      </c>
      <c r="R33" s="61" t="n">
        <f aca="false">'Food Data'!AB18</f>
        <v>0</v>
      </c>
      <c r="S33" s="61" t="n">
        <f aca="false">'Food Data'!AB19</f>
        <v>0</v>
      </c>
      <c r="T33" s="61" t="n">
        <f aca="false">'Food Data'!AB20</f>
        <v>0</v>
      </c>
      <c r="U33" s="61" t="n">
        <f aca="false">'Food Data'!AB21</f>
        <v>1</v>
      </c>
      <c r="V33" s="61" t="n">
        <f aca="false">'Food Data'!AB22</f>
        <v>0</v>
      </c>
      <c r="W33" s="61" t="n">
        <f aca="false">'Food Data'!AB23</f>
        <v>0</v>
      </c>
      <c r="X33" s="61" t="n">
        <f aca="false">'Food Data'!AB24</f>
        <v>0</v>
      </c>
      <c r="Y33" s="61" t="n">
        <f aca="false">'Food Data'!AB25</f>
        <v>0.5</v>
      </c>
      <c r="Z33" s="61" t="n">
        <f aca="false">'Food Data'!AB26</f>
        <v>0</v>
      </c>
      <c r="AA33" s="61" t="n">
        <f aca="false">'Food Data'!AB27</f>
        <v>0</v>
      </c>
      <c r="AB33" s="61" t="n">
        <f aca="false">'Food Data'!AB28</f>
        <v>0.5</v>
      </c>
      <c r="AC33" s="61" t="n">
        <f aca="false">'Food Data'!AB29</f>
        <v>0.5</v>
      </c>
      <c r="AD33" s="61" t="n">
        <f aca="false">'Food Data'!AB30</f>
        <v>0.5</v>
      </c>
      <c r="AE33" s="61" t="n">
        <f aca="false">'Food Data'!AB31</f>
        <v>0.5</v>
      </c>
      <c r="AF33" s="61" t="n">
        <f aca="false">'Food Data'!AB32</f>
        <v>0</v>
      </c>
      <c r="AG33" s="61" t="n">
        <f aca="false">'Food Data'!AB33</f>
        <v>0</v>
      </c>
      <c r="AH33" s="61" t="n">
        <f aca="false">'Food Data'!AB34</f>
        <v>0</v>
      </c>
      <c r="AI33" s="61" t="n">
        <f aca="false">'Food Data'!AB35</f>
        <v>0</v>
      </c>
      <c r="AJ33" s="61" t="n">
        <f aca="false">'Food Data'!AB36</f>
        <v>1</v>
      </c>
      <c r="AK33" s="61" t="n">
        <f aca="false">'Food Data'!AB37</f>
        <v>0</v>
      </c>
      <c r="AL33" s="61" t="n">
        <f aca="false">'Food Data'!AB38</f>
        <v>1</v>
      </c>
      <c r="AM33" s="61" t="n">
        <f aca="false">'Food Data'!AB39</f>
        <v>0</v>
      </c>
      <c r="AN33" s="61" t="n">
        <f aca="false">'Food Data'!AB40</f>
        <v>0</v>
      </c>
      <c r="AO33" s="61" t="n">
        <f aca="false">'Food Data'!AB41</f>
        <v>0</v>
      </c>
      <c r="AP33" s="61" t="n">
        <f aca="false">'Food Data'!AB42</f>
        <v>1</v>
      </c>
      <c r="AQ33" s="61" t="n">
        <f aca="false">'Food Data'!AB43</f>
        <v>0</v>
      </c>
      <c r="AR33" s="61" t="n">
        <f aca="false">'Food Data'!AB44</f>
        <v>0.5</v>
      </c>
      <c r="AS33" s="61" t="n">
        <f aca="false">'Food Data'!AB45</f>
        <v>0</v>
      </c>
      <c r="AT33" s="61" t="n">
        <f aca="false">'Food Data'!AB46</f>
        <v>0.5</v>
      </c>
      <c r="AU33" s="61" t="n">
        <f aca="false">'Food Data'!AB47</f>
        <v>0</v>
      </c>
      <c r="AV33" s="61" t="n">
        <f aca="false">'Food Data'!AB48</f>
        <v>0</v>
      </c>
      <c r="AW33" s="61" t="n">
        <f aca="false">'Food Data'!AB49</f>
        <v>0</v>
      </c>
      <c r="AX33" s="61" t="n">
        <f aca="false">'Food Data'!AB50</f>
        <v>0</v>
      </c>
      <c r="AY33" s="61" t="n">
        <f aca="false">'Food Data'!AB51</f>
        <v>0</v>
      </c>
      <c r="AZ33" s="61" t="n">
        <f aca="false">'Food Data'!AB52</f>
        <v>0.5</v>
      </c>
      <c r="BA33" s="61" t="n">
        <f aca="false">'Food Data'!AB53</f>
        <v>1</v>
      </c>
      <c r="BB33" s="61" t="n">
        <f aca="false">'Food Data'!AB54</f>
        <v>0</v>
      </c>
      <c r="BC33" s="61" t="n">
        <f aca="false">'Food Data'!AB55</f>
        <v>1</v>
      </c>
      <c r="BD33" s="61" t="n">
        <f aca="false">'Food Data'!AB56</f>
        <v>0</v>
      </c>
      <c r="BE33" s="61" t="n">
        <f aca="false">'Food Data'!AB57</f>
        <v>0</v>
      </c>
      <c r="BF33" s="61" t="n">
        <f aca="false">'Food Data'!AB58</f>
        <v>0.5</v>
      </c>
      <c r="BG33" s="61" t="n">
        <f aca="false">'Food Data'!AB59</f>
        <v>0</v>
      </c>
      <c r="BH33" s="61" t="n">
        <f aca="false">'Food Data'!AB60</f>
        <v>0</v>
      </c>
      <c r="BI33" s="61" t="n">
        <f aca="false">'Food Data'!AB61</f>
        <v>0</v>
      </c>
      <c r="BJ33" s="61" t="n">
        <f aca="false">'Food Data'!AB62</f>
        <v>0</v>
      </c>
      <c r="BK33" s="61" t="n">
        <f aca="false">'Food Data'!AB63</f>
        <v>0</v>
      </c>
      <c r="BL33" s="61" t="n">
        <f aca="false">'Food Data'!AB64</f>
        <v>0</v>
      </c>
      <c r="BM33" s="61" t="n">
        <f aca="false">'Food Data'!AB65</f>
        <v>0</v>
      </c>
      <c r="BN33" s="61" t="n">
        <f aca="false">'Food Data'!AB66</f>
        <v>0</v>
      </c>
      <c r="BO33" s="61" t="n">
        <f aca="false">'Food Data'!AB67</f>
        <v>0</v>
      </c>
      <c r="BP33" s="61" t="n">
        <f aca="false">'Food Data'!AB68</f>
        <v>0.5</v>
      </c>
      <c r="BQ33" s="61" t="n">
        <f aca="false">'Food Data'!AB69</f>
        <v>0</v>
      </c>
      <c r="BR33" s="61" t="n">
        <f aca="false">'Food Data'!AB70</f>
        <v>0</v>
      </c>
      <c r="BS33" s="61" t="n">
        <f aca="false">'Food Data'!AB71</f>
        <v>0</v>
      </c>
      <c r="BT33" s="61" t="n">
        <f aca="false">'Food Data'!AB72</f>
        <v>0</v>
      </c>
      <c r="BU33" s="61" t="n">
        <f aca="false">'Food Data'!AB73</f>
        <v>0</v>
      </c>
      <c r="BV33" s="61" t="n">
        <f aca="false">'Food Data'!AB74</f>
        <v>0</v>
      </c>
      <c r="BW33" s="61" t="n">
        <f aca="false">'Food Data'!AB75</f>
        <v>0</v>
      </c>
      <c r="BX33" s="61" t="n">
        <f aca="false">'Food Data'!AB76</f>
        <v>0</v>
      </c>
    </row>
    <row r="34" customFormat="false" ht="15" hidden="false" customHeight="false" outlineLevel="0" collapsed="false">
      <c r="B34" s="14" t="s">
        <v>84</v>
      </c>
      <c r="F34" s="61" t="n">
        <f aca="false">'Food Data'!AC6</f>
        <v>0.5</v>
      </c>
      <c r="G34" s="61" t="n">
        <f aca="false">'Food Data'!AC7</f>
        <v>0.5</v>
      </c>
      <c r="H34" s="61" t="n">
        <f aca="false">'Food Data'!AC8</f>
        <v>0.5</v>
      </c>
      <c r="I34" s="61" t="n">
        <f aca="false">'Food Data'!AC9</f>
        <v>1</v>
      </c>
      <c r="J34" s="61" t="n">
        <f aca="false">'Food Data'!AC10</f>
        <v>0.5</v>
      </c>
      <c r="K34" s="61" t="n">
        <f aca="false">'Food Data'!AC11</f>
        <v>0</v>
      </c>
      <c r="L34" s="61" t="n">
        <f aca="false">'Food Data'!AC12</f>
        <v>0.5</v>
      </c>
      <c r="M34" s="61" t="n">
        <f aca="false">'Food Data'!AC13</f>
        <v>0.5</v>
      </c>
      <c r="N34" s="61" t="n">
        <f aca="false">'Food Data'!AC14</f>
        <v>1</v>
      </c>
      <c r="O34" s="61" t="n">
        <f aca="false">'Food Data'!AC15</f>
        <v>0.5</v>
      </c>
      <c r="P34" s="61" t="n">
        <f aca="false">'Food Data'!AC16</f>
        <v>0</v>
      </c>
      <c r="Q34" s="61" t="n">
        <f aca="false">'Food Data'!AC17</f>
        <v>1</v>
      </c>
      <c r="R34" s="61" t="n">
        <f aca="false">'Food Data'!AC18</f>
        <v>0</v>
      </c>
      <c r="S34" s="61" t="n">
        <f aca="false">'Food Data'!AC19</f>
        <v>0</v>
      </c>
      <c r="T34" s="61" t="n">
        <f aca="false">'Food Data'!AC20</f>
        <v>0.5</v>
      </c>
      <c r="U34" s="61" t="n">
        <f aca="false">'Food Data'!AC21</f>
        <v>0</v>
      </c>
      <c r="V34" s="61" t="n">
        <f aca="false">'Food Data'!AC22</f>
        <v>0.5</v>
      </c>
      <c r="W34" s="61" t="n">
        <f aca="false">'Food Data'!AC23</f>
        <v>0.5</v>
      </c>
      <c r="X34" s="61" t="n">
        <f aca="false">'Food Data'!AC24</f>
        <v>0.5</v>
      </c>
      <c r="Y34" s="61" t="n">
        <f aca="false">'Food Data'!AC25</f>
        <v>0</v>
      </c>
      <c r="Z34" s="61" t="n">
        <f aca="false">'Food Data'!AC26</f>
        <v>0.5</v>
      </c>
      <c r="AA34" s="61" t="n">
        <f aca="false">'Food Data'!AC27</f>
        <v>0.5</v>
      </c>
      <c r="AB34" s="61" t="n">
        <f aca="false">'Food Data'!AC28</f>
        <v>0</v>
      </c>
      <c r="AC34" s="61" t="n">
        <f aca="false">'Food Data'!AC29</f>
        <v>0</v>
      </c>
      <c r="AD34" s="61" t="n">
        <f aca="false">'Food Data'!AC30</f>
        <v>0</v>
      </c>
      <c r="AE34" s="61" t="n">
        <f aca="false">'Food Data'!AC31</f>
        <v>0</v>
      </c>
      <c r="AF34" s="61" t="n">
        <f aca="false">'Food Data'!AC32</f>
        <v>1</v>
      </c>
      <c r="AG34" s="61" t="n">
        <f aca="false">'Food Data'!AC33</f>
        <v>0.5</v>
      </c>
      <c r="AH34" s="61" t="n">
        <f aca="false">'Food Data'!AC34</f>
        <v>0.5</v>
      </c>
      <c r="AI34" s="61" t="n">
        <f aca="false">'Food Data'!AC35</f>
        <v>0</v>
      </c>
      <c r="AJ34" s="61" t="n">
        <f aca="false">'Food Data'!AC36</f>
        <v>0</v>
      </c>
      <c r="AK34" s="61" t="n">
        <f aca="false">'Food Data'!AC37</f>
        <v>0.5</v>
      </c>
      <c r="AL34" s="61" t="n">
        <f aca="false">'Food Data'!AC38</f>
        <v>0</v>
      </c>
      <c r="AM34" s="61" t="n">
        <f aca="false">'Food Data'!AC39</f>
        <v>0.5</v>
      </c>
      <c r="AN34" s="61" t="n">
        <f aca="false">'Food Data'!AC40</f>
        <v>0.5</v>
      </c>
      <c r="AO34" s="61" t="n">
        <f aca="false">'Food Data'!AC41</f>
        <v>0.5</v>
      </c>
      <c r="AP34" s="61" t="n">
        <f aca="false">'Food Data'!AC42</f>
        <v>0</v>
      </c>
      <c r="AQ34" s="61" t="n">
        <f aca="false">'Food Data'!AC43</f>
        <v>0.5</v>
      </c>
      <c r="AR34" s="61" t="n">
        <f aca="false">'Food Data'!AC44</f>
        <v>0.5</v>
      </c>
      <c r="AS34" s="61" t="n">
        <f aca="false">'Food Data'!AC45</f>
        <v>0.5</v>
      </c>
      <c r="AT34" s="61" t="n">
        <f aca="false">'Food Data'!AC46</f>
        <v>0.5</v>
      </c>
      <c r="AU34" s="61" t="n">
        <f aca="false">'Food Data'!AC47</f>
        <v>0.5</v>
      </c>
      <c r="AV34" s="61" t="n">
        <f aca="false">'Food Data'!AC48</f>
        <v>0.5</v>
      </c>
      <c r="AW34" s="61" t="n">
        <f aca="false">'Food Data'!AC49</f>
        <v>0.5</v>
      </c>
      <c r="AX34" s="61" t="n">
        <f aca="false">'Food Data'!AC50</f>
        <v>0.5</v>
      </c>
      <c r="AY34" s="61" t="n">
        <f aca="false">'Food Data'!AC51</f>
        <v>0.5</v>
      </c>
      <c r="AZ34" s="61" t="n">
        <f aca="false">'Food Data'!AC52</f>
        <v>0</v>
      </c>
      <c r="BA34" s="61" t="n">
        <f aca="false">'Food Data'!AC53</f>
        <v>0</v>
      </c>
      <c r="BB34" s="61" t="n">
        <f aca="false">'Food Data'!AC54</f>
        <v>0</v>
      </c>
      <c r="BC34" s="61" t="n">
        <f aca="false">'Food Data'!AC55</f>
        <v>0</v>
      </c>
      <c r="BD34" s="61" t="n">
        <f aca="false">'Food Data'!AC56</f>
        <v>0.5</v>
      </c>
      <c r="BE34" s="61" t="n">
        <f aca="false">'Food Data'!AC57</f>
        <v>0</v>
      </c>
      <c r="BF34" s="61" t="n">
        <f aca="false">'Food Data'!AC58</f>
        <v>0</v>
      </c>
      <c r="BG34" s="61" t="n">
        <f aca="false">'Food Data'!AC59</f>
        <v>0.5</v>
      </c>
      <c r="BH34" s="61" t="n">
        <f aca="false">'Food Data'!AC60</f>
        <v>0.5</v>
      </c>
      <c r="BI34" s="61" t="n">
        <f aca="false">'Food Data'!AC61</f>
        <v>0.5</v>
      </c>
      <c r="BJ34" s="61" t="n">
        <f aca="false">'Food Data'!AC62</f>
        <v>0.5</v>
      </c>
      <c r="BK34" s="61" t="n">
        <f aca="false">'Food Data'!AC63</f>
        <v>0.5</v>
      </c>
      <c r="BL34" s="61" t="n">
        <f aca="false">'Food Data'!AC64</f>
        <v>0.5</v>
      </c>
      <c r="BM34" s="61" t="n">
        <f aca="false">'Food Data'!AC65</f>
        <v>0.5</v>
      </c>
      <c r="BN34" s="61" t="n">
        <f aca="false">'Food Data'!AC66</f>
        <v>0.5</v>
      </c>
      <c r="BO34" s="61" t="n">
        <f aca="false">'Food Data'!AC67</f>
        <v>0.5</v>
      </c>
      <c r="BP34" s="61" t="n">
        <f aca="false">'Food Data'!AC68</f>
        <v>0</v>
      </c>
      <c r="BQ34" s="61" t="n">
        <f aca="false">'Food Data'!AC69</f>
        <v>0.5</v>
      </c>
      <c r="BR34" s="61" t="n">
        <f aca="false">'Food Data'!AC70</f>
        <v>0.5</v>
      </c>
      <c r="BS34" s="61" t="n">
        <f aca="false">'Food Data'!AC71</f>
        <v>0</v>
      </c>
      <c r="BT34" s="61" t="n">
        <f aca="false">'Food Data'!AC72</f>
        <v>0.5</v>
      </c>
      <c r="BU34" s="61" t="n">
        <f aca="false">'Food Data'!AC73</f>
        <v>0</v>
      </c>
      <c r="BV34" s="61" t="n">
        <f aca="false">'Food Data'!AC74</f>
        <v>0</v>
      </c>
      <c r="BW34" s="61" t="n">
        <f aca="false">'Food Data'!AC75</f>
        <v>0</v>
      </c>
      <c r="BX34" s="61" t="n">
        <f aca="false">'Food Data'!AC76</f>
        <v>0</v>
      </c>
    </row>
    <row r="35" customFormat="false" ht="15" hidden="false" customHeight="false" outlineLevel="0" collapsed="false">
      <c r="B35" s="14" t="s">
        <v>100</v>
      </c>
      <c r="F35" s="61" t="n">
        <f aca="false">'Food Data'!AD6</f>
        <v>0.5</v>
      </c>
      <c r="G35" s="61" t="n">
        <f aca="false">'Food Data'!AD7</f>
        <v>0.5</v>
      </c>
      <c r="H35" s="61" t="n">
        <f aca="false">'Food Data'!AD8</f>
        <v>0.5</v>
      </c>
      <c r="I35" s="61" t="n">
        <f aca="false">'Food Data'!AD9</f>
        <v>0</v>
      </c>
      <c r="J35" s="61" t="n">
        <f aca="false">'Food Data'!AD10</f>
        <v>0.5</v>
      </c>
      <c r="K35" s="61" t="n">
        <f aca="false">'Food Data'!AD11</f>
        <v>0</v>
      </c>
      <c r="L35" s="61" t="n">
        <f aca="false">'Food Data'!AD12</f>
        <v>0.5</v>
      </c>
      <c r="M35" s="61" t="n">
        <f aca="false">'Food Data'!AD13</f>
        <v>0.5</v>
      </c>
      <c r="N35" s="61" t="n">
        <f aca="false">'Food Data'!AD14</f>
        <v>0</v>
      </c>
      <c r="O35" s="61" t="n">
        <f aca="false">'Food Data'!AD15</f>
        <v>0.5</v>
      </c>
      <c r="P35" s="61" t="n">
        <f aca="false">'Food Data'!AD16</f>
        <v>1</v>
      </c>
      <c r="Q35" s="61" t="n">
        <f aca="false">'Food Data'!AD17</f>
        <v>0</v>
      </c>
      <c r="R35" s="61" t="n">
        <f aca="false">'Food Data'!AD18</f>
        <v>1</v>
      </c>
      <c r="S35" s="61" t="n">
        <f aca="false">'Food Data'!AD19</f>
        <v>1</v>
      </c>
      <c r="T35" s="61" t="n">
        <f aca="false">'Food Data'!AD20</f>
        <v>0.5</v>
      </c>
      <c r="U35" s="61" t="n">
        <f aca="false">'Food Data'!AD21</f>
        <v>0</v>
      </c>
      <c r="V35" s="61" t="n">
        <f aca="false">'Food Data'!AD22</f>
        <v>0.5</v>
      </c>
      <c r="W35" s="61" t="n">
        <f aca="false">'Food Data'!AD23</f>
        <v>0.5</v>
      </c>
      <c r="X35" s="61" t="n">
        <f aca="false">'Food Data'!AD24</f>
        <v>0.5</v>
      </c>
      <c r="Y35" s="61" t="n">
        <f aca="false">'Food Data'!AD25</f>
        <v>0</v>
      </c>
      <c r="Z35" s="61" t="n">
        <f aca="false">'Food Data'!AD26</f>
        <v>0.5</v>
      </c>
      <c r="AA35" s="61" t="n">
        <f aca="false">'Food Data'!AD27</f>
        <v>0.5</v>
      </c>
      <c r="AB35" s="61" t="n">
        <f aca="false">'Food Data'!AD28</f>
        <v>0</v>
      </c>
      <c r="AC35" s="61" t="n">
        <f aca="false">'Food Data'!AD29</f>
        <v>0</v>
      </c>
      <c r="AD35" s="61" t="n">
        <f aca="false">'Food Data'!AD30</f>
        <v>0</v>
      </c>
      <c r="AE35" s="61" t="n">
        <f aca="false">'Food Data'!AD31</f>
        <v>0</v>
      </c>
      <c r="AF35" s="61" t="n">
        <f aca="false">'Food Data'!AD32</f>
        <v>0</v>
      </c>
      <c r="AG35" s="61" t="n">
        <f aca="false">'Food Data'!AD33</f>
        <v>0.5</v>
      </c>
      <c r="AH35" s="61" t="n">
        <f aca="false">'Food Data'!AD34</f>
        <v>0</v>
      </c>
      <c r="AI35" s="61" t="n">
        <f aca="false">'Food Data'!AD35</f>
        <v>0</v>
      </c>
      <c r="AJ35" s="61" t="n">
        <f aca="false">'Food Data'!AD36</f>
        <v>0</v>
      </c>
      <c r="AK35" s="61" t="n">
        <f aca="false">'Food Data'!AD37</f>
        <v>0.5</v>
      </c>
      <c r="AL35" s="61" t="n">
        <f aca="false">'Food Data'!AD38</f>
        <v>0</v>
      </c>
      <c r="AM35" s="61" t="n">
        <f aca="false">'Food Data'!AD39</f>
        <v>0.5</v>
      </c>
      <c r="AN35" s="61" t="n">
        <f aca="false">'Food Data'!AD40</f>
        <v>0.5</v>
      </c>
      <c r="AO35" s="61" t="n">
        <f aca="false">'Food Data'!AD41</f>
        <v>0.5</v>
      </c>
      <c r="AP35" s="61" t="n">
        <f aca="false">'Food Data'!AD42</f>
        <v>0</v>
      </c>
      <c r="AQ35" s="61" t="n">
        <f aca="false">'Food Data'!AD43</f>
        <v>0.5</v>
      </c>
      <c r="AR35" s="61" t="n">
        <f aca="false">'Food Data'!AD44</f>
        <v>0</v>
      </c>
      <c r="AS35" s="61" t="n">
        <f aca="false">'Food Data'!AD45</f>
        <v>0.5</v>
      </c>
      <c r="AT35" s="61" t="n">
        <f aca="false">'Food Data'!AD46</f>
        <v>0</v>
      </c>
      <c r="AU35" s="61" t="n">
        <f aca="false">'Food Data'!AD47</f>
        <v>0.5</v>
      </c>
      <c r="AV35" s="61" t="n">
        <f aca="false">'Food Data'!AD48</f>
        <v>0.5</v>
      </c>
      <c r="AW35" s="61" t="n">
        <f aca="false">'Food Data'!AD49</f>
        <v>0.5</v>
      </c>
      <c r="AX35" s="61" t="n">
        <f aca="false">'Food Data'!AD50</f>
        <v>0.5</v>
      </c>
      <c r="AY35" s="61" t="n">
        <f aca="false">'Food Data'!AD51</f>
        <v>0</v>
      </c>
      <c r="AZ35" s="61" t="n">
        <f aca="false">'Food Data'!AD52</f>
        <v>0</v>
      </c>
      <c r="BA35" s="61" t="n">
        <f aca="false">'Food Data'!AD53</f>
        <v>0</v>
      </c>
      <c r="BB35" s="61" t="n">
        <f aca="false">'Food Data'!AD54</f>
        <v>0</v>
      </c>
      <c r="BC35" s="61" t="n">
        <f aca="false">'Food Data'!AD55</f>
        <v>0</v>
      </c>
      <c r="BD35" s="61" t="n">
        <f aca="false">'Food Data'!AD56</f>
        <v>0</v>
      </c>
      <c r="BE35" s="61" t="n">
        <f aca="false">'Food Data'!AD57</f>
        <v>0</v>
      </c>
      <c r="BF35" s="61" t="n">
        <f aca="false">'Food Data'!AD58</f>
        <v>0</v>
      </c>
      <c r="BG35" s="61" t="n">
        <f aca="false">'Food Data'!AD59</f>
        <v>0.5</v>
      </c>
      <c r="BH35" s="61" t="n">
        <f aca="false">'Food Data'!AD60</f>
        <v>0</v>
      </c>
      <c r="BI35" s="61" t="n">
        <f aca="false">'Food Data'!AD61</f>
        <v>0.5</v>
      </c>
      <c r="BJ35" s="61" t="n">
        <f aca="false">'Food Data'!AD62</f>
        <v>0.5</v>
      </c>
      <c r="BK35" s="61" t="n">
        <f aca="false">'Food Data'!AD63</f>
        <v>0.5</v>
      </c>
      <c r="BL35" s="61" t="n">
        <f aca="false">'Food Data'!AD64</f>
        <v>0.5</v>
      </c>
      <c r="BM35" s="61" t="n">
        <f aca="false">'Food Data'!AD65</f>
        <v>0.5</v>
      </c>
      <c r="BN35" s="61" t="n">
        <f aca="false">'Food Data'!AD66</f>
        <v>0.5</v>
      </c>
      <c r="BO35" s="61" t="n">
        <f aca="false">'Food Data'!AD67</f>
        <v>0.5</v>
      </c>
      <c r="BP35" s="61" t="n">
        <f aca="false">'Food Data'!AD68</f>
        <v>0.5</v>
      </c>
      <c r="BQ35" s="61" t="n">
        <f aca="false">'Food Data'!AD69</f>
        <v>0.5</v>
      </c>
      <c r="BR35" s="61" t="n">
        <f aca="false">'Food Data'!AD70</f>
        <v>0.5</v>
      </c>
      <c r="BS35" s="61" t="n">
        <f aca="false">'Food Data'!AD71</f>
        <v>0</v>
      </c>
      <c r="BT35" s="61" t="n">
        <f aca="false">'Food Data'!AD72</f>
        <v>0.5</v>
      </c>
      <c r="BU35" s="61" t="n">
        <f aca="false">'Food Data'!AD73</f>
        <v>0</v>
      </c>
      <c r="BV35" s="61" t="n">
        <f aca="false">'Food Data'!AD74</f>
        <v>0</v>
      </c>
      <c r="BW35" s="61" t="n">
        <f aca="false">'Food Data'!AD75</f>
        <v>0</v>
      </c>
      <c r="BX35" s="61" t="n">
        <f aca="false">'Food Data'!AD76</f>
        <v>0</v>
      </c>
    </row>
    <row r="36" customFormat="false" ht="15" hidden="false" customHeight="false" outlineLevel="0" collapsed="false">
      <c r="B36" s="14" t="s">
        <v>113</v>
      </c>
      <c r="F36" s="61" t="n">
        <f aca="false">'Food Data'!AE6</f>
        <v>0</v>
      </c>
      <c r="G36" s="61" t="n">
        <f aca="false">'Food Data'!AE7</f>
        <v>0</v>
      </c>
      <c r="H36" s="61" t="n">
        <f aca="false">'Food Data'!AE8</f>
        <v>0</v>
      </c>
      <c r="I36" s="61" t="n">
        <f aca="false">'Food Data'!AE9</f>
        <v>0</v>
      </c>
      <c r="J36" s="61" t="n">
        <f aca="false">'Food Data'!AE10</f>
        <v>0</v>
      </c>
      <c r="K36" s="61" t="n">
        <f aca="false">'Food Data'!AE11</f>
        <v>0</v>
      </c>
      <c r="L36" s="61" t="n">
        <f aca="false">'Food Data'!AE12</f>
        <v>0</v>
      </c>
      <c r="M36" s="61" t="n">
        <f aca="false">'Food Data'!AE13</f>
        <v>0</v>
      </c>
      <c r="N36" s="61" t="n">
        <f aca="false">'Food Data'!AE14</f>
        <v>0</v>
      </c>
      <c r="O36" s="61" t="n">
        <f aca="false">'Food Data'!AE15</f>
        <v>0</v>
      </c>
      <c r="P36" s="61" t="n">
        <f aca="false">'Food Data'!AE16</f>
        <v>0</v>
      </c>
      <c r="Q36" s="61" t="n">
        <f aca="false">'Food Data'!AE17</f>
        <v>0</v>
      </c>
      <c r="R36" s="61" t="n">
        <f aca="false">'Food Data'!AE18</f>
        <v>0</v>
      </c>
      <c r="S36" s="61" t="n">
        <f aca="false">'Food Data'!AE19</f>
        <v>0</v>
      </c>
      <c r="T36" s="61" t="n">
        <f aca="false">'Food Data'!AE20</f>
        <v>0</v>
      </c>
      <c r="U36" s="61" t="n">
        <f aca="false">'Food Data'!AE21</f>
        <v>0</v>
      </c>
      <c r="V36" s="61" t="n">
        <f aca="false">'Food Data'!AE22</f>
        <v>0</v>
      </c>
      <c r="W36" s="61" t="n">
        <f aca="false">'Food Data'!AE23</f>
        <v>0</v>
      </c>
      <c r="X36" s="61" t="n">
        <f aca="false">'Food Data'!AE24</f>
        <v>0</v>
      </c>
      <c r="Y36" s="61" t="n">
        <f aca="false">'Food Data'!AE25</f>
        <v>0.5</v>
      </c>
      <c r="Z36" s="61" t="n">
        <f aca="false">'Food Data'!AE26</f>
        <v>0</v>
      </c>
      <c r="AA36" s="61" t="n">
        <f aca="false">'Food Data'!AE27</f>
        <v>0</v>
      </c>
      <c r="AB36" s="61" t="n">
        <f aca="false">'Food Data'!AE28</f>
        <v>0.5</v>
      </c>
      <c r="AC36" s="61" t="n">
        <f aca="false">'Food Data'!AE29</f>
        <v>0.5</v>
      </c>
      <c r="AD36" s="61" t="n">
        <f aca="false">'Food Data'!AE30</f>
        <v>0.5</v>
      </c>
      <c r="AE36" s="61" t="n">
        <f aca="false">'Food Data'!AE31</f>
        <v>0.5</v>
      </c>
      <c r="AF36" s="61" t="n">
        <f aca="false">'Food Data'!AE32</f>
        <v>0</v>
      </c>
      <c r="AG36" s="61" t="n">
        <f aca="false">'Food Data'!AE33</f>
        <v>0</v>
      </c>
      <c r="AH36" s="61" t="n">
        <f aca="false">'Food Data'!AE34</f>
        <v>0.5</v>
      </c>
      <c r="AI36" s="61" t="n">
        <f aca="false">'Food Data'!AE35</f>
        <v>1</v>
      </c>
      <c r="AJ36" s="61" t="n">
        <f aca="false">'Food Data'!AE36</f>
        <v>0</v>
      </c>
      <c r="AK36" s="61" t="n">
        <f aca="false">'Food Data'!AE37</f>
        <v>0</v>
      </c>
      <c r="AL36" s="61" t="n">
        <f aca="false">'Food Data'!AE38</f>
        <v>0</v>
      </c>
      <c r="AM36" s="61" t="n">
        <f aca="false">'Food Data'!AE39</f>
        <v>0</v>
      </c>
      <c r="AN36" s="61" t="n">
        <f aca="false">'Food Data'!AE40</f>
        <v>0</v>
      </c>
      <c r="AO36" s="61" t="n">
        <f aca="false">'Food Data'!AE41</f>
        <v>0</v>
      </c>
      <c r="AP36" s="61" t="n">
        <f aca="false">'Food Data'!AE42</f>
        <v>0</v>
      </c>
      <c r="AQ36" s="61" t="n">
        <f aca="false">'Food Data'!AE43</f>
        <v>0</v>
      </c>
      <c r="AR36" s="61" t="n">
        <f aca="false">'Food Data'!AE44</f>
        <v>0</v>
      </c>
      <c r="AS36" s="61" t="n">
        <f aca="false">'Food Data'!AE45</f>
        <v>0</v>
      </c>
      <c r="AT36" s="61" t="n">
        <f aca="false">'Food Data'!AE46</f>
        <v>0</v>
      </c>
      <c r="AU36" s="61" t="n">
        <f aca="false">'Food Data'!AE47</f>
        <v>0</v>
      </c>
      <c r="AV36" s="61" t="n">
        <f aca="false">'Food Data'!AE48</f>
        <v>0</v>
      </c>
      <c r="AW36" s="61" t="n">
        <f aca="false">'Food Data'!AE49</f>
        <v>0</v>
      </c>
      <c r="AX36" s="61" t="n">
        <f aca="false">'Food Data'!AE50</f>
        <v>0</v>
      </c>
      <c r="AY36" s="61" t="n">
        <f aca="false">'Food Data'!AE51</f>
        <v>0.5</v>
      </c>
      <c r="AZ36" s="61" t="n">
        <f aca="false">'Food Data'!AE52</f>
        <v>0.5</v>
      </c>
      <c r="BA36" s="61" t="n">
        <f aca="false">'Food Data'!AE53</f>
        <v>0</v>
      </c>
      <c r="BB36" s="61" t="n">
        <f aca="false">'Food Data'!AE54</f>
        <v>1</v>
      </c>
      <c r="BC36" s="61" t="n">
        <f aca="false">'Food Data'!AE55</f>
        <v>0</v>
      </c>
      <c r="BD36" s="61" t="n">
        <f aca="false">'Food Data'!AE56</f>
        <v>0.5</v>
      </c>
      <c r="BE36" s="61" t="n">
        <f aca="false">'Food Data'!AE57</f>
        <v>1</v>
      </c>
      <c r="BF36" s="61" t="n">
        <f aca="false">'Food Data'!AE58</f>
        <v>0.5</v>
      </c>
      <c r="BG36" s="61" t="n">
        <f aca="false">'Food Data'!AE59</f>
        <v>0</v>
      </c>
      <c r="BH36" s="61" t="n">
        <f aca="false">'Food Data'!AE60</f>
        <v>0.5</v>
      </c>
      <c r="BI36" s="61" t="n">
        <f aca="false">'Food Data'!AE61</f>
        <v>0</v>
      </c>
      <c r="BJ36" s="61" t="n">
        <f aca="false">'Food Data'!AE62</f>
        <v>0</v>
      </c>
      <c r="BK36" s="61" t="n">
        <f aca="false">'Food Data'!AE63</f>
        <v>0</v>
      </c>
      <c r="BL36" s="61" t="n">
        <f aca="false">'Food Data'!AE64</f>
        <v>0</v>
      </c>
      <c r="BM36" s="61" t="n">
        <f aca="false">'Food Data'!AE65</f>
        <v>0</v>
      </c>
      <c r="BN36" s="61" t="n">
        <f aca="false">'Food Data'!AE66</f>
        <v>0</v>
      </c>
      <c r="BO36" s="61" t="n">
        <f aca="false">'Food Data'!AE67</f>
        <v>0</v>
      </c>
      <c r="BP36" s="61" t="n">
        <f aca="false">'Food Data'!AE68</f>
        <v>0</v>
      </c>
      <c r="BQ36" s="61" t="n">
        <f aca="false">'Food Data'!AE69</f>
        <v>0</v>
      </c>
      <c r="BR36" s="61" t="n">
        <f aca="false">'Food Data'!AE70</f>
        <v>0</v>
      </c>
      <c r="BS36" s="61" t="n">
        <f aca="false">'Food Data'!AE71</f>
        <v>1</v>
      </c>
      <c r="BT36" s="61" t="n">
        <f aca="false">'Food Data'!AE72</f>
        <v>0</v>
      </c>
      <c r="BU36" s="61" t="n">
        <f aca="false">'Food Data'!AE73</f>
        <v>1</v>
      </c>
      <c r="BV36" s="61" t="n">
        <f aca="false">'Food Data'!AE74</f>
        <v>1</v>
      </c>
      <c r="BW36" s="61" t="n">
        <f aca="false">'Food Data'!AE75</f>
        <v>1</v>
      </c>
      <c r="BX36" s="61" t="n">
        <f aca="false">'Food Data'!AE76</f>
        <v>1</v>
      </c>
    </row>
    <row r="38" customFormat="false" ht="15" hidden="false" customHeight="false" outlineLevel="0" collapsed="false">
      <c r="A38" s="3" t="s">
        <v>617</v>
      </c>
    </row>
    <row r="39" customFormat="false" ht="57.75" hidden="false" customHeight="true" outlineLevel="0" collapsed="false">
      <c r="A39" s="16" t="s">
        <v>618</v>
      </c>
      <c r="B39" s="16" t="s">
        <v>619</v>
      </c>
      <c r="C39" s="16" t="s">
        <v>620</v>
      </c>
      <c r="D39" s="16" t="s">
        <v>621</v>
      </c>
      <c r="E39" s="16" t="s">
        <v>16</v>
      </c>
      <c r="F39" s="74" t="str">
        <f aca="false">F13</f>
        <v>Chicken breast (boneless, skinless)</v>
      </c>
      <c r="G39" s="74" t="str">
        <f aca="false">G13</f>
        <v>Chicken drumsticks (bone-in)</v>
      </c>
      <c r="H39" s="74" t="str">
        <f aca="false">H13</f>
        <v>Chicken thighs (boneless, skinless)</v>
      </c>
      <c r="I39" s="74" t="str">
        <f aca="false">I13</f>
        <v>Deli turkey breast (sliced)</v>
      </c>
      <c r="J39" s="74" t="str">
        <f aca="false">J13</f>
        <v>Ground turkey 93/7</v>
      </c>
      <c r="K39" s="74" t="str">
        <f aca="false">K13</f>
        <v>Bacon</v>
      </c>
      <c r="L39" s="74" t="str">
        <f aca="false">L13</f>
        <v>Ground beef 80/20</v>
      </c>
      <c r="M39" s="74" t="str">
        <f aca="false">M13</f>
        <v>Ground beef 93/7 (lean)</v>
      </c>
      <c r="N39" s="74" t="str">
        <f aca="false">N13</f>
        <v>Ham (sliced, cooked)</v>
      </c>
      <c r="O39" s="74" t="str">
        <f aca="false">O13</f>
        <v>Pork loin chops (boneless)</v>
      </c>
      <c r="P39" s="74" t="str">
        <f aca="false">P13</f>
        <v>Top sirloin steak</v>
      </c>
      <c r="Q39" s="74" t="str">
        <f aca="false">Q13</f>
        <v>Canned light tuna (in water)</v>
      </c>
      <c r="R39" s="74" t="str">
        <f aca="false">R13</f>
        <v>Salmon (Atlantic, fillet)</v>
      </c>
      <c r="S39" s="74" t="str">
        <f aca="false">S13</f>
        <v>Shrimp (raw, peeled)</v>
      </c>
      <c r="T39" s="74" t="str">
        <f aca="false">T13</f>
        <v>Tilapia (fillet)</v>
      </c>
      <c r="U39" s="74" t="str">
        <f aca="false">U13</f>
        <v>Eggs (large)</v>
      </c>
      <c r="V39" s="74" t="str">
        <f aca="false">V13</f>
        <v>Black beans (canned)</v>
      </c>
      <c r="W39" s="74" t="str">
        <f aca="false">W13</f>
        <v>Chickpeas (canned)</v>
      </c>
      <c r="X39" s="74" t="str">
        <f aca="false">X13</f>
        <v>Lentils (dry)</v>
      </c>
      <c r="Y39" s="74" t="str">
        <f aca="false">Y13</f>
        <v>Peanut butter</v>
      </c>
      <c r="Z39" s="74" t="str">
        <f aca="false">Z13</f>
        <v>Pinto beans (dry)</v>
      </c>
      <c r="AA39" s="74" t="str">
        <f aca="false">AA13</f>
        <v>Tofu (extra firm)</v>
      </c>
      <c r="AB39" s="74" t="str">
        <f aca="false">AB13</f>
        <v>2% milk</v>
      </c>
      <c r="AC39" s="74" t="str">
        <f aca="false">AC13</f>
        <v>Greek yogurt (plain, nonfat)</v>
      </c>
      <c r="AD39" s="74" t="str">
        <f aca="false">AD13</f>
        <v>Soy milk (calcium-fortified)</v>
      </c>
      <c r="AE39" s="74" t="str">
        <f aca="false">AE13</f>
        <v>Whole milk</v>
      </c>
      <c r="AF39" s="74" t="str">
        <f aca="false">AF13</f>
        <v>American cheese (singles)</v>
      </c>
      <c r="AG39" s="74" t="str">
        <f aca="false">AG13</f>
        <v>Cheddar cheese</v>
      </c>
      <c r="AH39" s="74" t="str">
        <f aca="false">AH13</f>
        <v>Cottage cheese (2%)</v>
      </c>
      <c r="AI39" s="74" t="str">
        <f aca="false">AI13</f>
        <v>Mozzarella string cheese</v>
      </c>
      <c r="AJ39" s="74" t="str">
        <f aca="false">AJ13</f>
        <v>Bagels (plain)</v>
      </c>
      <c r="AK39" s="74" t="str">
        <f aca="false">AK13</f>
        <v>Brown rice (dry)</v>
      </c>
      <c r="AL39" s="74" t="str">
        <f aca="false">AL13</f>
        <v>Cheerios</v>
      </c>
      <c r="AM39" s="74" t="str">
        <f aca="false">AM13</f>
        <v>Corn tortillas</v>
      </c>
      <c r="AN39" s="74" t="str">
        <f aca="false">AN13</f>
        <v>Flour tortillas</v>
      </c>
      <c r="AO39" s="74" t="str">
        <f aca="false">AO13</f>
        <v>Quinoa (dry)</v>
      </c>
      <c r="AP39" s="74" t="str">
        <f aca="false">AP13</f>
        <v>Rolled oats (dry)</v>
      </c>
      <c r="AQ39" s="74" t="str">
        <f aca="false">AQ13</f>
        <v>Spaghetti (dry)</v>
      </c>
      <c r="AR39" s="74" t="str">
        <f aca="false">AR13</f>
        <v>White bread</v>
      </c>
      <c r="AS39" s="74" t="str">
        <f aca="false">AS13</f>
        <v>White rice (dry)</v>
      </c>
      <c r="AT39" s="74" t="str">
        <f aca="false">AT13</f>
        <v>Whole-wheat bread</v>
      </c>
      <c r="AU39" s="74" t="str">
        <f aca="false">AU13</f>
        <v>Whole-wheat spaghetti (dry)</v>
      </c>
      <c r="AV39" s="74" t="str">
        <f aca="false">AV13</f>
        <v>Corn (frozen)</v>
      </c>
      <c r="AW39" s="74" t="str">
        <f aca="false">AW13</f>
        <v>Potatoes (russet)</v>
      </c>
      <c r="AX39" s="74" t="str">
        <f aca="false">AX13</f>
        <v>Sweet potatoes</v>
      </c>
      <c r="AY39" s="74" t="str">
        <f aca="false">AY13</f>
        <v>Apples (Gala)</v>
      </c>
      <c r="AZ39" s="74" t="str">
        <f aca="false">AZ13</f>
        <v>Bananas</v>
      </c>
      <c r="BA39" s="74" t="str">
        <f aca="false">BA13</f>
        <v>Blueberries (frozen)</v>
      </c>
      <c r="BB39" s="74" t="str">
        <f aca="false">BB13</f>
        <v>Grapes (red seedless)</v>
      </c>
      <c r="BC39" s="74" t="str">
        <f aca="false">BC13</f>
        <v>Orange juice (100%)</v>
      </c>
      <c r="BD39" s="74" t="str">
        <f aca="false">BD13</f>
        <v>Oranges (navel)</v>
      </c>
      <c r="BE39" s="74" t="str">
        <f aca="false">BE13</f>
        <v>Raisins</v>
      </c>
      <c r="BF39" s="74" t="str">
        <f aca="false">BF13</f>
        <v>Strawberries</v>
      </c>
      <c r="BG39" s="74" t="str">
        <f aca="false">BG13</f>
        <v>Broccoli (frozen)</v>
      </c>
      <c r="BH39" s="74" t="str">
        <f aca="false">BH13</f>
        <v>Carrots</v>
      </c>
      <c r="BI39" s="74" t="str">
        <f aca="false">BI13</f>
        <v>Green beans (canned)</v>
      </c>
      <c r="BJ39" s="74" t="str">
        <f aca="false">BJ13</f>
        <v>Green bell pepper</v>
      </c>
      <c r="BK39" s="74" t="str">
        <f aca="false">BK13</f>
        <v>Mixed vegetables (frozen)</v>
      </c>
      <c r="BL39" s="74" t="str">
        <f aca="false">BL13</f>
        <v>Onions (yellow)</v>
      </c>
      <c r="BM39" s="74" t="str">
        <f aca="false">BM13</f>
        <v>Romaine lettuce</v>
      </c>
      <c r="BN39" s="74" t="str">
        <f aca="false">BN13</f>
        <v>Spinach (fresh)</v>
      </c>
      <c r="BO39" s="74" t="str">
        <f aca="false">BO13</f>
        <v>Tomatoes (roma)</v>
      </c>
      <c r="BP39" s="74" t="str">
        <f aca="false">BP13</f>
        <v>Butter (salted)</v>
      </c>
      <c r="BQ39" s="74" t="str">
        <f aca="false">BQ13</f>
        <v>Canola oil</v>
      </c>
      <c r="BR39" s="74" t="str">
        <f aca="false">BR13</f>
        <v>Olive oil (extra virgin)</v>
      </c>
      <c r="BS39" s="74" t="str">
        <f aca="false">BS13</f>
        <v>Almonds</v>
      </c>
      <c r="BT39" s="74" t="str">
        <f aca="false">BT13</f>
        <v>Avocado (Hass)</v>
      </c>
      <c r="BU39" s="74" t="str">
        <f aca="false">BU13</f>
        <v>Chocolate chip cookies</v>
      </c>
      <c r="BV39" s="74" t="str">
        <f aca="false">BV13</f>
        <v>Granola bars (chocolate chip)</v>
      </c>
      <c r="BW39" s="74" t="str">
        <f aca="false">BW13</f>
        <v>Potato chips</v>
      </c>
      <c r="BX39" s="74" t="str">
        <f aca="false">BX13</f>
        <v>Vanilla ice cream</v>
      </c>
    </row>
    <row r="40" customFormat="false" ht="15" hidden="false" customHeight="false" outlineLevel="0" collapsed="false">
      <c r="A40" s="4" t="s">
        <v>622</v>
      </c>
      <c r="B40" s="75" t="s">
        <v>623</v>
      </c>
      <c r="C40" s="76" t="n">
        <f aca="false">Planner!$E$16*(1-Planner!$C$42)</f>
        <v>2878.5</v>
      </c>
      <c r="D40" s="77" t="n">
        <f aca="false" t="array" ref="D40:D107">MMULT(F40:BX107,C112:C182)</f>
        <v>2878.500000161</v>
      </c>
      <c r="E40" s="75" t="str">
        <f aca="false">IF(D40&gt;=C40-0.000001*MAX(1,ABS(C40)),IF(ABS(D40-C40)&lt;=0.000001*MAX(1,ABS(C40)),"tight","ok"),"VIOLATED")</f>
        <v>tight</v>
      </c>
      <c r="F40" s="25" t="n">
        <f aca="false">F$20</f>
        <v>120</v>
      </c>
      <c r="G40" s="25" t="n">
        <f aca="false">G$20</f>
        <v>161</v>
      </c>
      <c r="H40" s="25" t="n">
        <f aca="false">H$20</f>
        <v>121</v>
      </c>
      <c r="I40" s="25" t="n">
        <f aca="false">I$20</f>
        <v>100</v>
      </c>
      <c r="J40" s="25" t="n">
        <f aca="false">J$20</f>
        <v>150</v>
      </c>
      <c r="K40" s="25" t="n">
        <f aca="false">K$20</f>
        <v>417</v>
      </c>
      <c r="L40" s="25" t="n">
        <f aca="false">L$20</f>
        <v>254</v>
      </c>
      <c r="M40" s="25" t="n">
        <f aca="false">M$20</f>
        <v>152</v>
      </c>
      <c r="N40" s="25" t="n">
        <f aca="false">N$20</f>
        <v>163</v>
      </c>
      <c r="O40" s="25" t="n">
        <f aca="false">O$20</f>
        <v>201</v>
      </c>
      <c r="P40" s="25" t="n">
        <f aca="false">P$20</f>
        <v>214</v>
      </c>
      <c r="Q40" s="25" t="n">
        <f aca="false">Q$20</f>
        <v>86</v>
      </c>
      <c r="R40" s="25" t="n">
        <f aca="false">R$20</f>
        <v>208</v>
      </c>
      <c r="S40" s="25" t="n">
        <f aca="false">S$20</f>
        <v>71</v>
      </c>
      <c r="T40" s="25" t="n">
        <f aca="false">T$20</f>
        <v>96</v>
      </c>
      <c r="U40" s="25" t="n">
        <f aca="false">U$20</f>
        <v>143</v>
      </c>
      <c r="V40" s="25" t="n">
        <f aca="false">V$20</f>
        <v>91</v>
      </c>
      <c r="W40" s="25" t="n">
        <f aca="false">W$20</f>
        <v>88</v>
      </c>
      <c r="X40" s="25" t="n">
        <f aca="false">X$20</f>
        <v>352</v>
      </c>
      <c r="Y40" s="25" t="n">
        <f aca="false">Y$20</f>
        <v>598</v>
      </c>
      <c r="Z40" s="25" t="n">
        <f aca="false">Z$20</f>
        <v>347</v>
      </c>
      <c r="AA40" s="25" t="n">
        <f aca="false">AA$20</f>
        <v>98</v>
      </c>
      <c r="AB40" s="25" t="n">
        <f aca="false">AB$20</f>
        <v>50</v>
      </c>
      <c r="AC40" s="25" t="n">
        <f aca="false">AC$20</f>
        <v>59</v>
      </c>
      <c r="AD40" s="25" t="n">
        <f aca="false">AD$20</f>
        <v>43</v>
      </c>
      <c r="AE40" s="25" t="n">
        <f aca="false">AE$20</f>
        <v>61</v>
      </c>
      <c r="AF40" s="25" t="n">
        <f aca="false">AF$20</f>
        <v>366</v>
      </c>
      <c r="AG40" s="25" t="n">
        <f aca="false">AG$20</f>
        <v>404</v>
      </c>
      <c r="AH40" s="25" t="n">
        <f aca="false">AH$20</f>
        <v>81</v>
      </c>
      <c r="AI40" s="25" t="n">
        <f aca="false">AI$20</f>
        <v>295</v>
      </c>
      <c r="AJ40" s="25" t="n">
        <f aca="false">AJ$20</f>
        <v>264</v>
      </c>
      <c r="AK40" s="25" t="n">
        <f aca="false">AK$20</f>
        <v>367</v>
      </c>
      <c r="AL40" s="25" t="n">
        <f aca="false">AL$20</f>
        <v>376</v>
      </c>
      <c r="AM40" s="25" t="n">
        <f aca="false">AM$20</f>
        <v>218</v>
      </c>
      <c r="AN40" s="25" t="n">
        <f aca="false">AN$20</f>
        <v>297</v>
      </c>
      <c r="AO40" s="25" t="n">
        <f aca="false">AO$20</f>
        <v>368</v>
      </c>
      <c r="AP40" s="25" t="n">
        <f aca="false">AP$20</f>
        <v>379</v>
      </c>
      <c r="AQ40" s="25" t="n">
        <f aca="false">AQ$20</f>
        <v>371</v>
      </c>
      <c r="AR40" s="25" t="n">
        <f aca="false">AR$20</f>
        <v>266</v>
      </c>
      <c r="AS40" s="25" t="n">
        <f aca="false">AS$20</f>
        <v>365</v>
      </c>
      <c r="AT40" s="25" t="n">
        <f aca="false">AT$20</f>
        <v>252</v>
      </c>
      <c r="AU40" s="25" t="n">
        <f aca="false">AU$20</f>
        <v>352</v>
      </c>
      <c r="AV40" s="25" t="n">
        <f aca="false">AV$20</f>
        <v>88</v>
      </c>
      <c r="AW40" s="25" t="n">
        <f aca="false">AW$20</f>
        <v>77</v>
      </c>
      <c r="AX40" s="25" t="n">
        <f aca="false">AX$20</f>
        <v>86</v>
      </c>
      <c r="AY40" s="25" t="n">
        <f aca="false">AY$20</f>
        <v>52</v>
      </c>
      <c r="AZ40" s="25" t="n">
        <f aca="false">AZ$20</f>
        <v>89</v>
      </c>
      <c r="BA40" s="25" t="n">
        <f aca="false">BA$20</f>
        <v>51</v>
      </c>
      <c r="BB40" s="25" t="n">
        <f aca="false">BB$20</f>
        <v>69</v>
      </c>
      <c r="BC40" s="25" t="n">
        <f aca="false">BC$20</f>
        <v>49</v>
      </c>
      <c r="BD40" s="25" t="n">
        <f aca="false">BD$20</f>
        <v>49</v>
      </c>
      <c r="BE40" s="25" t="n">
        <f aca="false">BE$20</f>
        <v>299</v>
      </c>
      <c r="BF40" s="25" t="n">
        <f aca="false">BF$20</f>
        <v>32</v>
      </c>
      <c r="BG40" s="25" t="n">
        <f aca="false">BG$20</f>
        <v>29</v>
      </c>
      <c r="BH40" s="25" t="n">
        <f aca="false">BH$20</f>
        <v>41</v>
      </c>
      <c r="BI40" s="25" t="n">
        <f aca="false">BI$20</f>
        <v>15</v>
      </c>
      <c r="BJ40" s="25" t="n">
        <f aca="false">BJ$20</f>
        <v>20</v>
      </c>
      <c r="BK40" s="25" t="n">
        <f aca="false">BK$20</f>
        <v>72</v>
      </c>
      <c r="BL40" s="25" t="n">
        <f aca="false">BL$20</f>
        <v>40</v>
      </c>
      <c r="BM40" s="25" t="n">
        <f aca="false">BM$20</f>
        <v>17</v>
      </c>
      <c r="BN40" s="25" t="n">
        <f aca="false">BN$20</f>
        <v>23</v>
      </c>
      <c r="BO40" s="25" t="n">
        <f aca="false">BO$20</f>
        <v>18</v>
      </c>
      <c r="BP40" s="25" t="n">
        <f aca="false">BP$20</f>
        <v>717</v>
      </c>
      <c r="BQ40" s="25" t="n">
        <f aca="false">BQ$20</f>
        <v>884</v>
      </c>
      <c r="BR40" s="25" t="n">
        <f aca="false">BR$20</f>
        <v>884</v>
      </c>
      <c r="BS40" s="25" t="n">
        <f aca="false">BS$20</f>
        <v>579</v>
      </c>
      <c r="BT40" s="25" t="n">
        <f aca="false">BT$20</f>
        <v>167</v>
      </c>
      <c r="BU40" s="25" t="n">
        <f aca="false">BU$20</f>
        <v>492</v>
      </c>
      <c r="BV40" s="25" t="n">
        <f aca="false">BV$20</f>
        <v>418</v>
      </c>
      <c r="BW40" s="25" t="n">
        <f aca="false">BW$20</f>
        <v>532</v>
      </c>
      <c r="BX40" s="25" t="n">
        <f aca="false">BX$20</f>
        <v>207</v>
      </c>
    </row>
    <row r="41" customFormat="false" ht="15" hidden="false" customHeight="false" outlineLevel="0" collapsed="false">
      <c r="A41" s="4" t="s">
        <v>624</v>
      </c>
      <c r="B41" s="75" t="s">
        <v>623</v>
      </c>
      <c r="C41" s="76" t="n">
        <f aca="false">N(Planner!$E$17)</f>
        <v>112</v>
      </c>
      <c r="D41" s="77" t="n">
        <v>111.99999999498</v>
      </c>
      <c r="E41" s="75" t="str">
        <f aca="false">IF(D41&gt;=C41-0.000001*MAX(1,ABS(C41)),IF(ABS(D41-C41)&lt;=0.000001*MAX(1,ABS(C41)),"tight","ok"),"VIOLATED")</f>
        <v>tight</v>
      </c>
      <c r="F41" s="25" t="n">
        <f aca="false">F$21</f>
        <v>22.5</v>
      </c>
      <c r="G41" s="25" t="n">
        <f aca="false">G$21</f>
        <v>18.08</v>
      </c>
      <c r="H41" s="25" t="n">
        <f aca="false">H$21</f>
        <v>19.66</v>
      </c>
      <c r="I41" s="25" t="n">
        <f aca="false">I$21</f>
        <v>16.33</v>
      </c>
      <c r="J41" s="25" t="n">
        <f aca="false">J$21</f>
        <v>18.73</v>
      </c>
      <c r="K41" s="25" t="n">
        <f aca="false">K$21</f>
        <v>12.62</v>
      </c>
      <c r="L41" s="25" t="n">
        <f aca="false">L$21</f>
        <v>17.17</v>
      </c>
      <c r="M41" s="25" t="n">
        <f aca="false">M$21</f>
        <v>20.85</v>
      </c>
      <c r="N41" s="25" t="n">
        <f aca="false">N$21</f>
        <v>16.6</v>
      </c>
      <c r="O41" s="25" t="n">
        <f aca="false">O$21</f>
        <v>21.14</v>
      </c>
      <c r="P41" s="25" t="n">
        <f aca="false">P$21</f>
        <v>19.92</v>
      </c>
      <c r="Q41" s="25" t="n">
        <f aca="false">Q$21</f>
        <v>19.44</v>
      </c>
      <c r="R41" s="25" t="n">
        <f aca="false">R$21</f>
        <v>20.42</v>
      </c>
      <c r="S41" s="25" t="n">
        <f aca="false">S$21</f>
        <v>13.61</v>
      </c>
      <c r="T41" s="25" t="n">
        <f aca="false">T$21</f>
        <v>20.08</v>
      </c>
      <c r="U41" s="25" t="n">
        <f aca="false">U$21</f>
        <v>12.56</v>
      </c>
      <c r="V41" s="25" t="n">
        <f aca="false">V$21</f>
        <v>6.03</v>
      </c>
      <c r="W41" s="25" t="n">
        <f aca="false">W$21</f>
        <v>4.92</v>
      </c>
      <c r="X41" s="25" t="n">
        <f aca="false">X$21</f>
        <v>24.63</v>
      </c>
      <c r="Y41" s="25" t="n">
        <f aca="false">Y$21</f>
        <v>22.21</v>
      </c>
      <c r="Z41" s="25" t="n">
        <f aca="false">Z$21</f>
        <v>21.42</v>
      </c>
      <c r="AA41" s="25" t="n">
        <f aca="false">AA$21</f>
        <v>10.1</v>
      </c>
      <c r="AB41" s="25" t="n">
        <f aca="false">AB$21</f>
        <v>3.3</v>
      </c>
      <c r="AC41" s="25" t="n">
        <f aca="false">AC$21</f>
        <v>10.19</v>
      </c>
      <c r="AD41" s="25" t="n">
        <f aca="false">AD$21</f>
        <v>2.6</v>
      </c>
      <c r="AE41" s="25" t="n">
        <f aca="false">AE$21</f>
        <v>3.15</v>
      </c>
      <c r="AF41" s="25" t="n">
        <f aca="false">AF$21</f>
        <v>18.13</v>
      </c>
      <c r="AG41" s="25" t="n">
        <f aca="false">AG$21</f>
        <v>22.87</v>
      </c>
      <c r="AH41" s="25" t="n">
        <f aca="false">AH$21</f>
        <v>10.45</v>
      </c>
      <c r="AI41" s="25" t="n">
        <f aca="false">AI$21</f>
        <v>23.75</v>
      </c>
      <c r="AJ41" s="25" t="n">
        <f aca="false">AJ$21</f>
        <v>10.56</v>
      </c>
      <c r="AK41" s="25" t="n">
        <f aca="false">AK$21</f>
        <v>7.54</v>
      </c>
      <c r="AL41" s="25" t="n">
        <f aca="false">AL$21</f>
        <v>12.09</v>
      </c>
      <c r="AM41" s="25" t="n">
        <f aca="false">AM$21</f>
        <v>5.7</v>
      </c>
      <c r="AN41" s="25" t="n">
        <f aca="false">AN$21</f>
        <v>8.01</v>
      </c>
      <c r="AO41" s="25" t="n">
        <f aca="false">AO$21</f>
        <v>14.12</v>
      </c>
      <c r="AP41" s="25" t="n">
        <f aca="false">AP$21</f>
        <v>13.15</v>
      </c>
      <c r="AQ41" s="25" t="n">
        <f aca="false">AQ$21</f>
        <v>13.04</v>
      </c>
      <c r="AR41" s="25" t="n">
        <f aca="false">AR$21</f>
        <v>8.85</v>
      </c>
      <c r="AS41" s="25" t="n">
        <f aca="false">AS$21</f>
        <v>7.13</v>
      </c>
      <c r="AT41" s="25" t="n">
        <f aca="false">AT$21</f>
        <v>12.45</v>
      </c>
      <c r="AU41" s="25" t="n">
        <f aca="false">AU$21</f>
        <v>13.87</v>
      </c>
      <c r="AV41" s="25" t="n">
        <f aca="false">AV$21</f>
        <v>3.02</v>
      </c>
      <c r="AW41" s="25" t="n">
        <f aca="false">AW$21</f>
        <v>2.05</v>
      </c>
      <c r="AX41" s="25" t="n">
        <f aca="false">AX$21</f>
        <v>1.57</v>
      </c>
      <c r="AY41" s="25" t="n">
        <f aca="false">AY$21</f>
        <v>0.26</v>
      </c>
      <c r="AZ41" s="25" t="n">
        <f aca="false">AZ$21</f>
        <v>1.09</v>
      </c>
      <c r="BA41" s="25" t="n">
        <f aca="false">BA$21</f>
        <v>0.42</v>
      </c>
      <c r="BB41" s="25" t="n">
        <f aca="false">BB$21</f>
        <v>0.72</v>
      </c>
      <c r="BC41" s="25" t="n">
        <f aca="false">BC$21</f>
        <v>0.68</v>
      </c>
      <c r="BD41" s="25" t="n">
        <f aca="false">BD$21</f>
        <v>0.91</v>
      </c>
      <c r="BE41" s="25" t="n">
        <f aca="false">BE$21</f>
        <v>3.07</v>
      </c>
      <c r="BF41" s="25" t="n">
        <f aca="false">BF$21</f>
        <v>0.67</v>
      </c>
      <c r="BG41" s="25" t="n">
        <f aca="false">BG$21</f>
        <v>3.06</v>
      </c>
      <c r="BH41" s="25" t="n">
        <f aca="false">BH$21</f>
        <v>0.93</v>
      </c>
      <c r="BI41" s="25" t="n">
        <f aca="false">BI$21</f>
        <v>0.72</v>
      </c>
      <c r="BJ41" s="25" t="n">
        <f aca="false">BJ$21</f>
        <v>0.86</v>
      </c>
      <c r="BK41" s="25" t="n">
        <f aca="false">BK$21</f>
        <v>3.33</v>
      </c>
      <c r="BL41" s="25" t="n">
        <f aca="false">BL$21</f>
        <v>1.1</v>
      </c>
      <c r="BM41" s="25" t="n">
        <f aca="false">BM$21</f>
        <v>1.23</v>
      </c>
      <c r="BN41" s="25" t="n">
        <f aca="false">BN$21</f>
        <v>2.86</v>
      </c>
      <c r="BO41" s="25" t="n">
        <f aca="false">BO$21</f>
        <v>0.88</v>
      </c>
      <c r="BP41" s="25" t="n">
        <f aca="false">BP$21</f>
        <v>0.85</v>
      </c>
      <c r="BQ41" s="25" t="n">
        <f aca="false">BQ$21</f>
        <v>0</v>
      </c>
      <c r="BR41" s="25" t="n">
        <f aca="false">BR$21</f>
        <v>0</v>
      </c>
      <c r="BS41" s="25" t="n">
        <f aca="false">BS$21</f>
        <v>21.15</v>
      </c>
      <c r="BT41" s="25" t="n">
        <f aca="false">BT$21</f>
        <v>1.96</v>
      </c>
      <c r="BU41" s="25" t="n">
        <f aca="false">BU$21</f>
        <v>5.1</v>
      </c>
      <c r="BV41" s="25" t="n">
        <f aca="false">BV$21</f>
        <v>5.65</v>
      </c>
      <c r="BW41" s="25" t="n">
        <f aca="false">BW$21</f>
        <v>6.39</v>
      </c>
      <c r="BX41" s="25" t="n">
        <f aca="false">BX$21</f>
        <v>3.5</v>
      </c>
    </row>
    <row r="42" customFormat="false" ht="15" hidden="false" customHeight="false" outlineLevel="0" collapsed="false">
      <c r="A42" s="4" t="s">
        <v>625</v>
      </c>
      <c r="B42" s="75" t="s">
        <v>626</v>
      </c>
      <c r="C42" s="78" t="n">
        <v>0</v>
      </c>
      <c r="D42" s="77" t="n">
        <v>160.14999996382</v>
      </c>
      <c r="E42" s="75" t="str">
        <f aca="false">IF(D42&gt;=C42-0.000001*MAX(1,ABS(C42)),IF(ABS(D42-C42)&lt;=0.000001*MAX(1,ABS(C42)),"tight","ok"),"VIOLATED")</f>
        <v>ok</v>
      </c>
      <c r="F42" s="25" t="n">
        <f aca="false">4*F$21-$C$8*F$20</f>
        <v>78</v>
      </c>
      <c r="G42" s="25" t="n">
        <f aca="false">4*G$21-$C$8*G$20</f>
        <v>56.22</v>
      </c>
      <c r="H42" s="25" t="n">
        <f aca="false">4*H$21-$C$8*H$20</f>
        <v>66.54</v>
      </c>
      <c r="I42" s="25" t="n">
        <f aca="false">4*I$21-$C$8*I$20</f>
        <v>55.32</v>
      </c>
      <c r="J42" s="25" t="n">
        <f aca="false">4*J$21-$C$8*J$20</f>
        <v>59.92</v>
      </c>
      <c r="K42" s="25" t="n">
        <f aca="false">4*K$21-$C$8*K$20</f>
        <v>8.77999999999999</v>
      </c>
      <c r="L42" s="25" t="n">
        <f aca="false">4*L$21-$C$8*L$20</f>
        <v>43.28</v>
      </c>
      <c r="M42" s="25" t="n">
        <f aca="false">4*M$21-$C$8*M$20</f>
        <v>68.2</v>
      </c>
      <c r="N42" s="25" t="n">
        <f aca="false">4*N$21-$C$8*N$20</f>
        <v>50.1</v>
      </c>
      <c r="O42" s="25" t="n">
        <f aca="false">4*O$21-$C$8*O$20</f>
        <v>64.46</v>
      </c>
      <c r="P42" s="25" t="n">
        <f aca="false">4*P$21-$C$8*P$20</f>
        <v>58.28</v>
      </c>
      <c r="Q42" s="25" t="n">
        <f aca="false">4*Q$21-$C$8*Q$20</f>
        <v>69.16</v>
      </c>
      <c r="R42" s="25" t="n">
        <f aca="false">4*R$21-$C$8*R$20</f>
        <v>60.88</v>
      </c>
      <c r="S42" s="25" t="n">
        <f aca="false">4*S$21-$C$8*S$20</f>
        <v>47.34</v>
      </c>
      <c r="T42" s="25" t="n">
        <f aca="false">4*T$21-$C$8*T$20</f>
        <v>70.72</v>
      </c>
      <c r="U42" s="25" t="n">
        <f aca="false">4*U$21-$C$8*U$20</f>
        <v>35.94</v>
      </c>
      <c r="V42" s="25" t="n">
        <f aca="false">4*V$21-$C$8*V$20</f>
        <v>15.02</v>
      </c>
      <c r="W42" s="25" t="n">
        <f aca="false">4*W$21-$C$8*W$20</f>
        <v>10.88</v>
      </c>
      <c r="X42" s="25" t="n">
        <f aca="false">4*X$21-$C$8*X$20</f>
        <v>63.32</v>
      </c>
      <c r="Y42" s="25" t="n">
        <f aca="false">4*Y$21-$C$8*Y$20</f>
        <v>29.04</v>
      </c>
      <c r="Z42" s="25" t="n">
        <f aca="false">4*Z$21-$C$8*Z$20</f>
        <v>50.98</v>
      </c>
      <c r="AA42" s="25" t="n">
        <f aca="false">4*AA$21-$C$8*AA$20</f>
        <v>30.6</v>
      </c>
      <c r="AB42" s="25" t="n">
        <f aca="false">4*AB$21-$C$8*AB$20</f>
        <v>8.2</v>
      </c>
      <c r="AC42" s="25" t="n">
        <f aca="false">4*AC$21-$C$8*AC$20</f>
        <v>34.86</v>
      </c>
      <c r="AD42" s="25" t="n">
        <f aca="false">4*AD$21-$C$8*AD$20</f>
        <v>6.1</v>
      </c>
      <c r="AE42" s="25" t="n">
        <f aca="false">4*AE$21-$C$8*AE$20</f>
        <v>6.5</v>
      </c>
      <c r="AF42" s="25" t="n">
        <f aca="false">4*AF$21-$C$8*AF$20</f>
        <v>35.92</v>
      </c>
      <c r="AG42" s="25" t="n">
        <f aca="false">4*AG$21-$C$8*AG$20</f>
        <v>51.08</v>
      </c>
      <c r="AH42" s="25" t="n">
        <f aca="false">4*AH$21-$C$8*AH$20</f>
        <v>33.7</v>
      </c>
      <c r="AI42" s="25" t="n">
        <f aca="false">4*AI$21-$C$8*AI$20</f>
        <v>65.5</v>
      </c>
      <c r="AJ42" s="25" t="n">
        <f aca="false">4*AJ$21-$C$8*AJ$20</f>
        <v>15.84</v>
      </c>
      <c r="AK42" s="25" t="n">
        <f aca="false">4*AK$21-$C$8*AK$20</f>
        <v>-6.54</v>
      </c>
      <c r="AL42" s="25" t="n">
        <f aca="false">4*AL$21-$C$8*AL$20</f>
        <v>10.76</v>
      </c>
      <c r="AM42" s="25" t="n">
        <f aca="false">4*AM$21-$C$8*AM$20</f>
        <v>1</v>
      </c>
      <c r="AN42" s="25" t="n">
        <f aca="false">4*AN$21-$C$8*AN$20</f>
        <v>2.34</v>
      </c>
      <c r="AO42" s="25" t="n">
        <f aca="false">4*AO$21-$C$8*AO$20</f>
        <v>19.68</v>
      </c>
      <c r="AP42" s="25" t="n">
        <f aca="false">4*AP$21-$C$8*AP$20</f>
        <v>14.7</v>
      </c>
      <c r="AQ42" s="25" t="n">
        <f aca="false">4*AQ$21-$C$8*AQ$20</f>
        <v>15.06</v>
      </c>
      <c r="AR42" s="25" t="n">
        <f aca="false">4*AR$21-$C$8*AR$20</f>
        <v>8.8</v>
      </c>
      <c r="AS42" s="25" t="n">
        <f aca="false">4*AS$21-$C$8*AS$20</f>
        <v>-7.98</v>
      </c>
      <c r="AT42" s="25" t="n">
        <f aca="false">4*AT$21-$C$8*AT$20</f>
        <v>24.6</v>
      </c>
      <c r="AU42" s="25" t="n">
        <f aca="false">4*AU$21-$C$8*AU$20</f>
        <v>20.28</v>
      </c>
      <c r="AV42" s="25" t="n">
        <f aca="false">4*AV$21-$C$8*AV$20</f>
        <v>3.28</v>
      </c>
      <c r="AW42" s="25" t="n">
        <f aca="false">4*AW$21-$C$8*AW$20</f>
        <v>0.499999999999999</v>
      </c>
      <c r="AX42" s="25" t="n">
        <f aca="false">4*AX$21-$C$8*AX$20</f>
        <v>-2.32</v>
      </c>
      <c r="AY42" s="25" t="n">
        <f aca="false">4*AY$21-$C$8*AY$20</f>
        <v>-4.16</v>
      </c>
      <c r="AZ42" s="25" t="n">
        <f aca="false">4*AZ$21-$C$8*AZ$20</f>
        <v>-4.54</v>
      </c>
      <c r="BA42" s="25" t="n">
        <f aca="false">4*BA$21-$C$8*BA$20</f>
        <v>-3.42</v>
      </c>
      <c r="BB42" s="25" t="n">
        <f aca="false">4*BB$21-$C$8*BB$20</f>
        <v>-4.02</v>
      </c>
      <c r="BC42" s="25" t="n">
        <f aca="false">4*BC$21-$C$8*BC$20</f>
        <v>-2.18</v>
      </c>
      <c r="BD42" s="25" t="n">
        <f aca="false">4*BD$21-$C$8*BD$20</f>
        <v>-1.26</v>
      </c>
      <c r="BE42" s="25" t="n">
        <f aca="false">4*BE$21-$C$8*BE$20</f>
        <v>-17.62</v>
      </c>
      <c r="BF42" s="25" t="n">
        <f aca="false">4*BF$21-$C$8*BF$20</f>
        <v>-0.52</v>
      </c>
      <c r="BG42" s="25" t="n">
        <f aca="false">4*BG$21-$C$8*BG$20</f>
        <v>9.34</v>
      </c>
      <c r="BH42" s="25" t="n">
        <f aca="false">4*BH$21-$C$8*BH$20</f>
        <v>-0.38</v>
      </c>
      <c r="BI42" s="25" t="n">
        <f aca="false">4*BI$21-$C$8*BI$20</f>
        <v>1.38</v>
      </c>
      <c r="BJ42" s="25" t="n">
        <f aca="false">4*BJ$21-$C$8*BJ$20</f>
        <v>1.44</v>
      </c>
      <c r="BK42" s="25" t="n">
        <f aca="false">4*BK$21-$C$8*BK$20</f>
        <v>6.12</v>
      </c>
      <c r="BL42" s="25" t="n">
        <f aca="false">4*BL$21-$C$8*BL$20</f>
        <v>0.4</v>
      </c>
      <c r="BM42" s="25" t="n">
        <f aca="false">4*BM$21-$C$8*BM$20</f>
        <v>3.22</v>
      </c>
      <c r="BN42" s="25" t="n">
        <f aca="false">4*BN$21-$C$8*BN$20</f>
        <v>9.14</v>
      </c>
      <c r="BO42" s="25" t="n">
        <f aca="false">4*BO$21-$C$8*BO$20</f>
        <v>1.72</v>
      </c>
      <c r="BP42" s="25" t="n">
        <f aca="false">4*BP$21-$C$8*BP$20</f>
        <v>-68.3</v>
      </c>
      <c r="BQ42" s="25" t="n">
        <f aca="false">4*BQ$21-$C$8*BQ$20</f>
        <v>-88.4</v>
      </c>
      <c r="BR42" s="25" t="n">
        <f aca="false">4*BR$21-$C$8*BR$20</f>
        <v>-88.4</v>
      </c>
      <c r="BS42" s="25" t="n">
        <f aca="false">4*BS$21-$C$8*BS$20</f>
        <v>26.7</v>
      </c>
      <c r="BT42" s="25" t="n">
        <f aca="false">4*BT$21-$C$8*BT$20</f>
        <v>-8.86</v>
      </c>
      <c r="BU42" s="25" t="n">
        <f aca="false">4*BU$21-$C$8*BU$20</f>
        <v>-28.8</v>
      </c>
      <c r="BV42" s="25" t="n">
        <f aca="false">4*BV$21-$C$8*BV$20</f>
        <v>-19.2</v>
      </c>
      <c r="BW42" s="25" t="n">
        <f aca="false">4*BW$21-$C$8*BW$20</f>
        <v>-27.64</v>
      </c>
      <c r="BX42" s="25" t="n">
        <f aca="false">4*BX$21-$C$8*BX$20</f>
        <v>-6.7</v>
      </c>
    </row>
    <row r="43" customFormat="false" ht="15" hidden="false" customHeight="false" outlineLevel="0" collapsed="false">
      <c r="A43" s="4" t="s">
        <v>627</v>
      </c>
      <c r="B43" s="75" t="s">
        <v>626</v>
      </c>
      <c r="C43" s="78" t="n">
        <v>0</v>
      </c>
      <c r="D43" s="77" t="n">
        <v>575.69999984639</v>
      </c>
      <c r="E43" s="75" t="str">
        <f aca="false">IF(D43&gt;=C43-0.000001*MAX(1,ABS(C43)),IF(ABS(D43-C43)&lt;=0.000001*MAX(1,ABS(C43)),"tight","ok"),"VIOLATED")</f>
        <v>ok</v>
      </c>
      <c r="F43" s="25" t="n">
        <f aca="false">4*F$22-$C$9*F$20</f>
        <v>-54</v>
      </c>
      <c r="G43" s="25" t="n">
        <f aca="false">4*G$22-$C$9*G$20</f>
        <v>-72.01</v>
      </c>
      <c r="H43" s="25" t="n">
        <f aca="false">4*H$22-$C$9*H$20</f>
        <v>-54.45</v>
      </c>
      <c r="I43" s="25" t="n">
        <f aca="false">4*I$22-$C$9*I$20</f>
        <v>-35.64</v>
      </c>
      <c r="J43" s="25" t="n">
        <f aca="false">4*J$22-$C$9*J$20</f>
        <v>-67.5</v>
      </c>
      <c r="K43" s="25" t="n">
        <f aca="false">4*K$22-$C$9*K$20</f>
        <v>-182.53</v>
      </c>
      <c r="L43" s="25" t="n">
        <f aca="false">4*L$22-$C$9*L$20</f>
        <v>-114.3</v>
      </c>
      <c r="M43" s="25" t="n">
        <f aca="false">4*M$22-$C$9*M$20</f>
        <v>-68.4</v>
      </c>
      <c r="N43" s="25" t="n">
        <f aca="false">4*N$22-$C$9*N$20</f>
        <v>-58.03</v>
      </c>
      <c r="O43" s="25" t="n">
        <f aca="false">4*O$22-$C$9*O$20</f>
        <v>-90.45</v>
      </c>
      <c r="P43" s="25" t="n">
        <f aca="false">4*P$22-$C$9*P$20</f>
        <v>-96.3</v>
      </c>
      <c r="Q43" s="25" t="n">
        <f aca="false">4*Q$22-$C$9*Q$20</f>
        <v>-38.7</v>
      </c>
      <c r="R43" s="25" t="n">
        <f aca="false">4*R$22-$C$9*R$20</f>
        <v>-93.6</v>
      </c>
      <c r="S43" s="25" t="n">
        <f aca="false">4*S$22-$C$9*S$20</f>
        <v>-28.31</v>
      </c>
      <c r="T43" s="25" t="n">
        <f aca="false">4*T$22-$C$9*T$20</f>
        <v>-43.2</v>
      </c>
      <c r="U43" s="25" t="n">
        <f aca="false">4*U$22-$C$9*U$20</f>
        <v>-61.47</v>
      </c>
      <c r="V43" s="25" t="n">
        <f aca="false">4*V$22-$C$9*V$20</f>
        <v>25.25</v>
      </c>
      <c r="W43" s="25" t="n">
        <f aca="false">4*W$22-$C$9*W$20</f>
        <v>14.36</v>
      </c>
      <c r="X43" s="25" t="n">
        <f aca="false">4*X$22-$C$9*X$20</f>
        <v>95</v>
      </c>
      <c r="Y43" s="25" t="n">
        <f aca="false">4*Y$22-$C$9*Y$20</f>
        <v>-179.86</v>
      </c>
      <c r="Z43" s="25" t="n">
        <f aca="false">4*Z$22-$C$9*Z$20</f>
        <v>94.05</v>
      </c>
      <c r="AA43" s="25" t="n">
        <f aca="false">4*AA$22-$C$9*AA$20</f>
        <v>-33.7</v>
      </c>
      <c r="AB43" s="25" t="n">
        <f aca="false">4*AB$22-$C$9*AB$20</f>
        <v>-3.3</v>
      </c>
      <c r="AC43" s="25" t="n">
        <f aca="false">4*AC$22-$C$9*AC$20</f>
        <v>-12.15</v>
      </c>
      <c r="AD43" s="25" t="n">
        <f aca="false">4*AD$22-$C$9*AD$20</f>
        <v>0.329999999999998</v>
      </c>
      <c r="AE43" s="25" t="n">
        <f aca="false">4*AE$22-$C$9*AE$20</f>
        <v>-8.25</v>
      </c>
      <c r="AF43" s="25" t="n">
        <f aca="false">4*AF$22-$C$9*AF$20</f>
        <v>-145.58</v>
      </c>
      <c r="AG43" s="25" t="n">
        <f aca="false">4*AG$22-$C$9*AG$20</f>
        <v>-169.44</v>
      </c>
      <c r="AH43" s="25" t="n">
        <f aca="false">4*AH$22-$C$9*AH$20</f>
        <v>-17.41</v>
      </c>
      <c r="AI43" s="25" t="n">
        <f aca="false">4*AI$22-$C$9*AI$20</f>
        <v>-110.43</v>
      </c>
      <c r="AJ43" s="25" t="n">
        <f aca="false">4*AJ$22-$C$9*AJ$20</f>
        <v>90.72</v>
      </c>
      <c r="AK43" s="25" t="n">
        <f aca="false">4*AK$22-$C$9*AK$20</f>
        <v>139.85</v>
      </c>
      <c r="AL43" s="25" t="n">
        <f aca="false">4*AL$22-$C$9*AL$20</f>
        <v>123.72</v>
      </c>
      <c r="AM43" s="25" t="n">
        <f aca="false">4*AM$22-$C$9*AM$20</f>
        <v>80.46</v>
      </c>
      <c r="AN43" s="25" t="n">
        <f aca="false">4*AN$22-$C$9*AN$20</f>
        <v>63.43</v>
      </c>
      <c r="AO43" s="25" t="n">
        <f aca="false">4*AO$22-$C$9*AO$20</f>
        <v>91.04</v>
      </c>
      <c r="AP43" s="25" t="n">
        <f aca="false">4*AP$22-$C$9*AP$20</f>
        <v>100.25</v>
      </c>
      <c r="AQ43" s="25" t="n">
        <f aca="false">4*AQ$22-$C$9*AQ$20</f>
        <v>131.73</v>
      </c>
      <c r="AR43" s="25" t="n">
        <f aca="false">4*AR$22-$C$9*AR$20</f>
        <v>77.98</v>
      </c>
      <c r="AS43" s="25" t="n">
        <f aca="false">4*AS$22-$C$9*AS$20</f>
        <v>155.55</v>
      </c>
      <c r="AT43" s="25" t="n">
        <f aca="false">4*AT$22-$C$9*AT$20</f>
        <v>57.44</v>
      </c>
      <c r="AU43" s="25" t="n">
        <f aca="false">4*AU$22-$C$9*AU$20</f>
        <v>135.08</v>
      </c>
      <c r="AV43" s="25" t="n">
        <f aca="false">4*AV$22-$C$9*AV$20</f>
        <v>43.24</v>
      </c>
      <c r="AW43" s="25" t="n">
        <f aca="false">4*AW$22-$C$9*AW$20</f>
        <v>35.31</v>
      </c>
      <c r="AX43" s="25" t="n">
        <f aca="false">4*AX$22-$C$9*AX$20</f>
        <v>41.78</v>
      </c>
      <c r="AY43" s="25" t="n">
        <f aca="false">4*AY$22-$C$9*AY$20</f>
        <v>31.84</v>
      </c>
      <c r="AZ43" s="25" t="n">
        <f aca="false">4*AZ$22-$C$9*AZ$20</f>
        <v>51.31</v>
      </c>
      <c r="BA43" s="25" t="n">
        <f aca="false">4*BA$22-$C$9*BA$20</f>
        <v>25.73</v>
      </c>
      <c r="BB43" s="25" t="n">
        <f aca="false">4*BB$22-$C$9*BB$20</f>
        <v>41.35</v>
      </c>
      <c r="BC43" s="25" t="n">
        <f aca="false">4*BC$22-$C$9*BC$20</f>
        <v>24.11</v>
      </c>
      <c r="BD43" s="25" t="n">
        <f aca="false">4*BD$22-$C$9*BD$20</f>
        <v>28.11</v>
      </c>
      <c r="BE43" s="25" t="n">
        <f aca="false">4*BE$22-$C$9*BE$20</f>
        <v>182.17</v>
      </c>
      <c r="BF43" s="25" t="n">
        <f aca="false">4*BF$22-$C$9*BF$20</f>
        <v>16.32</v>
      </c>
      <c r="BG43" s="25" t="n">
        <f aca="false">4*BG$22-$C$9*BG$20</f>
        <v>8.35</v>
      </c>
      <c r="BH43" s="25" t="n">
        <f aca="false">4*BH$22-$C$9*BH$20</f>
        <v>19.87</v>
      </c>
      <c r="BI43" s="25" t="n">
        <f aca="false">4*BI$22-$C$9*BI$20</f>
        <v>6.33</v>
      </c>
      <c r="BJ43" s="25" t="n">
        <f aca="false">4*BJ$22-$C$9*BJ$20</f>
        <v>9.56</v>
      </c>
      <c r="BK43" s="25" t="n">
        <f aca="false">4*BK$22-$C$9*BK$20</f>
        <v>21.48</v>
      </c>
      <c r="BL43" s="25" t="n">
        <f aca="false">4*BL$22-$C$9*BL$20</f>
        <v>19.36</v>
      </c>
      <c r="BM43" s="25" t="n">
        <f aca="false">4*BM$22-$C$9*BM$20</f>
        <v>5.51</v>
      </c>
      <c r="BN43" s="25" t="n">
        <f aca="false">4*BN$22-$C$9*BN$20</f>
        <v>4.17</v>
      </c>
      <c r="BO43" s="25" t="n">
        <f aca="false">4*BO$22-$C$9*BO$20</f>
        <v>7.46</v>
      </c>
      <c r="BP43" s="25" t="n">
        <f aca="false">4*BP$22-$C$9*BP$20</f>
        <v>-322.41</v>
      </c>
      <c r="BQ43" s="25" t="n">
        <f aca="false">4*BQ$22-$C$9*BQ$20</f>
        <v>-397.8</v>
      </c>
      <c r="BR43" s="25" t="n">
        <f aca="false">4*BR$22-$C$9*BR$20</f>
        <v>-397.8</v>
      </c>
      <c r="BS43" s="25" t="n">
        <f aca="false">4*BS$22-$C$9*BS$20</f>
        <v>-174.35</v>
      </c>
      <c r="BT43" s="25" t="n">
        <f aca="false">4*BT$22-$C$9*BT$20</f>
        <v>-40.59</v>
      </c>
      <c r="BU43" s="25" t="n">
        <f aca="false">4*BU$22-$C$9*BU$20</f>
        <v>40.04</v>
      </c>
      <c r="BV43" s="25" t="n">
        <f aca="false">4*BV$22-$C$9*BV$20</f>
        <v>92.7</v>
      </c>
      <c r="BW43" s="25" t="n">
        <f aca="false">4*BW$22-$C$9*BW$20</f>
        <v>-24.08</v>
      </c>
      <c r="BX43" s="25" t="n">
        <f aca="false">4*BX$22-$C$9*BX$20</f>
        <v>1.25</v>
      </c>
    </row>
    <row r="44" customFormat="false" ht="15" hidden="false" customHeight="false" outlineLevel="0" collapsed="false">
      <c r="A44" s="4" t="s">
        <v>628</v>
      </c>
      <c r="B44" s="75" t="s">
        <v>626</v>
      </c>
      <c r="C44" s="78" t="n">
        <v>0</v>
      </c>
      <c r="D44" s="77" t="n">
        <v>19.74118268732</v>
      </c>
      <c r="E44" s="75" t="str">
        <f aca="false">IF(D44&gt;=C44-0.000001*MAX(1,ABS(C44)),IF(ABS(D44-C44)&lt;=0.000001*MAX(1,ABS(C44)),"tight","ok"),"VIOLATED")</f>
        <v>ok</v>
      </c>
      <c r="F44" s="25" t="n">
        <f aca="false">9*F$23-$C$10*F$20</f>
        <v>-0.419999999999998</v>
      </c>
      <c r="G44" s="25" t="n">
        <f aca="false">9*G$23-$C$10*G$20</f>
        <v>50.6</v>
      </c>
      <c r="H44" s="25" t="n">
        <f aca="false">9*H$23-$C$10*H$20</f>
        <v>12.88</v>
      </c>
      <c r="I44" s="25" t="n">
        <f aca="false">9*I$23-$C$10*I$20</f>
        <v>1.33</v>
      </c>
      <c r="J44" s="25" t="n">
        <f aca="false">9*J$23-$C$10*J$20</f>
        <v>45.06</v>
      </c>
      <c r="K44" s="25" t="n">
        <f aca="false">9*K$23-$C$10*K$20</f>
        <v>273.81</v>
      </c>
      <c r="L44" s="25" t="n">
        <f aca="false">9*L$23-$C$10*L$20</f>
        <v>129.2</v>
      </c>
      <c r="M44" s="25" t="n">
        <f aca="false">9*M$23-$C$10*M$20</f>
        <v>32.6</v>
      </c>
      <c r="N44" s="25" t="n">
        <f aca="false">9*N$23-$C$10*N$20</f>
        <v>44.8</v>
      </c>
      <c r="O44" s="25" t="n">
        <f aca="false">9*O$23-$C$10*O$20</f>
        <v>76.44</v>
      </c>
      <c r="P44" s="25" t="n">
        <f aca="false">9*P$23-$C$10*P$20</f>
        <v>85.72</v>
      </c>
      <c r="Q44" s="25" t="n">
        <f aca="false">9*Q$23-$C$10*Q$20</f>
        <v>-8.56</v>
      </c>
      <c r="R44" s="25" t="n">
        <f aca="false">9*R$23-$C$10*R$20</f>
        <v>79.18</v>
      </c>
      <c r="S44" s="25" t="n">
        <f aca="false">9*S$23-$C$10*S$20</f>
        <v>-5.11</v>
      </c>
      <c r="T44" s="25" t="n">
        <f aca="false">9*T$23-$C$10*T$20</f>
        <v>-3.9</v>
      </c>
      <c r="U44" s="25" t="n">
        <f aca="false">9*U$23-$C$10*U$20</f>
        <v>56.99</v>
      </c>
      <c r="V44" s="25" t="n">
        <f aca="false">9*V$23-$C$10*V$20</f>
        <v>-15.59</v>
      </c>
      <c r="W44" s="25" t="n">
        <f aca="false">9*W$23-$C$10*W$20</f>
        <v>-0.0500000000000007</v>
      </c>
      <c r="X44" s="25" t="n">
        <f aca="false">9*X$23-$C$10*X$20</f>
        <v>-60.86</v>
      </c>
      <c r="Y44" s="25" t="n">
        <f aca="false">9*Y$23-$C$10*Y$20</f>
        <v>342.64</v>
      </c>
      <c r="Z44" s="25" t="n">
        <f aca="false">9*Z$23-$C$10*Z$20</f>
        <v>-58.33</v>
      </c>
      <c r="AA44" s="25" t="n">
        <f aca="false">9*AA$23-$C$10*AA$20</f>
        <v>27.2</v>
      </c>
      <c r="AB44" s="25" t="n">
        <f aca="false">9*AB$23-$C$10*AB$20</f>
        <v>7.82</v>
      </c>
      <c r="AC44" s="25" t="n">
        <f aca="false">9*AC$23-$C$10*AC$20</f>
        <v>-8.29</v>
      </c>
      <c r="AD44" s="25" t="n">
        <f aca="false">9*AD$23-$C$10*AD$20</f>
        <v>4.63</v>
      </c>
      <c r="AE44" s="25" t="n">
        <f aca="false">9*AE$23-$C$10*AE$20</f>
        <v>17.05</v>
      </c>
      <c r="AF44" s="25" t="n">
        <f aca="false">9*AF$23-$C$10*AF$20</f>
        <v>203.19</v>
      </c>
      <c r="AG44" s="25" t="n">
        <f aca="false">9*AG$23-$C$10*AG$20</f>
        <v>218.99</v>
      </c>
      <c r="AH44" s="25" t="n">
        <f aca="false">9*AH$23-$C$10*AH$20</f>
        <v>4.23</v>
      </c>
      <c r="AI44" s="25" t="n">
        <f aca="false">9*AI$23-$C$10*AI$20</f>
        <v>119.02</v>
      </c>
      <c r="AJ44" s="25" t="n">
        <f aca="false">9*AJ$23-$C$10*AJ$20</f>
        <v>-40.92</v>
      </c>
      <c r="AK44" s="25" t="n">
        <f aca="false">9*AK$23-$C$10*AK$20</f>
        <v>-44.6</v>
      </c>
      <c r="AL44" s="25" t="n">
        <f aca="false">9*AL$23-$C$10*AL$20</f>
        <v>-14.63</v>
      </c>
      <c r="AM44" s="25" t="n">
        <f aca="false">9*AM$23-$C$10*AM$20</f>
        <v>-17.95</v>
      </c>
      <c r="AN44" s="25" t="n">
        <f aca="false">9*AN$23-$C$10*AN$20</f>
        <v>8.81999999999999</v>
      </c>
      <c r="AO44" s="25" t="n">
        <f aca="false">9*AO$23-$C$10*AO$20</f>
        <v>-18.97</v>
      </c>
      <c r="AP44" s="25" t="n">
        <f aca="false">9*AP$23-$C$10*AP$20</f>
        <v>-17.12</v>
      </c>
      <c r="AQ44" s="25" t="n">
        <f aca="false">9*AQ$23-$C$10*AQ$20</f>
        <v>-60.61</v>
      </c>
      <c r="AR44" s="25" t="n">
        <f aca="false">9*AR$23-$C$10*AR$20</f>
        <v>-23.23</v>
      </c>
      <c r="AS44" s="25" t="n">
        <f aca="false">9*AS$23-$C$10*AS$20</f>
        <v>-67.06</v>
      </c>
      <c r="AT44" s="25" t="n">
        <f aca="false">9*AT$23-$C$10*AT$20</f>
        <v>-18.9</v>
      </c>
      <c r="AU44" s="25" t="n">
        <f aca="false">9*AU$23-$C$10*AU$20</f>
        <v>-44.03</v>
      </c>
      <c r="AV44" s="25" t="n">
        <f aca="false">9*AV$23-$C$10*AV$20</f>
        <v>-10.58</v>
      </c>
      <c r="AW44" s="25" t="n">
        <f aca="false">9*AW$23-$C$10*AW$20</f>
        <v>-14.59</v>
      </c>
      <c r="AX44" s="25" t="n">
        <f aca="false">9*AX$23-$C$10*AX$20</f>
        <v>-16.75</v>
      </c>
      <c r="AY44" s="25" t="n">
        <f aca="false">9*AY$23-$C$10*AY$20</f>
        <v>-8.87</v>
      </c>
      <c r="AZ44" s="25" t="n">
        <f aca="false">9*AZ$23-$C$10*AZ$20</f>
        <v>-14.83</v>
      </c>
      <c r="BA44" s="25" t="n">
        <f aca="false">9*BA$23-$C$10*BA$20</f>
        <v>-4.44</v>
      </c>
      <c r="BB44" s="25" t="n">
        <f aca="false">9*BB$23-$C$10*BB$20</f>
        <v>-12.36</v>
      </c>
      <c r="BC44" s="25" t="n">
        <f aca="false">9*BC$23-$C$10*BC$20</f>
        <v>-8.72</v>
      </c>
      <c r="BD44" s="25" t="n">
        <f aca="false">9*BD$23-$C$10*BD$20</f>
        <v>-8.45</v>
      </c>
      <c r="BE44" s="25" t="n">
        <f aca="false">9*BE$23-$C$10*BE$20</f>
        <v>-55.66</v>
      </c>
      <c r="BF44" s="25" t="n">
        <f aca="false">9*BF$23-$C$10*BF$20</f>
        <v>-3.7</v>
      </c>
      <c r="BG44" s="25" t="n">
        <f aca="false">9*BG$23-$C$10*BG$20</f>
        <v>-2.74</v>
      </c>
      <c r="BH44" s="25" t="n">
        <f aca="false">9*BH$23-$C$10*BH$20</f>
        <v>-6.04</v>
      </c>
      <c r="BI44" s="25" t="n">
        <f aca="false">9*BI$23-$C$10*BI$20</f>
        <v>-1.47</v>
      </c>
      <c r="BJ44" s="25" t="n">
        <f aca="false">9*BJ$23-$C$10*BJ$20</f>
        <v>-2.47</v>
      </c>
      <c r="BK44" s="25" t="n">
        <f aca="false">9*BK$23-$C$10*BK$20</f>
        <v>-9.72</v>
      </c>
      <c r="BL44" s="25" t="n">
        <f aca="false">9*BL$23-$C$10*BL$20</f>
        <v>-7.1</v>
      </c>
      <c r="BM44" s="25" t="n">
        <f aca="false">9*BM$23-$C$10*BM$20</f>
        <v>-0.700000000000001</v>
      </c>
      <c r="BN44" s="25" t="n">
        <f aca="false">9*BN$23-$C$10*BN$20</f>
        <v>-1.09</v>
      </c>
      <c r="BO44" s="25" t="n">
        <f aca="false">9*BO$23-$C$10*BO$20</f>
        <v>-1.8</v>
      </c>
      <c r="BP44" s="25" t="n">
        <f aca="false">9*BP$23-$C$10*BP$20</f>
        <v>586.59</v>
      </c>
      <c r="BQ44" s="25" t="n">
        <f aca="false">9*BQ$23-$C$10*BQ$20</f>
        <v>723.2</v>
      </c>
      <c r="BR44" s="25" t="n">
        <f aca="false">9*BR$23-$C$10*BR$20</f>
        <v>723.2</v>
      </c>
      <c r="BS44" s="25" t="n">
        <f aca="false">9*BS$23-$C$10*BS$20</f>
        <v>333.57</v>
      </c>
      <c r="BT44" s="25" t="n">
        <f aca="false">9*BT$23-$C$10*BT$20</f>
        <v>105.29</v>
      </c>
      <c r="BU44" s="25" t="n">
        <f aca="false">9*BU$23-$C$10*BU$20</f>
        <v>124.08</v>
      </c>
      <c r="BV44" s="25" t="n">
        <f aca="false">9*BV$23-$C$10*BV$20</f>
        <v>65.53</v>
      </c>
      <c r="BW44" s="25" t="n">
        <f aca="false">9*BW$23-$C$10*BW$20</f>
        <v>199.42</v>
      </c>
      <c r="BX44" s="25" t="n">
        <f aca="false">9*BX$23-$C$10*BX$20</f>
        <v>57.6</v>
      </c>
    </row>
    <row r="45" customFormat="false" ht="15" hidden="false" customHeight="false" outlineLevel="0" collapsed="false">
      <c r="A45" s="4" t="s">
        <v>629</v>
      </c>
      <c r="B45" s="75" t="s">
        <v>623</v>
      </c>
      <c r="C45" s="76" t="n">
        <f aca="false">N(Planner!$E$18)</f>
        <v>42</v>
      </c>
      <c r="D45" s="77" t="n">
        <v>47.9185550492</v>
      </c>
      <c r="E45" s="75" t="str">
        <f aca="false">IF(D45&gt;=C45-0.000001*MAX(1,ABS(C45)),IF(ABS(D45-C45)&lt;=0.000001*MAX(1,ABS(C45)),"tight","ok"),"VIOLATED")</f>
        <v>ok</v>
      </c>
      <c r="F45" s="25" t="n">
        <f aca="false">F$24</f>
        <v>0</v>
      </c>
      <c r="G45" s="25" t="n">
        <f aca="false">G$24</f>
        <v>0</v>
      </c>
      <c r="H45" s="25" t="n">
        <f aca="false">H$24</f>
        <v>0</v>
      </c>
      <c r="I45" s="25" t="n">
        <f aca="false">I$24</f>
        <v>0</v>
      </c>
      <c r="J45" s="25" t="n">
        <f aca="false">J$24</f>
        <v>0</v>
      </c>
      <c r="K45" s="25" t="n">
        <f aca="false">K$24</f>
        <v>0</v>
      </c>
      <c r="L45" s="25" t="n">
        <f aca="false">L$24</f>
        <v>0</v>
      </c>
      <c r="M45" s="25" t="n">
        <f aca="false">M$24</f>
        <v>0</v>
      </c>
      <c r="N45" s="25" t="n">
        <f aca="false">N$24</f>
        <v>1.3</v>
      </c>
      <c r="O45" s="25" t="n">
        <f aca="false">O$24</f>
        <v>0</v>
      </c>
      <c r="P45" s="25" t="n">
        <f aca="false">P$24</f>
        <v>0</v>
      </c>
      <c r="Q45" s="25" t="n">
        <f aca="false">Q$24</f>
        <v>0</v>
      </c>
      <c r="R45" s="25" t="n">
        <f aca="false">R$24</f>
        <v>0</v>
      </c>
      <c r="S45" s="25" t="n">
        <f aca="false">S$24</f>
        <v>0</v>
      </c>
      <c r="T45" s="25" t="n">
        <f aca="false">T$24</f>
        <v>0</v>
      </c>
      <c r="U45" s="25" t="n">
        <f aca="false">U$24</f>
        <v>0</v>
      </c>
      <c r="V45" s="25" t="n">
        <f aca="false">V$24</f>
        <v>6.9</v>
      </c>
      <c r="W45" s="25" t="n">
        <f aca="false">W$24</f>
        <v>4.4</v>
      </c>
      <c r="X45" s="25" t="n">
        <f aca="false">X$24</f>
        <v>10.7</v>
      </c>
      <c r="Y45" s="25" t="n">
        <f aca="false">Y$24</f>
        <v>5</v>
      </c>
      <c r="Z45" s="25" t="n">
        <f aca="false">Z$24</f>
        <v>15.5</v>
      </c>
      <c r="AA45" s="25" t="n">
        <f aca="false">AA$24</f>
        <v>1.3</v>
      </c>
      <c r="AB45" s="25" t="n">
        <f aca="false">AB$24</f>
        <v>0</v>
      </c>
      <c r="AC45" s="25" t="n">
        <f aca="false">AC$24</f>
        <v>0</v>
      </c>
      <c r="AD45" s="25" t="n">
        <f aca="false">AD$24</f>
        <v>0.2</v>
      </c>
      <c r="AE45" s="25" t="n">
        <f aca="false">AE$24</f>
        <v>0</v>
      </c>
      <c r="AF45" s="25" t="n">
        <f aca="false">AF$24</f>
        <v>0</v>
      </c>
      <c r="AG45" s="25" t="n">
        <f aca="false">AG$24</f>
        <v>0</v>
      </c>
      <c r="AH45" s="25" t="n">
        <f aca="false">AH$24</f>
        <v>0</v>
      </c>
      <c r="AI45" s="25" t="n">
        <f aca="false">AI$24</f>
        <v>0</v>
      </c>
      <c r="AJ45" s="25" t="n">
        <f aca="false">AJ$24</f>
        <v>1.6</v>
      </c>
      <c r="AK45" s="25" t="n">
        <f aca="false">AK$24</f>
        <v>3.6</v>
      </c>
      <c r="AL45" s="25" t="n">
        <f aca="false">AL$24</f>
        <v>9.4</v>
      </c>
      <c r="AM45" s="25" t="n">
        <f aca="false">AM$24</f>
        <v>6.3</v>
      </c>
      <c r="AN45" s="25" t="n">
        <f aca="false">AN$24</f>
        <v>2.4</v>
      </c>
      <c r="AO45" s="25" t="n">
        <f aca="false">AO$24</f>
        <v>7</v>
      </c>
      <c r="AP45" s="25" t="n">
        <f aca="false">AP$24</f>
        <v>10.1</v>
      </c>
      <c r="AQ45" s="25" t="n">
        <f aca="false">AQ$24</f>
        <v>3.2</v>
      </c>
      <c r="AR45" s="25" t="n">
        <f aca="false">AR$24</f>
        <v>2.7</v>
      </c>
      <c r="AS45" s="25" t="n">
        <f aca="false">AS$24</f>
        <v>1.3</v>
      </c>
      <c r="AT45" s="25" t="n">
        <f aca="false">AT$24</f>
        <v>6</v>
      </c>
      <c r="AU45" s="25" t="n">
        <f aca="false">AU$24</f>
        <v>9.2</v>
      </c>
      <c r="AV45" s="25" t="n">
        <f aca="false">AV$24</f>
        <v>2.1</v>
      </c>
      <c r="AW45" s="25" t="n">
        <f aca="false">AW$24</f>
        <v>2.1</v>
      </c>
      <c r="AX45" s="25" t="n">
        <f aca="false">AX$24</f>
        <v>3</v>
      </c>
      <c r="AY45" s="25" t="n">
        <f aca="false">AY$24</f>
        <v>2.4</v>
      </c>
      <c r="AZ45" s="25" t="n">
        <f aca="false">AZ$24</f>
        <v>2.6</v>
      </c>
      <c r="BA45" s="25" t="n">
        <f aca="false">BA$24</f>
        <v>2.7</v>
      </c>
      <c r="BB45" s="25" t="n">
        <f aca="false">BB$24</f>
        <v>0.9</v>
      </c>
      <c r="BC45" s="25" t="n">
        <f aca="false">BC$24</f>
        <v>0.3</v>
      </c>
      <c r="BD45" s="25" t="n">
        <f aca="false">BD$24</f>
        <v>2.2</v>
      </c>
      <c r="BE45" s="25" t="n">
        <f aca="false">BE$24</f>
        <v>3.7</v>
      </c>
      <c r="BF45" s="25" t="n">
        <f aca="false">BF$24</f>
        <v>2</v>
      </c>
      <c r="BG45" s="25" t="n">
        <f aca="false">BG$24</f>
        <v>3</v>
      </c>
      <c r="BH45" s="25" t="n">
        <f aca="false">BH$24</f>
        <v>2.8</v>
      </c>
      <c r="BI45" s="25" t="n">
        <f aca="false">BI$24</f>
        <v>1.5</v>
      </c>
      <c r="BJ45" s="25" t="n">
        <f aca="false">BJ$24</f>
        <v>1.7</v>
      </c>
      <c r="BK45" s="25" t="n">
        <f aca="false">BK$24</f>
        <v>4</v>
      </c>
      <c r="BL45" s="25" t="n">
        <f aca="false">BL$24</f>
        <v>1.7</v>
      </c>
      <c r="BM45" s="25" t="n">
        <f aca="false">BM$24</f>
        <v>2.1</v>
      </c>
      <c r="BN45" s="25" t="n">
        <f aca="false">BN$24</f>
        <v>2.2</v>
      </c>
      <c r="BO45" s="25" t="n">
        <f aca="false">BO$24</f>
        <v>1.2</v>
      </c>
      <c r="BP45" s="25" t="n">
        <f aca="false">BP$24</f>
        <v>0</v>
      </c>
      <c r="BQ45" s="25" t="n">
        <f aca="false">BQ$24</f>
        <v>0</v>
      </c>
      <c r="BR45" s="25" t="n">
        <f aca="false">BR$24</f>
        <v>0</v>
      </c>
      <c r="BS45" s="25" t="n">
        <f aca="false">BS$24</f>
        <v>12.5</v>
      </c>
      <c r="BT45" s="25" t="n">
        <f aca="false">BT$24</f>
        <v>6.8</v>
      </c>
      <c r="BU45" s="25" t="n">
        <f aca="false">BU$24</f>
        <v>2</v>
      </c>
      <c r="BV45" s="25" t="n">
        <f aca="false">BV$24</f>
        <v>3.8</v>
      </c>
      <c r="BW45" s="25" t="n">
        <f aca="false">BW$24</f>
        <v>3.1</v>
      </c>
      <c r="BX45" s="25" t="n">
        <f aca="false">BX$24</f>
        <v>0.7</v>
      </c>
    </row>
    <row r="46" customFormat="false" ht="15" hidden="false" customHeight="false" outlineLevel="0" collapsed="false">
      <c r="A46" s="4" t="s">
        <v>630</v>
      </c>
      <c r="B46" s="75" t="s">
        <v>623</v>
      </c>
      <c r="C46" s="76" t="n">
        <f aca="false">N(Planner!$E$19)</f>
        <v>1000</v>
      </c>
      <c r="D46" s="77" t="n">
        <v>999.999999987</v>
      </c>
      <c r="E46" s="75" t="str">
        <f aca="false">IF(D46&gt;=C46-0.000001*MAX(1,ABS(C46)),IF(ABS(D46-C46)&lt;=0.000001*MAX(1,ABS(C46)),"tight","ok"),"VIOLATED")</f>
        <v>tight</v>
      </c>
      <c r="F46" s="25" t="n">
        <f aca="false">F$26</f>
        <v>5</v>
      </c>
      <c r="G46" s="25" t="n">
        <f aca="false">G$26</f>
        <v>8</v>
      </c>
      <c r="H46" s="25" t="n">
        <f aca="false">H$26</f>
        <v>7</v>
      </c>
      <c r="I46" s="25" t="n">
        <f aca="false">I$26</f>
        <v>7</v>
      </c>
      <c r="J46" s="25" t="n">
        <f aca="false">J$26</f>
        <v>21</v>
      </c>
      <c r="K46" s="25" t="n">
        <f aca="false">K$26</f>
        <v>5</v>
      </c>
      <c r="L46" s="25" t="n">
        <f aca="false">L$26</f>
        <v>18</v>
      </c>
      <c r="M46" s="25" t="n">
        <f aca="false">M$26</f>
        <v>10</v>
      </c>
      <c r="N46" s="25" t="n">
        <f aca="false">N$26</f>
        <v>24</v>
      </c>
      <c r="O46" s="25" t="n">
        <f aca="false">O$26</f>
        <v>9</v>
      </c>
      <c r="P46" s="25" t="n">
        <f aca="false">P$26</f>
        <v>25</v>
      </c>
      <c r="Q46" s="25" t="n">
        <f aca="false">Q$26</f>
        <v>17</v>
      </c>
      <c r="R46" s="25" t="n">
        <f aca="false">R$26</f>
        <v>9</v>
      </c>
      <c r="S46" s="25" t="n">
        <f aca="false">S$26</f>
        <v>54</v>
      </c>
      <c r="T46" s="25" t="n">
        <f aca="false">T$26</f>
        <v>10</v>
      </c>
      <c r="U46" s="25" t="n">
        <f aca="false">U$26</f>
        <v>56</v>
      </c>
      <c r="V46" s="25" t="n">
        <f aca="false">V$26</f>
        <v>35</v>
      </c>
      <c r="W46" s="25" t="n">
        <f aca="false">W$26</f>
        <v>35</v>
      </c>
      <c r="X46" s="25" t="n">
        <f aca="false">X$26</f>
        <v>35</v>
      </c>
      <c r="Y46" s="25" t="n">
        <f aca="false">Y$26</f>
        <v>49</v>
      </c>
      <c r="Z46" s="25" t="n">
        <f aca="false">Z$26</f>
        <v>113</v>
      </c>
      <c r="AA46" s="25" t="n">
        <f aca="false">AA$26</f>
        <v>77</v>
      </c>
      <c r="AB46" s="25" t="n">
        <f aca="false">AB$26</f>
        <v>120</v>
      </c>
      <c r="AC46" s="25" t="n">
        <f aca="false">AC$26</f>
        <v>110</v>
      </c>
      <c r="AD46" s="25" t="n">
        <f aca="false">AD$26</f>
        <v>123</v>
      </c>
      <c r="AE46" s="25" t="n">
        <f aca="false">AE$26</f>
        <v>113</v>
      </c>
      <c r="AF46" s="25" t="n">
        <f aca="false">AF$26</f>
        <v>1045</v>
      </c>
      <c r="AG46" s="25" t="n">
        <f aca="false">AG$26</f>
        <v>710</v>
      </c>
      <c r="AH46" s="25" t="n">
        <f aca="false">AH$26</f>
        <v>111</v>
      </c>
      <c r="AI46" s="25" t="n">
        <f aca="false">AI$26</f>
        <v>697</v>
      </c>
      <c r="AJ46" s="25" t="n">
        <f aca="false">AJ$26</f>
        <v>219</v>
      </c>
      <c r="AK46" s="25" t="n">
        <f aca="false">AK$26</f>
        <v>9</v>
      </c>
      <c r="AL46" s="25" t="n">
        <f aca="false">AL$26</f>
        <v>401</v>
      </c>
      <c r="AM46" s="25" t="n">
        <f aca="false">AM$26</f>
        <v>81</v>
      </c>
      <c r="AN46" s="25" t="n">
        <f aca="false">AN$26</f>
        <v>163</v>
      </c>
      <c r="AO46" s="25" t="n">
        <f aca="false">AO$26</f>
        <v>47</v>
      </c>
      <c r="AP46" s="25" t="n">
        <f aca="false">AP$26</f>
        <v>52</v>
      </c>
      <c r="AQ46" s="25" t="n">
        <f aca="false">AQ$26</f>
        <v>21</v>
      </c>
      <c r="AR46" s="25" t="n">
        <f aca="false">AR$26</f>
        <v>144</v>
      </c>
      <c r="AS46" s="25" t="n">
        <f aca="false">AS$26</f>
        <v>28</v>
      </c>
      <c r="AT46" s="25" t="n">
        <f aca="false">AT$26</f>
        <v>161</v>
      </c>
      <c r="AU46" s="25" t="n">
        <f aca="false">AU$26</f>
        <v>29</v>
      </c>
      <c r="AV46" s="25" t="n">
        <f aca="false">AV$26</f>
        <v>4</v>
      </c>
      <c r="AW46" s="25" t="n">
        <f aca="false">AW$26</f>
        <v>12</v>
      </c>
      <c r="AX46" s="25" t="n">
        <f aca="false">AX$26</f>
        <v>30</v>
      </c>
      <c r="AY46" s="25" t="n">
        <f aca="false">AY$26</f>
        <v>6</v>
      </c>
      <c r="AZ46" s="25" t="n">
        <f aca="false">AZ$26</f>
        <v>5</v>
      </c>
      <c r="BA46" s="25" t="n">
        <f aca="false">BA$26</f>
        <v>8</v>
      </c>
      <c r="BB46" s="25" t="n">
        <f aca="false">BB$26</f>
        <v>10</v>
      </c>
      <c r="BC46" s="25" t="n">
        <f aca="false">BC$26</f>
        <v>11</v>
      </c>
      <c r="BD46" s="25" t="n">
        <f aca="false">BD$26</f>
        <v>43</v>
      </c>
      <c r="BE46" s="25" t="n">
        <f aca="false">BE$26</f>
        <v>50</v>
      </c>
      <c r="BF46" s="25" t="n">
        <f aca="false">BF$26</f>
        <v>16</v>
      </c>
      <c r="BG46" s="25" t="n">
        <f aca="false">BG$26</f>
        <v>41</v>
      </c>
      <c r="BH46" s="25" t="n">
        <f aca="false">BH$26</f>
        <v>33</v>
      </c>
      <c r="BI46" s="25" t="n">
        <f aca="false">BI$26</f>
        <v>29</v>
      </c>
      <c r="BJ46" s="25" t="n">
        <f aca="false">BJ$26</f>
        <v>10</v>
      </c>
      <c r="BK46" s="25" t="n">
        <f aca="false">BK$26</f>
        <v>25</v>
      </c>
      <c r="BL46" s="25" t="n">
        <f aca="false">BL$26</f>
        <v>23</v>
      </c>
      <c r="BM46" s="25" t="n">
        <f aca="false">BM$26</f>
        <v>33</v>
      </c>
      <c r="BN46" s="25" t="n">
        <f aca="false">BN$26</f>
        <v>99</v>
      </c>
      <c r="BO46" s="25" t="n">
        <f aca="false">BO$26</f>
        <v>10</v>
      </c>
      <c r="BP46" s="25" t="n">
        <f aca="false">BP$26</f>
        <v>24</v>
      </c>
      <c r="BQ46" s="25" t="n">
        <f aca="false">BQ$26</f>
        <v>0</v>
      </c>
      <c r="BR46" s="25" t="n">
        <f aca="false">BR$26</f>
        <v>1</v>
      </c>
      <c r="BS46" s="25" t="n">
        <f aca="false">BS$26</f>
        <v>269</v>
      </c>
      <c r="BT46" s="25" t="n">
        <f aca="false">BT$26</f>
        <v>13</v>
      </c>
      <c r="BU46" s="25" t="n">
        <f aca="false">BU$26</f>
        <v>21</v>
      </c>
      <c r="BV46" s="25" t="n">
        <f aca="false">BV$26</f>
        <v>41</v>
      </c>
      <c r="BW46" s="25" t="n">
        <f aca="false">BW$26</f>
        <v>21</v>
      </c>
      <c r="BX46" s="25" t="n">
        <f aca="false">BX$26</f>
        <v>128</v>
      </c>
    </row>
    <row r="47" customFormat="false" ht="15" hidden="false" customHeight="false" outlineLevel="0" collapsed="false">
      <c r="A47" s="4" t="s">
        <v>631</v>
      </c>
      <c r="B47" s="75" t="s">
        <v>623</v>
      </c>
      <c r="C47" s="76" t="n">
        <f aca="false">N(Planner!$E$20)</f>
        <v>8</v>
      </c>
      <c r="D47" s="77" t="n">
        <v>23.30780114899</v>
      </c>
      <c r="E47" s="75" t="str">
        <f aca="false">IF(D47&gt;=C47-0.000001*MAX(1,ABS(C47)),IF(ABS(D47-C47)&lt;=0.000001*MAX(1,ABS(C47)),"tight","ok"),"VIOLATED")</f>
        <v>ok</v>
      </c>
      <c r="F47" s="25" t="n">
        <f aca="false">F$27</f>
        <v>0.37</v>
      </c>
      <c r="G47" s="25" t="n">
        <f aca="false">G$27</f>
        <v>0.71</v>
      </c>
      <c r="H47" s="25" t="n">
        <f aca="false">H$27</f>
        <v>0.81</v>
      </c>
      <c r="I47" s="25" t="n">
        <f aca="false">I$27</f>
        <v>0.34</v>
      </c>
      <c r="J47" s="25" t="n">
        <f aca="false">J$27</f>
        <v>1.17</v>
      </c>
      <c r="K47" s="25" t="n">
        <f aca="false">K$27</f>
        <v>0.41</v>
      </c>
      <c r="L47" s="25" t="n">
        <f aca="false">L$27</f>
        <v>1.94</v>
      </c>
      <c r="M47" s="25" t="n">
        <f aca="false">M$27</f>
        <v>2.33</v>
      </c>
      <c r="N47" s="25" t="n">
        <f aca="false">N$27</f>
        <v>1.02</v>
      </c>
      <c r="O47" s="25" t="n">
        <f aca="false">O$27</f>
        <v>0.48</v>
      </c>
      <c r="P47" s="25" t="n">
        <f aca="false">P$27</f>
        <v>1.46</v>
      </c>
      <c r="Q47" s="25" t="n">
        <f aca="false">Q$27</f>
        <v>1.63</v>
      </c>
      <c r="R47" s="25" t="n">
        <f aca="false">R$27</f>
        <v>0.34</v>
      </c>
      <c r="S47" s="25" t="n">
        <f aca="false">S$27</f>
        <v>0.21</v>
      </c>
      <c r="T47" s="25" t="n">
        <f aca="false">T$27</f>
        <v>0.56</v>
      </c>
      <c r="U47" s="25" t="n">
        <f aca="false">U$27</f>
        <v>1.75</v>
      </c>
      <c r="V47" s="25" t="n">
        <f aca="false">V$27</f>
        <v>1.9</v>
      </c>
      <c r="W47" s="25" t="n">
        <f aca="false">W$27</f>
        <v>1.23</v>
      </c>
      <c r="X47" s="25" t="n">
        <f aca="false">X$27</f>
        <v>6.51</v>
      </c>
      <c r="Y47" s="25" t="n">
        <f aca="false">Y$27</f>
        <v>1.74</v>
      </c>
      <c r="Z47" s="25" t="n">
        <f aca="false">Z$27</f>
        <v>5.07</v>
      </c>
      <c r="AA47" s="25" t="n">
        <f aca="false">AA$27</f>
        <v>1.6</v>
      </c>
      <c r="AB47" s="25" t="n">
        <f aca="false">AB$27</f>
        <v>0.02</v>
      </c>
      <c r="AC47" s="25" t="n">
        <f aca="false">AC$27</f>
        <v>0.07</v>
      </c>
      <c r="AD47" s="25" t="n">
        <f aca="false">AD$27</f>
        <v>0.42</v>
      </c>
      <c r="AE47" s="25" t="n">
        <f aca="false">AE$27</f>
        <v>0.03</v>
      </c>
      <c r="AF47" s="25" t="n">
        <f aca="false">AF$27</f>
        <v>0.63</v>
      </c>
      <c r="AG47" s="25" t="n">
        <f aca="false">AG$27</f>
        <v>0.14</v>
      </c>
      <c r="AH47" s="25" t="n">
        <f aca="false">AH$27</f>
        <v>0.13</v>
      </c>
      <c r="AI47" s="25" t="n">
        <f aca="false">AI$27</f>
        <v>0.22</v>
      </c>
      <c r="AJ47" s="25" t="n">
        <f aca="false">AJ$27</f>
        <v>3.57</v>
      </c>
      <c r="AK47" s="25" t="n">
        <f aca="false">AK$27</f>
        <v>1.29</v>
      </c>
      <c r="AL47" s="25" t="n">
        <f aca="false">AL$27</f>
        <v>33.17</v>
      </c>
      <c r="AM47" s="25" t="n">
        <f aca="false">AM$27</f>
        <v>1.23</v>
      </c>
      <c r="AN47" s="25" t="n">
        <f aca="false">AN$27</f>
        <v>3.32</v>
      </c>
      <c r="AO47" s="25" t="n">
        <f aca="false">AO$27</f>
        <v>4.57</v>
      </c>
      <c r="AP47" s="25" t="n">
        <f aca="false">AP$27</f>
        <v>4.25</v>
      </c>
      <c r="AQ47" s="25" t="n">
        <f aca="false">AQ$27</f>
        <v>3.3</v>
      </c>
      <c r="AR47" s="25" t="n">
        <f aca="false">AR$27</f>
        <v>3.61</v>
      </c>
      <c r="AS47" s="25" t="n">
        <f aca="false">AS$27</f>
        <v>4.31</v>
      </c>
      <c r="AT47" s="25" t="n">
        <f aca="false">AT$27</f>
        <v>2.47</v>
      </c>
      <c r="AU47" s="25" t="n">
        <f aca="false">AU$27</f>
        <v>3.62</v>
      </c>
      <c r="AV47" s="25" t="n">
        <f aca="false">AV$27</f>
        <v>0.42</v>
      </c>
      <c r="AW47" s="25" t="n">
        <f aca="false">AW$27</f>
        <v>0.81</v>
      </c>
      <c r="AX47" s="25" t="n">
        <f aca="false">AX$27</f>
        <v>0.61</v>
      </c>
      <c r="AY47" s="25" t="n">
        <f aca="false">AY$27</f>
        <v>0.12</v>
      </c>
      <c r="AZ47" s="25" t="n">
        <f aca="false">AZ$27</f>
        <v>0.26</v>
      </c>
      <c r="BA47" s="25" t="n">
        <f aca="false">BA$27</f>
        <v>0.18</v>
      </c>
      <c r="BB47" s="25" t="n">
        <f aca="false">BB$27</f>
        <v>0.36</v>
      </c>
      <c r="BC47" s="25" t="n">
        <f aca="false">BC$27</f>
        <v>0.13</v>
      </c>
      <c r="BD47" s="25" t="n">
        <f aca="false">BD$27</f>
        <v>0.13</v>
      </c>
      <c r="BE47" s="25" t="n">
        <f aca="false">BE$27</f>
        <v>1.88</v>
      </c>
      <c r="BF47" s="25" t="n">
        <f aca="false">BF$27</f>
        <v>0.41</v>
      </c>
      <c r="BG47" s="25" t="n">
        <f aca="false">BG$27</f>
        <v>0.72</v>
      </c>
      <c r="BH47" s="25" t="n">
        <f aca="false">BH$27</f>
        <v>0.3</v>
      </c>
      <c r="BI47" s="25" t="n">
        <f aca="false">BI$27</f>
        <v>1.02</v>
      </c>
      <c r="BJ47" s="25" t="n">
        <f aca="false">BJ$27</f>
        <v>0.34</v>
      </c>
      <c r="BK47" s="25" t="n">
        <f aca="false">BK$27</f>
        <v>0.95</v>
      </c>
      <c r="BL47" s="25" t="n">
        <f aca="false">BL$27</f>
        <v>0.21</v>
      </c>
      <c r="BM47" s="25" t="n">
        <f aca="false">BM$27</f>
        <v>0.97</v>
      </c>
      <c r="BN47" s="25" t="n">
        <f aca="false">BN$27</f>
        <v>2.71</v>
      </c>
      <c r="BO47" s="25" t="n">
        <f aca="false">BO$27</f>
        <v>0.27</v>
      </c>
      <c r="BP47" s="25" t="n">
        <f aca="false">BP$27</f>
        <v>0.02</v>
      </c>
      <c r="BQ47" s="25" t="n">
        <f aca="false">BQ$27</f>
        <v>0</v>
      </c>
      <c r="BR47" s="25" t="n">
        <f aca="false">BR$27</f>
        <v>0.56</v>
      </c>
      <c r="BS47" s="25" t="n">
        <f aca="false">BS$27</f>
        <v>3.71</v>
      </c>
      <c r="BT47" s="25" t="n">
        <f aca="false">BT$27</f>
        <v>0.61</v>
      </c>
      <c r="BU47" s="25" t="n">
        <f aca="false">BU$27</f>
        <v>5.58</v>
      </c>
      <c r="BV47" s="25" t="n">
        <f aca="false">BV$27</f>
        <v>2.19</v>
      </c>
      <c r="BW47" s="25" t="n">
        <f aca="false">BW$27</f>
        <v>1.28</v>
      </c>
      <c r="BX47" s="25" t="n">
        <f aca="false">BX$27</f>
        <v>0.09</v>
      </c>
    </row>
    <row r="48" customFormat="false" ht="15" hidden="false" customHeight="false" outlineLevel="0" collapsed="false">
      <c r="A48" s="4" t="s">
        <v>632</v>
      </c>
      <c r="B48" s="75" t="s">
        <v>623</v>
      </c>
      <c r="C48" s="76" t="n">
        <f aca="false">N(Planner!$E$21)</f>
        <v>3400</v>
      </c>
      <c r="D48" s="77" t="n">
        <v>5247.643061918</v>
      </c>
      <c r="E48" s="75" t="str">
        <f aca="false">IF(D48&gt;=C48-0.000001*MAX(1,ABS(C48)),IF(ABS(D48-C48)&lt;=0.000001*MAX(1,ABS(C48)),"tight","ok"),"VIOLATED")</f>
        <v>ok</v>
      </c>
      <c r="F48" s="25" t="n">
        <f aca="false">F$28</f>
        <v>334</v>
      </c>
      <c r="G48" s="25" t="n">
        <f aca="false">G$28</f>
        <v>211</v>
      </c>
      <c r="H48" s="25" t="n">
        <f aca="false">H$28</f>
        <v>242</v>
      </c>
      <c r="I48" s="25" t="n">
        <f aca="false">I$28</f>
        <v>401</v>
      </c>
      <c r="J48" s="25" t="n">
        <f aca="false">J$28</f>
        <v>213</v>
      </c>
      <c r="K48" s="25" t="n">
        <f aca="false">K$28</f>
        <v>198</v>
      </c>
      <c r="L48" s="25" t="n">
        <f aca="false">L$28</f>
        <v>270</v>
      </c>
      <c r="M48" s="25" t="n">
        <f aca="false">M$28</f>
        <v>336</v>
      </c>
      <c r="N48" s="25" t="n">
        <f aca="false">N$28</f>
        <v>287</v>
      </c>
      <c r="O48" s="25" t="n">
        <f aca="false">O$28</f>
        <v>345</v>
      </c>
      <c r="P48" s="25" t="n">
        <f aca="false">P$28</f>
        <v>309</v>
      </c>
      <c r="Q48" s="25" t="n">
        <f aca="false">Q$28</f>
        <v>179</v>
      </c>
      <c r="R48" s="25" t="n">
        <f aca="false">R$28</f>
        <v>363</v>
      </c>
      <c r="S48" s="25" t="n">
        <f aca="false">S$28</f>
        <v>113</v>
      </c>
      <c r="T48" s="25" t="n">
        <f aca="false">T$28</f>
        <v>302</v>
      </c>
      <c r="U48" s="25" t="n">
        <f aca="false">U$28</f>
        <v>138</v>
      </c>
      <c r="V48" s="25" t="n">
        <f aca="false">V$28</f>
        <v>308</v>
      </c>
      <c r="W48" s="25" t="n">
        <f aca="false">W$28</f>
        <v>144</v>
      </c>
      <c r="X48" s="25" t="n">
        <f aca="false">X$28</f>
        <v>677</v>
      </c>
      <c r="Y48" s="25" t="n">
        <f aca="false">Y$28</f>
        <v>558</v>
      </c>
      <c r="Z48" s="25" t="n">
        <f aca="false">Z$28</f>
        <v>1393</v>
      </c>
      <c r="AA48" s="25" t="n">
        <f aca="false">AA$28</f>
        <v>0</v>
      </c>
      <c r="AB48" s="25" t="n">
        <f aca="false">AB$28</f>
        <v>140</v>
      </c>
      <c r="AC48" s="25" t="n">
        <f aca="false">AC$28</f>
        <v>141</v>
      </c>
      <c r="AD48" s="25" t="n">
        <f aca="false">AD$28</f>
        <v>122</v>
      </c>
      <c r="AE48" s="25" t="n">
        <f aca="false">AE$28</f>
        <v>132</v>
      </c>
      <c r="AF48" s="25" t="n">
        <f aca="false">AF$28</f>
        <v>132</v>
      </c>
      <c r="AG48" s="25" t="n">
        <f aca="false">AG$28</f>
        <v>76</v>
      </c>
      <c r="AH48" s="25" t="n">
        <f aca="false">AH$28</f>
        <v>125</v>
      </c>
      <c r="AI48" s="25" t="n">
        <f aca="false">AI$28</f>
        <v>188</v>
      </c>
      <c r="AJ48" s="25" t="n">
        <f aca="false">AJ$28</f>
        <v>107</v>
      </c>
      <c r="AK48" s="25" t="n">
        <f aca="false">AK$28</f>
        <v>250</v>
      </c>
      <c r="AL48" s="25" t="n">
        <f aca="false">AL$28</f>
        <v>641</v>
      </c>
      <c r="AM48" s="25" t="n">
        <f aca="false">AM$28</f>
        <v>186</v>
      </c>
      <c r="AN48" s="25" t="n">
        <f aca="false">AN$28</f>
        <v>133</v>
      </c>
      <c r="AO48" s="25" t="n">
        <f aca="false">AO$28</f>
        <v>563</v>
      </c>
      <c r="AP48" s="25" t="n">
        <f aca="false">AP$28</f>
        <v>362</v>
      </c>
      <c r="AQ48" s="25" t="n">
        <f aca="false">AQ$28</f>
        <v>223</v>
      </c>
      <c r="AR48" s="25" t="n">
        <f aca="false">AR$28</f>
        <v>126</v>
      </c>
      <c r="AS48" s="25" t="n">
        <f aca="false">AS$28</f>
        <v>115</v>
      </c>
      <c r="AT48" s="25" t="n">
        <f aca="false">AT$28</f>
        <v>254</v>
      </c>
      <c r="AU48" s="25" t="n">
        <f aca="false">AU$28</f>
        <v>434</v>
      </c>
      <c r="AV48" s="25" t="n">
        <f aca="false">AV$28</f>
        <v>213</v>
      </c>
      <c r="AW48" s="25" t="n">
        <f aca="false">AW$28</f>
        <v>425</v>
      </c>
      <c r="AX48" s="25" t="n">
        <f aca="false">AX$28</f>
        <v>337</v>
      </c>
      <c r="AY48" s="25" t="n">
        <f aca="false">AY$28</f>
        <v>107</v>
      </c>
      <c r="AZ48" s="25" t="n">
        <f aca="false">AZ$28</f>
        <v>358</v>
      </c>
      <c r="BA48" s="25" t="n">
        <f aca="false">BA$28</f>
        <v>54</v>
      </c>
      <c r="BB48" s="25" t="n">
        <f aca="false">BB$28</f>
        <v>191</v>
      </c>
      <c r="BC48" s="25" t="n">
        <f aca="false">BC$28</f>
        <v>178</v>
      </c>
      <c r="BD48" s="25" t="n">
        <f aca="false">BD$28</f>
        <v>166</v>
      </c>
      <c r="BE48" s="25" t="n">
        <f aca="false">BE$28</f>
        <v>749</v>
      </c>
      <c r="BF48" s="25" t="n">
        <f aca="false">BF$28</f>
        <v>153</v>
      </c>
      <c r="BG48" s="25" t="n">
        <f aca="false">BG$28</f>
        <v>250</v>
      </c>
      <c r="BH48" s="25" t="n">
        <f aca="false">BH$28</f>
        <v>320</v>
      </c>
      <c r="BI48" s="25" t="n">
        <f aca="false">BI$28</f>
        <v>92</v>
      </c>
      <c r="BJ48" s="25" t="n">
        <f aca="false">BJ$28</f>
        <v>175</v>
      </c>
      <c r="BK48" s="25" t="n">
        <f aca="false">BK$28</f>
        <v>212</v>
      </c>
      <c r="BL48" s="25" t="n">
        <f aca="false">BL$28</f>
        <v>146</v>
      </c>
      <c r="BM48" s="25" t="n">
        <f aca="false">BM$28</f>
        <v>247</v>
      </c>
      <c r="BN48" s="25" t="n">
        <f aca="false">BN$28</f>
        <v>558</v>
      </c>
      <c r="BO48" s="25" t="n">
        <f aca="false">BO$28</f>
        <v>237</v>
      </c>
      <c r="BP48" s="25" t="n">
        <f aca="false">BP$28</f>
        <v>24</v>
      </c>
      <c r="BQ48" s="25" t="n">
        <f aca="false">BQ$28</f>
        <v>0</v>
      </c>
      <c r="BR48" s="25" t="n">
        <f aca="false">BR$28</f>
        <v>1</v>
      </c>
      <c r="BS48" s="25" t="n">
        <f aca="false">BS$28</f>
        <v>733</v>
      </c>
      <c r="BT48" s="25" t="n">
        <f aca="false">BT$28</f>
        <v>507</v>
      </c>
      <c r="BU48" s="25" t="n">
        <f aca="false">BU$28</f>
        <v>171</v>
      </c>
      <c r="BV48" s="25" t="n">
        <f aca="false">BV$28</f>
        <v>237</v>
      </c>
      <c r="BW48" s="25" t="n">
        <f aca="false">BW$28</f>
        <v>1196</v>
      </c>
      <c r="BX48" s="25" t="n">
        <f aca="false">BX$28</f>
        <v>199</v>
      </c>
    </row>
    <row r="49" customFormat="false" ht="15" hidden="false" customHeight="false" outlineLevel="0" collapsed="false">
      <c r="A49" s="4" t="s">
        <v>633</v>
      </c>
      <c r="B49" s="75" t="s">
        <v>623</v>
      </c>
      <c r="C49" s="76" t="n">
        <f aca="false">N(Planner!$E$22)</f>
        <v>90</v>
      </c>
      <c r="D49" s="77" t="n">
        <v>166.1430651884</v>
      </c>
      <c r="E49" s="75" t="str">
        <f aca="false">IF(D49&gt;=C49-0.000001*MAX(1,ABS(C49)),IF(ABS(D49-C49)&lt;=0.000001*MAX(1,ABS(C49)),"tight","ok"),"VIOLATED")</f>
        <v>ok</v>
      </c>
      <c r="F49" s="25" t="n">
        <f aca="false">F$30</f>
        <v>0</v>
      </c>
      <c r="G49" s="25" t="n">
        <f aca="false">G$30</f>
        <v>0</v>
      </c>
      <c r="H49" s="25" t="n">
        <f aca="false">H$30</f>
        <v>0</v>
      </c>
      <c r="I49" s="25" t="n">
        <f aca="false">I$30</f>
        <v>0</v>
      </c>
      <c r="J49" s="25" t="n">
        <f aca="false">J$30</f>
        <v>0</v>
      </c>
      <c r="K49" s="25" t="n">
        <f aca="false">K$30</f>
        <v>0</v>
      </c>
      <c r="L49" s="25" t="n">
        <f aca="false">L$30</f>
        <v>0</v>
      </c>
      <c r="M49" s="25" t="n">
        <f aca="false">M$30</f>
        <v>0</v>
      </c>
      <c r="N49" s="25" t="n">
        <f aca="false">N$30</f>
        <v>4</v>
      </c>
      <c r="O49" s="25" t="n">
        <f aca="false">O$30</f>
        <v>0</v>
      </c>
      <c r="P49" s="25" t="n">
        <f aca="false">P$30</f>
        <v>0</v>
      </c>
      <c r="Q49" s="25" t="n">
        <f aca="false">Q$30</f>
        <v>0</v>
      </c>
      <c r="R49" s="25" t="n">
        <f aca="false">R$30</f>
        <v>3.9</v>
      </c>
      <c r="S49" s="25" t="n">
        <f aca="false">S$30</f>
        <v>0</v>
      </c>
      <c r="T49" s="25" t="n">
        <f aca="false">T$30</f>
        <v>0</v>
      </c>
      <c r="U49" s="25" t="n">
        <f aca="false">U$30</f>
        <v>0</v>
      </c>
      <c r="V49" s="25" t="n">
        <f aca="false">V$30</f>
        <v>2.7</v>
      </c>
      <c r="W49" s="25" t="n">
        <f aca="false">W$30</f>
        <v>0.1</v>
      </c>
      <c r="X49" s="25" t="n">
        <f aca="false">X$30</f>
        <v>4.5</v>
      </c>
      <c r="Y49" s="25" t="n">
        <f aca="false">Y$30</f>
        <v>0</v>
      </c>
      <c r="Z49" s="25" t="n">
        <f aca="false">Z$30</f>
        <v>6.3</v>
      </c>
      <c r="AA49" s="25" t="n">
        <f aca="false">AA$30</f>
        <v>0</v>
      </c>
      <c r="AB49" s="25" t="n">
        <f aca="false">AB$30</f>
        <v>0.2</v>
      </c>
      <c r="AC49" s="25" t="n">
        <f aca="false">AC$30</f>
        <v>0</v>
      </c>
      <c r="AD49" s="25" t="n">
        <f aca="false">AD$30</f>
        <v>0</v>
      </c>
      <c r="AE49" s="25" t="n">
        <f aca="false">AE$30</f>
        <v>0</v>
      </c>
      <c r="AF49" s="25" t="n">
        <f aca="false">AF$30</f>
        <v>0</v>
      </c>
      <c r="AG49" s="25" t="n">
        <f aca="false">AG$30</f>
        <v>0</v>
      </c>
      <c r="AH49" s="25" t="n">
        <f aca="false">AH$30</f>
        <v>0</v>
      </c>
      <c r="AI49" s="25" t="n">
        <f aca="false">AI$30</f>
        <v>0</v>
      </c>
      <c r="AJ49" s="25" t="n">
        <f aca="false">AJ$30</f>
        <v>0</v>
      </c>
      <c r="AK49" s="25" t="n">
        <f aca="false">AK$30</f>
        <v>0</v>
      </c>
      <c r="AL49" s="25" t="n">
        <f aca="false">AL$30</f>
        <v>21.6</v>
      </c>
      <c r="AM49" s="25" t="n">
        <f aca="false">AM$30</f>
        <v>0</v>
      </c>
      <c r="AN49" s="25" t="n">
        <f aca="false">AN$30</f>
        <v>0</v>
      </c>
      <c r="AO49" s="25" t="n">
        <f aca="false">AO$30</f>
        <v>0</v>
      </c>
      <c r="AP49" s="25" t="n">
        <f aca="false">AP$30</f>
        <v>0</v>
      </c>
      <c r="AQ49" s="25" t="n">
        <f aca="false">AQ$30</f>
        <v>0</v>
      </c>
      <c r="AR49" s="25" t="n">
        <f aca="false">AR$30</f>
        <v>0</v>
      </c>
      <c r="AS49" s="25" t="n">
        <f aca="false">AS$30</f>
        <v>0</v>
      </c>
      <c r="AT49" s="25" t="n">
        <f aca="false">AT$30</f>
        <v>0</v>
      </c>
      <c r="AU49" s="25" t="n">
        <f aca="false">AU$30</f>
        <v>0</v>
      </c>
      <c r="AV49" s="25" t="n">
        <f aca="false">AV$30</f>
        <v>6.4</v>
      </c>
      <c r="AW49" s="25" t="n">
        <f aca="false">AW$30</f>
        <v>19.7</v>
      </c>
      <c r="AX49" s="25" t="n">
        <f aca="false">AX$30</f>
        <v>2.4</v>
      </c>
      <c r="AY49" s="25" t="n">
        <f aca="false">AY$30</f>
        <v>4.6</v>
      </c>
      <c r="AZ49" s="25" t="n">
        <f aca="false">AZ$30</f>
        <v>8.7</v>
      </c>
      <c r="BA49" s="25" t="n">
        <f aca="false">BA$30</f>
        <v>2.5</v>
      </c>
      <c r="BB49" s="25" t="n">
        <f aca="false">BB$30</f>
        <v>3.2</v>
      </c>
      <c r="BC49" s="25" t="n">
        <f aca="false">BC$30</f>
        <v>33.6</v>
      </c>
      <c r="BD49" s="25" t="n">
        <f aca="false">BD$30</f>
        <v>59.1</v>
      </c>
      <c r="BE49" s="25" t="n">
        <f aca="false">BE$30</f>
        <v>2.3</v>
      </c>
      <c r="BF49" s="25" t="n">
        <f aca="false">BF$30</f>
        <v>58.8</v>
      </c>
      <c r="BG49" s="25" t="n">
        <f aca="false">BG$30</f>
        <v>68.3</v>
      </c>
      <c r="BH49" s="25" t="n">
        <f aca="false">BH$30</f>
        <v>5.9</v>
      </c>
      <c r="BI49" s="25" t="n">
        <f aca="false">BI$30</f>
        <v>2.2</v>
      </c>
      <c r="BJ49" s="25" t="n">
        <f aca="false">BJ$30</f>
        <v>80.4</v>
      </c>
      <c r="BK49" s="25" t="n">
        <f aca="false">BK$30</f>
        <v>10.4</v>
      </c>
      <c r="BL49" s="25" t="n">
        <f aca="false">BL$30</f>
        <v>7.4</v>
      </c>
      <c r="BM49" s="25" t="n">
        <f aca="false">BM$30</f>
        <v>4</v>
      </c>
      <c r="BN49" s="25" t="n">
        <f aca="false">BN$30</f>
        <v>28.1</v>
      </c>
      <c r="BO49" s="25" t="n">
        <f aca="false">BO$30</f>
        <v>13.7</v>
      </c>
      <c r="BP49" s="25" t="n">
        <f aca="false">BP$30</f>
        <v>0</v>
      </c>
      <c r="BQ49" s="25" t="n">
        <f aca="false">BQ$30</f>
        <v>0</v>
      </c>
      <c r="BR49" s="25" t="n">
        <f aca="false">BR$30</f>
        <v>0</v>
      </c>
      <c r="BS49" s="25" t="n">
        <f aca="false">BS$30</f>
        <v>0</v>
      </c>
      <c r="BT49" s="25" t="n">
        <f aca="false">BT$30</f>
        <v>8.8</v>
      </c>
      <c r="BU49" s="25" t="n">
        <f aca="false">BU$30</f>
        <v>0</v>
      </c>
      <c r="BV49" s="25" t="n">
        <f aca="false">BV$30</f>
        <v>0</v>
      </c>
      <c r="BW49" s="25" t="n">
        <f aca="false">BW$30</f>
        <v>21.6</v>
      </c>
      <c r="BX49" s="25" t="n">
        <f aca="false">BX$30</f>
        <v>0.6</v>
      </c>
    </row>
    <row r="50" customFormat="false" ht="15" hidden="false" customHeight="false" outlineLevel="0" collapsed="false">
      <c r="A50" s="4" t="s">
        <v>634</v>
      </c>
      <c r="B50" s="75" t="s">
        <v>635</v>
      </c>
      <c r="C50" s="76" t="n">
        <f aca="false">Planner!$E$16*Planner!$C$45</f>
        <v>606</v>
      </c>
      <c r="D50" s="77" t="n">
        <v>606.000000082</v>
      </c>
      <c r="E50" s="75" t="str">
        <f aca="false">IF(D50&gt;=C50-0.000001*MAX(1,ABS(C50)),IF(ABS(D50-C50)&lt;=0.000001*MAX(1,ABS(C50)),"tight","ok"),"VIOLATED")</f>
        <v>tight</v>
      </c>
      <c r="F50" s="25" t="n">
        <f aca="false">F$20*F$33</f>
        <v>0</v>
      </c>
      <c r="G50" s="25" t="n">
        <f aca="false">G$20*G$33</f>
        <v>0</v>
      </c>
      <c r="H50" s="25" t="n">
        <f aca="false">H$20*H$33</f>
        <v>0</v>
      </c>
      <c r="I50" s="25" t="n">
        <f aca="false">I$20*I$33</f>
        <v>0</v>
      </c>
      <c r="J50" s="25" t="n">
        <f aca="false">J$20*J$33</f>
        <v>0</v>
      </c>
      <c r="K50" s="25" t="n">
        <f aca="false">K$20*K$33</f>
        <v>417</v>
      </c>
      <c r="L50" s="25" t="n">
        <f aca="false">L$20*L$33</f>
        <v>0</v>
      </c>
      <c r="M50" s="25" t="n">
        <f aca="false">M$20*M$33</f>
        <v>0</v>
      </c>
      <c r="N50" s="25" t="n">
        <f aca="false">N$20*N$33</f>
        <v>0</v>
      </c>
      <c r="O50" s="25" t="n">
        <f aca="false">O$20*O$33</f>
        <v>0</v>
      </c>
      <c r="P50" s="25" t="n">
        <f aca="false">P$20*P$33</f>
        <v>0</v>
      </c>
      <c r="Q50" s="25" t="n">
        <f aca="false">Q$20*Q$33</f>
        <v>0</v>
      </c>
      <c r="R50" s="25" t="n">
        <f aca="false">R$20*R$33</f>
        <v>0</v>
      </c>
      <c r="S50" s="25" t="n">
        <f aca="false">S$20*S$33</f>
        <v>0</v>
      </c>
      <c r="T50" s="25" t="n">
        <f aca="false">T$20*T$33</f>
        <v>0</v>
      </c>
      <c r="U50" s="25" t="n">
        <f aca="false">U$20*U$33</f>
        <v>143</v>
      </c>
      <c r="V50" s="25" t="n">
        <f aca="false">V$20*V$33</f>
        <v>0</v>
      </c>
      <c r="W50" s="25" t="n">
        <f aca="false">W$20*W$33</f>
        <v>0</v>
      </c>
      <c r="X50" s="25" t="n">
        <f aca="false">X$20*X$33</f>
        <v>0</v>
      </c>
      <c r="Y50" s="25" t="n">
        <f aca="false">Y$20*Y$33</f>
        <v>299</v>
      </c>
      <c r="Z50" s="25" t="n">
        <f aca="false">Z$20*Z$33</f>
        <v>0</v>
      </c>
      <c r="AA50" s="25" t="n">
        <f aca="false">AA$20*AA$33</f>
        <v>0</v>
      </c>
      <c r="AB50" s="25" t="n">
        <f aca="false">AB$20*AB$33</f>
        <v>25</v>
      </c>
      <c r="AC50" s="25" t="n">
        <f aca="false">AC$20*AC$33</f>
        <v>29.5</v>
      </c>
      <c r="AD50" s="25" t="n">
        <f aca="false">AD$20*AD$33</f>
        <v>21.5</v>
      </c>
      <c r="AE50" s="25" t="n">
        <f aca="false">AE$20*AE$33</f>
        <v>30.5</v>
      </c>
      <c r="AF50" s="25" t="n">
        <f aca="false">AF$20*AF$33</f>
        <v>0</v>
      </c>
      <c r="AG50" s="25" t="n">
        <f aca="false">AG$20*AG$33</f>
        <v>0</v>
      </c>
      <c r="AH50" s="25" t="n">
        <f aca="false">AH$20*AH$33</f>
        <v>0</v>
      </c>
      <c r="AI50" s="25" t="n">
        <f aca="false">AI$20*AI$33</f>
        <v>0</v>
      </c>
      <c r="AJ50" s="25" t="n">
        <f aca="false">AJ$20*AJ$33</f>
        <v>264</v>
      </c>
      <c r="AK50" s="25" t="n">
        <f aca="false">AK$20*AK$33</f>
        <v>0</v>
      </c>
      <c r="AL50" s="25" t="n">
        <f aca="false">AL$20*AL$33</f>
        <v>376</v>
      </c>
      <c r="AM50" s="25" t="n">
        <f aca="false">AM$20*AM$33</f>
        <v>0</v>
      </c>
      <c r="AN50" s="25" t="n">
        <f aca="false">AN$20*AN$33</f>
        <v>0</v>
      </c>
      <c r="AO50" s="25" t="n">
        <f aca="false">AO$20*AO$33</f>
        <v>0</v>
      </c>
      <c r="AP50" s="25" t="n">
        <f aca="false">AP$20*AP$33</f>
        <v>379</v>
      </c>
      <c r="AQ50" s="25" t="n">
        <f aca="false">AQ$20*AQ$33</f>
        <v>0</v>
      </c>
      <c r="AR50" s="25" t="n">
        <f aca="false">AR$20*AR$33</f>
        <v>133</v>
      </c>
      <c r="AS50" s="25" t="n">
        <f aca="false">AS$20*AS$33</f>
        <v>0</v>
      </c>
      <c r="AT50" s="25" t="n">
        <f aca="false">AT$20*AT$33</f>
        <v>126</v>
      </c>
      <c r="AU50" s="25" t="n">
        <f aca="false">AU$20*AU$33</f>
        <v>0</v>
      </c>
      <c r="AV50" s="25" t="n">
        <f aca="false">AV$20*AV$33</f>
        <v>0</v>
      </c>
      <c r="AW50" s="25" t="n">
        <f aca="false">AW$20*AW$33</f>
        <v>0</v>
      </c>
      <c r="AX50" s="25" t="n">
        <f aca="false">AX$20*AX$33</f>
        <v>0</v>
      </c>
      <c r="AY50" s="25" t="n">
        <f aca="false">AY$20*AY$33</f>
        <v>0</v>
      </c>
      <c r="AZ50" s="25" t="n">
        <f aca="false">AZ$20*AZ$33</f>
        <v>44.5</v>
      </c>
      <c r="BA50" s="25" t="n">
        <f aca="false">BA$20*BA$33</f>
        <v>51</v>
      </c>
      <c r="BB50" s="25" t="n">
        <f aca="false">BB$20*BB$33</f>
        <v>0</v>
      </c>
      <c r="BC50" s="25" t="n">
        <f aca="false">BC$20*BC$33</f>
        <v>49</v>
      </c>
      <c r="BD50" s="25" t="n">
        <f aca="false">BD$20*BD$33</f>
        <v>0</v>
      </c>
      <c r="BE50" s="25" t="n">
        <f aca="false">BE$20*BE$33</f>
        <v>0</v>
      </c>
      <c r="BF50" s="25" t="n">
        <f aca="false">BF$20*BF$33</f>
        <v>16</v>
      </c>
      <c r="BG50" s="25" t="n">
        <f aca="false">BG$20*BG$33</f>
        <v>0</v>
      </c>
      <c r="BH50" s="25" t="n">
        <f aca="false">BH$20*BH$33</f>
        <v>0</v>
      </c>
      <c r="BI50" s="25" t="n">
        <f aca="false">BI$20*BI$33</f>
        <v>0</v>
      </c>
      <c r="BJ50" s="25" t="n">
        <f aca="false">BJ$20*BJ$33</f>
        <v>0</v>
      </c>
      <c r="BK50" s="25" t="n">
        <f aca="false">BK$20*BK$33</f>
        <v>0</v>
      </c>
      <c r="BL50" s="25" t="n">
        <f aca="false">BL$20*BL$33</f>
        <v>0</v>
      </c>
      <c r="BM50" s="25" t="n">
        <f aca="false">BM$20*BM$33</f>
        <v>0</v>
      </c>
      <c r="BN50" s="25" t="n">
        <f aca="false">BN$20*BN$33</f>
        <v>0</v>
      </c>
      <c r="BO50" s="25" t="n">
        <f aca="false">BO$20*BO$33</f>
        <v>0</v>
      </c>
      <c r="BP50" s="25" t="n">
        <f aca="false">BP$20*BP$33</f>
        <v>358.5</v>
      </c>
      <c r="BQ50" s="25" t="n">
        <f aca="false">BQ$20*BQ$33</f>
        <v>0</v>
      </c>
      <c r="BR50" s="25" t="n">
        <f aca="false">BR$20*BR$33</f>
        <v>0</v>
      </c>
      <c r="BS50" s="25" t="n">
        <f aca="false">BS$20*BS$33</f>
        <v>0</v>
      </c>
      <c r="BT50" s="25" t="n">
        <f aca="false">BT$20*BT$33</f>
        <v>0</v>
      </c>
      <c r="BU50" s="25" t="n">
        <f aca="false">BU$20*BU$33</f>
        <v>0</v>
      </c>
      <c r="BV50" s="25" t="n">
        <f aca="false">BV$20*BV$33</f>
        <v>0</v>
      </c>
      <c r="BW50" s="25" t="n">
        <f aca="false">BW$20*BW$33</f>
        <v>0</v>
      </c>
      <c r="BX50" s="25" t="n">
        <f aca="false">BX$20*BX$33</f>
        <v>0</v>
      </c>
    </row>
    <row r="51" customFormat="false" ht="15" hidden="false" customHeight="false" outlineLevel="0" collapsed="false">
      <c r="A51" s="4" t="s">
        <v>636</v>
      </c>
      <c r="B51" s="75" t="s">
        <v>635</v>
      </c>
      <c r="C51" s="76" t="n">
        <f aca="false">Planner!$E$16*Planner!$C$46</f>
        <v>757.5</v>
      </c>
      <c r="D51" s="77" t="n">
        <v>929.2791397645</v>
      </c>
      <c r="E51" s="75" t="str">
        <f aca="false">IF(D51&gt;=C51-0.000001*MAX(1,ABS(C51)),IF(ABS(D51-C51)&lt;=0.000001*MAX(1,ABS(C51)),"tight","ok"),"VIOLATED")</f>
        <v>ok</v>
      </c>
      <c r="F51" s="25" t="n">
        <f aca="false">F$20*F$34</f>
        <v>60</v>
      </c>
      <c r="G51" s="25" t="n">
        <f aca="false">G$20*G$34</f>
        <v>80.5</v>
      </c>
      <c r="H51" s="25" t="n">
        <f aca="false">H$20*H$34</f>
        <v>60.5</v>
      </c>
      <c r="I51" s="25" t="n">
        <f aca="false">I$20*I$34</f>
        <v>100</v>
      </c>
      <c r="J51" s="25" t="n">
        <f aca="false">J$20*J$34</f>
        <v>75</v>
      </c>
      <c r="K51" s="25" t="n">
        <f aca="false">K$20*K$34</f>
        <v>0</v>
      </c>
      <c r="L51" s="25" t="n">
        <f aca="false">L$20*L$34</f>
        <v>127</v>
      </c>
      <c r="M51" s="25" t="n">
        <f aca="false">M$20*M$34</f>
        <v>76</v>
      </c>
      <c r="N51" s="25" t="n">
        <f aca="false">N$20*N$34</f>
        <v>163</v>
      </c>
      <c r="O51" s="25" t="n">
        <f aca="false">O$20*O$34</f>
        <v>100.5</v>
      </c>
      <c r="P51" s="25" t="n">
        <f aca="false">P$20*P$34</f>
        <v>0</v>
      </c>
      <c r="Q51" s="25" t="n">
        <f aca="false">Q$20*Q$34</f>
        <v>86</v>
      </c>
      <c r="R51" s="25" t="n">
        <f aca="false">R$20*R$34</f>
        <v>0</v>
      </c>
      <c r="S51" s="25" t="n">
        <f aca="false">S$20*S$34</f>
        <v>0</v>
      </c>
      <c r="T51" s="25" t="n">
        <f aca="false">T$20*T$34</f>
        <v>48</v>
      </c>
      <c r="U51" s="25" t="n">
        <f aca="false">U$20*U$34</f>
        <v>0</v>
      </c>
      <c r="V51" s="25" t="n">
        <f aca="false">V$20*V$34</f>
        <v>45.5</v>
      </c>
      <c r="W51" s="25" t="n">
        <f aca="false">W$20*W$34</f>
        <v>44</v>
      </c>
      <c r="X51" s="25" t="n">
        <f aca="false">X$20*X$34</f>
        <v>176</v>
      </c>
      <c r="Y51" s="25" t="n">
        <f aca="false">Y$20*Y$34</f>
        <v>0</v>
      </c>
      <c r="Z51" s="25" t="n">
        <f aca="false">Z$20*Z$34</f>
        <v>173.5</v>
      </c>
      <c r="AA51" s="25" t="n">
        <f aca="false">AA$20*AA$34</f>
        <v>49</v>
      </c>
      <c r="AB51" s="25" t="n">
        <f aca="false">AB$20*AB$34</f>
        <v>0</v>
      </c>
      <c r="AC51" s="25" t="n">
        <f aca="false">AC$20*AC$34</f>
        <v>0</v>
      </c>
      <c r="AD51" s="25" t="n">
        <f aca="false">AD$20*AD$34</f>
        <v>0</v>
      </c>
      <c r="AE51" s="25" t="n">
        <f aca="false">AE$20*AE$34</f>
        <v>0</v>
      </c>
      <c r="AF51" s="25" t="n">
        <f aca="false">AF$20*AF$34</f>
        <v>366</v>
      </c>
      <c r="AG51" s="25" t="n">
        <f aca="false">AG$20*AG$34</f>
        <v>202</v>
      </c>
      <c r="AH51" s="25" t="n">
        <f aca="false">AH$20*AH$34</f>
        <v>40.5</v>
      </c>
      <c r="AI51" s="25" t="n">
        <f aca="false">AI$20*AI$34</f>
        <v>0</v>
      </c>
      <c r="AJ51" s="25" t="n">
        <f aca="false">AJ$20*AJ$34</f>
        <v>0</v>
      </c>
      <c r="AK51" s="25" t="n">
        <f aca="false">AK$20*AK$34</f>
        <v>183.5</v>
      </c>
      <c r="AL51" s="25" t="n">
        <f aca="false">AL$20*AL$34</f>
        <v>0</v>
      </c>
      <c r="AM51" s="25" t="n">
        <f aca="false">AM$20*AM$34</f>
        <v>109</v>
      </c>
      <c r="AN51" s="25" t="n">
        <f aca="false">AN$20*AN$34</f>
        <v>148.5</v>
      </c>
      <c r="AO51" s="25" t="n">
        <f aca="false">AO$20*AO$34</f>
        <v>184</v>
      </c>
      <c r="AP51" s="25" t="n">
        <f aca="false">AP$20*AP$34</f>
        <v>0</v>
      </c>
      <c r="AQ51" s="25" t="n">
        <f aca="false">AQ$20*AQ$34</f>
        <v>185.5</v>
      </c>
      <c r="AR51" s="25" t="n">
        <f aca="false">AR$20*AR$34</f>
        <v>133</v>
      </c>
      <c r="AS51" s="25" t="n">
        <f aca="false">AS$20*AS$34</f>
        <v>182.5</v>
      </c>
      <c r="AT51" s="25" t="n">
        <f aca="false">AT$20*AT$34</f>
        <v>126</v>
      </c>
      <c r="AU51" s="25" t="n">
        <f aca="false">AU$20*AU$34</f>
        <v>176</v>
      </c>
      <c r="AV51" s="25" t="n">
        <f aca="false">AV$20*AV$34</f>
        <v>44</v>
      </c>
      <c r="AW51" s="25" t="n">
        <f aca="false">AW$20*AW$34</f>
        <v>38.5</v>
      </c>
      <c r="AX51" s="25" t="n">
        <f aca="false">AX$20*AX$34</f>
        <v>43</v>
      </c>
      <c r="AY51" s="25" t="n">
        <f aca="false">AY$20*AY$34</f>
        <v>26</v>
      </c>
      <c r="AZ51" s="25" t="n">
        <f aca="false">AZ$20*AZ$34</f>
        <v>0</v>
      </c>
      <c r="BA51" s="25" t="n">
        <f aca="false">BA$20*BA$34</f>
        <v>0</v>
      </c>
      <c r="BB51" s="25" t="n">
        <f aca="false">BB$20*BB$34</f>
        <v>0</v>
      </c>
      <c r="BC51" s="25" t="n">
        <f aca="false">BC$20*BC$34</f>
        <v>0</v>
      </c>
      <c r="BD51" s="25" t="n">
        <f aca="false">BD$20*BD$34</f>
        <v>24.5</v>
      </c>
      <c r="BE51" s="25" t="n">
        <f aca="false">BE$20*BE$34</f>
        <v>0</v>
      </c>
      <c r="BF51" s="25" t="n">
        <f aca="false">BF$20*BF$34</f>
        <v>0</v>
      </c>
      <c r="BG51" s="25" t="n">
        <f aca="false">BG$20*BG$34</f>
        <v>14.5</v>
      </c>
      <c r="BH51" s="25" t="n">
        <f aca="false">BH$20*BH$34</f>
        <v>20.5</v>
      </c>
      <c r="BI51" s="25" t="n">
        <f aca="false">BI$20*BI$34</f>
        <v>7.5</v>
      </c>
      <c r="BJ51" s="25" t="n">
        <f aca="false">BJ$20*BJ$34</f>
        <v>10</v>
      </c>
      <c r="BK51" s="25" t="n">
        <f aca="false">BK$20*BK$34</f>
        <v>36</v>
      </c>
      <c r="BL51" s="25" t="n">
        <f aca="false">BL$20*BL$34</f>
        <v>20</v>
      </c>
      <c r="BM51" s="25" t="n">
        <f aca="false">BM$20*BM$34</f>
        <v>8.5</v>
      </c>
      <c r="BN51" s="25" t="n">
        <f aca="false">BN$20*BN$34</f>
        <v>11.5</v>
      </c>
      <c r="BO51" s="25" t="n">
        <f aca="false">BO$20*BO$34</f>
        <v>9</v>
      </c>
      <c r="BP51" s="25" t="n">
        <f aca="false">BP$20*BP$34</f>
        <v>0</v>
      </c>
      <c r="BQ51" s="25" t="n">
        <f aca="false">BQ$20*BQ$34</f>
        <v>442</v>
      </c>
      <c r="BR51" s="25" t="n">
        <f aca="false">BR$20*BR$34</f>
        <v>442</v>
      </c>
      <c r="BS51" s="25" t="n">
        <f aca="false">BS$20*BS$34</f>
        <v>0</v>
      </c>
      <c r="BT51" s="25" t="n">
        <f aca="false">BT$20*BT$34</f>
        <v>83.5</v>
      </c>
      <c r="BU51" s="25" t="n">
        <f aca="false">BU$20*BU$34</f>
        <v>0</v>
      </c>
      <c r="BV51" s="25" t="n">
        <f aca="false">BV$20*BV$34</f>
        <v>0</v>
      </c>
      <c r="BW51" s="25" t="n">
        <f aca="false">BW$20*BW$34</f>
        <v>0</v>
      </c>
      <c r="BX51" s="25" t="n">
        <f aca="false">BX$20*BX$34</f>
        <v>0</v>
      </c>
    </row>
    <row r="52" customFormat="false" ht="15" hidden="false" customHeight="false" outlineLevel="0" collapsed="false">
      <c r="A52" s="4" t="s">
        <v>637</v>
      </c>
      <c r="B52" s="75" t="s">
        <v>635</v>
      </c>
      <c r="C52" s="76" t="n">
        <f aca="false">Planner!$E$16*Planner!$C$47</f>
        <v>757.5</v>
      </c>
      <c r="D52" s="77" t="n">
        <v>929.2791397645</v>
      </c>
      <c r="E52" s="75" t="str">
        <f aca="false">IF(D52&gt;=C52-0.000001*MAX(1,ABS(C52)),IF(ABS(D52-C52)&lt;=0.000001*MAX(1,ABS(C52)),"tight","ok"),"VIOLATED")</f>
        <v>ok</v>
      </c>
      <c r="F52" s="25" t="n">
        <f aca="false">F$20*F$35</f>
        <v>60</v>
      </c>
      <c r="G52" s="25" t="n">
        <f aca="false">G$20*G$35</f>
        <v>80.5</v>
      </c>
      <c r="H52" s="25" t="n">
        <f aca="false">H$20*H$35</f>
        <v>60.5</v>
      </c>
      <c r="I52" s="25" t="n">
        <f aca="false">I$20*I$35</f>
        <v>0</v>
      </c>
      <c r="J52" s="25" t="n">
        <f aca="false">J$20*J$35</f>
        <v>75</v>
      </c>
      <c r="K52" s="25" t="n">
        <f aca="false">K$20*K$35</f>
        <v>0</v>
      </c>
      <c r="L52" s="25" t="n">
        <f aca="false">L$20*L$35</f>
        <v>127</v>
      </c>
      <c r="M52" s="25" t="n">
        <f aca="false">M$20*M$35</f>
        <v>76</v>
      </c>
      <c r="N52" s="25" t="n">
        <f aca="false">N$20*N$35</f>
        <v>0</v>
      </c>
      <c r="O52" s="25" t="n">
        <f aca="false">O$20*O$35</f>
        <v>100.5</v>
      </c>
      <c r="P52" s="25" t="n">
        <f aca="false">P$20*P$35</f>
        <v>214</v>
      </c>
      <c r="Q52" s="25" t="n">
        <f aca="false">Q$20*Q$35</f>
        <v>0</v>
      </c>
      <c r="R52" s="25" t="n">
        <f aca="false">R$20*R$35</f>
        <v>208</v>
      </c>
      <c r="S52" s="25" t="n">
        <f aca="false">S$20*S$35</f>
        <v>71</v>
      </c>
      <c r="T52" s="25" t="n">
        <f aca="false">T$20*T$35</f>
        <v>48</v>
      </c>
      <c r="U52" s="25" t="n">
        <f aca="false">U$20*U$35</f>
        <v>0</v>
      </c>
      <c r="V52" s="25" t="n">
        <f aca="false">V$20*V$35</f>
        <v>45.5</v>
      </c>
      <c r="W52" s="25" t="n">
        <f aca="false">W$20*W$35</f>
        <v>44</v>
      </c>
      <c r="X52" s="25" t="n">
        <f aca="false">X$20*X$35</f>
        <v>176</v>
      </c>
      <c r="Y52" s="25" t="n">
        <f aca="false">Y$20*Y$35</f>
        <v>0</v>
      </c>
      <c r="Z52" s="25" t="n">
        <f aca="false">Z$20*Z$35</f>
        <v>173.5</v>
      </c>
      <c r="AA52" s="25" t="n">
        <f aca="false">AA$20*AA$35</f>
        <v>49</v>
      </c>
      <c r="AB52" s="25" t="n">
        <f aca="false">AB$20*AB$35</f>
        <v>0</v>
      </c>
      <c r="AC52" s="25" t="n">
        <f aca="false">AC$20*AC$35</f>
        <v>0</v>
      </c>
      <c r="AD52" s="25" t="n">
        <f aca="false">AD$20*AD$35</f>
        <v>0</v>
      </c>
      <c r="AE52" s="25" t="n">
        <f aca="false">AE$20*AE$35</f>
        <v>0</v>
      </c>
      <c r="AF52" s="25" t="n">
        <f aca="false">AF$20*AF$35</f>
        <v>0</v>
      </c>
      <c r="AG52" s="25" t="n">
        <f aca="false">AG$20*AG$35</f>
        <v>202</v>
      </c>
      <c r="AH52" s="25" t="n">
        <f aca="false">AH$20*AH$35</f>
        <v>0</v>
      </c>
      <c r="AI52" s="25" t="n">
        <f aca="false">AI$20*AI$35</f>
        <v>0</v>
      </c>
      <c r="AJ52" s="25" t="n">
        <f aca="false">AJ$20*AJ$35</f>
        <v>0</v>
      </c>
      <c r="AK52" s="25" t="n">
        <f aca="false">AK$20*AK$35</f>
        <v>183.5</v>
      </c>
      <c r="AL52" s="25" t="n">
        <f aca="false">AL$20*AL$35</f>
        <v>0</v>
      </c>
      <c r="AM52" s="25" t="n">
        <f aca="false">AM$20*AM$35</f>
        <v>109</v>
      </c>
      <c r="AN52" s="25" t="n">
        <f aca="false">AN$20*AN$35</f>
        <v>148.5</v>
      </c>
      <c r="AO52" s="25" t="n">
        <f aca="false">AO$20*AO$35</f>
        <v>184</v>
      </c>
      <c r="AP52" s="25" t="n">
        <f aca="false">AP$20*AP$35</f>
        <v>0</v>
      </c>
      <c r="AQ52" s="25" t="n">
        <f aca="false">AQ$20*AQ$35</f>
        <v>185.5</v>
      </c>
      <c r="AR52" s="25" t="n">
        <f aca="false">AR$20*AR$35</f>
        <v>0</v>
      </c>
      <c r="AS52" s="25" t="n">
        <f aca="false">AS$20*AS$35</f>
        <v>182.5</v>
      </c>
      <c r="AT52" s="25" t="n">
        <f aca="false">AT$20*AT$35</f>
        <v>0</v>
      </c>
      <c r="AU52" s="25" t="n">
        <f aca="false">AU$20*AU$35</f>
        <v>176</v>
      </c>
      <c r="AV52" s="25" t="n">
        <f aca="false">AV$20*AV$35</f>
        <v>44</v>
      </c>
      <c r="AW52" s="25" t="n">
        <f aca="false">AW$20*AW$35</f>
        <v>38.5</v>
      </c>
      <c r="AX52" s="25" t="n">
        <f aca="false">AX$20*AX$35</f>
        <v>43</v>
      </c>
      <c r="AY52" s="25" t="n">
        <f aca="false">AY$20*AY$35</f>
        <v>0</v>
      </c>
      <c r="AZ52" s="25" t="n">
        <f aca="false">AZ$20*AZ$35</f>
        <v>0</v>
      </c>
      <c r="BA52" s="25" t="n">
        <f aca="false">BA$20*BA$35</f>
        <v>0</v>
      </c>
      <c r="BB52" s="25" t="n">
        <f aca="false">BB$20*BB$35</f>
        <v>0</v>
      </c>
      <c r="BC52" s="25" t="n">
        <f aca="false">BC$20*BC$35</f>
        <v>0</v>
      </c>
      <c r="BD52" s="25" t="n">
        <f aca="false">BD$20*BD$35</f>
        <v>0</v>
      </c>
      <c r="BE52" s="25" t="n">
        <f aca="false">BE$20*BE$35</f>
        <v>0</v>
      </c>
      <c r="BF52" s="25" t="n">
        <f aca="false">BF$20*BF$35</f>
        <v>0</v>
      </c>
      <c r="BG52" s="25" t="n">
        <f aca="false">BG$20*BG$35</f>
        <v>14.5</v>
      </c>
      <c r="BH52" s="25" t="n">
        <f aca="false">BH$20*BH$35</f>
        <v>0</v>
      </c>
      <c r="BI52" s="25" t="n">
        <f aca="false">BI$20*BI$35</f>
        <v>7.5</v>
      </c>
      <c r="BJ52" s="25" t="n">
        <f aca="false">BJ$20*BJ$35</f>
        <v>10</v>
      </c>
      <c r="BK52" s="25" t="n">
        <f aca="false">BK$20*BK$35</f>
        <v>36</v>
      </c>
      <c r="BL52" s="25" t="n">
        <f aca="false">BL$20*BL$35</f>
        <v>20</v>
      </c>
      <c r="BM52" s="25" t="n">
        <f aca="false">BM$20*BM$35</f>
        <v>8.5</v>
      </c>
      <c r="BN52" s="25" t="n">
        <f aca="false">BN$20*BN$35</f>
        <v>11.5</v>
      </c>
      <c r="BO52" s="25" t="n">
        <f aca="false">BO$20*BO$35</f>
        <v>9</v>
      </c>
      <c r="BP52" s="25" t="n">
        <f aca="false">BP$20*BP$35</f>
        <v>358.5</v>
      </c>
      <c r="BQ52" s="25" t="n">
        <f aca="false">BQ$20*BQ$35</f>
        <v>442</v>
      </c>
      <c r="BR52" s="25" t="n">
        <f aca="false">BR$20*BR$35</f>
        <v>442</v>
      </c>
      <c r="BS52" s="25" t="n">
        <f aca="false">BS$20*BS$35</f>
        <v>0</v>
      </c>
      <c r="BT52" s="25" t="n">
        <f aca="false">BT$20*BT$35</f>
        <v>83.5</v>
      </c>
      <c r="BU52" s="25" t="n">
        <f aca="false">BU$20*BU$35</f>
        <v>0</v>
      </c>
      <c r="BV52" s="25" t="n">
        <f aca="false">BV$20*BV$35</f>
        <v>0</v>
      </c>
      <c r="BW52" s="25" t="n">
        <f aca="false">BW$20*BW$35</f>
        <v>0</v>
      </c>
      <c r="BX52" s="25" t="n">
        <f aca="false">BX$20*BX$35</f>
        <v>0</v>
      </c>
    </row>
    <row r="53" customFormat="false" ht="15" hidden="false" customHeight="false" outlineLevel="0" collapsed="false">
      <c r="A53" s="4" t="s">
        <v>638</v>
      </c>
      <c r="B53" s="75" t="s">
        <v>635</v>
      </c>
      <c r="C53" s="76" t="n">
        <f aca="false">Planner!$E$16*Planner!$C$48</f>
        <v>151.5</v>
      </c>
      <c r="D53" s="77" t="n">
        <v>413.94172055</v>
      </c>
      <c r="E53" s="75" t="str">
        <f aca="false">IF(D53&gt;=C53-0.000001*MAX(1,ABS(C53)),IF(ABS(D53-C53)&lt;=0.000001*MAX(1,ABS(C53)),"tight","ok"),"VIOLATED")</f>
        <v>ok</v>
      </c>
      <c r="F53" s="25" t="n">
        <f aca="false">F$20*F$36</f>
        <v>0</v>
      </c>
      <c r="G53" s="25" t="n">
        <f aca="false">G$20*G$36</f>
        <v>0</v>
      </c>
      <c r="H53" s="25" t="n">
        <f aca="false">H$20*H$36</f>
        <v>0</v>
      </c>
      <c r="I53" s="25" t="n">
        <f aca="false">I$20*I$36</f>
        <v>0</v>
      </c>
      <c r="J53" s="25" t="n">
        <f aca="false">J$20*J$36</f>
        <v>0</v>
      </c>
      <c r="K53" s="25" t="n">
        <f aca="false">K$20*K$36</f>
        <v>0</v>
      </c>
      <c r="L53" s="25" t="n">
        <f aca="false">L$20*L$36</f>
        <v>0</v>
      </c>
      <c r="M53" s="25" t="n">
        <f aca="false">M$20*M$36</f>
        <v>0</v>
      </c>
      <c r="N53" s="25" t="n">
        <f aca="false">N$20*N$36</f>
        <v>0</v>
      </c>
      <c r="O53" s="25" t="n">
        <f aca="false">O$20*O$36</f>
        <v>0</v>
      </c>
      <c r="P53" s="25" t="n">
        <f aca="false">P$20*P$36</f>
        <v>0</v>
      </c>
      <c r="Q53" s="25" t="n">
        <f aca="false">Q$20*Q$36</f>
        <v>0</v>
      </c>
      <c r="R53" s="25" t="n">
        <f aca="false">R$20*R$36</f>
        <v>0</v>
      </c>
      <c r="S53" s="25" t="n">
        <f aca="false">S$20*S$36</f>
        <v>0</v>
      </c>
      <c r="T53" s="25" t="n">
        <f aca="false">T$20*T$36</f>
        <v>0</v>
      </c>
      <c r="U53" s="25" t="n">
        <f aca="false">U$20*U$36</f>
        <v>0</v>
      </c>
      <c r="V53" s="25" t="n">
        <f aca="false">V$20*V$36</f>
        <v>0</v>
      </c>
      <c r="W53" s="25" t="n">
        <f aca="false">W$20*W$36</f>
        <v>0</v>
      </c>
      <c r="X53" s="25" t="n">
        <f aca="false">X$20*X$36</f>
        <v>0</v>
      </c>
      <c r="Y53" s="25" t="n">
        <f aca="false">Y$20*Y$36</f>
        <v>299</v>
      </c>
      <c r="Z53" s="25" t="n">
        <f aca="false">Z$20*Z$36</f>
        <v>0</v>
      </c>
      <c r="AA53" s="25" t="n">
        <f aca="false">AA$20*AA$36</f>
        <v>0</v>
      </c>
      <c r="AB53" s="25" t="n">
        <f aca="false">AB$20*AB$36</f>
        <v>25</v>
      </c>
      <c r="AC53" s="25" t="n">
        <f aca="false">AC$20*AC$36</f>
        <v>29.5</v>
      </c>
      <c r="AD53" s="25" t="n">
        <f aca="false">AD$20*AD$36</f>
        <v>21.5</v>
      </c>
      <c r="AE53" s="25" t="n">
        <f aca="false">AE$20*AE$36</f>
        <v>30.5</v>
      </c>
      <c r="AF53" s="25" t="n">
        <f aca="false">AF$20*AF$36</f>
        <v>0</v>
      </c>
      <c r="AG53" s="25" t="n">
        <f aca="false">AG$20*AG$36</f>
        <v>0</v>
      </c>
      <c r="AH53" s="25" t="n">
        <f aca="false">AH$20*AH$36</f>
        <v>40.5</v>
      </c>
      <c r="AI53" s="25" t="n">
        <f aca="false">AI$20*AI$36</f>
        <v>295</v>
      </c>
      <c r="AJ53" s="25" t="n">
        <f aca="false">AJ$20*AJ$36</f>
        <v>0</v>
      </c>
      <c r="AK53" s="25" t="n">
        <f aca="false">AK$20*AK$36</f>
        <v>0</v>
      </c>
      <c r="AL53" s="25" t="n">
        <f aca="false">AL$20*AL$36</f>
        <v>0</v>
      </c>
      <c r="AM53" s="25" t="n">
        <f aca="false">AM$20*AM$36</f>
        <v>0</v>
      </c>
      <c r="AN53" s="25" t="n">
        <f aca="false">AN$20*AN$36</f>
        <v>0</v>
      </c>
      <c r="AO53" s="25" t="n">
        <f aca="false">AO$20*AO$36</f>
        <v>0</v>
      </c>
      <c r="AP53" s="25" t="n">
        <f aca="false">AP$20*AP$36</f>
        <v>0</v>
      </c>
      <c r="AQ53" s="25" t="n">
        <f aca="false">AQ$20*AQ$36</f>
        <v>0</v>
      </c>
      <c r="AR53" s="25" t="n">
        <f aca="false">AR$20*AR$36</f>
        <v>0</v>
      </c>
      <c r="AS53" s="25" t="n">
        <f aca="false">AS$20*AS$36</f>
        <v>0</v>
      </c>
      <c r="AT53" s="25" t="n">
        <f aca="false">AT$20*AT$36</f>
        <v>0</v>
      </c>
      <c r="AU53" s="25" t="n">
        <f aca="false">AU$20*AU$36</f>
        <v>0</v>
      </c>
      <c r="AV53" s="25" t="n">
        <f aca="false">AV$20*AV$36</f>
        <v>0</v>
      </c>
      <c r="AW53" s="25" t="n">
        <f aca="false">AW$20*AW$36</f>
        <v>0</v>
      </c>
      <c r="AX53" s="25" t="n">
        <f aca="false">AX$20*AX$36</f>
        <v>0</v>
      </c>
      <c r="AY53" s="25" t="n">
        <f aca="false">AY$20*AY$36</f>
        <v>26</v>
      </c>
      <c r="AZ53" s="25" t="n">
        <f aca="false">AZ$20*AZ$36</f>
        <v>44.5</v>
      </c>
      <c r="BA53" s="25" t="n">
        <f aca="false">BA$20*BA$36</f>
        <v>0</v>
      </c>
      <c r="BB53" s="25" t="n">
        <f aca="false">BB$20*BB$36</f>
        <v>69</v>
      </c>
      <c r="BC53" s="25" t="n">
        <f aca="false">BC$20*BC$36</f>
        <v>0</v>
      </c>
      <c r="BD53" s="25" t="n">
        <f aca="false">BD$20*BD$36</f>
        <v>24.5</v>
      </c>
      <c r="BE53" s="25" t="n">
        <f aca="false">BE$20*BE$36</f>
        <v>299</v>
      </c>
      <c r="BF53" s="25" t="n">
        <f aca="false">BF$20*BF$36</f>
        <v>16</v>
      </c>
      <c r="BG53" s="25" t="n">
        <f aca="false">BG$20*BG$36</f>
        <v>0</v>
      </c>
      <c r="BH53" s="25" t="n">
        <f aca="false">BH$20*BH$36</f>
        <v>20.5</v>
      </c>
      <c r="BI53" s="25" t="n">
        <f aca="false">BI$20*BI$36</f>
        <v>0</v>
      </c>
      <c r="BJ53" s="25" t="n">
        <f aca="false">BJ$20*BJ$36</f>
        <v>0</v>
      </c>
      <c r="BK53" s="25" t="n">
        <f aca="false">BK$20*BK$36</f>
        <v>0</v>
      </c>
      <c r="BL53" s="25" t="n">
        <f aca="false">BL$20*BL$36</f>
        <v>0</v>
      </c>
      <c r="BM53" s="25" t="n">
        <f aca="false">BM$20*BM$36</f>
        <v>0</v>
      </c>
      <c r="BN53" s="25" t="n">
        <f aca="false">BN$20*BN$36</f>
        <v>0</v>
      </c>
      <c r="BO53" s="25" t="n">
        <f aca="false">BO$20*BO$36</f>
        <v>0</v>
      </c>
      <c r="BP53" s="25" t="n">
        <f aca="false">BP$20*BP$36</f>
        <v>0</v>
      </c>
      <c r="BQ53" s="25" t="n">
        <f aca="false">BQ$20*BQ$36</f>
        <v>0</v>
      </c>
      <c r="BR53" s="25" t="n">
        <f aca="false">BR$20*BR$36</f>
        <v>0</v>
      </c>
      <c r="BS53" s="25" t="n">
        <f aca="false">BS$20*BS$36</f>
        <v>579</v>
      </c>
      <c r="BT53" s="25" t="n">
        <f aca="false">BT$20*BT$36</f>
        <v>0</v>
      </c>
      <c r="BU53" s="25" t="n">
        <f aca="false">BU$20*BU$36</f>
        <v>492</v>
      </c>
      <c r="BV53" s="25" t="n">
        <f aca="false">BV$20*BV$36</f>
        <v>418</v>
      </c>
      <c r="BW53" s="25" t="n">
        <f aca="false">BW$20*BW$36</f>
        <v>532</v>
      </c>
      <c r="BX53" s="25" t="n">
        <f aca="false">BX$20*BX$36</f>
        <v>207</v>
      </c>
    </row>
    <row r="54" customFormat="false" ht="15" hidden="false" customHeight="false" outlineLevel="0" collapsed="false">
      <c r="A54" s="4" t="s">
        <v>639</v>
      </c>
      <c r="B54" s="75" t="s">
        <v>635</v>
      </c>
      <c r="C54" s="78" t="n">
        <v>0</v>
      </c>
      <c r="D54" s="77" t="n">
        <v>10.018741890584</v>
      </c>
      <c r="E54" s="75" t="str">
        <f aca="false">IF(D54&gt;=C54-0.000001*MAX(1,ABS(C54)),IF(ABS(D54-C54)&lt;=0.000001*MAX(1,ABS(C54)),"tight","ok"),"VIOLATED")</f>
        <v>ok</v>
      </c>
      <c r="F54" s="25" t="n">
        <f aca="false">F$21*(F$33-Planner!$C$44)</f>
        <v>-4.5</v>
      </c>
      <c r="G54" s="25" t="n">
        <f aca="false">G$21*(G$33-Planner!$C$44)</f>
        <v>-3.616</v>
      </c>
      <c r="H54" s="25" t="n">
        <f aca="false">H$21*(H$33-Planner!$C$44)</f>
        <v>-3.932</v>
      </c>
      <c r="I54" s="25" t="n">
        <f aca="false">I$21*(I$33-Planner!$C$44)</f>
        <v>-3.266</v>
      </c>
      <c r="J54" s="25" t="n">
        <f aca="false">J$21*(J$33-Planner!$C$44)</f>
        <v>-3.746</v>
      </c>
      <c r="K54" s="25" t="n">
        <f aca="false">K$21*(K$33-Planner!$C$44)</f>
        <v>10.096</v>
      </c>
      <c r="L54" s="25" t="n">
        <f aca="false">L$21*(L$33-Planner!$C$44)</f>
        <v>-3.434</v>
      </c>
      <c r="M54" s="25" t="n">
        <f aca="false">M$21*(M$33-Planner!$C$44)</f>
        <v>-4.17</v>
      </c>
      <c r="N54" s="25" t="n">
        <f aca="false">N$21*(N$33-Planner!$C$44)</f>
        <v>-3.32</v>
      </c>
      <c r="O54" s="25" t="n">
        <f aca="false">O$21*(O$33-Planner!$C$44)</f>
        <v>-4.228</v>
      </c>
      <c r="P54" s="25" t="n">
        <f aca="false">P$21*(P$33-Planner!$C$44)</f>
        <v>-3.984</v>
      </c>
      <c r="Q54" s="25" t="n">
        <f aca="false">Q$21*(Q$33-Planner!$C$44)</f>
        <v>-3.888</v>
      </c>
      <c r="R54" s="25" t="n">
        <f aca="false">R$21*(R$33-Planner!$C$44)</f>
        <v>-4.084</v>
      </c>
      <c r="S54" s="25" t="n">
        <f aca="false">S$21*(S$33-Planner!$C$44)</f>
        <v>-2.722</v>
      </c>
      <c r="T54" s="25" t="n">
        <f aca="false">T$21*(T$33-Planner!$C$44)</f>
        <v>-4.016</v>
      </c>
      <c r="U54" s="25" t="n">
        <f aca="false">U$21*(U$33-Planner!$C$44)</f>
        <v>10.048</v>
      </c>
      <c r="V54" s="25" t="n">
        <f aca="false">V$21*(V$33-Planner!$C$44)</f>
        <v>-1.206</v>
      </c>
      <c r="W54" s="25" t="n">
        <f aca="false">W$21*(W$33-Planner!$C$44)</f>
        <v>-0.984</v>
      </c>
      <c r="X54" s="25" t="n">
        <f aca="false">X$21*(X$33-Planner!$C$44)</f>
        <v>-4.926</v>
      </c>
      <c r="Y54" s="25" t="n">
        <f aca="false">Y$21*(Y$33-Planner!$C$44)</f>
        <v>6.663</v>
      </c>
      <c r="Z54" s="25" t="n">
        <f aca="false">Z$21*(Z$33-Planner!$C$44)</f>
        <v>-4.284</v>
      </c>
      <c r="AA54" s="25" t="n">
        <f aca="false">AA$21*(AA$33-Planner!$C$44)</f>
        <v>-2.02</v>
      </c>
      <c r="AB54" s="25" t="n">
        <f aca="false">AB$21*(AB$33-Planner!$C$44)</f>
        <v>0.99</v>
      </c>
      <c r="AC54" s="25" t="n">
        <f aca="false">AC$21*(AC$33-Planner!$C$44)</f>
        <v>3.057</v>
      </c>
      <c r="AD54" s="25" t="n">
        <f aca="false">AD$21*(AD$33-Planner!$C$44)</f>
        <v>0.78</v>
      </c>
      <c r="AE54" s="25" t="n">
        <f aca="false">AE$21*(AE$33-Planner!$C$44)</f>
        <v>0.945</v>
      </c>
      <c r="AF54" s="25" t="n">
        <f aca="false">AF$21*(AF$33-Planner!$C$44)</f>
        <v>-3.626</v>
      </c>
      <c r="AG54" s="25" t="n">
        <f aca="false">AG$21*(AG$33-Planner!$C$44)</f>
        <v>-4.574</v>
      </c>
      <c r="AH54" s="25" t="n">
        <f aca="false">AH$21*(AH$33-Planner!$C$44)</f>
        <v>-2.09</v>
      </c>
      <c r="AI54" s="25" t="n">
        <f aca="false">AI$21*(AI$33-Planner!$C$44)</f>
        <v>-4.75</v>
      </c>
      <c r="AJ54" s="25" t="n">
        <f aca="false">AJ$21*(AJ$33-Planner!$C$44)</f>
        <v>8.448</v>
      </c>
      <c r="AK54" s="25" t="n">
        <f aca="false">AK$21*(AK$33-Planner!$C$44)</f>
        <v>-1.508</v>
      </c>
      <c r="AL54" s="25" t="n">
        <f aca="false">AL$21*(AL$33-Planner!$C$44)</f>
        <v>9.672</v>
      </c>
      <c r="AM54" s="25" t="n">
        <f aca="false">AM$21*(AM$33-Planner!$C$44)</f>
        <v>-1.14</v>
      </c>
      <c r="AN54" s="25" t="n">
        <f aca="false">AN$21*(AN$33-Planner!$C$44)</f>
        <v>-1.602</v>
      </c>
      <c r="AO54" s="25" t="n">
        <f aca="false">AO$21*(AO$33-Planner!$C$44)</f>
        <v>-2.824</v>
      </c>
      <c r="AP54" s="25" t="n">
        <f aca="false">AP$21*(AP$33-Planner!$C$44)</f>
        <v>10.52</v>
      </c>
      <c r="AQ54" s="25" t="n">
        <f aca="false">AQ$21*(AQ$33-Planner!$C$44)</f>
        <v>-2.608</v>
      </c>
      <c r="AR54" s="25" t="n">
        <f aca="false">AR$21*(AR$33-Planner!$C$44)</f>
        <v>2.655</v>
      </c>
      <c r="AS54" s="25" t="n">
        <f aca="false">AS$21*(AS$33-Planner!$C$44)</f>
        <v>-1.426</v>
      </c>
      <c r="AT54" s="25" t="n">
        <f aca="false">AT$21*(AT$33-Planner!$C$44)</f>
        <v>3.735</v>
      </c>
      <c r="AU54" s="25" t="n">
        <f aca="false">AU$21*(AU$33-Planner!$C$44)</f>
        <v>-2.774</v>
      </c>
      <c r="AV54" s="25" t="n">
        <f aca="false">AV$21*(AV$33-Planner!$C$44)</f>
        <v>-0.604</v>
      </c>
      <c r="AW54" s="25" t="n">
        <f aca="false">AW$21*(AW$33-Planner!$C$44)</f>
        <v>-0.41</v>
      </c>
      <c r="AX54" s="25" t="n">
        <f aca="false">AX$21*(AX$33-Planner!$C$44)</f>
        <v>-0.314</v>
      </c>
      <c r="AY54" s="25" t="n">
        <f aca="false">AY$21*(AY$33-Planner!$C$44)</f>
        <v>-0.052</v>
      </c>
      <c r="AZ54" s="25" t="n">
        <f aca="false">AZ$21*(AZ$33-Planner!$C$44)</f>
        <v>0.327</v>
      </c>
      <c r="BA54" s="25" t="n">
        <f aca="false">BA$21*(BA$33-Planner!$C$44)</f>
        <v>0.336</v>
      </c>
      <c r="BB54" s="25" t="n">
        <f aca="false">BB$21*(BB$33-Planner!$C$44)</f>
        <v>-0.144</v>
      </c>
      <c r="BC54" s="25" t="n">
        <f aca="false">BC$21*(BC$33-Planner!$C$44)</f>
        <v>0.544</v>
      </c>
      <c r="BD54" s="25" t="n">
        <f aca="false">BD$21*(BD$33-Planner!$C$44)</f>
        <v>-0.182</v>
      </c>
      <c r="BE54" s="25" t="n">
        <f aca="false">BE$21*(BE$33-Planner!$C$44)</f>
        <v>-0.614</v>
      </c>
      <c r="BF54" s="25" t="n">
        <f aca="false">BF$21*(BF$33-Planner!$C$44)</f>
        <v>0.201</v>
      </c>
      <c r="BG54" s="25" t="n">
        <f aca="false">BG$21*(BG$33-Planner!$C$44)</f>
        <v>-0.612</v>
      </c>
      <c r="BH54" s="25" t="n">
        <f aca="false">BH$21*(BH$33-Planner!$C$44)</f>
        <v>-0.186</v>
      </c>
      <c r="BI54" s="25" t="n">
        <f aca="false">BI$21*(BI$33-Planner!$C$44)</f>
        <v>-0.144</v>
      </c>
      <c r="BJ54" s="25" t="n">
        <f aca="false">BJ$21*(BJ$33-Planner!$C$44)</f>
        <v>-0.172</v>
      </c>
      <c r="BK54" s="25" t="n">
        <f aca="false">BK$21*(BK$33-Planner!$C$44)</f>
        <v>-0.666</v>
      </c>
      <c r="BL54" s="25" t="n">
        <f aca="false">BL$21*(BL$33-Planner!$C$44)</f>
        <v>-0.22</v>
      </c>
      <c r="BM54" s="25" t="n">
        <f aca="false">BM$21*(BM$33-Planner!$C$44)</f>
        <v>-0.246</v>
      </c>
      <c r="BN54" s="25" t="n">
        <f aca="false">BN$21*(BN$33-Planner!$C$44)</f>
        <v>-0.572</v>
      </c>
      <c r="BO54" s="25" t="n">
        <f aca="false">BO$21*(BO$33-Planner!$C$44)</f>
        <v>-0.176</v>
      </c>
      <c r="BP54" s="25" t="n">
        <f aca="false">BP$21*(BP$33-Planner!$C$44)</f>
        <v>0.255</v>
      </c>
      <c r="BQ54" s="25" t="n">
        <f aca="false">BQ$21*(BQ$33-Planner!$C$44)</f>
        <v>-0</v>
      </c>
      <c r="BR54" s="25" t="n">
        <f aca="false">BR$21*(BR$33-Planner!$C$44)</f>
        <v>-0</v>
      </c>
      <c r="BS54" s="25" t="n">
        <f aca="false">BS$21*(BS$33-Planner!$C$44)</f>
        <v>-4.23</v>
      </c>
      <c r="BT54" s="25" t="n">
        <f aca="false">BT$21*(BT$33-Planner!$C$44)</f>
        <v>-0.392</v>
      </c>
      <c r="BU54" s="25" t="n">
        <f aca="false">BU$21*(BU$33-Planner!$C$44)</f>
        <v>-1.02</v>
      </c>
      <c r="BV54" s="25" t="n">
        <f aca="false">BV$21*(BV$33-Planner!$C$44)</f>
        <v>-1.13</v>
      </c>
      <c r="BW54" s="25" t="n">
        <f aca="false">BW$21*(BW$33-Planner!$C$44)</f>
        <v>-1.278</v>
      </c>
      <c r="BX54" s="25" t="n">
        <f aca="false">BX$21*(BX$33-Planner!$C$44)</f>
        <v>-0.7</v>
      </c>
    </row>
    <row r="55" customFormat="false" ht="15" hidden="false" customHeight="false" outlineLevel="0" collapsed="false">
      <c r="A55" s="4" t="s">
        <v>640</v>
      </c>
      <c r="B55" s="75" t="s">
        <v>635</v>
      </c>
      <c r="C55" s="78" t="n">
        <v>0</v>
      </c>
      <c r="D55" s="77" t="n">
        <v>9.314392275554</v>
      </c>
      <c r="E55" s="75" t="str">
        <f aca="false">IF(D55&gt;=C55-0.000001*MAX(1,ABS(C55)),IF(ABS(D55-C55)&lt;=0.000001*MAX(1,ABS(C55)),"tight","ok"),"VIOLATED")</f>
        <v>ok</v>
      </c>
      <c r="F55" s="25" t="n">
        <f aca="false">F$21*(F$34-Planner!$C$44)</f>
        <v>6.75</v>
      </c>
      <c r="G55" s="25" t="n">
        <f aca="false">G$21*(G$34-Planner!$C$44)</f>
        <v>5.424</v>
      </c>
      <c r="H55" s="25" t="n">
        <f aca="false">H$21*(H$34-Planner!$C$44)</f>
        <v>5.898</v>
      </c>
      <c r="I55" s="25" t="n">
        <f aca="false">I$21*(I$34-Planner!$C$44)</f>
        <v>13.064</v>
      </c>
      <c r="J55" s="25" t="n">
        <f aca="false">J$21*(J$34-Planner!$C$44)</f>
        <v>5.619</v>
      </c>
      <c r="K55" s="25" t="n">
        <f aca="false">K$21*(K$34-Planner!$C$44)</f>
        <v>-2.524</v>
      </c>
      <c r="L55" s="25" t="n">
        <f aca="false">L$21*(L$34-Planner!$C$44)</f>
        <v>5.151</v>
      </c>
      <c r="M55" s="25" t="n">
        <f aca="false">M$21*(M$34-Planner!$C$44)</f>
        <v>6.255</v>
      </c>
      <c r="N55" s="25" t="n">
        <f aca="false">N$21*(N$34-Planner!$C$44)</f>
        <v>13.28</v>
      </c>
      <c r="O55" s="25" t="n">
        <f aca="false">O$21*(O$34-Planner!$C$44)</f>
        <v>6.342</v>
      </c>
      <c r="P55" s="25" t="n">
        <f aca="false">P$21*(P$34-Planner!$C$44)</f>
        <v>-3.984</v>
      </c>
      <c r="Q55" s="25" t="n">
        <f aca="false">Q$21*(Q$34-Planner!$C$44)</f>
        <v>15.552</v>
      </c>
      <c r="R55" s="25" t="n">
        <f aca="false">R$21*(R$34-Planner!$C$44)</f>
        <v>-4.084</v>
      </c>
      <c r="S55" s="25" t="n">
        <f aca="false">S$21*(S$34-Planner!$C$44)</f>
        <v>-2.722</v>
      </c>
      <c r="T55" s="25" t="n">
        <f aca="false">T$21*(T$34-Planner!$C$44)</f>
        <v>6.024</v>
      </c>
      <c r="U55" s="25" t="n">
        <f aca="false">U$21*(U$34-Planner!$C$44)</f>
        <v>-2.512</v>
      </c>
      <c r="V55" s="25" t="n">
        <f aca="false">V$21*(V$34-Planner!$C$44)</f>
        <v>1.809</v>
      </c>
      <c r="W55" s="25" t="n">
        <f aca="false">W$21*(W$34-Planner!$C$44)</f>
        <v>1.476</v>
      </c>
      <c r="X55" s="25" t="n">
        <f aca="false">X$21*(X$34-Planner!$C$44)</f>
        <v>7.389</v>
      </c>
      <c r="Y55" s="25" t="n">
        <f aca="false">Y$21*(Y$34-Planner!$C$44)</f>
        <v>-4.442</v>
      </c>
      <c r="Z55" s="25" t="n">
        <f aca="false">Z$21*(Z$34-Planner!$C$44)</f>
        <v>6.426</v>
      </c>
      <c r="AA55" s="25" t="n">
        <f aca="false">AA$21*(AA$34-Planner!$C$44)</f>
        <v>3.03</v>
      </c>
      <c r="AB55" s="25" t="n">
        <f aca="false">AB$21*(AB$34-Planner!$C$44)</f>
        <v>-0.66</v>
      </c>
      <c r="AC55" s="25" t="n">
        <f aca="false">AC$21*(AC$34-Planner!$C$44)</f>
        <v>-2.038</v>
      </c>
      <c r="AD55" s="25" t="n">
        <f aca="false">AD$21*(AD$34-Planner!$C$44)</f>
        <v>-0.52</v>
      </c>
      <c r="AE55" s="25" t="n">
        <f aca="false">AE$21*(AE$34-Planner!$C$44)</f>
        <v>-0.63</v>
      </c>
      <c r="AF55" s="25" t="n">
        <f aca="false">AF$21*(AF$34-Planner!$C$44)</f>
        <v>14.504</v>
      </c>
      <c r="AG55" s="25" t="n">
        <f aca="false">AG$21*(AG$34-Planner!$C$44)</f>
        <v>6.861</v>
      </c>
      <c r="AH55" s="25" t="n">
        <f aca="false">AH$21*(AH$34-Planner!$C$44)</f>
        <v>3.135</v>
      </c>
      <c r="AI55" s="25" t="n">
        <f aca="false">AI$21*(AI$34-Planner!$C$44)</f>
        <v>-4.75</v>
      </c>
      <c r="AJ55" s="25" t="n">
        <f aca="false">AJ$21*(AJ$34-Planner!$C$44)</f>
        <v>-2.112</v>
      </c>
      <c r="AK55" s="25" t="n">
        <f aca="false">AK$21*(AK$34-Planner!$C$44)</f>
        <v>2.262</v>
      </c>
      <c r="AL55" s="25" t="n">
        <f aca="false">AL$21*(AL$34-Planner!$C$44)</f>
        <v>-2.418</v>
      </c>
      <c r="AM55" s="25" t="n">
        <f aca="false">AM$21*(AM$34-Planner!$C$44)</f>
        <v>1.71</v>
      </c>
      <c r="AN55" s="25" t="n">
        <f aca="false">AN$21*(AN$34-Planner!$C$44)</f>
        <v>2.403</v>
      </c>
      <c r="AO55" s="25" t="n">
        <f aca="false">AO$21*(AO$34-Planner!$C$44)</f>
        <v>4.236</v>
      </c>
      <c r="AP55" s="25" t="n">
        <f aca="false">AP$21*(AP$34-Planner!$C$44)</f>
        <v>-2.63</v>
      </c>
      <c r="AQ55" s="25" t="n">
        <f aca="false">AQ$21*(AQ$34-Planner!$C$44)</f>
        <v>3.912</v>
      </c>
      <c r="AR55" s="25" t="n">
        <f aca="false">AR$21*(AR$34-Planner!$C$44)</f>
        <v>2.655</v>
      </c>
      <c r="AS55" s="25" t="n">
        <f aca="false">AS$21*(AS$34-Planner!$C$44)</f>
        <v>2.139</v>
      </c>
      <c r="AT55" s="25" t="n">
        <f aca="false">AT$21*(AT$34-Planner!$C$44)</f>
        <v>3.735</v>
      </c>
      <c r="AU55" s="25" t="n">
        <f aca="false">AU$21*(AU$34-Planner!$C$44)</f>
        <v>4.161</v>
      </c>
      <c r="AV55" s="25" t="n">
        <f aca="false">AV$21*(AV$34-Planner!$C$44)</f>
        <v>0.906</v>
      </c>
      <c r="AW55" s="25" t="n">
        <f aca="false">AW$21*(AW$34-Planner!$C$44)</f>
        <v>0.615</v>
      </c>
      <c r="AX55" s="25" t="n">
        <f aca="false">AX$21*(AX$34-Planner!$C$44)</f>
        <v>0.471</v>
      </c>
      <c r="AY55" s="25" t="n">
        <f aca="false">AY$21*(AY$34-Planner!$C$44)</f>
        <v>0.078</v>
      </c>
      <c r="AZ55" s="25" t="n">
        <f aca="false">AZ$21*(AZ$34-Planner!$C$44)</f>
        <v>-0.218</v>
      </c>
      <c r="BA55" s="25" t="n">
        <f aca="false">BA$21*(BA$34-Planner!$C$44)</f>
        <v>-0.084</v>
      </c>
      <c r="BB55" s="25" t="n">
        <f aca="false">BB$21*(BB$34-Planner!$C$44)</f>
        <v>-0.144</v>
      </c>
      <c r="BC55" s="25" t="n">
        <f aca="false">BC$21*(BC$34-Planner!$C$44)</f>
        <v>-0.136</v>
      </c>
      <c r="BD55" s="25" t="n">
        <f aca="false">BD$21*(BD$34-Planner!$C$44)</f>
        <v>0.273</v>
      </c>
      <c r="BE55" s="25" t="n">
        <f aca="false">BE$21*(BE$34-Planner!$C$44)</f>
        <v>-0.614</v>
      </c>
      <c r="BF55" s="25" t="n">
        <f aca="false">BF$21*(BF$34-Planner!$C$44)</f>
        <v>-0.134</v>
      </c>
      <c r="BG55" s="25" t="n">
        <f aca="false">BG$21*(BG$34-Planner!$C$44)</f>
        <v>0.918</v>
      </c>
      <c r="BH55" s="25" t="n">
        <f aca="false">BH$21*(BH$34-Planner!$C$44)</f>
        <v>0.279</v>
      </c>
      <c r="BI55" s="25" t="n">
        <f aca="false">BI$21*(BI$34-Planner!$C$44)</f>
        <v>0.216</v>
      </c>
      <c r="BJ55" s="25" t="n">
        <f aca="false">BJ$21*(BJ$34-Planner!$C$44)</f>
        <v>0.258</v>
      </c>
      <c r="BK55" s="25" t="n">
        <f aca="false">BK$21*(BK$34-Planner!$C$44)</f>
        <v>0.999</v>
      </c>
      <c r="BL55" s="25" t="n">
        <f aca="false">BL$21*(BL$34-Planner!$C$44)</f>
        <v>0.33</v>
      </c>
      <c r="BM55" s="25" t="n">
        <f aca="false">BM$21*(BM$34-Planner!$C$44)</f>
        <v>0.369</v>
      </c>
      <c r="BN55" s="25" t="n">
        <f aca="false">BN$21*(BN$34-Planner!$C$44)</f>
        <v>0.858</v>
      </c>
      <c r="BO55" s="25" t="n">
        <f aca="false">BO$21*(BO$34-Planner!$C$44)</f>
        <v>0.264</v>
      </c>
      <c r="BP55" s="25" t="n">
        <f aca="false">BP$21*(BP$34-Planner!$C$44)</f>
        <v>-0.17</v>
      </c>
      <c r="BQ55" s="25" t="n">
        <f aca="false">BQ$21*(BQ$34-Planner!$C$44)</f>
        <v>0</v>
      </c>
      <c r="BR55" s="25" t="n">
        <f aca="false">BR$21*(BR$34-Planner!$C$44)</f>
        <v>0</v>
      </c>
      <c r="BS55" s="25" t="n">
        <f aca="false">BS$21*(BS$34-Planner!$C$44)</f>
        <v>-4.23</v>
      </c>
      <c r="BT55" s="25" t="n">
        <f aca="false">BT$21*(BT$34-Planner!$C$44)</f>
        <v>0.588</v>
      </c>
      <c r="BU55" s="25" t="n">
        <f aca="false">BU$21*(BU$34-Planner!$C$44)</f>
        <v>-1.02</v>
      </c>
      <c r="BV55" s="25" t="n">
        <f aca="false">BV$21*(BV$34-Planner!$C$44)</f>
        <v>-1.13</v>
      </c>
      <c r="BW55" s="25" t="n">
        <f aca="false">BW$21*(BW$34-Planner!$C$44)</f>
        <v>-1.278</v>
      </c>
      <c r="BX55" s="25" t="n">
        <f aca="false">BX$21*(BX$34-Planner!$C$44)</f>
        <v>-0.7</v>
      </c>
    </row>
    <row r="56" customFormat="false" ht="15" hidden="false" customHeight="false" outlineLevel="0" collapsed="false">
      <c r="A56" s="4" t="s">
        <v>641</v>
      </c>
      <c r="B56" s="75" t="s">
        <v>635</v>
      </c>
      <c r="C56" s="78" t="n">
        <v>0</v>
      </c>
      <c r="D56" s="77" t="n">
        <v>9.314392275554</v>
      </c>
      <c r="E56" s="75" t="str">
        <f aca="false">IF(D56&gt;=C56-0.000001*MAX(1,ABS(C56)),IF(ABS(D56-C56)&lt;=0.000001*MAX(1,ABS(C56)),"tight","ok"),"VIOLATED")</f>
        <v>ok</v>
      </c>
      <c r="F56" s="25" t="n">
        <f aca="false">F$21*(F$35-Planner!$C$44)</f>
        <v>6.75</v>
      </c>
      <c r="G56" s="25" t="n">
        <f aca="false">G$21*(G$35-Planner!$C$44)</f>
        <v>5.424</v>
      </c>
      <c r="H56" s="25" t="n">
        <f aca="false">H$21*(H$35-Planner!$C$44)</f>
        <v>5.898</v>
      </c>
      <c r="I56" s="25" t="n">
        <f aca="false">I$21*(I$35-Planner!$C$44)</f>
        <v>-3.266</v>
      </c>
      <c r="J56" s="25" t="n">
        <f aca="false">J$21*(J$35-Planner!$C$44)</f>
        <v>5.619</v>
      </c>
      <c r="K56" s="25" t="n">
        <f aca="false">K$21*(K$35-Planner!$C$44)</f>
        <v>-2.524</v>
      </c>
      <c r="L56" s="25" t="n">
        <f aca="false">L$21*(L$35-Planner!$C$44)</f>
        <v>5.151</v>
      </c>
      <c r="M56" s="25" t="n">
        <f aca="false">M$21*(M$35-Planner!$C$44)</f>
        <v>6.255</v>
      </c>
      <c r="N56" s="25" t="n">
        <f aca="false">N$21*(N$35-Planner!$C$44)</f>
        <v>-3.32</v>
      </c>
      <c r="O56" s="25" t="n">
        <f aca="false">O$21*(O$35-Planner!$C$44)</f>
        <v>6.342</v>
      </c>
      <c r="P56" s="25" t="n">
        <f aca="false">P$21*(P$35-Planner!$C$44)</f>
        <v>15.936</v>
      </c>
      <c r="Q56" s="25" t="n">
        <f aca="false">Q$21*(Q$35-Planner!$C$44)</f>
        <v>-3.888</v>
      </c>
      <c r="R56" s="25" t="n">
        <f aca="false">R$21*(R$35-Planner!$C$44)</f>
        <v>16.336</v>
      </c>
      <c r="S56" s="25" t="n">
        <f aca="false">S$21*(S$35-Planner!$C$44)</f>
        <v>10.888</v>
      </c>
      <c r="T56" s="25" t="n">
        <f aca="false">T$21*(T$35-Planner!$C$44)</f>
        <v>6.024</v>
      </c>
      <c r="U56" s="25" t="n">
        <f aca="false">U$21*(U$35-Planner!$C$44)</f>
        <v>-2.512</v>
      </c>
      <c r="V56" s="25" t="n">
        <f aca="false">V$21*(V$35-Planner!$C$44)</f>
        <v>1.809</v>
      </c>
      <c r="W56" s="25" t="n">
        <f aca="false">W$21*(W$35-Planner!$C$44)</f>
        <v>1.476</v>
      </c>
      <c r="X56" s="25" t="n">
        <f aca="false">X$21*(X$35-Planner!$C$44)</f>
        <v>7.389</v>
      </c>
      <c r="Y56" s="25" t="n">
        <f aca="false">Y$21*(Y$35-Planner!$C$44)</f>
        <v>-4.442</v>
      </c>
      <c r="Z56" s="25" t="n">
        <f aca="false">Z$21*(Z$35-Planner!$C$44)</f>
        <v>6.426</v>
      </c>
      <c r="AA56" s="25" t="n">
        <f aca="false">AA$21*(AA$35-Planner!$C$44)</f>
        <v>3.03</v>
      </c>
      <c r="AB56" s="25" t="n">
        <f aca="false">AB$21*(AB$35-Planner!$C$44)</f>
        <v>-0.66</v>
      </c>
      <c r="AC56" s="25" t="n">
        <f aca="false">AC$21*(AC$35-Planner!$C$44)</f>
        <v>-2.038</v>
      </c>
      <c r="AD56" s="25" t="n">
        <f aca="false">AD$21*(AD$35-Planner!$C$44)</f>
        <v>-0.52</v>
      </c>
      <c r="AE56" s="25" t="n">
        <f aca="false">AE$21*(AE$35-Planner!$C$44)</f>
        <v>-0.63</v>
      </c>
      <c r="AF56" s="25" t="n">
        <f aca="false">AF$21*(AF$35-Planner!$C$44)</f>
        <v>-3.626</v>
      </c>
      <c r="AG56" s="25" t="n">
        <f aca="false">AG$21*(AG$35-Planner!$C$44)</f>
        <v>6.861</v>
      </c>
      <c r="AH56" s="25" t="n">
        <f aca="false">AH$21*(AH$35-Planner!$C$44)</f>
        <v>-2.09</v>
      </c>
      <c r="AI56" s="25" t="n">
        <f aca="false">AI$21*(AI$35-Planner!$C$44)</f>
        <v>-4.75</v>
      </c>
      <c r="AJ56" s="25" t="n">
        <f aca="false">AJ$21*(AJ$35-Planner!$C$44)</f>
        <v>-2.112</v>
      </c>
      <c r="AK56" s="25" t="n">
        <f aca="false">AK$21*(AK$35-Planner!$C$44)</f>
        <v>2.262</v>
      </c>
      <c r="AL56" s="25" t="n">
        <f aca="false">AL$21*(AL$35-Planner!$C$44)</f>
        <v>-2.418</v>
      </c>
      <c r="AM56" s="25" t="n">
        <f aca="false">AM$21*(AM$35-Planner!$C$44)</f>
        <v>1.71</v>
      </c>
      <c r="AN56" s="25" t="n">
        <f aca="false">AN$21*(AN$35-Planner!$C$44)</f>
        <v>2.403</v>
      </c>
      <c r="AO56" s="25" t="n">
        <f aca="false">AO$21*(AO$35-Planner!$C$44)</f>
        <v>4.236</v>
      </c>
      <c r="AP56" s="25" t="n">
        <f aca="false">AP$21*(AP$35-Planner!$C$44)</f>
        <v>-2.63</v>
      </c>
      <c r="AQ56" s="25" t="n">
        <f aca="false">AQ$21*(AQ$35-Planner!$C$44)</f>
        <v>3.912</v>
      </c>
      <c r="AR56" s="25" t="n">
        <f aca="false">AR$21*(AR$35-Planner!$C$44)</f>
        <v>-1.77</v>
      </c>
      <c r="AS56" s="25" t="n">
        <f aca="false">AS$21*(AS$35-Planner!$C$44)</f>
        <v>2.139</v>
      </c>
      <c r="AT56" s="25" t="n">
        <f aca="false">AT$21*(AT$35-Planner!$C$44)</f>
        <v>-2.49</v>
      </c>
      <c r="AU56" s="25" t="n">
        <f aca="false">AU$21*(AU$35-Planner!$C$44)</f>
        <v>4.161</v>
      </c>
      <c r="AV56" s="25" t="n">
        <f aca="false">AV$21*(AV$35-Planner!$C$44)</f>
        <v>0.906</v>
      </c>
      <c r="AW56" s="25" t="n">
        <f aca="false">AW$21*(AW$35-Planner!$C$44)</f>
        <v>0.615</v>
      </c>
      <c r="AX56" s="25" t="n">
        <f aca="false">AX$21*(AX$35-Planner!$C$44)</f>
        <v>0.471</v>
      </c>
      <c r="AY56" s="25" t="n">
        <f aca="false">AY$21*(AY$35-Planner!$C$44)</f>
        <v>-0.052</v>
      </c>
      <c r="AZ56" s="25" t="n">
        <f aca="false">AZ$21*(AZ$35-Planner!$C$44)</f>
        <v>-0.218</v>
      </c>
      <c r="BA56" s="25" t="n">
        <f aca="false">BA$21*(BA$35-Planner!$C$44)</f>
        <v>-0.084</v>
      </c>
      <c r="BB56" s="25" t="n">
        <f aca="false">BB$21*(BB$35-Planner!$C$44)</f>
        <v>-0.144</v>
      </c>
      <c r="BC56" s="25" t="n">
        <f aca="false">BC$21*(BC$35-Planner!$C$44)</f>
        <v>-0.136</v>
      </c>
      <c r="BD56" s="25" t="n">
        <f aca="false">BD$21*(BD$35-Planner!$C$44)</f>
        <v>-0.182</v>
      </c>
      <c r="BE56" s="25" t="n">
        <f aca="false">BE$21*(BE$35-Planner!$C$44)</f>
        <v>-0.614</v>
      </c>
      <c r="BF56" s="25" t="n">
        <f aca="false">BF$21*(BF$35-Planner!$C$44)</f>
        <v>-0.134</v>
      </c>
      <c r="BG56" s="25" t="n">
        <f aca="false">BG$21*(BG$35-Planner!$C$44)</f>
        <v>0.918</v>
      </c>
      <c r="BH56" s="25" t="n">
        <f aca="false">BH$21*(BH$35-Planner!$C$44)</f>
        <v>-0.186</v>
      </c>
      <c r="BI56" s="25" t="n">
        <f aca="false">BI$21*(BI$35-Planner!$C$44)</f>
        <v>0.216</v>
      </c>
      <c r="BJ56" s="25" t="n">
        <f aca="false">BJ$21*(BJ$35-Planner!$C$44)</f>
        <v>0.258</v>
      </c>
      <c r="BK56" s="25" t="n">
        <f aca="false">BK$21*(BK$35-Planner!$C$44)</f>
        <v>0.999</v>
      </c>
      <c r="BL56" s="25" t="n">
        <f aca="false">BL$21*(BL$35-Planner!$C$44)</f>
        <v>0.33</v>
      </c>
      <c r="BM56" s="25" t="n">
        <f aca="false">BM$21*(BM$35-Planner!$C$44)</f>
        <v>0.369</v>
      </c>
      <c r="BN56" s="25" t="n">
        <f aca="false">BN$21*(BN$35-Planner!$C$44)</f>
        <v>0.858</v>
      </c>
      <c r="BO56" s="25" t="n">
        <f aca="false">BO$21*(BO$35-Planner!$C$44)</f>
        <v>0.264</v>
      </c>
      <c r="BP56" s="25" t="n">
        <f aca="false">BP$21*(BP$35-Planner!$C$44)</f>
        <v>0.255</v>
      </c>
      <c r="BQ56" s="25" t="n">
        <f aca="false">BQ$21*(BQ$35-Planner!$C$44)</f>
        <v>0</v>
      </c>
      <c r="BR56" s="25" t="n">
        <f aca="false">BR$21*(BR$35-Planner!$C$44)</f>
        <v>0</v>
      </c>
      <c r="BS56" s="25" t="n">
        <f aca="false">BS$21*(BS$35-Planner!$C$44)</f>
        <v>-4.23</v>
      </c>
      <c r="BT56" s="25" t="n">
        <f aca="false">BT$21*(BT$35-Planner!$C$44)</f>
        <v>0.588</v>
      </c>
      <c r="BU56" s="25" t="n">
        <f aca="false">BU$21*(BU$35-Planner!$C$44)</f>
        <v>-1.02</v>
      </c>
      <c r="BV56" s="25" t="n">
        <f aca="false">BV$21*(BV$35-Planner!$C$44)</f>
        <v>-1.13</v>
      </c>
      <c r="BW56" s="25" t="n">
        <f aca="false">BW$21*(BW$35-Planner!$C$44)</f>
        <v>-1.278</v>
      </c>
      <c r="BX56" s="25" t="n">
        <f aca="false">BX$21*(BX$35-Planner!$C$44)</f>
        <v>-0.7</v>
      </c>
    </row>
    <row r="57" customFormat="false" ht="15" hidden="false" customHeight="false" outlineLevel="0" collapsed="false">
      <c r="A57" s="4" t="s">
        <v>642</v>
      </c>
      <c r="B57" s="75" t="s">
        <v>643</v>
      </c>
      <c r="C57" s="76" t="n">
        <f aca="false">Planner!$C$49</f>
        <v>2.5</v>
      </c>
      <c r="D57" s="77" t="n">
        <v>2.49999999967679</v>
      </c>
      <c r="E57" s="75" t="str">
        <f aca="false">IF(D57&gt;=C57-0.000001*MAX(1,ABS(C57)),IF(ABS(D57-C57)&lt;=0.000001*MAX(1,ABS(C57)),"tight","ok"),"VIOLATED")</f>
        <v>tight</v>
      </c>
      <c r="F57" s="25" t="n">
        <f aca="false">IF('Food Data'!$C$6="Vegetables",100/'Food Data'!$AF$6,0)</f>
        <v>0</v>
      </c>
      <c r="G57" s="25" t="n">
        <f aca="false">IF('Food Data'!$C$7="Vegetables",100/'Food Data'!$AF$7,0)</f>
        <v>0</v>
      </c>
      <c r="H57" s="25" t="n">
        <f aca="false">IF('Food Data'!$C$8="Vegetables",100/'Food Data'!$AF$8,0)</f>
        <v>0</v>
      </c>
      <c r="I57" s="25" t="n">
        <f aca="false">IF('Food Data'!$C$9="Vegetables",100/'Food Data'!$AF$9,0)</f>
        <v>0</v>
      </c>
      <c r="J57" s="25" t="n">
        <f aca="false">IF('Food Data'!$C$10="Vegetables",100/'Food Data'!$AF$10,0)</f>
        <v>0</v>
      </c>
      <c r="K57" s="25" t="n">
        <f aca="false">IF('Food Data'!$C$11="Vegetables",100/'Food Data'!$AF$11,0)</f>
        <v>0</v>
      </c>
      <c r="L57" s="25" t="n">
        <f aca="false">IF('Food Data'!$C$12="Vegetables",100/'Food Data'!$AF$12,0)</f>
        <v>0</v>
      </c>
      <c r="M57" s="25" t="n">
        <f aca="false">IF('Food Data'!$C$13="Vegetables",100/'Food Data'!$AF$13,0)</f>
        <v>0</v>
      </c>
      <c r="N57" s="25" t="n">
        <f aca="false">IF('Food Data'!$C$14="Vegetables",100/'Food Data'!$AF$14,0)</f>
        <v>0</v>
      </c>
      <c r="O57" s="25" t="n">
        <f aca="false">IF('Food Data'!$C$15="Vegetables",100/'Food Data'!$AF$15,0)</f>
        <v>0</v>
      </c>
      <c r="P57" s="25" t="n">
        <f aca="false">IF('Food Data'!$C$16="Vegetables",100/'Food Data'!$AF$16,0)</f>
        <v>0</v>
      </c>
      <c r="Q57" s="25" t="n">
        <f aca="false">IF('Food Data'!$C$17="Vegetables",100/'Food Data'!$AF$17,0)</f>
        <v>0</v>
      </c>
      <c r="R57" s="25" t="n">
        <f aca="false">IF('Food Data'!$C$18="Vegetables",100/'Food Data'!$AF$18,0)</f>
        <v>0</v>
      </c>
      <c r="S57" s="25" t="n">
        <f aca="false">IF('Food Data'!$C$19="Vegetables",100/'Food Data'!$AF$19,0)</f>
        <v>0</v>
      </c>
      <c r="T57" s="25" t="n">
        <f aca="false">IF('Food Data'!$C$20="Vegetables",100/'Food Data'!$AF$20,0)</f>
        <v>0</v>
      </c>
      <c r="U57" s="25" t="n">
        <f aca="false">IF('Food Data'!$C$21="Vegetables",100/'Food Data'!$AF$21,0)</f>
        <v>0</v>
      </c>
      <c r="V57" s="25" t="n">
        <f aca="false">IF('Food Data'!$C$22="Vegetables",100/'Food Data'!$AF$22,0)</f>
        <v>0</v>
      </c>
      <c r="W57" s="25" t="n">
        <f aca="false">IF('Food Data'!$C$23="Vegetables",100/'Food Data'!$AF$23,0)</f>
        <v>0</v>
      </c>
      <c r="X57" s="25" t="n">
        <f aca="false">IF('Food Data'!$C$24="Vegetables",100/'Food Data'!$AF$24,0)</f>
        <v>0</v>
      </c>
      <c r="Y57" s="25" t="n">
        <f aca="false">IF('Food Data'!$C$25="Vegetables",100/'Food Data'!$AF$25,0)</f>
        <v>0</v>
      </c>
      <c r="Z57" s="25" t="n">
        <f aca="false">IF('Food Data'!$C$26="Vegetables",100/'Food Data'!$AF$26,0)</f>
        <v>0</v>
      </c>
      <c r="AA57" s="25" t="n">
        <f aca="false">IF('Food Data'!$C$27="Vegetables",100/'Food Data'!$AF$27,0)</f>
        <v>0</v>
      </c>
      <c r="AB57" s="25" t="n">
        <f aca="false">IF('Food Data'!$C$28="Vegetables",100/'Food Data'!$AF$28,0)</f>
        <v>0</v>
      </c>
      <c r="AC57" s="25" t="n">
        <f aca="false">IF('Food Data'!$C$29="Vegetables",100/'Food Data'!$AF$29,0)</f>
        <v>0</v>
      </c>
      <c r="AD57" s="25" t="n">
        <f aca="false">IF('Food Data'!$C$30="Vegetables",100/'Food Data'!$AF$30,0)</f>
        <v>0</v>
      </c>
      <c r="AE57" s="25" t="n">
        <f aca="false">IF('Food Data'!$C$31="Vegetables",100/'Food Data'!$AF$31,0)</f>
        <v>0</v>
      </c>
      <c r="AF57" s="25" t="n">
        <f aca="false">IF('Food Data'!$C$32="Vegetables",100/'Food Data'!$AF$32,0)</f>
        <v>0</v>
      </c>
      <c r="AG57" s="25" t="n">
        <f aca="false">IF('Food Data'!$C$33="Vegetables",100/'Food Data'!$AF$33,0)</f>
        <v>0</v>
      </c>
      <c r="AH57" s="25" t="n">
        <f aca="false">IF('Food Data'!$C$34="Vegetables",100/'Food Data'!$AF$34,0)</f>
        <v>0</v>
      </c>
      <c r="AI57" s="25" t="n">
        <f aca="false">IF('Food Data'!$C$35="Vegetables",100/'Food Data'!$AF$35,0)</f>
        <v>0</v>
      </c>
      <c r="AJ57" s="25" t="n">
        <f aca="false">IF('Food Data'!$C$36="Vegetables",100/'Food Data'!$AF$36,0)</f>
        <v>0</v>
      </c>
      <c r="AK57" s="25" t="n">
        <f aca="false">IF('Food Data'!$C$37="Vegetables",100/'Food Data'!$AF$37,0)</f>
        <v>0</v>
      </c>
      <c r="AL57" s="25" t="n">
        <f aca="false">IF('Food Data'!$C$38="Vegetables",100/'Food Data'!$AF$38,0)</f>
        <v>0</v>
      </c>
      <c r="AM57" s="25" t="n">
        <f aca="false">IF('Food Data'!$C$39="Vegetables",100/'Food Data'!$AF$39,0)</f>
        <v>0</v>
      </c>
      <c r="AN57" s="25" t="n">
        <f aca="false">IF('Food Data'!$C$40="Vegetables",100/'Food Data'!$AF$40,0)</f>
        <v>0</v>
      </c>
      <c r="AO57" s="25" t="n">
        <f aca="false">IF('Food Data'!$C$41="Vegetables",100/'Food Data'!$AF$41,0)</f>
        <v>0</v>
      </c>
      <c r="AP57" s="25" t="n">
        <f aca="false">IF('Food Data'!$C$42="Vegetables",100/'Food Data'!$AF$42,0)</f>
        <v>0</v>
      </c>
      <c r="AQ57" s="25" t="n">
        <f aca="false">IF('Food Data'!$C$43="Vegetables",100/'Food Data'!$AF$43,0)</f>
        <v>0</v>
      </c>
      <c r="AR57" s="25" t="n">
        <f aca="false">IF('Food Data'!$C$44="Vegetables",100/'Food Data'!$AF$44,0)</f>
        <v>0</v>
      </c>
      <c r="AS57" s="25" t="n">
        <f aca="false">IF('Food Data'!$C$45="Vegetables",100/'Food Data'!$AF$45,0)</f>
        <v>0</v>
      </c>
      <c r="AT57" s="25" t="n">
        <f aca="false">IF('Food Data'!$C$46="Vegetables",100/'Food Data'!$AF$46,0)</f>
        <v>0</v>
      </c>
      <c r="AU57" s="25" t="n">
        <f aca="false">IF('Food Data'!$C$47="Vegetables",100/'Food Data'!$AF$47,0)</f>
        <v>0</v>
      </c>
      <c r="AV57" s="25" t="n">
        <f aca="false">IF('Food Data'!$C$48="Vegetables",100/'Food Data'!$AF$48,0)</f>
        <v>0</v>
      </c>
      <c r="AW57" s="25" t="n">
        <f aca="false">IF('Food Data'!$C$49="Vegetables",100/'Food Data'!$AF$49,0)</f>
        <v>0</v>
      </c>
      <c r="AX57" s="25" t="n">
        <f aca="false">IF('Food Data'!$C$50="Vegetables",100/'Food Data'!$AF$50,0)</f>
        <v>0</v>
      </c>
      <c r="AY57" s="25" t="n">
        <f aca="false">IF('Food Data'!$C$51="Vegetables",100/'Food Data'!$AF$51,0)</f>
        <v>0</v>
      </c>
      <c r="AZ57" s="25" t="n">
        <f aca="false">IF('Food Data'!$C$52="Vegetables",100/'Food Data'!$AF$52,0)</f>
        <v>0</v>
      </c>
      <c r="BA57" s="25" t="n">
        <f aca="false">IF('Food Data'!$C$53="Vegetables",100/'Food Data'!$AF$53,0)</f>
        <v>0</v>
      </c>
      <c r="BB57" s="25" t="n">
        <f aca="false">IF('Food Data'!$C$54="Vegetables",100/'Food Data'!$AF$54,0)</f>
        <v>0</v>
      </c>
      <c r="BC57" s="25" t="n">
        <f aca="false">IF('Food Data'!$C$55="Vegetables",100/'Food Data'!$AF$55,0)</f>
        <v>0</v>
      </c>
      <c r="BD57" s="25" t="n">
        <f aca="false">IF('Food Data'!$C$56="Vegetables",100/'Food Data'!$AF$56,0)</f>
        <v>0</v>
      </c>
      <c r="BE57" s="25" t="n">
        <f aca="false">IF('Food Data'!$C$57="Vegetables",100/'Food Data'!$AF$57,0)</f>
        <v>0</v>
      </c>
      <c r="BF57" s="25" t="n">
        <f aca="false">IF('Food Data'!$C$58="Vegetables",100/'Food Data'!$AF$58,0)</f>
        <v>0</v>
      </c>
      <c r="BG57" s="25" t="n">
        <f aca="false">IF('Food Data'!$C$59="Vegetables",100/'Food Data'!$AF$59,0)</f>
        <v>1.0989010989011</v>
      </c>
      <c r="BH57" s="25" t="n">
        <f aca="false">IF('Food Data'!$C$60="Vegetables",100/'Food Data'!$AF$60,0)</f>
        <v>0.78125</v>
      </c>
      <c r="BI57" s="25" t="n">
        <f aca="false">IF('Food Data'!$C$61="Vegetables",100/'Food Data'!$AF$61,0)</f>
        <v>0.425531914893617</v>
      </c>
      <c r="BJ57" s="25" t="n">
        <f aca="false">IF('Food Data'!$C$62="Vegetables",100/'Food Data'!$AF$62,0)</f>
        <v>0.671140939597316</v>
      </c>
      <c r="BK57" s="25" t="n">
        <f aca="false">IF('Food Data'!$C$63="Vegetables",100/'Food Data'!$AF$63,0)</f>
        <v>0.735294117647059</v>
      </c>
      <c r="BL57" s="25" t="n">
        <f aca="false">IF('Food Data'!$C$64="Vegetables",100/'Food Data'!$AF$64,0)</f>
        <v>0.625</v>
      </c>
      <c r="BM57" s="25" t="n">
        <f aca="false">IF('Food Data'!$C$65="Vegetables",100/'Food Data'!$AF$65,0)</f>
        <v>1.06382978723404</v>
      </c>
      <c r="BN57" s="25" t="n">
        <f aca="false">IF('Food Data'!$C$66="Vegetables",100/'Food Data'!$AF$66,0)</f>
        <v>1.66666666666667</v>
      </c>
      <c r="BO57" s="25" t="n">
        <f aca="false">IF('Food Data'!$C$67="Vegetables",100/'Food Data'!$AF$67,0)</f>
        <v>0.555555555555556</v>
      </c>
      <c r="BP57" s="25" t="n">
        <f aca="false">IF('Food Data'!$C$68="Vegetables",100/'Food Data'!$AF$68,0)</f>
        <v>0</v>
      </c>
      <c r="BQ57" s="25" t="n">
        <f aca="false">IF('Food Data'!$C$69="Vegetables",100/'Food Data'!$AF$69,0)</f>
        <v>0</v>
      </c>
      <c r="BR57" s="25" t="n">
        <f aca="false">IF('Food Data'!$C$70="Vegetables",100/'Food Data'!$AF$70,0)</f>
        <v>0</v>
      </c>
      <c r="BS57" s="25" t="n">
        <f aca="false">IF('Food Data'!$C$71="Vegetables",100/'Food Data'!$AF$71,0)</f>
        <v>0</v>
      </c>
      <c r="BT57" s="25" t="n">
        <f aca="false">IF('Food Data'!$C$72="Vegetables",100/'Food Data'!$AF$72,0)</f>
        <v>0</v>
      </c>
      <c r="BU57" s="25" t="n">
        <f aca="false">IF('Food Data'!$C$73="Vegetables",100/'Food Data'!$AF$73,0)</f>
        <v>0</v>
      </c>
      <c r="BV57" s="25" t="n">
        <f aca="false">IF('Food Data'!$C$74="Vegetables",100/'Food Data'!$AF$74,0)</f>
        <v>0</v>
      </c>
      <c r="BW57" s="25" t="n">
        <f aca="false">IF('Food Data'!$C$75="Vegetables",100/'Food Data'!$AF$75,0)</f>
        <v>0</v>
      </c>
      <c r="BX57" s="25" t="n">
        <f aca="false">IF('Food Data'!$C$76="Vegetables",100/'Food Data'!$AF$76,0)</f>
        <v>0</v>
      </c>
    </row>
    <row r="58" customFormat="false" ht="15" hidden="false" customHeight="false" outlineLevel="0" collapsed="false">
      <c r="A58" s="4" t="s">
        <v>644</v>
      </c>
      <c r="B58" s="75" t="s">
        <v>643</v>
      </c>
      <c r="C58" s="76" t="n">
        <f aca="false">Planner!$C$50</f>
        <v>2</v>
      </c>
      <c r="D58" s="77" t="n">
        <v>2</v>
      </c>
      <c r="E58" s="75" t="str">
        <f aca="false">IF(D58&gt;=C58-0.000001*MAX(1,ABS(C58)),IF(ABS(D58-C58)&lt;=0.000001*MAX(1,ABS(C58)),"tight","ok"),"VIOLATED")</f>
        <v>tight</v>
      </c>
      <c r="F58" s="25" t="n">
        <f aca="false">IF('Food Data'!$C$6="Fruit",100/'Food Data'!$AF$6,0)</f>
        <v>0</v>
      </c>
      <c r="G58" s="25" t="n">
        <f aca="false">IF('Food Data'!$C$7="Fruit",100/'Food Data'!$AF$7,0)</f>
        <v>0</v>
      </c>
      <c r="H58" s="25" t="n">
        <f aca="false">IF('Food Data'!$C$8="Fruit",100/'Food Data'!$AF$8,0)</f>
        <v>0</v>
      </c>
      <c r="I58" s="25" t="n">
        <f aca="false">IF('Food Data'!$C$9="Fruit",100/'Food Data'!$AF$9,0)</f>
        <v>0</v>
      </c>
      <c r="J58" s="25" t="n">
        <f aca="false">IF('Food Data'!$C$10="Fruit",100/'Food Data'!$AF$10,0)</f>
        <v>0</v>
      </c>
      <c r="K58" s="25" t="n">
        <f aca="false">IF('Food Data'!$C$11="Fruit",100/'Food Data'!$AF$11,0)</f>
        <v>0</v>
      </c>
      <c r="L58" s="25" t="n">
        <f aca="false">IF('Food Data'!$C$12="Fruit",100/'Food Data'!$AF$12,0)</f>
        <v>0</v>
      </c>
      <c r="M58" s="25" t="n">
        <f aca="false">IF('Food Data'!$C$13="Fruit",100/'Food Data'!$AF$13,0)</f>
        <v>0</v>
      </c>
      <c r="N58" s="25" t="n">
        <f aca="false">IF('Food Data'!$C$14="Fruit",100/'Food Data'!$AF$14,0)</f>
        <v>0</v>
      </c>
      <c r="O58" s="25" t="n">
        <f aca="false">IF('Food Data'!$C$15="Fruit",100/'Food Data'!$AF$15,0)</f>
        <v>0</v>
      </c>
      <c r="P58" s="25" t="n">
        <f aca="false">IF('Food Data'!$C$16="Fruit",100/'Food Data'!$AF$16,0)</f>
        <v>0</v>
      </c>
      <c r="Q58" s="25" t="n">
        <f aca="false">IF('Food Data'!$C$17="Fruit",100/'Food Data'!$AF$17,0)</f>
        <v>0</v>
      </c>
      <c r="R58" s="25" t="n">
        <f aca="false">IF('Food Data'!$C$18="Fruit",100/'Food Data'!$AF$18,0)</f>
        <v>0</v>
      </c>
      <c r="S58" s="25" t="n">
        <f aca="false">IF('Food Data'!$C$19="Fruit",100/'Food Data'!$AF$19,0)</f>
        <v>0</v>
      </c>
      <c r="T58" s="25" t="n">
        <f aca="false">IF('Food Data'!$C$20="Fruit",100/'Food Data'!$AF$20,0)</f>
        <v>0</v>
      </c>
      <c r="U58" s="25" t="n">
        <f aca="false">IF('Food Data'!$C$21="Fruit",100/'Food Data'!$AF$21,0)</f>
        <v>0</v>
      </c>
      <c r="V58" s="25" t="n">
        <f aca="false">IF('Food Data'!$C$22="Fruit",100/'Food Data'!$AF$22,0)</f>
        <v>0</v>
      </c>
      <c r="W58" s="25" t="n">
        <f aca="false">IF('Food Data'!$C$23="Fruit",100/'Food Data'!$AF$23,0)</f>
        <v>0</v>
      </c>
      <c r="X58" s="25" t="n">
        <f aca="false">IF('Food Data'!$C$24="Fruit",100/'Food Data'!$AF$24,0)</f>
        <v>0</v>
      </c>
      <c r="Y58" s="25" t="n">
        <f aca="false">IF('Food Data'!$C$25="Fruit",100/'Food Data'!$AF$25,0)</f>
        <v>0</v>
      </c>
      <c r="Z58" s="25" t="n">
        <f aca="false">IF('Food Data'!$C$26="Fruit",100/'Food Data'!$AF$26,0)</f>
        <v>0</v>
      </c>
      <c r="AA58" s="25" t="n">
        <f aca="false">IF('Food Data'!$C$27="Fruit",100/'Food Data'!$AF$27,0)</f>
        <v>0</v>
      </c>
      <c r="AB58" s="25" t="n">
        <f aca="false">IF('Food Data'!$C$28="Fruit",100/'Food Data'!$AF$28,0)</f>
        <v>0</v>
      </c>
      <c r="AC58" s="25" t="n">
        <f aca="false">IF('Food Data'!$C$29="Fruit",100/'Food Data'!$AF$29,0)</f>
        <v>0</v>
      </c>
      <c r="AD58" s="25" t="n">
        <f aca="false">IF('Food Data'!$C$30="Fruit",100/'Food Data'!$AF$30,0)</f>
        <v>0</v>
      </c>
      <c r="AE58" s="25" t="n">
        <f aca="false">IF('Food Data'!$C$31="Fruit",100/'Food Data'!$AF$31,0)</f>
        <v>0</v>
      </c>
      <c r="AF58" s="25" t="n">
        <f aca="false">IF('Food Data'!$C$32="Fruit",100/'Food Data'!$AF$32,0)</f>
        <v>0</v>
      </c>
      <c r="AG58" s="25" t="n">
        <f aca="false">IF('Food Data'!$C$33="Fruit",100/'Food Data'!$AF$33,0)</f>
        <v>0</v>
      </c>
      <c r="AH58" s="25" t="n">
        <f aca="false">IF('Food Data'!$C$34="Fruit",100/'Food Data'!$AF$34,0)</f>
        <v>0</v>
      </c>
      <c r="AI58" s="25" t="n">
        <f aca="false">IF('Food Data'!$C$35="Fruit",100/'Food Data'!$AF$35,0)</f>
        <v>0</v>
      </c>
      <c r="AJ58" s="25" t="n">
        <f aca="false">IF('Food Data'!$C$36="Fruit",100/'Food Data'!$AF$36,0)</f>
        <v>0</v>
      </c>
      <c r="AK58" s="25" t="n">
        <f aca="false">IF('Food Data'!$C$37="Fruit",100/'Food Data'!$AF$37,0)</f>
        <v>0</v>
      </c>
      <c r="AL58" s="25" t="n">
        <f aca="false">IF('Food Data'!$C$38="Fruit",100/'Food Data'!$AF$38,0)</f>
        <v>0</v>
      </c>
      <c r="AM58" s="25" t="n">
        <f aca="false">IF('Food Data'!$C$39="Fruit",100/'Food Data'!$AF$39,0)</f>
        <v>0</v>
      </c>
      <c r="AN58" s="25" t="n">
        <f aca="false">IF('Food Data'!$C$40="Fruit",100/'Food Data'!$AF$40,0)</f>
        <v>0</v>
      </c>
      <c r="AO58" s="25" t="n">
        <f aca="false">IF('Food Data'!$C$41="Fruit",100/'Food Data'!$AF$41,0)</f>
        <v>0</v>
      </c>
      <c r="AP58" s="25" t="n">
        <f aca="false">IF('Food Data'!$C$42="Fruit",100/'Food Data'!$AF$42,0)</f>
        <v>0</v>
      </c>
      <c r="AQ58" s="25" t="n">
        <f aca="false">IF('Food Data'!$C$43="Fruit",100/'Food Data'!$AF$43,0)</f>
        <v>0</v>
      </c>
      <c r="AR58" s="25" t="n">
        <f aca="false">IF('Food Data'!$C$44="Fruit",100/'Food Data'!$AF$44,0)</f>
        <v>0</v>
      </c>
      <c r="AS58" s="25" t="n">
        <f aca="false">IF('Food Data'!$C$45="Fruit",100/'Food Data'!$AF$45,0)</f>
        <v>0</v>
      </c>
      <c r="AT58" s="25" t="n">
        <f aca="false">IF('Food Data'!$C$46="Fruit",100/'Food Data'!$AF$46,0)</f>
        <v>0</v>
      </c>
      <c r="AU58" s="25" t="n">
        <f aca="false">IF('Food Data'!$C$47="Fruit",100/'Food Data'!$AF$47,0)</f>
        <v>0</v>
      </c>
      <c r="AV58" s="25" t="n">
        <f aca="false">IF('Food Data'!$C$48="Fruit",100/'Food Data'!$AF$48,0)</f>
        <v>0</v>
      </c>
      <c r="AW58" s="25" t="n">
        <f aca="false">IF('Food Data'!$C$49="Fruit",100/'Food Data'!$AF$49,0)</f>
        <v>0</v>
      </c>
      <c r="AX58" s="25" t="n">
        <f aca="false">IF('Food Data'!$C$50="Fruit",100/'Food Data'!$AF$50,0)</f>
        <v>0</v>
      </c>
      <c r="AY58" s="25" t="n">
        <f aca="false">IF('Food Data'!$C$51="Fruit",100/'Food Data'!$AF$51,0)</f>
        <v>0.8</v>
      </c>
      <c r="AZ58" s="25" t="n">
        <f aca="false">IF('Food Data'!$C$52="Fruit",100/'Food Data'!$AF$52,0)</f>
        <v>0.847457627118644</v>
      </c>
      <c r="BA58" s="25" t="n">
        <f aca="false">IF('Food Data'!$C$53="Fruit",100/'Food Data'!$AF$53,0)</f>
        <v>0.645161290322581</v>
      </c>
      <c r="BB58" s="25" t="n">
        <f aca="false">IF('Food Data'!$C$54="Fruit",100/'Food Data'!$AF$54,0)</f>
        <v>0.662251655629139</v>
      </c>
      <c r="BC58" s="25" t="n">
        <f aca="false">IF('Food Data'!$C$55="Fruit",100/'Food Data'!$AF$55,0)</f>
        <v>0.401606425702811</v>
      </c>
      <c r="BD58" s="25" t="n">
        <f aca="false">IF('Food Data'!$C$56="Fruit",100/'Food Data'!$AF$56,0)</f>
        <v>0.714285714285714</v>
      </c>
      <c r="BE58" s="25" t="n">
        <f aca="false">IF('Food Data'!$C$57="Fruit",100/'Food Data'!$AF$57,0)</f>
        <v>1.21951219512195</v>
      </c>
      <c r="BF58" s="25" t="n">
        <f aca="false">IF('Food Data'!$C$58="Fruit",100/'Food Data'!$AF$58,0)</f>
        <v>0.657894736842105</v>
      </c>
      <c r="BG58" s="25" t="n">
        <f aca="false">IF('Food Data'!$C$59="Fruit",100/'Food Data'!$AF$59,0)</f>
        <v>0</v>
      </c>
      <c r="BH58" s="25" t="n">
        <f aca="false">IF('Food Data'!$C$60="Fruit",100/'Food Data'!$AF$60,0)</f>
        <v>0</v>
      </c>
      <c r="BI58" s="25" t="n">
        <f aca="false">IF('Food Data'!$C$61="Fruit",100/'Food Data'!$AF$61,0)</f>
        <v>0</v>
      </c>
      <c r="BJ58" s="25" t="n">
        <f aca="false">IF('Food Data'!$C$62="Fruit",100/'Food Data'!$AF$62,0)</f>
        <v>0</v>
      </c>
      <c r="BK58" s="25" t="n">
        <f aca="false">IF('Food Data'!$C$63="Fruit",100/'Food Data'!$AF$63,0)</f>
        <v>0</v>
      </c>
      <c r="BL58" s="25" t="n">
        <f aca="false">IF('Food Data'!$C$64="Fruit",100/'Food Data'!$AF$64,0)</f>
        <v>0</v>
      </c>
      <c r="BM58" s="25" t="n">
        <f aca="false">IF('Food Data'!$C$65="Fruit",100/'Food Data'!$AF$65,0)</f>
        <v>0</v>
      </c>
      <c r="BN58" s="25" t="n">
        <f aca="false">IF('Food Data'!$C$66="Fruit",100/'Food Data'!$AF$66,0)</f>
        <v>0</v>
      </c>
      <c r="BO58" s="25" t="n">
        <f aca="false">IF('Food Data'!$C$67="Fruit",100/'Food Data'!$AF$67,0)</f>
        <v>0</v>
      </c>
      <c r="BP58" s="25" t="n">
        <f aca="false">IF('Food Data'!$C$68="Fruit",100/'Food Data'!$AF$68,0)</f>
        <v>0</v>
      </c>
      <c r="BQ58" s="25" t="n">
        <f aca="false">IF('Food Data'!$C$69="Fruit",100/'Food Data'!$AF$69,0)</f>
        <v>0</v>
      </c>
      <c r="BR58" s="25" t="n">
        <f aca="false">IF('Food Data'!$C$70="Fruit",100/'Food Data'!$AF$70,0)</f>
        <v>0</v>
      </c>
      <c r="BS58" s="25" t="n">
        <f aca="false">IF('Food Data'!$C$71="Fruit",100/'Food Data'!$AF$71,0)</f>
        <v>0</v>
      </c>
      <c r="BT58" s="25" t="n">
        <f aca="false">IF('Food Data'!$C$72="Fruit",100/'Food Data'!$AF$72,0)</f>
        <v>0</v>
      </c>
      <c r="BU58" s="25" t="n">
        <f aca="false">IF('Food Data'!$C$73="Fruit",100/'Food Data'!$AF$73,0)</f>
        <v>0</v>
      </c>
      <c r="BV58" s="25" t="n">
        <f aca="false">IF('Food Data'!$C$74="Fruit",100/'Food Data'!$AF$74,0)</f>
        <v>0</v>
      </c>
      <c r="BW58" s="25" t="n">
        <f aca="false">IF('Food Data'!$C$75="Fruit",100/'Food Data'!$AF$75,0)</f>
        <v>0</v>
      </c>
      <c r="BX58" s="25" t="n">
        <f aca="false">IF('Food Data'!$C$76="Fruit",100/'Food Data'!$AF$76,0)</f>
        <v>0</v>
      </c>
    </row>
    <row r="59" customFormat="false" ht="15" hidden="false" customHeight="false" outlineLevel="0" collapsed="false">
      <c r="A59" s="4" t="s">
        <v>645</v>
      </c>
      <c r="B59" s="75" t="s">
        <v>646</v>
      </c>
      <c r="C59" s="76" t="n">
        <f aca="false">Planner!$E$16*(1+Planner!$C$42)</f>
        <v>3181.5</v>
      </c>
      <c r="D59" s="77" t="n">
        <v>2878.500000161</v>
      </c>
      <c r="E59" s="75" t="str">
        <f aca="false">IF(D59&lt;=C59+0.000001*MAX(1,ABS(C59)),IF(ABS(D59-C59)&lt;=0.000001*MAX(1,ABS(C59)),"tight","ok"),"VIOLATED")</f>
        <v>ok</v>
      </c>
      <c r="F59" s="25" t="n">
        <f aca="false">F$20</f>
        <v>120</v>
      </c>
      <c r="G59" s="25" t="n">
        <f aca="false">G$20</f>
        <v>161</v>
      </c>
      <c r="H59" s="25" t="n">
        <f aca="false">H$20</f>
        <v>121</v>
      </c>
      <c r="I59" s="25" t="n">
        <f aca="false">I$20</f>
        <v>100</v>
      </c>
      <c r="J59" s="25" t="n">
        <f aca="false">J$20</f>
        <v>150</v>
      </c>
      <c r="K59" s="25" t="n">
        <f aca="false">K$20</f>
        <v>417</v>
      </c>
      <c r="L59" s="25" t="n">
        <f aca="false">L$20</f>
        <v>254</v>
      </c>
      <c r="M59" s="25" t="n">
        <f aca="false">M$20</f>
        <v>152</v>
      </c>
      <c r="N59" s="25" t="n">
        <f aca="false">N$20</f>
        <v>163</v>
      </c>
      <c r="O59" s="25" t="n">
        <f aca="false">O$20</f>
        <v>201</v>
      </c>
      <c r="P59" s="25" t="n">
        <f aca="false">P$20</f>
        <v>214</v>
      </c>
      <c r="Q59" s="25" t="n">
        <f aca="false">Q$20</f>
        <v>86</v>
      </c>
      <c r="R59" s="25" t="n">
        <f aca="false">R$20</f>
        <v>208</v>
      </c>
      <c r="S59" s="25" t="n">
        <f aca="false">S$20</f>
        <v>71</v>
      </c>
      <c r="T59" s="25" t="n">
        <f aca="false">T$20</f>
        <v>96</v>
      </c>
      <c r="U59" s="25" t="n">
        <f aca="false">U$20</f>
        <v>143</v>
      </c>
      <c r="V59" s="25" t="n">
        <f aca="false">V$20</f>
        <v>91</v>
      </c>
      <c r="W59" s="25" t="n">
        <f aca="false">W$20</f>
        <v>88</v>
      </c>
      <c r="X59" s="25" t="n">
        <f aca="false">X$20</f>
        <v>352</v>
      </c>
      <c r="Y59" s="25" t="n">
        <f aca="false">Y$20</f>
        <v>598</v>
      </c>
      <c r="Z59" s="25" t="n">
        <f aca="false">Z$20</f>
        <v>347</v>
      </c>
      <c r="AA59" s="25" t="n">
        <f aca="false">AA$20</f>
        <v>98</v>
      </c>
      <c r="AB59" s="25" t="n">
        <f aca="false">AB$20</f>
        <v>50</v>
      </c>
      <c r="AC59" s="25" t="n">
        <f aca="false">AC$20</f>
        <v>59</v>
      </c>
      <c r="AD59" s="25" t="n">
        <f aca="false">AD$20</f>
        <v>43</v>
      </c>
      <c r="AE59" s="25" t="n">
        <f aca="false">AE$20</f>
        <v>61</v>
      </c>
      <c r="AF59" s="25" t="n">
        <f aca="false">AF$20</f>
        <v>366</v>
      </c>
      <c r="AG59" s="25" t="n">
        <f aca="false">AG$20</f>
        <v>404</v>
      </c>
      <c r="AH59" s="25" t="n">
        <f aca="false">AH$20</f>
        <v>81</v>
      </c>
      <c r="AI59" s="25" t="n">
        <f aca="false">AI$20</f>
        <v>295</v>
      </c>
      <c r="AJ59" s="25" t="n">
        <f aca="false">AJ$20</f>
        <v>264</v>
      </c>
      <c r="AK59" s="25" t="n">
        <f aca="false">AK$20</f>
        <v>367</v>
      </c>
      <c r="AL59" s="25" t="n">
        <f aca="false">AL$20</f>
        <v>376</v>
      </c>
      <c r="AM59" s="25" t="n">
        <f aca="false">AM$20</f>
        <v>218</v>
      </c>
      <c r="AN59" s="25" t="n">
        <f aca="false">AN$20</f>
        <v>297</v>
      </c>
      <c r="AO59" s="25" t="n">
        <f aca="false">AO$20</f>
        <v>368</v>
      </c>
      <c r="AP59" s="25" t="n">
        <f aca="false">AP$20</f>
        <v>379</v>
      </c>
      <c r="AQ59" s="25" t="n">
        <f aca="false">AQ$20</f>
        <v>371</v>
      </c>
      <c r="AR59" s="25" t="n">
        <f aca="false">AR$20</f>
        <v>266</v>
      </c>
      <c r="AS59" s="25" t="n">
        <f aca="false">AS$20</f>
        <v>365</v>
      </c>
      <c r="AT59" s="25" t="n">
        <f aca="false">AT$20</f>
        <v>252</v>
      </c>
      <c r="AU59" s="25" t="n">
        <f aca="false">AU$20</f>
        <v>352</v>
      </c>
      <c r="AV59" s="25" t="n">
        <f aca="false">AV$20</f>
        <v>88</v>
      </c>
      <c r="AW59" s="25" t="n">
        <f aca="false">AW$20</f>
        <v>77</v>
      </c>
      <c r="AX59" s="25" t="n">
        <f aca="false">AX$20</f>
        <v>86</v>
      </c>
      <c r="AY59" s="25" t="n">
        <f aca="false">AY$20</f>
        <v>52</v>
      </c>
      <c r="AZ59" s="25" t="n">
        <f aca="false">AZ$20</f>
        <v>89</v>
      </c>
      <c r="BA59" s="25" t="n">
        <f aca="false">BA$20</f>
        <v>51</v>
      </c>
      <c r="BB59" s="25" t="n">
        <f aca="false">BB$20</f>
        <v>69</v>
      </c>
      <c r="BC59" s="25" t="n">
        <f aca="false">BC$20</f>
        <v>49</v>
      </c>
      <c r="BD59" s="25" t="n">
        <f aca="false">BD$20</f>
        <v>49</v>
      </c>
      <c r="BE59" s="25" t="n">
        <f aca="false">BE$20</f>
        <v>299</v>
      </c>
      <c r="BF59" s="25" t="n">
        <f aca="false">BF$20</f>
        <v>32</v>
      </c>
      <c r="BG59" s="25" t="n">
        <f aca="false">BG$20</f>
        <v>29</v>
      </c>
      <c r="BH59" s="25" t="n">
        <f aca="false">BH$20</f>
        <v>41</v>
      </c>
      <c r="BI59" s="25" t="n">
        <f aca="false">BI$20</f>
        <v>15</v>
      </c>
      <c r="BJ59" s="25" t="n">
        <f aca="false">BJ$20</f>
        <v>20</v>
      </c>
      <c r="BK59" s="25" t="n">
        <f aca="false">BK$20</f>
        <v>72</v>
      </c>
      <c r="BL59" s="25" t="n">
        <f aca="false">BL$20</f>
        <v>40</v>
      </c>
      <c r="BM59" s="25" t="n">
        <f aca="false">BM$20</f>
        <v>17</v>
      </c>
      <c r="BN59" s="25" t="n">
        <f aca="false">BN$20</f>
        <v>23</v>
      </c>
      <c r="BO59" s="25" t="n">
        <f aca="false">BO$20</f>
        <v>18</v>
      </c>
      <c r="BP59" s="25" t="n">
        <f aca="false">BP$20</f>
        <v>717</v>
      </c>
      <c r="BQ59" s="25" t="n">
        <f aca="false">BQ$20</f>
        <v>884</v>
      </c>
      <c r="BR59" s="25" t="n">
        <f aca="false">BR$20</f>
        <v>884</v>
      </c>
      <c r="BS59" s="25" t="n">
        <f aca="false">BS$20</f>
        <v>579</v>
      </c>
      <c r="BT59" s="25" t="n">
        <f aca="false">BT$20</f>
        <v>167</v>
      </c>
      <c r="BU59" s="25" t="n">
        <f aca="false">BU$20</f>
        <v>492</v>
      </c>
      <c r="BV59" s="25" t="n">
        <f aca="false">BV$20</f>
        <v>418</v>
      </c>
      <c r="BW59" s="25" t="n">
        <f aca="false">BW$20</f>
        <v>532</v>
      </c>
      <c r="BX59" s="25" t="n">
        <f aca="false">BX$20</f>
        <v>207</v>
      </c>
    </row>
    <row r="60" customFormat="false" ht="15" hidden="false" customHeight="false" outlineLevel="0" collapsed="false">
      <c r="A60" s="4" t="s">
        <v>647</v>
      </c>
      <c r="B60" s="75" t="s">
        <v>648</v>
      </c>
      <c r="C60" s="78" t="n">
        <v>0</v>
      </c>
      <c r="D60" s="77" t="n">
        <v>-559.47500007643</v>
      </c>
      <c r="E60" s="75" t="str">
        <f aca="false">IF(D60&lt;=C60+0.000001*MAX(1,ABS(C60)),IF(ABS(D60-C60)&lt;=0.000001*MAX(1,ABS(C60)),"tight","ok"),"VIOLATED")</f>
        <v>ok</v>
      </c>
      <c r="F60" s="25" t="n">
        <f aca="false">4*F$21-$D$8*F$20</f>
        <v>48</v>
      </c>
      <c r="G60" s="25" t="n">
        <f aca="false">4*G$21-$D$8*G$20</f>
        <v>15.97</v>
      </c>
      <c r="H60" s="25" t="n">
        <f aca="false">4*H$21-$D$8*H$20</f>
        <v>36.29</v>
      </c>
      <c r="I60" s="25" t="n">
        <f aca="false">4*I$21-$D$8*I$20</f>
        <v>30.32</v>
      </c>
      <c r="J60" s="25" t="n">
        <f aca="false">4*J$21-$D$8*J$20</f>
        <v>22.42</v>
      </c>
      <c r="K60" s="25" t="n">
        <f aca="false">4*K$21-$D$8*K$20</f>
        <v>-95.47</v>
      </c>
      <c r="L60" s="25" t="n">
        <f aca="false">4*L$21-$D$8*L$20</f>
        <v>-20.22</v>
      </c>
      <c r="M60" s="25" t="n">
        <f aca="false">4*M$21-$D$8*M$20</f>
        <v>30.2</v>
      </c>
      <c r="N60" s="25" t="n">
        <f aca="false">4*N$21-$D$8*N$20</f>
        <v>9.35000000000001</v>
      </c>
      <c r="O60" s="25" t="n">
        <f aca="false">4*O$21-$D$8*O$20</f>
        <v>14.21</v>
      </c>
      <c r="P60" s="25" t="n">
        <f aca="false">4*P$21-$D$8*P$20</f>
        <v>4.78000000000002</v>
      </c>
      <c r="Q60" s="25" t="n">
        <f aca="false">4*Q$21-$D$8*Q$20</f>
        <v>47.66</v>
      </c>
      <c r="R60" s="25" t="n">
        <f aca="false">4*R$21-$D$8*R$20</f>
        <v>8.88000000000001</v>
      </c>
      <c r="S60" s="25" t="n">
        <f aca="false">4*S$21-$D$8*S$20</f>
        <v>29.59</v>
      </c>
      <c r="T60" s="25" t="n">
        <f aca="false">4*T$21-$D$8*T$20</f>
        <v>46.72</v>
      </c>
      <c r="U60" s="25" t="n">
        <f aca="false">4*U$21-$D$8*U$20</f>
        <v>0.190000000000005</v>
      </c>
      <c r="V60" s="25" t="n">
        <f aca="false">4*V$21-$D$8*V$20</f>
        <v>-7.73</v>
      </c>
      <c r="W60" s="25" t="n">
        <f aca="false">4*W$21-$D$8*W$20</f>
        <v>-11.12</v>
      </c>
      <c r="X60" s="25" t="n">
        <f aca="false">4*X$21-$D$8*X$20</f>
        <v>-24.68</v>
      </c>
      <c r="Y60" s="25" t="n">
        <f aca="false">4*Y$21-$D$8*Y$20</f>
        <v>-120.46</v>
      </c>
      <c r="Z60" s="25" t="n">
        <f aca="false">4*Z$21-$D$8*Z$20</f>
        <v>-35.77</v>
      </c>
      <c r="AA60" s="25" t="n">
        <f aca="false">4*AA$21-$D$8*AA$20</f>
        <v>6.1</v>
      </c>
      <c r="AB60" s="25" t="n">
        <f aca="false">4*AB$21-$D$8*AB$20</f>
        <v>-4.3</v>
      </c>
      <c r="AC60" s="25" t="n">
        <f aca="false">4*AC$21-$D$8*AC$20</f>
        <v>20.11</v>
      </c>
      <c r="AD60" s="25" t="n">
        <f aca="false">4*AD$21-$D$8*AD$20</f>
        <v>-4.65</v>
      </c>
      <c r="AE60" s="25" t="n">
        <f aca="false">4*AE$21-$D$8*AE$20</f>
        <v>-8.75</v>
      </c>
      <c r="AF60" s="25" t="n">
        <f aca="false">4*AF$21-$D$8*AF$20</f>
        <v>-55.58</v>
      </c>
      <c r="AG60" s="25" t="n">
        <f aca="false">4*AG$21-$D$8*AG$20</f>
        <v>-49.92</v>
      </c>
      <c r="AH60" s="25" t="n">
        <f aca="false">4*AH$21-$D$8*AH$20</f>
        <v>13.45</v>
      </c>
      <c r="AI60" s="25" t="n">
        <f aca="false">4*AI$21-$D$8*AI$20</f>
        <v>-8.25</v>
      </c>
      <c r="AJ60" s="25" t="n">
        <f aca="false">4*AJ$21-$D$8*AJ$20</f>
        <v>-50.16</v>
      </c>
      <c r="AK60" s="25" t="n">
        <f aca="false">4*AK$21-$D$8*AK$20</f>
        <v>-98.29</v>
      </c>
      <c r="AL60" s="25" t="n">
        <f aca="false">4*AL$21-$D$8*AL$20</f>
        <v>-83.24</v>
      </c>
      <c r="AM60" s="25" t="n">
        <f aca="false">4*AM$21-$D$8*AM$20</f>
        <v>-53.5</v>
      </c>
      <c r="AN60" s="25" t="n">
        <f aca="false">4*AN$21-$D$8*AN$20</f>
        <v>-71.91</v>
      </c>
      <c r="AO60" s="25" t="n">
        <f aca="false">4*AO$21-$D$8*AO$20</f>
        <v>-72.32</v>
      </c>
      <c r="AP60" s="25" t="n">
        <f aca="false">4*AP$21-$D$8*AP$20</f>
        <v>-80.05</v>
      </c>
      <c r="AQ60" s="25" t="n">
        <f aca="false">4*AQ$21-$D$8*AQ$20</f>
        <v>-77.69</v>
      </c>
      <c r="AR60" s="25" t="n">
        <f aca="false">4*AR$21-$D$8*AR$20</f>
        <v>-57.7</v>
      </c>
      <c r="AS60" s="25" t="n">
        <f aca="false">4*AS$21-$D$8*AS$20</f>
        <v>-99.23</v>
      </c>
      <c r="AT60" s="25" t="n">
        <f aca="false">4*AT$21-$D$8*AT$20</f>
        <v>-38.4</v>
      </c>
      <c r="AU60" s="25" t="n">
        <f aca="false">4*AU$21-$D$8*AU$20</f>
        <v>-67.72</v>
      </c>
      <c r="AV60" s="25" t="n">
        <f aca="false">4*AV$21-$D$8*AV$20</f>
        <v>-18.72</v>
      </c>
      <c r="AW60" s="25" t="n">
        <f aca="false">4*AW$21-$D$8*AW$20</f>
        <v>-18.75</v>
      </c>
      <c r="AX60" s="25" t="n">
        <f aca="false">4*AX$21-$D$8*AX$20</f>
        <v>-23.82</v>
      </c>
      <c r="AY60" s="25" t="n">
        <f aca="false">4*AY$21-$D$8*AY$20</f>
        <v>-17.16</v>
      </c>
      <c r="AZ60" s="25" t="n">
        <f aca="false">4*AZ$21-$D$8*AZ$20</f>
        <v>-26.79</v>
      </c>
      <c r="BA60" s="25" t="n">
        <f aca="false">4*BA$21-$D$8*BA$20</f>
        <v>-16.17</v>
      </c>
      <c r="BB60" s="25" t="n">
        <f aca="false">4*BB$21-$D$8*BB$20</f>
        <v>-21.27</v>
      </c>
      <c r="BC60" s="25" t="n">
        <f aca="false">4*BC$21-$D$8*BC$20</f>
        <v>-14.43</v>
      </c>
      <c r="BD60" s="25" t="n">
        <f aca="false">4*BD$21-$D$8*BD$20</f>
        <v>-13.51</v>
      </c>
      <c r="BE60" s="25" t="n">
        <f aca="false">4*BE$21-$D$8*BE$20</f>
        <v>-92.37</v>
      </c>
      <c r="BF60" s="25" t="n">
        <f aca="false">4*BF$21-$D$8*BF$20</f>
        <v>-8.52</v>
      </c>
      <c r="BG60" s="25" t="n">
        <f aca="false">4*BG$21-$D$8*BG$20</f>
        <v>2.09</v>
      </c>
      <c r="BH60" s="25" t="n">
        <f aca="false">4*BH$21-$D$8*BH$20</f>
        <v>-10.63</v>
      </c>
      <c r="BI60" s="25" t="n">
        <f aca="false">4*BI$21-$D$8*BI$20</f>
        <v>-2.37</v>
      </c>
      <c r="BJ60" s="25" t="n">
        <f aca="false">4*BJ$21-$D$8*BJ$20</f>
        <v>-3.56</v>
      </c>
      <c r="BK60" s="25" t="n">
        <f aca="false">4*BK$21-$D$8*BK$20</f>
        <v>-11.88</v>
      </c>
      <c r="BL60" s="25" t="n">
        <f aca="false">4*BL$21-$D$8*BL$20</f>
        <v>-9.6</v>
      </c>
      <c r="BM60" s="25" t="n">
        <f aca="false">4*BM$21-$D$8*BM$20</f>
        <v>-1.03</v>
      </c>
      <c r="BN60" s="25" t="n">
        <f aca="false">4*BN$21-$D$8*BN$20</f>
        <v>3.39</v>
      </c>
      <c r="BO60" s="25" t="n">
        <f aca="false">4*BO$21-$D$8*BO$20</f>
        <v>-2.78</v>
      </c>
      <c r="BP60" s="25" t="n">
        <f aca="false">4*BP$21-$D$8*BP$20</f>
        <v>-247.55</v>
      </c>
      <c r="BQ60" s="25" t="n">
        <f aca="false">4*BQ$21-$D$8*BQ$20</f>
        <v>-309.4</v>
      </c>
      <c r="BR60" s="25" t="n">
        <f aca="false">4*BR$21-$D$8*BR$20</f>
        <v>-309.4</v>
      </c>
      <c r="BS60" s="25" t="n">
        <f aca="false">4*BS$21-$D$8*BS$20</f>
        <v>-118.05</v>
      </c>
      <c r="BT60" s="25" t="n">
        <f aca="false">4*BT$21-$D$8*BT$20</f>
        <v>-50.61</v>
      </c>
      <c r="BU60" s="25" t="n">
        <f aca="false">4*BU$21-$D$8*BU$20</f>
        <v>-151.8</v>
      </c>
      <c r="BV60" s="25" t="n">
        <f aca="false">4*BV$21-$D$8*BV$20</f>
        <v>-123.7</v>
      </c>
      <c r="BW60" s="25" t="n">
        <f aca="false">4*BW$21-$D$8*BW$20</f>
        <v>-160.64</v>
      </c>
      <c r="BX60" s="25" t="n">
        <f aca="false">4*BX$21-$D$8*BX$20</f>
        <v>-58.45</v>
      </c>
    </row>
    <row r="61" customFormat="false" ht="15" hidden="false" customHeight="false" outlineLevel="0" collapsed="false">
      <c r="A61" s="4" t="s">
        <v>649</v>
      </c>
      <c r="B61" s="75" t="s">
        <v>648</v>
      </c>
      <c r="C61" s="78" t="n">
        <v>0</v>
      </c>
      <c r="D61" s="77" t="n">
        <v>-1.85810044461832E-007</v>
      </c>
      <c r="E61" s="75" t="str">
        <f aca="false">IF(D61&lt;=C61+0.000001*MAX(1,ABS(C61)),IF(ABS(D61-C61)&lt;=0.000001*MAX(1,ABS(C61)),"tight","ok"),"VIOLATED")</f>
        <v>tight</v>
      </c>
      <c r="F61" s="25" t="n">
        <f aca="false">4*F$22-$D$9*F$20</f>
        <v>-78</v>
      </c>
      <c r="G61" s="25" t="n">
        <f aca="false">4*G$22-$D$9*G$20</f>
        <v>-104.21</v>
      </c>
      <c r="H61" s="25" t="n">
        <f aca="false">4*H$22-$D$9*H$20</f>
        <v>-78.65</v>
      </c>
      <c r="I61" s="25" t="n">
        <f aca="false">4*I$22-$D$9*I$20</f>
        <v>-55.64</v>
      </c>
      <c r="J61" s="25" t="n">
        <f aca="false">4*J$22-$D$9*J$20</f>
        <v>-97.5</v>
      </c>
      <c r="K61" s="25" t="n">
        <f aca="false">4*K$22-$D$9*K$20</f>
        <v>-265.93</v>
      </c>
      <c r="L61" s="25" t="n">
        <f aca="false">4*L$22-$D$9*L$20</f>
        <v>-165.1</v>
      </c>
      <c r="M61" s="25" t="n">
        <f aca="false">4*M$22-$D$9*M$20</f>
        <v>-98.8</v>
      </c>
      <c r="N61" s="25" t="n">
        <f aca="false">4*N$22-$D$9*N$20</f>
        <v>-90.63</v>
      </c>
      <c r="O61" s="25" t="n">
        <f aca="false">4*O$22-$D$9*O$20</f>
        <v>-130.65</v>
      </c>
      <c r="P61" s="25" t="n">
        <f aca="false">4*P$22-$D$9*P$20</f>
        <v>-139.1</v>
      </c>
      <c r="Q61" s="25" t="n">
        <f aca="false">4*Q$22-$D$9*Q$20</f>
        <v>-55.9</v>
      </c>
      <c r="R61" s="25" t="n">
        <f aca="false">4*R$22-$D$9*R$20</f>
        <v>-135.2</v>
      </c>
      <c r="S61" s="25" t="n">
        <f aca="false">4*S$22-$D$9*S$20</f>
        <v>-42.51</v>
      </c>
      <c r="T61" s="25" t="n">
        <f aca="false">4*T$22-$D$9*T$20</f>
        <v>-62.4</v>
      </c>
      <c r="U61" s="25" t="n">
        <f aca="false">4*U$22-$D$9*U$20</f>
        <v>-90.07</v>
      </c>
      <c r="V61" s="25" t="n">
        <f aca="false">4*V$22-$D$9*V$20</f>
        <v>7.05</v>
      </c>
      <c r="W61" s="25" t="n">
        <f aca="false">4*W$22-$D$9*W$20</f>
        <v>-3.24</v>
      </c>
      <c r="X61" s="25" t="n">
        <f aca="false">4*X$22-$D$9*X$20</f>
        <v>24.6</v>
      </c>
      <c r="Y61" s="25" t="n">
        <f aca="false">4*Y$22-$D$9*Y$20</f>
        <v>-299.46</v>
      </c>
      <c r="Z61" s="25" t="n">
        <f aca="false">4*Z$22-$D$9*Z$20</f>
        <v>24.65</v>
      </c>
      <c r="AA61" s="25" t="n">
        <f aca="false">4*AA$22-$D$9*AA$20</f>
        <v>-53.3</v>
      </c>
      <c r="AB61" s="25" t="n">
        <f aca="false">4*AB$22-$D$9*AB$20</f>
        <v>-13.3</v>
      </c>
      <c r="AC61" s="25" t="n">
        <f aca="false">4*AC$22-$D$9*AC$20</f>
        <v>-23.95</v>
      </c>
      <c r="AD61" s="25" t="n">
        <f aca="false">4*AD$22-$D$9*AD$20</f>
        <v>-8.27</v>
      </c>
      <c r="AE61" s="25" t="n">
        <f aca="false">4*AE$22-$D$9*AE$20</f>
        <v>-20.45</v>
      </c>
      <c r="AF61" s="25" t="n">
        <f aca="false">4*AF$22-$D$9*AF$20</f>
        <v>-218.78</v>
      </c>
      <c r="AG61" s="25" t="n">
        <f aca="false">4*AG$22-$D$9*AG$20</f>
        <v>-250.24</v>
      </c>
      <c r="AH61" s="25" t="n">
        <f aca="false">4*AH$22-$D$9*AH$20</f>
        <v>-33.61</v>
      </c>
      <c r="AI61" s="25" t="n">
        <f aca="false">4*AI$22-$D$9*AI$20</f>
        <v>-169.43</v>
      </c>
      <c r="AJ61" s="25" t="n">
        <f aca="false">4*AJ$22-$D$9*AJ$20</f>
        <v>37.92</v>
      </c>
      <c r="AK61" s="25" t="n">
        <f aca="false">4*AK$22-$D$9*AK$20</f>
        <v>66.45</v>
      </c>
      <c r="AL61" s="25" t="n">
        <f aca="false">4*AL$22-$D$9*AL$20</f>
        <v>48.52</v>
      </c>
      <c r="AM61" s="25" t="n">
        <f aca="false">4*AM$22-$D$9*AM$20</f>
        <v>36.86</v>
      </c>
      <c r="AN61" s="25" t="n">
        <f aca="false">4*AN$22-$D$9*AN$20</f>
        <v>4.03</v>
      </c>
      <c r="AO61" s="25" t="n">
        <f aca="false">4*AO$22-$D$9*AO$20</f>
        <v>17.44</v>
      </c>
      <c r="AP61" s="25" t="n">
        <f aca="false">4*AP$22-$D$9*AP$20</f>
        <v>24.45</v>
      </c>
      <c r="AQ61" s="25" t="n">
        <f aca="false">4*AQ$22-$D$9*AQ$20</f>
        <v>57.53</v>
      </c>
      <c r="AR61" s="25" t="n">
        <f aca="false">4*AR$22-$D$9*AR$20</f>
        <v>24.78</v>
      </c>
      <c r="AS61" s="25" t="n">
        <f aca="false">4*AS$22-$D$9*AS$20</f>
        <v>82.55</v>
      </c>
      <c r="AT61" s="25" t="n">
        <f aca="false">4*AT$22-$D$9*AT$20</f>
        <v>7.03999999999999</v>
      </c>
      <c r="AU61" s="25" t="n">
        <f aca="false">4*AU$22-$D$9*AU$20</f>
        <v>64.68</v>
      </c>
      <c r="AV61" s="25" t="n">
        <f aca="false">4*AV$22-$D$9*AV$20</f>
        <v>25.64</v>
      </c>
      <c r="AW61" s="25" t="n">
        <f aca="false">4*AW$22-$D$9*AW$20</f>
        <v>19.91</v>
      </c>
      <c r="AX61" s="25" t="n">
        <f aca="false">4*AX$22-$D$9*AX$20</f>
        <v>24.58</v>
      </c>
      <c r="AY61" s="25" t="n">
        <f aca="false">4*AY$22-$D$9*AY$20</f>
        <v>21.44</v>
      </c>
      <c r="AZ61" s="25" t="n">
        <f aca="false">4*AZ$22-$D$9*AZ$20</f>
        <v>33.51</v>
      </c>
      <c r="BA61" s="25" t="n">
        <f aca="false">4*BA$22-$D$9*BA$20</f>
        <v>15.53</v>
      </c>
      <c r="BB61" s="25" t="n">
        <f aca="false">4*BB$22-$D$9*BB$20</f>
        <v>27.55</v>
      </c>
      <c r="BC61" s="25" t="n">
        <f aca="false">4*BC$22-$D$9*BC$20</f>
        <v>14.31</v>
      </c>
      <c r="BD61" s="25" t="n">
        <f aca="false">4*BD$22-$D$9*BD$20</f>
        <v>18.31</v>
      </c>
      <c r="BE61" s="25" t="n">
        <f aca="false">4*BE$22-$D$9*BE$20</f>
        <v>122.37</v>
      </c>
      <c r="BF61" s="25" t="n">
        <f aca="false">4*BF$22-$D$9*BF$20</f>
        <v>9.92</v>
      </c>
      <c r="BG61" s="25" t="n">
        <f aca="false">4*BG$22-$D$9*BG$20</f>
        <v>2.55</v>
      </c>
      <c r="BH61" s="25" t="n">
        <f aca="false">4*BH$22-$D$9*BH$20</f>
        <v>11.67</v>
      </c>
      <c r="BI61" s="25" t="n">
        <f aca="false">4*BI$22-$D$9*BI$20</f>
        <v>3.33</v>
      </c>
      <c r="BJ61" s="25" t="n">
        <f aca="false">4*BJ$22-$D$9*BJ$20</f>
        <v>5.56</v>
      </c>
      <c r="BK61" s="25" t="n">
        <f aca="false">4*BK$22-$D$9*BK$20</f>
        <v>7.08</v>
      </c>
      <c r="BL61" s="25" t="n">
        <f aca="false">4*BL$22-$D$9*BL$20</f>
        <v>11.36</v>
      </c>
      <c r="BM61" s="25" t="n">
        <f aca="false">4*BM$22-$D$9*BM$20</f>
        <v>2.11</v>
      </c>
      <c r="BN61" s="25" t="n">
        <f aca="false">4*BN$22-$D$9*BN$20</f>
        <v>-0.430000000000002</v>
      </c>
      <c r="BO61" s="25" t="n">
        <f aca="false">4*BO$22-$D$9*BO$20</f>
        <v>3.86</v>
      </c>
      <c r="BP61" s="25" t="n">
        <f aca="false">4*BP$22-$D$9*BP$20</f>
        <v>-465.81</v>
      </c>
      <c r="BQ61" s="25" t="n">
        <f aca="false">4*BQ$22-$D$9*BQ$20</f>
        <v>-574.6</v>
      </c>
      <c r="BR61" s="25" t="n">
        <f aca="false">4*BR$22-$D$9*BR$20</f>
        <v>-574.6</v>
      </c>
      <c r="BS61" s="25" t="n">
        <f aca="false">4*BS$22-$D$9*BS$20</f>
        <v>-290.15</v>
      </c>
      <c r="BT61" s="25" t="n">
        <f aca="false">4*BT$22-$D$9*BT$20</f>
        <v>-73.99</v>
      </c>
      <c r="BU61" s="25" t="n">
        <f aca="false">4*BU$22-$D$9*BU$20</f>
        <v>-58.36</v>
      </c>
      <c r="BV61" s="25" t="n">
        <f aca="false">4*BV$22-$D$9*BV$20</f>
        <v>9.10000000000002</v>
      </c>
      <c r="BW61" s="25" t="n">
        <f aca="false">4*BW$22-$D$9*BW$20</f>
        <v>-130.48</v>
      </c>
      <c r="BX61" s="25" t="n">
        <f aca="false">4*BX$22-$D$9*BX$20</f>
        <v>-40.15</v>
      </c>
    </row>
    <row r="62" customFormat="false" ht="15" hidden="false" customHeight="false" outlineLevel="0" collapsed="false">
      <c r="A62" s="4" t="s">
        <v>650</v>
      </c>
      <c r="B62" s="75" t="s">
        <v>648</v>
      </c>
      <c r="C62" s="78" t="n">
        <v>0</v>
      </c>
      <c r="D62" s="77" t="n">
        <v>-412.03381733683</v>
      </c>
      <c r="E62" s="75" t="str">
        <f aca="false">IF(D62&lt;=C62+0.000001*MAX(1,ABS(C62)),IF(ABS(D62-C62)&lt;=0.000001*MAX(1,ABS(C62)),"tight","ok"),"VIOLATED")</f>
        <v>ok</v>
      </c>
      <c r="F62" s="25" t="n">
        <f aca="false">9*F$23-$D$10*F$20</f>
        <v>-18.42</v>
      </c>
      <c r="G62" s="25" t="n">
        <f aca="false">9*G$23-$D$10*G$20</f>
        <v>26.45</v>
      </c>
      <c r="H62" s="25" t="n">
        <f aca="false">9*H$23-$D$10*H$20</f>
        <v>-5.27</v>
      </c>
      <c r="I62" s="25" t="n">
        <f aca="false">9*I$23-$D$10*I$20</f>
        <v>-13.67</v>
      </c>
      <c r="J62" s="25" t="n">
        <f aca="false">9*J$23-$D$10*J$20</f>
        <v>22.56</v>
      </c>
      <c r="K62" s="25" t="n">
        <f aca="false">9*K$23-$D$10*K$20</f>
        <v>211.26</v>
      </c>
      <c r="L62" s="25" t="n">
        <f aca="false">9*L$23-$D$10*L$20</f>
        <v>91.1</v>
      </c>
      <c r="M62" s="25" t="n">
        <f aca="false">9*M$23-$D$10*M$20</f>
        <v>9.8</v>
      </c>
      <c r="N62" s="25" t="n">
        <f aca="false">9*N$23-$D$10*N$20</f>
        <v>20.35</v>
      </c>
      <c r="O62" s="25" t="n">
        <f aca="false">9*O$23-$D$10*O$20</f>
        <v>46.29</v>
      </c>
      <c r="P62" s="25" t="n">
        <f aca="false">9*P$23-$D$10*P$20</f>
        <v>53.62</v>
      </c>
      <c r="Q62" s="25" t="n">
        <f aca="false">9*Q$23-$D$10*Q$20</f>
        <v>-21.46</v>
      </c>
      <c r="R62" s="25" t="n">
        <f aca="false">9*R$23-$D$10*R$20</f>
        <v>47.98</v>
      </c>
      <c r="S62" s="25" t="n">
        <f aca="false">9*S$23-$D$10*S$20</f>
        <v>-15.76</v>
      </c>
      <c r="T62" s="25" t="n">
        <f aca="false">9*T$23-$D$10*T$20</f>
        <v>-18.3</v>
      </c>
      <c r="U62" s="25" t="n">
        <f aca="false">9*U$23-$D$10*U$20</f>
        <v>35.54</v>
      </c>
      <c r="V62" s="25" t="n">
        <f aca="false">9*V$23-$D$10*V$20</f>
        <v>-29.24</v>
      </c>
      <c r="W62" s="25" t="n">
        <f aca="false">9*W$23-$D$10*W$20</f>
        <v>-13.25</v>
      </c>
      <c r="X62" s="25" t="n">
        <f aca="false">9*X$23-$D$10*X$20</f>
        <v>-113.66</v>
      </c>
      <c r="Y62" s="25" t="n">
        <f aca="false">9*Y$23-$D$10*Y$20</f>
        <v>252.94</v>
      </c>
      <c r="Z62" s="25" t="n">
        <f aca="false">9*Z$23-$D$10*Z$20</f>
        <v>-110.38</v>
      </c>
      <c r="AA62" s="25" t="n">
        <f aca="false">9*AA$23-$D$10*AA$20</f>
        <v>12.5</v>
      </c>
      <c r="AB62" s="25" t="n">
        <f aca="false">9*AB$23-$D$10*AB$20</f>
        <v>0.32</v>
      </c>
      <c r="AC62" s="25" t="n">
        <f aca="false">9*AC$23-$D$10*AC$20</f>
        <v>-17.14</v>
      </c>
      <c r="AD62" s="25" t="n">
        <f aca="false">9*AD$23-$D$10*AD$20</f>
        <v>-1.82</v>
      </c>
      <c r="AE62" s="25" t="n">
        <f aca="false">9*AE$23-$D$10*AE$20</f>
        <v>7.9</v>
      </c>
      <c r="AF62" s="25" t="n">
        <f aca="false">9*AF$23-$D$10*AF$20</f>
        <v>148.29</v>
      </c>
      <c r="AG62" s="25" t="n">
        <f aca="false">9*AG$23-$D$10*AG$20</f>
        <v>158.39</v>
      </c>
      <c r="AH62" s="25" t="n">
        <f aca="false">9*AH$23-$D$10*AH$20</f>
        <v>-7.92</v>
      </c>
      <c r="AI62" s="25" t="n">
        <f aca="false">9*AI$23-$D$10*AI$20</f>
        <v>74.77</v>
      </c>
      <c r="AJ62" s="25" t="n">
        <f aca="false">9*AJ$23-$D$10*AJ$20</f>
        <v>-80.52</v>
      </c>
      <c r="AK62" s="25" t="n">
        <f aca="false">9*AK$23-$D$10*AK$20</f>
        <v>-99.65</v>
      </c>
      <c r="AL62" s="25" t="n">
        <f aca="false">9*AL$23-$D$10*AL$20</f>
        <v>-71.03</v>
      </c>
      <c r="AM62" s="25" t="n">
        <f aca="false">9*AM$23-$D$10*AM$20</f>
        <v>-50.65</v>
      </c>
      <c r="AN62" s="25" t="n">
        <f aca="false">9*AN$23-$D$10*AN$20</f>
        <v>-35.73</v>
      </c>
      <c r="AO62" s="25" t="n">
        <f aca="false">9*AO$23-$D$10*AO$20</f>
        <v>-74.17</v>
      </c>
      <c r="AP62" s="25" t="n">
        <f aca="false">9*AP$23-$D$10*AP$20</f>
        <v>-73.97</v>
      </c>
      <c r="AQ62" s="25" t="n">
        <f aca="false">9*AQ$23-$D$10*AQ$20</f>
        <v>-116.26</v>
      </c>
      <c r="AR62" s="25" t="n">
        <f aca="false">9*AR$23-$D$10*AR$20</f>
        <v>-63.13</v>
      </c>
      <c r="AS62" s="25" t="n">
        <f aca="false">9*AS$23-$D$10*AS$20</f>
        <v>-121.81</v>
      </c>
      <c r="AT62" s="25" t="n">
        <f aca="false">9*AT$23-$D$10*AT$20</f>
        <v>-56.7</v>
      </c>
      <c r="AU62" s="25" t="n">
        <f aca="false">9*AU$23-$D$10*AU$20</f>
        <v>-96.83</v>
      </c>
      <c r="AV62" s="25" t="n">
        <f aca="false">9*AV$23-$D$10*AV$20</f>
        <v>-23.78</v>
      </c>
      <c r="AW62" s="25" t="n">
        <f aca="false">9*AW$23-$D$10*AW$20</f>
        <v>-26.14</v>
      </c>
      <c r="AX62" s="25" t="n">
        <f aca="false">9*AX$23-$D$10*AX$20</f>
        <v>-29.65</v>
      </c>
      <c r="AY62" s="25" t="n">
        <f aca="false">9*AY$23-$D$10*AY$20</f>
        <v>-16.67</v>
      </c>
      <c r="AZ62" s="25" t="n">
        <f aca="false">9*AZ$23-$D$10*AZ$20</f>
        <v>-28.18</v>
      </c>
      <c r="BA62" s="25" t="n">
        <f aca="false">9*BA$23-$D$10*BA$20</f>
        <v>-12.09</v>
      </c>
      <c r="BB62" s="25" t="n">
        <f aca="false">9*BB$23-$D$10*BB$20</f>
        <v>-22.71</v>
      </c>
      <c r="BC62" s="25" t="n">
        <f aca="false">9*BC$23-$D$10*BC$20</f>
        <v>-16.07</v>
      </c>
      <c r="BD62" s="25" t="n">
        <f aca="false">9*BD$23-$D$10*BD$20</f>
        <v>-15.8</v>
      </c>
      <c r="BE62" s="25" t="n">
        <f aca="false">9*BE$23-$D$10*BE$20</f>
        <v>-100.51</v>
      </c>
      <c r="BF62" s="25" t="n">
        <f aca="false">9*BF$23-$D$10*BF$20</f>
        <v>-8.5</v>
      </c>
      <c r="BG62" s="25" t="n">
        <f aca="false">9*BG$23-$D$10*BG$20</f>
        <v>-7.09</v>
      </c>
      <c r="BH62" s="25" t="n">
        <f aca="false">9*BH$23-$D$10*BH$20</f>
        <v>-12.19</v>
      </c>
      <c r="BI62" s="25" t="n">
        <f aca="false">9*BI$23-$D$10*BI$20</f>
        <v>-3.72</v>
      </c>
      <c r="BJ62" s="25" t="n">
        <f aca="false">9*BJ$23-$D$10*BJ$20</f>
        <v>-5.47</v>
      </c>
      <c r="BK62" s="25" t="n">
        <f aca="false">9*BK$23-$D$10*BK$20</f>
        <v>-20.52</v>
      </c>
      <c r="BL62" s="25" t="n">
        <f aca="false">9*BL$23-$D$10*BL$20</f>
        <v>-13.1</v>
      </c>
      <c r="BM62" s="25" t="n">
        <f aca="false">9*BM$23-$D$10*BM$20</f>
        <v>-3.25</v>
      </c>
      <c r="BN62" s="25" t="n">
        <f aca="false">9*BN$23-$D$10*BN$20</f>
        <v>-4.54</v>
      </c>
      <c r="BO62" s="25" t="n">
        <f aca="false">9*BO$23-$D$10*BO$20</f>
        <v>-4.5</v>
      </c>
      <c r="BP62" s="25" t="n">
        <f aca="false">9*BP$23-$D$10*BP$20</f>
        <v>479.04</v>
      </c>
      <c r="BQ62" s="25" t="n">
        <f aca="false">9*BQ$23-$D$10*BQ$20</f>
        <v>590.6</v>
      </c>
      <c r="BR62" s="25" t="n">
        <f aca="false">9*BR$23-$D$10*BR$20</f>
        <v>590.6</v>
      </c>
      <c r="BS62" s="25" t="n">
        <f aca="false">9*BS$23-$D$10*BS$20</f>
        <v>246.72</v>
      </c>
      <c r="BT62" s="25" t="n">
        <f aca="false">9*BT$23-$D$10*BT$20</f>
        <v>80.24</v>
      </c>
      <c r="BU62" s="25" t="n">
        <f aca="false">9*BU$23-$D$10*BU$20</f>
        <v>50.28</v>
      </c>
      <c r="BV62" s="25" t="n">
        <f aca="false">9*BV$23-$D$10*BV$20</f>
        <v>2.83000000000001</v>
      </c>
      <c r="BW62" s="25" t="n">
        <f aca="false">9*BW$23-$D$10*BW$20</f>
        <v>119.62</v>
      </c>
      <c r="BX62" s="25" t="n">
        <f aca="false">9*BX$23-$D$10*BX$20</f>
        <v>26.55</v>
      </c>
    </row>
    <row r="63" customFormat="false" ht="15" hidden="false" customHeight="false" outlineLevel="0" collapsed="false">
      <c r="A63" s="4" t="s">
        <v>651</v>
      </c>
      <c r="B63" s="75" t="s">
        <v>646</v>
      </c>
      <c r="C63" s="76" t="n">
        <f aca="false">N(Planner!$E$23)</f>
        <v>2300</v>
      </c>
      <c r="D63" s="77" t="n">
        <v>768.584133897</v>
      </c>
      <c r="E63" s="75" t="str">
        <f aca="false">IF(D63&lt;=C63+0.000001*MAX(1,ABS(C63)),IF(ABS(D63-C63)&lt;=0.000001*MAX(1,ABS(C63)),"tight","ok"),"VIOLATED")</f>
        <v>ok</v>
      </c>
      <c r="F63" s="25" t="n">
        <f aca="false">F$29</f>
        <v>45</v>
      </c>
      <c r="G63" s="25" t="n">
        <f aca="false">G$29</f>
        <v>106</v>
      </c>
      <c r="H63" s="25" t="n">
        <f aca="false">H$29</f>
        <v>95</v>
      </c>
      <c r="I63" s="25" t="n">
        <f aca="false">I$29</f>
        <v>922</v>
      </c>
      <c r="J63" s="25" t="n">
        <f aca="false">J$29</f>
        <v>69</v>
      </c>
      <c r="K63" s="25" t="n">
        <f aca="false">K$29</f>
        <v>662</v>
      </c>
      <c r="L63" s="25" t="n">
        <f aca="false">L$29</f>
        <v>66</v>
      </c>
      <c r="M63" s="25" t="n">
        <f aca="false">M$29</f>
        <v>66</v>
      </c>
      <c r="N63" s="25" t="n">
        <f aca="false">N$29</f>
        <v>1143</v>
      </c>
      <c r="O63" s="25" t="n">
        <f aca="false">O$29</f>
        <v>82</v>
      </c>
      <c r="P63" s="25" t="n">
        <f aca="false">P$29</f>
        <v>51</v>
      </c>
      <c r="Q63" s="25" t="n">
        <f aca="false">Q$29</f>
        <v>247</v>
      </c>
      <c r="R63" s="25" t="n">
        <f aca="false">R$29</f>
        <v>59</v>
      </c>
      <c r="S63" s="25" t="n">
        <f aca="false">S$29</f>
        <v>566</v>
      </c>
      <c r="T63" s="25" t="n">
        <f aca="false">T$29</f>
        <v>52</v>
      </c>
      <c r="U63" s="25" t="n">
        <f aca="false">U$29</f>
        <v>142</v>
      </c>
      <c r="V63" s="25" t="n">
        <f aca="false">V$29</f>
        <v>138</v>
      </c>
      <c r="W63" s="25" t="n">
        <f aca="false">W$29</f>
        <v>278</v>
      </c>
      <c r="X63" s="25" t="n">
        <f aca="false">X$29</f>
        <v>6</v>
      </c>
      <c r="Y63" s="25" t="n">
        <f aca="false">Y$29</f>
        <v>426</v>
      </c>
      <c r="Z63" s="25" t="n">
        <f aca="false">Z$29</f>
        <v>12</v>
      </c>
      <c r="AA63" s="25" t="n">
        <f aca="false">AA$29</f>
        <v>4</v>
      </c>
      <c r="AB63" s="25" t="n">
        <f aca="false">AB$29</f>
        <v>47</v>
      </c>
      <c r="AC63" s="25" t="n">
        <f aca="false">AC$29</f>
        <v>36</v>
      </c>
      <c r="AD63" s="25" t="n">
        <f aca="false">AD$29</f>
        <v>47</v>
      </c>
      <c r="AE63" s="25" t="n">
        <f aca="false">AE$29</f>
        <v>43</v>
      </c>
      <c r="AF63" s="25" t="n">
        <f aca="false">AF$29</f>
        <v>1671</v>
      </c>
      <c r="AG63" s="25" t="n">
        <f aca="false">AG$29</f>
        <v>653</v>
      </c>
      <c r="AH63" s="25" t="n">
        <f aca="false">AH$29</f>
        <v>308</v>
      </c>
      <c r="AI63" s="25" t="n">
        <f aca="false">AI$29</f>
        <v>666</v>
      </c>
      <c r="AJ63" s="25" t="n">
        <f aca="false">AJ$29</f>
        <v>422</v>
      </c>
      <c r="AK63" s="25" t="n">
        <f aca="false">AK$29</f>
        <v>5</v>
      </c>
      <c r="AL63" s="25" t="n">
        <f aca="false">AL$29</f>
        <v>497</v>
      </c>
      <c r="AM63" s="25" t="n">
        <f aca="false">AM$29</f>
        <v>45</v>
      </c>
      <c r="AN63" s="25" t="n">
        <f aca="false">AN$29</f>
        <v>742</v>
      </c>
      <c r="AO63" s="25" t="n">
        <f aca="false">AO$29</f>
        <v>5</v>
      </c>
      <c r="AP63" s="25" t="n">
        <f aca="false">AP$29</f>
        <v>6</v>
      </c>
      <c r="AQ63" s="25" t="n">
        <f aca="false">AQ$29</f>
        <v>6</v>
      </c>
      <c r="AR63" s="25" t="n">
        <f aca="false">AR$29</f>
        <v>490</v>
      </c>
      <c r="AS63" s="25" t="n">
        <f aca="false">AS$29</f>
        <v>5</v>
      </c>
      <c r="AT63" s="25" t="n">
        <f aca="false">AT$29</f>
        <v>455</v>
      </c>
      <c r="AU63" s="25" t="n">
        <f aca="false">AU$29</f>
        <v>6</v>
      </c>
      <c r="AV63" s="25" t="n">
        <f aca="false">AV$29</f>
        <v>3</v>
      </c>
      <c r="AW63" s="25" t="n">
        <f aca="false">AW$29</f>
        <v>6</v>
      </c>
      <c r="AX63" s="25" t="n">
        <f aca="false">AX$29</f>
        <v>55</v>
      </c>
      <c r="AY63" s="25" t="n">
        <f aca="false">AY$29</f>
        <v>1</v>
      </c>
      <c r="AZ63" s="25" t="n">
        <f aca="false">AZ$29</f>
        <v>1</v>
      </c>
      <c r="BA63" s="25" t="n">
        <f aca="false">BA$29</f>
        <v>1</v>
      </c>
      <c r="BB63" s="25" t="n">
        <f aca="false">BB$29</f>
        <v>2</v>
      </c>
      <c r="BC63" s="25" t="n">
        <f aca="false">BC$29</f>
        <v>2</v>
      </c>
      <c r="BD63" s="25" t="n">
        <f aca="false">BD$29</f>
        <v>1</v>
      </c>
      <c r="BE63" s="25" t="n">
        <f aca="false">BE$29</f>
        <v>11</v>
      </c>
      <c r="BF63" s="25" t="n">
        <f aca="false">BF$29</f>
        <v>1</v>
      </c>
      <c r="BG63" s="25" t="n">
        <f aca="false">BG$29</f>
        <v>17</v>
      </c>
      <c r="BH63" s="25" t="n">
        <f aca="false">BH$29</f>
        <v>69</v>
      </c>
      <c r="BI63" s="25" t="n">
        <f aca="false">BI$29</f>
        <v>192</v>
      </c>
      <c r="BJ63" s="25" t="n">
        <f aca="false">BJ$29</f>
        <v>3</v>
      </c>
      <c r="BK63" s="25" t="n">
        <f aca="false">BK$29</f>
        <v>47</v>
      </c>
      <c r="BL63" s="25" t="n">
        <f aca="false">BL$29</f>
        <v>4</v>
      </c>
      <c r="BM63" s="25" t="n">
        <f aca="false">BM$29</f>
        <v>8</v>
      </c>
      <c r="BN63" s="25" t="n">
        <f aca="false">BN$29</f>
        <v>79</v>
      </c>
      <c r="BO63" s="25" t="n">
        <f aca="false">BO$29</f>
        <v>5</v>
      </c>
      <c r="BP63" s="25" t="n">
        <f aca="false">BP$29</f>
        <v>643</v>
      </c>
      <c r="BQ63" s="25" t="n">
        <f aca="false">BQ$29</f>
        <v>0</v>
      </c>
      <c r="BR63" s="25" t="n">
        <f aca="false">BR$29</f>
        <v>2</v>
      </c>
      <c r="BS63" s="25" t="n">
        <f aca="false">BS$29</f>
        <v>1</v>
      </c>
      <c r="BT63" s="25" t="n">
        <f aca="false">BT$29</f>
        <v>8</v>
      </c>
      <c r="BU63" s="25" t="n">
        <f aca="false">BU$29</f>
        <v>311</v>
      </c>
      <c r="BV63" s="25" t="n">
        <f aca="false">BV$29</f>
        <v>251</v>
      </c>
      <c r="BW63" s="25" t="n">
        <f aca="false">BW$29</f>
        <v>527</v>
      </c>
      <c r="BX63" s="25" t="n">
        <f aca="false">BX$29</f>
        <v>80</v>
      </c>
    </row>
    <row r="64" customFormat="false" ht="15" hidden="false" customHeight="false" outlineLevel="0" collapsed="false">
      <c r="A64" s="4" t="s">
        <v>652</v>
      </c>
      <c r="B64" s="75" t="s">
        <v>646</v>
      </c>
      <c r="C64" s="76" t="n">
        <f aca="false">IF(Planner!$E$24="",1000000,Planner!$E$24)</f>
        <v>1000000</v>
      </c>
      <c r="D64" s="77" t="n">
        <v>66.95184296326</v>
      </c>
      <c r="E64" s="75" t="str">
        <f aca="false">IF(D64&lt;=C64+0.000001*MAX(1,ABS(C64)),IF(ABS(D64-C64)&lt;=0.000001*MAX(1,ABS(C64)),"tight","ok"),"VIOLATED")</f>
        <v>ok</v>
      </c>
      <c r="F64" s="25" t="n">
        <f aca="false">F$25</f>
        <v>0</v>
      </c>
      <c r="G64" s="25" t="n">
        <f aca="false">G$25</f>
        <v>0</v>
      </c>
      <c r="H64" s="25" t="n">
        <f aca="false">H$25</f>
        <v>0</v>
      </c>
      <c r="I64" s="25" t="n">
        <f aca="false">I$25</f>
        <v>3.28</v>
      </c>
      <c r="J64" s="25" t="n">
        <f aca="false">J$25</f>
        <v>0</v>
      </c>
      <c r="K64" s="25" t="n">
        <f aca="false">K$25</f>
        <v>1</v>
      </c>
      <c r="L64" s="25" t="n">
        <f aca="false">L$25</f>
        <v>0</v>
      </c>
      <c r="M64" s="25" t="n">
        <f aca="false">M$25</f>
        <v>0</v>
      </c>
      <c r="N64" s="25" t="n">
        <f aca="false">N$25</f>
        <v>0</v>
      </c>
      <c r="O64" s="25" t="n">
        <f aca="false">O$25</f>
        <v>0</v>
      </c>
      <c r="P64" s="25" t="n">
        <f aca="false">P$25</f>
        <v>0</v>
      </c>
      <c r="Q64" s="25" t="n">
        <f aca="false">Q$25</f>
        <v>0</v>
      </c>
      <c r="R64" s="25" t="n">
        <f aca="false">R$25</f>
        <v>0</v>
      </c>
      <c r="S64" s="25" t="n">
        <f aca="false">S$25</f>
        <v>0</v>
      </c>
      <c r="T64" s="25" t="n">
        <f aca="false">T$25</f>
        <v>0</v>
      </c>
      <c r="U64" s="25" t="n">
        <f aca="false">U$25</f>
        <v>0.37</v>
      </c>
      <c r="V64" s="25" t="n">
        <f aca="false">V$25</f>
        <v>0.23</v>
      </c>
      <c r="W64" s="25" t="n">
        <f aca="false">W$25</f>
        <v>0</v>
      </c>
      <c r="X64" s="25" t="n">
        <f aca="false">X$25</f>
        <v>2.03</v>
      </c>
      <c r="Y64" s="25" t="n">
        <f aca="false">Y$25</f>
        <v>10.49</v>
      </c>
      <c r="Z64" s="25" t="n">
        <f aca="false">Z$25</f>
        <v>2.11</v>
      </c>
      <c r="AA64" s="25" t="n">
        <f aca="false">AA$25</f>
        <v>0.4</v>
      </c>
      <c r="AB64" s="25" t="n">
        <f aca="false">AB$25</f>
        <v>5.06</v>
      </c>
      <c r="AC64" s="25" t="n">
        <f aca="false">AC$25</f>
        <v>3.24</v>
      </c>
      <c r="AD64" s="25" t="n">
        <f aca="false">AD$25</f>
        <v>3.65</v>
      </c>
      <c r="AE64" s="25" t="n">
        <f aca="false">AE$25</f>
        <v>5.05</v>
      </c>
      <c r="AF64" s="25" t="n">
        <f aca="false">AF$25</f>
        <v>2.26</v>
      </c>
      <c r="AG64" s="25" t="n">
        <f aca="false">AG$25</f>
        <v>0.48</v>
      </c>
      <c r="AH64" s="25" t="n">
        <f aca="false">AH$25</f>
        <v>4</v>
      </c>
      <c r="AI64" s="25" t="n">
        <f aca="false">AI$25</f>
        <v>1.9</v>
      </c>
      <c r="AJ64" s="25" t="n">
        <f aca="false">AJ$25</f>
        <v>8.43</v>
      </c>
      <c r="AK64" s="25" t="n">
        <f aca="false">AK$25</f>
        <v>0.66</v>
      </c>
      <c r="AL64" s="25" t="n">
        <f aca="false">AL$25</f>
        <v>4.36</v>
      </c>
      <c r="AM64" s="25" t="n">
        <f aca="false">AM$25</f>
        <v>0.88</v>
      </c>
      <c r="AN64" s="25" t="n">
        <f aca="false">AN$25</f>
        <v>2.66</v>
      </c>
      <c r="AO64" s="25" t="n">
        <f aca="false">AO$25</f>
        <v>0</v>
      </c>
      <c r="AP64" s="25" t="n">
        <f aca="false">AP$25</f>
        <v>0.99</v>
      </c>
      <c r="AQ64" s="25" t="n">
        <f aca="false">AQ$25</f>
        <v>2.67</v>
      </c>
      <c r="AR64" s="25" t="n">
        <f aca="false">AR$25</f>
        <v>5.67</v>
      </c>
      <c r="AS64" s="25" t="n">
        <f aca="false">AS$25</f>
        <v>0.12</v>
      </c>
      <c r="AT64" s="25" t="n">
        <f aca="false">AT$25</f>
        <v>4.34</v>
      </c>
      <c r="AU64" s="25" t="n">
        <f aca="false">AU$25</f>
        <v>2.74</v>
      </c>
      <c r="AV64" s="25" t="n">
        <f aca="false">AV$25</f>
        <v>2.5</v>
      </c>
      <c r="AW64" s="25" t="n">
        <f aca="false">AW$25</f>
        <v>0.82</v>
      </c>
      <c r="AX64" s="25" t="n">
        <f aca="false">AX$25</f>
        <v>4.18</v>
      </c>
      <c r="AY64" s="25" t="n">
        <f aca="false">AY$25</f>
        <v>10.39</v>
      </c>
      <c r="AZ64" s="25" t="n">
        <f aca="false">AZ$25</f>
        <v>12.23</v>
      </c>
      <c r="BA64" s="25" t="n">
        <f aca="false">BA$25</f>
        <v>8.45</v>
      </c>
      <c r="BB64" s="25" t="n">
        <f aca="false">BB$25</f>
        <v>15.48</v>
      </c>
      <c r="BC64" s="25" t="n">
        <f aca="false">BC$25</f>
        <v>8.31</v>
      </c>
      <c r="BD64" s="25" t="n">
        <f aca="false">BD$25</f>
        <v>8.5</v>
      </c>
      <c r="BE64" s="25" t="n">
        <f aca="false">BE$25</f>
        <v>59.19</v>
      </c>
      <c r="BF64" s="25" t="n">
        <f aca="false">BF$25</f>
        <v>4.89</v>
      </c>
      <c r="BG64" s="25" t="n">
        <f aca="false">BG$25</f>
        <v>1.47</v>
      </c>
      <c r="BH64" s="25" t="n">
        <f aca="false">BH$25</f>
        <v>4.74</v>
      </c>
      <c r="BI64" s="25" t="n">
        <f aca="false">BI$25</f>
        <v>1.25</v>
      </c>
      <c r="BJ64" s="25" t="n">
        <f aca="false">BJ$25</f>
        <v>2.4</v>
      </c>
      <c r="BK64" s="25" t="n">
        <f aca="false">BK$25</f>
        <v>0</v>
      </c>
      <c r="BL64" s="25" t="n">
        <f aca="false">BL$25</f>
        <v>4.24</v>
      </c>
      <c r="BM64" s="25" t="n">
        <f aca="false">BM$25</f>
        <v>1.19</v>
      </c>
      <c r="BN64" s="25" t="n">
        <f aca="false">BN$25</f>
        <v>0.42</v>
      </c>
      <c r="BO64" s="25" t="n">
        <f aca="false">BO$25</f>
        <v>2.63</v>
      </c>
      <c r="BP64" s="25" t="n">
        <f aca="false">BP$25</f>
        <v>0.06</v>
      </c>
      <c r="BQ64" s="25" t="n">
        <f aca="false">BQ$25</f>
        <v>0</v>
      </c>
      <c r="BR64" s="25" t="n">
        <f aca="false">BR$25</f>
        <v>0</v>
      </c>
      <c r="BS64" s="25" t="n">
        <f aca="false">BS$25</f>
        <v>4.35</v>
      </c>
      <c r="BT64" s="25" t="n">
        <f aca="false">BT$25</f>
        <v>0.3</v>
      </c>
      <c r="BU64" s="25" t="n">
        <f aca="false">BU$25</f>
        <v>32.9</v>
      </c>
      <c r="BV64" s="25" t="n">
        <f aca="false">BV$25</f>
        <v>28.92</v>
      </c>
      <c r="BW64" s="25" t="n">
        <f aca="false">BW$25</f>
        <v>0.33</v>
      </c>
      <c r="BX64" s="25" t="n">
        <f aca="false">BX$25</f>
        <v>21.22</v>
      </c>
    </row>
    <row r="65" customFormat="false" ht="15" hidden="false" customHeight="false" outlineLevel="0" collapsed="false">
      <c r="A65" s="4" t="s">
        <v>653</v>
      </c>
      <c r="B65" s="75" t="s">
        <v>654</v>
      </c>
      <c r="C65" s="76" t="n">
        <f aca="false">Planner!$E$16*Planner!$D$45</f>
        <v>909</v>
      </c>
      <c r="D65" s="77" t="n">
        <v>606.000000082</v>
      </c>
      <c r="E65" s="75" t="str">
        <f aca="false">IF(D65&lt;=C65+0.000001*MAX(1,ABS(C65)),IF(ABS(D65-C65)&lt;=0.000001*MAX(1,ABS(C65)),"tight","ok"),"VIOLATED")</f>
        <v>ok</v>
      </c>
      <c r="F65" s="25" t="n">
        <f aca="false">F$20*F$33</f>
        <v>0</v>
      </c>
      <c r="G65" s="25" t="n">
        <f aca="false">G$20*G$33</f>
        <v>0</v>
      </c>
      <c r="H65" s="25" t="n">
        <f aca="false">H$20*H$33</f>
        <v>0</v>
      </c>
      <c r="I65" s="25" t="n">
        <f aca="false">I$20*I$33</f>
        <v>0</v>
      </c>
      <c r="J65" s="25" t="n">
        <f aca="false">J$20*J$33</f>
        <v>0</v>
      </c>
      <c r="K65" s="25" t="n">
        <f aca="false">K$20*K$33</f>
        <v>417</v>
      </c>
      <c r="L65" s="25" t="n">
        <f aca="false">L$20*L$33</f>
        <v>0</v>
      </c>
      <c r="M65" s="25" t="n">
        <f aca="false">M$20*M$33</f>
        <v>0</v>
      </c>
      <c r="N65" s="25" t="n">
        <f aca="false">N$20*N$33</f>
        <v>0</v>
      </c>
      <c r="O65" s="25" t="n">
        <f aca="false">O$20*O$33</f>
        <v>0</v>
      </c>
      <c r="P65" s="25" t="n">
        <f aca="false">P$20*P$33</f>
        <v>0</v>
      </c>
      <c r="Q65" s="25" t="n">
        <f aca="false">Q$20*Q$33</f>
        <v>0</v>
      </c>
      <c r="R65" s="25" t="n">
        <f aca="false">R$20*R$33</f>
        <v>0</v>
      </c>
      <c r="S65" s="25" t="n">
        <f aca="false">S$20*S$33</f>
        <v>0</v>
      </c>
      <c r="T65" s="25" t="n">
        <f aca="false">T$20*T$33</f>
        <v>0</v>
      </c>
      <c r="U65" s="25" t="n">
        <f aca="false">U$20*U$33</f>
        <v>143</v>
      </c>
      <c r="V65" s="25" t="n">
        <f aca="false">V$20*V$33</f>
        <v>0</v>
      </c>
      <c r="W65" s="25" t="n">
        <f aca="false">W$20*W$33</f>
        <v>0</v>
      </c>
      <c r="X65" s="25" t="n">
        <f aca="false">X$20*X$33</f>
        <v>0</v>
      </c>
      <c r="Y65" s="25" t="n">
        <f aca="false">Y$20*Y$33</f>
        <v>299</v>
      </c>
      <c r="Z65" s="25" t="n">
        <f aca="false">Z$20*Z$33</f>
        <v>0</v>
      </c>
      <c r="AA65" s="25" t="n">
        <f aca="false">AA$20*AA$33</f>
        <v>0</v>
      </c>
      <c r="AB65" s="25" t="n">
        <f aca="false">AB$20*AB$33</f>
        <v>25</v>
      </c>
      <c r="AC65" s="25" t="n">
        <f aca="false">AC$20*AC$33</f>
        <v>29.5</v>
      </c>
      <c r="AD65" s="25" t="n">
        <f aca="false">AD$20*AD$33</f>
        <v>21.5</v>
      </c>
      <c r="AE65" s="25" t="n">
        <f aca="false">AE$20*AE$33</f>
        <v>30.5</v>
      </c>
      <c r="AF65" s="25" t="n">
        <f aca="false">AF$20*AF$33</f>
        <v>0</v>
      </c>
      <c r="AG65" s="25" t="n">
        <f aca="false">AG$20*AG$33</f>
        <v>0</v>
      </c>
      <c r="AH65" s="25" t="n">
        <f aca="false">AH$20*AH$33</f>
        <v>0</v>
      </c>
      <c r="AI65" s="25" t="n">
        <f aca="false">AI$20*AI$33</f>
        <v>0</v>
      </c>
      <c r="AJ65" s="25" t="n">
        <f aca="false">AJ$20*AJ$33</f>
        <v>264</v>
      </c>
      <c r="AK65" s="25" t="n">
        <f aca="false">AK$20*AK$33</f>
        <v>0</v>
      </c>
      <c r="AL65" s="25" t="n">
        <f aca="false">AL$20*AL$33</f>
        <v>376</v>
      </c>
      <c r="AM65" s="25" t="n">
        <f aca="false">AM$20*AM$33</f>
        <v>0</v>
      </c>
      <c r="AN65" s="25" t="n">
        <f aca="false">AN$20*AN$33</f>
        <v>0</v>
      </c>
      <c r="AO65" s="25" t="n">
        <f aca="false">AO$20*AO$33</f>
        <v>0</v>
      </c>
      <c r="AP65" s="25" t="n">
        <f aca="false">AP$20*AP$33</f>
        <v>379</v>
      </c>
      <c r="AQ65" s="25" t="n">
        <f aca="false">AQ$20*AQ$33</f>
        <v>0</v>
      </c>
      <c r="AR65" s="25" t="n">
        <f aca="false">AR$20*AR$33</f>
        <v>133</v>
      </c>
      <c r="AS65" s="25" t="n">
        <f aca="false">AS$20*AS$33</f>
        <v>0</v>
      </c>
      <c r="AT65" s="25" t="n">
        <f aca="false">AT$20*AT$33</f>
        <v>126</v>
      </c>
      <c r="AU65" s="25" t="n">
        <f aca="false">AU$20*AU$33</f>
        <v>0</v>
      </c>
      <c r="AV65" s="25" t="n">
        <f aca="false">AV$20*AV$33</f>
        <v>0</v>
      </c>
      <c r="AW65" s="25" t="n">
        <f aca="false">AW$20*AW$33</f>
        <v>0</v>
      </c>
      <c r="AX65" s="25" t="n">
        <f aca="false">AX$20*AX$33</f>
        <v>0</v>
      </c>
      <c r="AY65" s="25" t="n">
        <f aca="false">AY$20*AY$33</f>
        <v>0</v>
      </c>
      <c r="AZ65" s="25" t="n">
        <f aca="false">AZ$20*AZ$33</f>
        <v>44.5</v>
      </c>
      <c r="BA65" s="25" t="n">
        <f aca="false">BA$20*BA$33</f>
        <v>51</v>
      </c>
      <c r="BB65" s="25" t="n">
        <f aca="false">BB$20*BB$33</f>
        <v>0</v>
      </c>
      <c r="BC65" s="25" t="n">
        <f aca="false">BC$20*BC$33</f>
        <v>49</v>
      </c>
      <c r="BD65" s="25" t="n">
        <f aca="false">BD$20*BD$33</f>
        <v>0</v>
      </c>
      <c r="BE65" s="25" t="n">
        <f aca="false">BE$20*BE$33</f>
        <v>0</v>
      </c>
      <c r="BF65" s="25" t="n">
        <f aca="false">BF$20*BF$33</f>
        <v>16</v>
      </c>
      <c r="BG65" s="25" t="n">
        <f aca="false">BG$20*BG$33</f>
        <v>0</v>
      </c>
      <c r="BH65" s="25" t="n">
        <f aca="false">BH$20*BH$33</f>
        <v>0</v>
      </c>
      <c r="BI65" s="25" t="n">
        <f aca="false">BI$20*BI$33</f>
        <v>0</v>
      </c>
      <c r="BJ65" s="25" t="n">
        <f aca="false">BJ$20*BJ$33</f>
        <v>0</v>
      </c>
      <c r="BK65" s="25" t="n">
        <f aca="false">BK$20*BK$33</f>
        <v>0</v>
      </c>
      <c r="BL65" s="25" t="n">
        <f aca="false">BL$20*BL$33</f>
        <v>0</v>
      </c>
      <c r="BM65" s="25" t="n">
        <f aca="false">BM$20*BM$33</f>
        <v>0</v>
      </c>
      <c r="BN65" s="25" t="n">
        <f aca="false">BN$20*BN$33</f>
        <v>0</v>
      </c>
      <c r="BO65" s="25" t="n">
        <f aca="false">BO$20*BO$33</f>
        <v>0</v>
      </c>
      <c r="BP65" s="25" t="n">
        <f aca="false">BP$20*BP$33</f>
        <v>358.5</v>
      </c>
      <c r="BQ65" s="25" t="n">
        <f aca="false">BQ$20*BQ$33</f>
        <v>0</v>
      </c>
      <c r="BR65" s="25" t="n">
        <f aca="false">BR$20*BR$33</f>
        <v>0</v>
      </c>
      <c r="BS65" s="25" t="n">
        <f aca="false">BS$20*BS$33</f>
        <v>0</v>
      </c>
      <c r="BT65" s="25" t="n">
        <f aca="false">BT$20*BT$33</f>
        <v>0</v>
      </c>
      <c r="BU65" s="25" t="n">
        <f aca="false">BU$20*BU$33</f>
        <v>0</v>
      </c>
      <c r="BV65" s="25" t="n">
        <f aca="false">BV$20*BV$33</f>
        <v>0</v>
      </c>
      <c r="BW65" s="25" t="n">
        <f aca="false">BW$20*BW$33</f>
        <v>0</v>
      </c>
      <c r="BX65" s="25" t="n">
        <f aca="false">BX$20*BX$33</f>
        <v>0</v>
      </c>
    </row>
    <row r="66" customFormat="false" ht="15" hidden="false" customHeight="false" outlineLevel="0" collapsed="false">
      <c r="A66" s="4" t="s">
        <v>655</v>
      </c>
      <c r="B66" s="75" t="s">
        <v>654</v>
      </c>
      <c r="C66" s="76" t="n">
        <f aca="false">Planner!$E$16*Planner!$D$46</f>
        <v>1060.5</v>
      </c>
      <c r="D66" s="77" t="n">
        <v>929.2791397645</v>
      </c>
      <c r="E66" s="75" t="str">
        <f aca="false">IF(D66&lt;=C66+0.000001*MAX(1,ABS(C66)),IF(ABS(D66-C66)&lt;=0.000001*MAX(1,ABS(C66)),"tight","ok"),"VIOLATED")</f>
        <v>ok</v>
      </c>
      <c r="F66" s="25" t="n">
        <f aca="false">F$20*F$34</f>
        <v>60</v>
      </c>
      <c r="G66" s="25" t="n">
        <f aca="false">G$20*G$34</f>
        <v>80.5</v>
      </c>
      <c r="H66" s="25" t="n">
        <f aca="false">H$20*H$34</f>
        <v>60.5</v>
      </c>
      <c r="I66" s="25" t="n">
        <f aca="false">I$20*I$34</f>
        <v>100</v>
      </c>
      <c r="J66" s="25" t="n">
        <f aca="false">J$20*J$34</f>
        <v>75</v>
      </c>
      <c r="K66" s="25" t="n">
        <f aca="false">K$20*K$34</f>
        <v>0</v>
      </c>
      <c r="L66" s="25" t="n">
        <f aca="false">L$20*L$34</f>
        <v>127</v>
      </c>
      <c r="M66" s="25" t="n">
        <f aca="false">M$20*M$34</f>
        <v>76</v>
      </c>
      <c r="N66" s="25" t="n">
        <f aca="false">N$20*N$34</f>
        <v>163</v>
      </c>
      <c r="O66" s="25" t="n">
        <f aca="false">O$20*O$34</f>
        <v>100.5</v>
      </c>
      <c r="P66" s="25" t="n">
        <f aca="false">P$20*P$34</f>
        <v>0</v>
      </c>
      <c r="Q66" s="25" t="n">
        <f aca="false">Q$20*Q$34</f>
        <v>86</v>
      </c>
      <c r="R66" s="25" t="n">
        <f aca="false">R$20*R$34</f>
        <v>0</v>
      </c>
      <c r="S66" s="25" t="n">
        <f aca="false">S$20*S$34</f>
        <v>0</v>
      </c>
      <c r="T66" s="25" t="n">
        <f aca="false">T$20*T$34</f>
        <v>48</v>
      </c>
      <c r="U66" s="25" t="n">
        <f aca="false">U$20*U$34</f>
        <v>0</v>
      </c>
      <c r="V66" s="25" t="n">
        <f aca="false">V$20*V$34</f>
        <v>45.5</v>
      </c>
      <c r="W66" s="25" t="n">
        <f aca="false">W$20*W$34</f>
        <v>44</v>
      </c>
      <c r="X66" s="25" t="n">
        <f aca="false">X$20*X$34</f>
        <v>176</v>
      </c>
      <c r="Y66" s="25" t="n">
        <f aca="false">Y$20*Y$34</f>
        <v>0</v>
      </c>
      <c r="Z66" s="25" t="n">
        <f aca="false">Z$20*Z$34</f>
        <v>173.5</v>
      </c>
      <c r="AA66" s="25" t="n">
        <f aca="false">AA$20*AA$34</f>
        <v>49</v>
      </c>
      <c r="AB66" s="25" t="n">
        <f aca="false">AB$20*AB$34</f>
        <v>0</v>
      </c>
      <c r="AC66" s="25" t="n">
        <f aca="false">AC$20*AC$34</f>
        <v>0</v>
      </c>
      <c r="AD66" s="25" t="n">
        <f aca="false">AD$20*AD$34</f>
        <v>0</v>
      </c>
      <c r="AE66" s="25" t="n">
        <f aca="false">AE$20*AE$34</f>
        <v>0</v>
      </c>
      <c r="AF66" s="25" t="n">
        <f aca="false">AF$20*AF$34</f>
        <v>366</v>
      </c>
      <c r="AG66" s="25" t="n">
        <f aca="false">AG$20*AG$34</f>
        <v>202</v>
      </c>
      <c r="AH66" s="25" t="n">
        <f aca="false">AH$20*AH$34</f>
        <v>40.5</v>
      </c>
      <c r="AI66" s="25" t="n">
        <f aca="false">AI$20*AI$34</f>
        <v>0</v>
      </c>
      <c r="AJ66" s="25" t="n">
        <f aca="false">AJ$20*AJ$34</f>
        <v>0</v>
      </c>
      <c r="AK66" s="25" t="n">
        <f aca="false">AK$20*AK$34</f>
        <v>183.5</v>
      </c>
      <c r="AL66" s="25" t="n">
        <f aca="false">AL$20*AL$34</f>
        <v>0</v>
      </c>
      <c r="AM66" s="25" t="n">
        <f aca="false">AM$20*AM$34</f>
        <v>109</v>
      </c>
      <c r="AN66" s="25" t="n">
        <f aca="false">AN$20*AN$34</f>
        <v>148.5</v>
      </c>
      <c r="AO66" s="25" t="n">
        <f aca="false">AO$20*AO$34</f>
        <v>184</v>
      </c>
      <c r="AP66" s="25" t="n">
        <f aca="false">AP$20*AP$34</f>
        <v>0</v>
      </c>
      <c r="AQ66" s="25" t="n">
        <f aca="false">AQ$20*AQ$34</f>
        <v>185.5</v>
      </c>
      <c r="AR66" s="25" t="n">
        <f aca="false">AR$20*AR$34</f>
        <v>133</v>
      </c>
      <c r="AS66" s="25" t="n">
        <f aca="false">AS$20*AS$34</f>
        <v>182.5</v>
      </c>
      <c r="AT66" s="25" t="n">
        <f aca="false">AT$20*AT$34</f>
        <v>126</v>
      </c>
      <c r="AU66" s="25" t="n">
        <f aca="false">AU$20*AU$34</f>
        <v>176</v>
      </c>
      <c r="AV66" s="25" t="n">
        <f aca="false">AV$20*AV$34</f>
        <v>44</v>
      </c>
      <c r="AW66" s="25" t="n">
        <f aca="false">AW$20*AW$34</f>
        <v>38.5</v>
      </c>
      <c r="AX66" s="25" t="n">
        <f aca="false">AX$20*AX$34</f>
        <v>43</v>
      </c>
      <c r="AY66" s="25" t="n">
        <f aca="false">AY$20*AY$34</f>
        <v>26</v>
      </c>
      <c r="AZ66" s="25" t="n">
        <f aca="false">AZ$20*AZ$34</f>
        <v>0</v>
      </c>
      <c r="BA66" s="25" t="n">
        <f aca="false">BA$20*BA$34</f>
        <v>0</v>
      </c>
      <c r="BB66" s="25" t="n">
        <f aca="false">BB$20*BB$34</f>
        <v>0</v>
      </c>
      <c r="BC66" s="25" t="n">
        <f aca="false">BC$20*BC$34</f>
        <v>0</v>
      </c>
      <c r="BD66" s="25" t="n">
        <f aca="false">BD$20*BD$34</f>
        <v>24.5</v>
      </c>
      <c r="BE66" s="25" t="n">
        <f aca="false">BE$20*BE$34</f>
        <v>0</v>
      </c>
      <c r="BF66" s="25" t="n">
        <f aca="false">BF$20*BF$34</f>
        <v>0</v>
      </c>
      <c r="BG66" s="25" t="n">
        <f aca="false">BG$20*BG$34</f>
        <v>14.5</v>
      </c>
      <c r="BH66" s="25" t="n">
        <f aca="false">BH$20*BH$34</f>
        <v>20.5</v>
      </c>
      <c r="BI66" s="25" t="n">
        <f aca="false">BI$20*BI$34</f>
        <v>7.5</v>
      </c>
      <c r="BJ66" s="25" t="n">
        <f aca="false">BJ$20*BJ$34</f>
        <v>10</v>
      </c>
      <c r="BK66" s="25" t="n">
        <f aca="false">BK$20*BK$34</f>
        <v>36</v>
      </c>
      <c r="BL66" s="25" t="n">
        <f aca="false">BL$20*BL$34</f>
        <v>20</v>
      </c>
      <c r="BM66" s="25" t="n">
        <f aca="false">BM$20*BM$34</f>
        <v>8.5</v>
      </c>
      <c r="BN66" s="25" t="n">
        <f aca="false">BN$20*BN$34</f>
        <v>11.5</v>
      </c>
      <c r="BO66" s="25" t="n">
        <f aca="false">BO$20*BO$34</f>
        <v>9</v>
      </c>
      <c r="BP66" s="25" t="n">
        <f aca="false">BP$20*BP$34</f>
        <v>0</v>
      </c>
      <c r="BQ66" s="25" t="n">
        <f aca="false">BQ$20*BQ$34</f>
        <v>442</v>
      </c>
      <c r="BR66" s="25" t="n">
        <f aca="false">BR$20*BR$34</f>
        <v>442</v>
      </c>
      <c r="BS66" s="25" t="n">
        <f aca="false">BS$20*BS$34</f>
        <v>0</v>
      </c>
      <c r="BT66" s="25" t="n">
        <f aca="false">BT$20*BT$34</f>
        <v>83.5</v>
      </c>
      <c r="BU66" s="25" t="n">
        <f aca="false">BU$20*BU$34</f>
        <v>0</v>
      </c>
      <c r="BV66" s="25" t="n">
        <f aca="false">BV$20*BV$34</f>
        <v>0</v>
      </c>
      <c r="BW66" s="25" t="n">
        <f aca="false">BW$20*BW$34</f>
        <v>0</v>
      </c>
      <c r="BX66" s="25" t="n">
        <f aca="false">BX$20*BX$34</f>
        <v>0</v>
      </c>
    </row>
    <row r="67" customFormat="false" ht="15" hidden="false" customHeight="false" outlineLevel="0" collapsed="false">
      <c r="A67" s="4" t="s">
        <v>656</v>
      </c>
      <c r="B67" s="75" t="s">
        <v>654</v>
      </c>
      <c r="C67" s="76" t="n">
        <f aca="false">Planner!$E$16*Planner!$D$47</f>
        <v>1212</v>
      </c>
      <c r="D67" s="77" t="n">
        <v>929.2791397645</v>
      </c>
      <c r="E67" s="75" t="str">
        <f aca="false">IF(D67&lt;=C67+0.000001*MAX(1,ABS(C67)),IF(ABS(D67-C67)&lt;=0.000001*MAX(1,ABS(C67)),"tight","ok"),"VIOLATED")</f>
        <v>ok</v>
      </c>
      <c r="F67" s="25" t="n">
        <f aca="false">F$20*F$35</f>
        <v>60</v>
      </c>
      <c r="G67" s="25" t="n">
        <f aca="false">G$20*G$35</f>
        <v>80.5</v>
      </c>
      <c r="H67" s="25" t="n">
        <f aca="false">H$20*H$35</f>
        <v>60.5</v>
      </c>
      <c r="I67" s="25" t="n">
        <f aca="false">I$20*I$35</f>
        <v>0</v>
      </c>
      <c r="J67" s="25" t="n">
        <f aca="false">J$20*J$35</f>
        <v>75</v>
      </c>
      <c r="K67" s="25" t="n">
        <f aca="false">K$20*K$35</f>
        <v>0</v>
      </c>
      <c r="L67" s="25" t="n">
        <f aca="false">L$20*L$35</f>
        <v>127</v>
      </c>
      <c r="M67" s="25" t="n">
        <f aca="false">M$20*M$35</f>
        <v>76</v>
      </c>
      <c r="N67" s="25" t="n">
        <f aca="false">N$20*N$35</f>
        <v>0</v>
      </c>
      <c r="O67" s="25" t="n">
        <f aca="false">O$20*O$35</f>
        <v>100.5</v>
      </c>
      <c r="P67" s="25" t="n">
        <f aca="false">P$20*P$35</f>
        <v>214</v>
      </c>
      <c r="Q67" s="25" t="n">
        <f aca="false">Q$20*Q$35</f>
        <v>0</v>
      </c>
      <c r="R67" s="25" t="n">
        <f aca="false">R$20*R$35</f>
        <v>208</v>
      </c>
      <c r="S67" s="25" t="n">
        <f aca="false">S$20*S$35</f>
        <v>71</v>
      </c>
      <c r="T67" s="25" t="n">
        <f aca="false">T$20*T$35</f>
        <v>48</v>
      </c>
      <c r="U67" s="25" t="n">
        <f aca="false">U$20*U$35</f>
        <v>0</v>
      </c>
      <c r="V67" s="25" t="n">
        <f aca="false">V$20*V$35</f>
        <v>45.5</v>
      </c>
      <c r="W67" s="25" t="n">
        <f aca="false">W$20*W$35</f>
        <v>44</v>
      </c>
      <c r="X67" s="25" t="n">
        <f aca="false">X$20*X$35</f>
        <v>176</v>
      </c>
      <c r="Y67" s="25" t="n">
        <f aca="false">Y$20*Y$35</f>
        <v>0</v>
      </c>
      <c r="Z67" s="25" t="n">
        <f aca="false">Z$20*Z$35</f>
        <v>173.5</v>
      </c>
      <c r="AA67" s="25" t="n">
        <f aca="false">AA$20*AA$35</f>
        <v>49</v>
      </c>
      <c r="AB67" s="25" t="n">
        <f aca="false">AB$20*AB$35</f>
        <v>0</v>
      </c>
      <c r="AC67" s="25" t="n">
        <f aca="false">AC$20*AC$35</f>
        <v>0</v>
      </c>
      <c r="AD67" s="25" t="n">
        <f aca="false">AD$20*AD$35</f>
        <v>0</v>
      </c>
      <c r="AE67" s="25" t="n">
        <f aca="false">AE$20*AE$35</f>
        <v>0</v>
      </c>
      <c r="AF67" s="25" t="n">
        <f aca="false">AF$20*AF$35</f>
        <v>0</v>
      </c>
      <c r="AG67" s="25" t="n">
        <f aca="false">AG$20*AG$35</f>
        <v>202</v>
      </c>
      <c r="AH67" s="25" t="n">
        <f aca="false">AH$20*AH$35</f>
        <v>0</v>
      </c>
      <c r="AI67" s="25" t="n">
        <f aca="false">AI$20*AI$35</f>
        <v>0</v>
      </c>
      <c r="AJ67" s="25" t="n">
        <f aca="false">AJ$20*AJ$35</f>
        <v>0</v>
      </c>
      <c r="AK67" s="25" t="n">
        <f aca="false">AK$20*AK$35</f>
        <v>183.5</v>
      </c>
      <c r="AL67" s="25" t="n">
        <f aca="false">AL$20*AL$35</f>
        <v>0</v>
      </c>
      <c r="AM67" s="25" t="n">
        <f aca="false">AM$20*AM$35</f>
        <v>109</v>
      </c>
      <c r="AN67" s="25" t="n">
        <f aca="false">AN$20*AN$35</f>
        <v>148.5</v>
      </c>
      <c r="AO67" s="25" t="n">
        <f aca="false">AO$20*AO$35</f>
        <v>184</v>
      </c>
      <c r="AP67" s="25" t="n">
        <f aca="false">AP$20*AP$35</f>
        <v>0</v>
      </c>
      <c r="AQ67" s="25" t="n">
        <f aca="false">AQ$20*AQ$35</f>
        <v>185.5</v>
      </c>
      <c r="AR67" s="25" t="n">
        <f aca="false">AR$20*AR$35</f>
        <v>0</v>
      </c>
      <c r="AS67" s="25" t="n">
        <f aca="false">AS$20*AS$35</f>
        <v>182.5</v>
      </c>
      <c r="AT67" s="25" t="n">
        <f aca="false">AT$20*AT$35</f>
        <v>0</v>
      </c>
      <c r="AU67" s="25" t="n">
        <f aca="false">AU$20*AU$35</f>
        <v>176</v>
      </c>
      <c r="AV67" s="25" t="n">
        <f aca="false">AV$20*AV$35</f>
        <v>44</v>
      </c>
      <c r="AW67" s="25" t="n">
        <f aca="false">AW$20*AW$35</f>
        <v>38.5</v>
      </c>
      <c r="AX67" s="25" t="n">
        <f aca="false">AX$20*AX$35</f>
        <v>43</v>
      </c>
      <c r="AY67" s="25" t="n">
        <f aca="false">AY$20*AY$35</f>
        <v>0</v>
      </c>
      <c r="AZ67" s="25" t="n">
        <f aca="false">AZ$20*AZ$35</f>
        <v>0</v>
      </c>
      <c r="BA67" s="25" t="n">
        <f aca="false">BA$20*BA$35</f>
        <v>0</v>
      </c>
      <c r="BB67" s="25" t="n">
        <f aca="false">BB$20*BB$35</f>
        <v>0</v>
      </c>
      <c r="BC67" s="25" t="n">
        <f aca="false">BC$20*BC$35</f>
        <v>0</v>
      </c>
      <c r="BD67" s="25" t="n">
        <f aca="false">BD$20*BD$35</f>
        <v>0</v>
      </c>
      <c r="BE67" s="25" t="n">
        <f aca="false">BE$20*BE$35</f>
        <v>0</v>
      </c>
      <c r="BF67" s="25" t="n">
        <f aca="false">BF$20*BF$35</f>
        <v>0</v>
      </c>
      <c r="BG67" s="25" t="n">
        <f aca="false">BG$20*BG$35</f>
        <v>14.5</v>
      </c>
      <c r="BH67" s="25" t="n">
        <f aca="false">BH$20*BH$35</f>
        <v>0</v>
      </c>
      <c r="BI67" s="25" t="n">
        <f aca="false">BI$20*BI$35</f>
        <v>7.5</v>
      </c>
      <c r="BJ67" s="25" t="n">
        <f aca="false">BJ$20*BJ$35</f>
        <v>10</v>
      </c>
      <c r="BK67" s="25" t="n">
        <f aca="false">BK$20*BK$35</f>
        <v>36</v>
      </c>
      <c r="BL67" s="25" t="n">
        <f aca="false">BL$20*BL$35</f>
        <v>20</v>
      </c>
      <c r="BM67" s="25" t="n">
        <f aca="false">BM$20*BM$35</f>
        <v>8.5</v>
      </c>
      <c r="BN67" s="25" t="n">
        <f aca="false">BN$20*BN$35</f>
        <v>11.5</v>
      </c>
      <c r="BO67" s="25" t="n">
        <f aca="false">BO$20*BO$35</f>
        <v>9</v>
      </c>
      <c r="BP67" s="25" t="n">
        <f aca="false">BP$20*BP$35</f>
        <v>358.5</v>
      </c>
      <c r="BQ67" s="25" t="n">
        <f aca="false">BQ$20*BQ$35</f>
        <v>442</v>
      </c>
      <c r="BR67" s="25" t="n">
        <f aca="false">BR$20*BR$35</f>
        <v>442</v>
      </c>
      <c r="BS67" s="25" t="n">
        <f aca="false">BS$20*BS$35</f>
        <v>0</v>
      </c>
      <c r="BT67" s="25" t="n">
        <f aca="false">BT$20*BT$35</f>
        <v>83.5</v>
      </c>
      <c r="BU67" s="25" t="n">
        <f aca="false">BU$20*BU$35</f>
        <v>0</v>
      </c>
      <c r="BV67" s="25" t="n">
        <f aca="false">BV$20*BV$35</f>
        <v>0</v>
      </c>
      <c r="BW67" s="25" t="n">
        <f aca="false">BW$20*BW$35</f>
        <v>0</v>
      </c>
      <c r="BX67" s="25" t="n">
        <f aca="false">BX$20*BX$35</f>
        <v>0</v>
      </c>
    </row>
    <row r="68" customFormat="false" ht="15" hidden="false" customHeight="false" outlineLevel="0" collapsed="false">
      <c r="A68" s="4" t="s">
        <v>657</v>
      </c>
      <c r="B68" s="75" t="s">
        <v>654</v>
      </c>
      <c r="C68" s="76" t="n">
        <f aca="false">Planner!$E$16*Planner!$D$48</f>
        <v>606</v>
      </c>
      <c r="D68" s="77" t="n">
        <v>413.94172055</v>
      </c>
      <c r="E68" s="75" t="str">
        <f aca="false">IF(D68&lt;=C68+0.000001*MAX(1,ABS(C68)),IF(ABS(D68-C68)&lt;=0.000001*MAX(1,ABS(C68)),"tight","ok"),"VIOLATED")</f>
        <v>ok</v>
      </c>
      <c r="F68" s="25" t="n">
        <f aca="false">F$20*F$36</f>
        <v>0</v>
      </c>
      <c r="G68" s="25" t="n">
        <f aca="false">G$20*G$36</f>
        <v>0</v>
      </c>
      <c r="H68" s="25" t="n">
        <f aca="false">H$20*H$36</f>
        <v>0</v>
      </c>
      <c r="I68" s="25" t="n">
        <f aca="false">I$20*I$36</f>
        <v>0</v>
      </c>
      <c r="J68" s="25" t="n">
        <f aca="false">J$20*J$36</f>
        <v>0</v>
      </c>
      <c r="K68" s="25" t="n">
        <f aca="false">K$20*K$36</f>
        <v>0</v>
      </c>
      <c r="L68" s="25" t="n">
        <f aca="false">L$20*L$36</f>
        <v>0</v>
      </c>
      <c r="M68" s="25" t="n">
        <f aca="false">M$20*M$36</f>
        <v>0</v>
      </c>
      <c r="N68" s="25" t="n">
        <f aca="false">N$20*N$36</f>
        <v>0</v>
      </c>
      <c r="O68" s="25" t="n">
        <f aca="false">O$20*O$36</f>
        <v>0</v>
      </c>
      <c r="P68" s="25" t="n">
        <f aca="false">P$20*P$36</f>
        <v>0</v>
      </c>
      <c r="Q68" s="25" t="n">
        <f aca="false">Q$20*Q$36</f>
        <v>0</v>
      </c>
      <c r="R68" s="25" t="n">
        <f aca="false">R$20*R$36</f>
        <v>0</v>
      </c>
      <c r="S68" s="25" t="n">
        <f aca="false">S$20*S$36</f>
        <v>0</v>
      </c>
      <c r="T68" s="25" t="n">
        <f aca="false">T$20*T$36</f>
        <v>0</v>
      </c>
      <c r="U68" s="25" t="n">
        <f aca="false">U$20*U$36</f>
        <v>0</v>
      </c>
      <c r="V68" s="25" t="n">
        <f aca="false">V$20*V$36</f>
        <v>0</v>
      </c>
      <c r="W68" s="25" t="n">
        <f aca="false">W$20*W$36</f>
        <v>0</v>
      </c>
      <c r="X68" s="25" t="n">
        <f aca="false">X$20*X$36</f>
        <v>0</v>
      </c>
      <c r="Y68" s="25" t="n">
        <f aca="false">Y$20*Y$36</f>
        <v>299</v>
      </c>
      <c r="Z68" s="25" t="n">
        <f aca="false">Z$20*Z$36</f>
        <v>0</v>
      </c>
      <c r="AA68" s="25" t="n">
        <f aca="false">AA$20*AA$36</f>
        <v>0</v>
      </c>
      <c r="AB68" s="25" t="n">
        <f aca="false">AB$20*AB$36</f>
        <v>25</v>
      </c>
      <c r="AC68" s="25" t="n">
        <f aca="false">AC$20*AC$36</f>
        <v>29.5</v>
      </c>
      <c r="AD68" s="25" t="n">
        <f aca="false">AD$20*AD$36</f>
        <v>21.5</v>
      </c>
      <c r="AE68" s="25" t="n">
        <f aca="false">AE$20*AE$36</f>
        <v>30.5</v>
      </c>
      <c r="AF68" s="25" t="n">
        <f aca="false">AF$20*AF$36</f>
        <v>0</v>
      </c>
      <c r="AG68" s="25" t="n">
        <f aca="false">AG$20*AG$36</f>
        <v>0</v>
      </c>
      <c r="AH68" s="25" t="n">
        <f aca="false">AH$20*AH$36</f>
        <v>40.5</v>
      </c>
      <c r="AI68" s="25" t="n">
        <f aca="false">AI$20*AI$36</f>
        <v>295</v>
      </c>
      <c r="AJ68" s="25" t="n">
        <f aca="false">AJ$20*AJ$36</f>
        <v>0</v>
      </c>
      <c r="AK68" s="25" t="n">
        <f aca="false">AK$20*AK$36</f>
        <v>0</v>
      </c>
      <c r="AL68" s="25" t="n">
        <f aca="false">AL$20*AL$36</f>
        <v>0</v>
      </c>
      <c r="AM68" s="25" t="n">
        <f aca="false">AM$20*AM$36</f>
        <v>0</v>
      </c>
      <c r="AN68" s="25" t="n">
        <f aca="false">AN$20*AN$36</f>
        <v>0</v>
      </c>
      <c r="AO68" s="25" t="n">
        <f aca="false">AO$20*AO$36</f>
        <v>0</v>
      </c>
      <c r="AP68" s="25" t="n">
        <f aca="false">AP$20*AP$36</f>
        <v>0</v>
      </c>
      <c r="AQ68" s="25" t="n">
        <f aca="false">AQ$20*AQ$36</f>
        <v>0</v>
      </c>
      <c r="AR68" s="25" t="n">
        <f aca="false">AR$20*AR$36</f>
        <v>0</v>
      </c>
      <c r="AS68" s="25" t="n">
        <f aca="false">AS$20*AS$36</f>
        <v>0</v>
      </c>
      <c r="AT68" s="25" t="n">
        <f aca="false">AT$20*AT$36</f>
        <v>0</v>
      </c>
      <c r="AU68" s="25" t="n">
        <f aca="false">AU$20*AU$36</f>
        <v>0</v>
      </c>
      <c r="AV68" s="25" t="n">
        <f aca="false">AV$20*AV$36</f>
        <v>0</v>
      </c>
      <c r="AW68" s="25" t="n">
        <f aca="false">AW$20*AW$36</f>
        <v>0</v>
      </c>
      <c r="AX68" s="25" t="n">
        <f aca="false">AX$20*AX$36</f>
        <v>0</v>
      </c>
      <c r="AY68" s="25" t="n">
        <f aca="false">AY$20*AY$36</f>
        <v>26</v>
      </c>
      <c r="AZ68" s="25" t="n">
        <f aca="false">AZ$20*AZ$36</f>
        <v>44.5</v>
      </c>
      <c r="BA68" s="25" t="n">
        <f aca="false">BA$20*BA$36</f>
        <v>0</v>
      </c>
      <c r="BB68" s="25" t="n">
        <f aca="false">BB$20*BB$36</f>
        <v>69</v>
      </c>
      <c r="BC68" s="25" t="n">
        <f aca="false">BC$20*BC$36</f>
        <v>0</v>
      </c>
      <c r="BD68" s="25" t="n">
        <f aca="false">BD$20*BD$36</f>
        <v>24.5</v>
      </c>
      <c r="BE68" s="25" t="n">
        <f aca="false">BE$20*BE$36</f>
        <v>299</v>
      </c>
      <c r="BF68" s="25" t="n">
        <f aca="false">BF$20*BF$36</f>
        <v>16</v>
      </c>
      <c r="BG68" s="25" t="n">
        <f aca="false">BG$20*BG$36</f>
        <v>0</v>
      </c>
      <c r="BH68" s="25" t="n">
        <f aca="false">BH$20*BH$36</f>
        <v>20.5</v>
      </c>
      <c r="BI68" s="25" t="n">
        <f aca="false">BI$20*BI$36</f>
        <v>0</v>
      </c>
      <c r="BJ68" s="25" t="n">
        <f aca="false">BJ$20*BJ$36</f>
        <v>0</v>
      </c>
      <c r="BK68" s="25" t="n">
        <f aca="false">BK$20*BK$36</f>
        <v>0</v>
      </c>
      <c r="BL68" s="25" t="n">
        <f aca="false">BL$20*BL$36</f>
        <v>0</v>
      </c>
      <c r="BM68" s="25" t="n">
        <f aca="false">BM$20*BM$36</f>
        <v>0</v>
      </c>
      <c r="BN68" s="25" t="n">
        <f aca="false">BN$20*BN$36</f>
        <v>0</v>
      </c>
      <c r="BO68" s="25" t="n">
        <f aca="false">BO$20*BO$36</f>
        <v>0</v>
      </c>
      <c r="BP68" s="25" t="n">
        <f aca="false">BP$20*BP$36</f>
        <v>0</v>
      </c>
      <c r="BQ68" s="25" t="n">
        <f aca="false">BQ$20*BQ$36</f>
        <v>0</v>
      </c>
      <c r="BR68" s="25" t="n">
        <f aca="false">BR$20*BR$36</f>
        <v>0</v>
      </c>
      <c r="BS68" s="25" t="n">
        <f aca="false">BS$20*BS$36</f>
        <v>579</v>
      </c>
      <c r="BT68" s="25" t="n">
        <f aca="false">BT$20*BT$36</f>
        <v>0</v>
      </c>
      <c r="BU68" s="25" t="n">
        <f aca="false">BU$20*BU$36</f>
        <v>492</v>
      </c>
      <c r="BV68" s="25" t="n">
        <f aca="false">BV$20*BV$36</f>
        <v>418</v>
      </c>
      <c r="BW68" s="25" t="n">
        <f aca="false">BW$20*BW$36</f>
        <v>532</v>
      </c>
      <c r="BX68" s="25" t="n">
        <f aca="false">BX$20*BX$36</f>
        <v>207</v>
      </c>
    </row>
    <row r="69" customFormat="false" ht="15" hidden="false" customHeight="false" outlineLevel="0" collapsed="false">
      <c r="A69" s="4" t="s">
        <v>658</v>
      </c>
      <c r="B69" s="75" t="s">
        <v>659</v>
      </c>
      <c r="C69" s="76" t="n">
        <f aca="false">Planner!$C$51</f>
        <v>340</v>
      </c>
      <c r="D69" s="77" t="n">
        <v>0</v>
      </c>
      <c r="E69" s="75" t="str">
        <f aca="false">IF(D69&lt;=C69+0.000001*MAX(1,ABS(C69)),IF(ABS(D69-C69)&lt;=0.000001*MAX(1,ABS(C69)),"tight","ok"),"VIOLATED")</f>
        <v>ok</v>
      </c>
      <c r="F69" s="25" t="n">
        <f aca="false">IF('Food Data'!$AG$6="Meat, poultry &amp; fish",100,0)</f>
        <v>100</v>
      </c>
      <c r="G69" s="25" t="n">
        <f aca="false">IF('Food Data'!$AG$7="Meat, poultry &amp; fish",100,0)</f>
        <v>100</v>
      </c>
      <c r="H69" s="25" t="n">
        <f aca="false">IF('Food Data'!$AG$8="Meat, poultry &amp; fish",100,0)</f>
        <v>100</v>
      </c>
      <c r="I69" s="25" t="n">
        <f aca="false">IF('Food Data'!$AG$9="Meat, poultry &amp; fish",100,0)</f>
        <v>100</v>
      </c>
      <c r="J69" s="25" t="n">
        <f aca="false">IF('Food Data'!$AG$10="Meat, poultry &amp; fish",100,0)</f>
        <v>100</v>
      </c>
      <c r="K69" s="25" t="n">
        <f aca="false">IF('Food Data'!$AG$11="Meat, poultry &amp; fish",100,0)</f>
        <v>100</v>
      </c>
      <c r="L69" s="25" t="n">
        <f aca="false">IF('Food Data'!$AG$12="Meat, poultry &amp; fish",100,0)</f>
        <v>100</v>
      </c>
      <c r="M69" s="25" t="n">
        <f aca="false">IF('Food Data'!$AG$13="Meat, poultry &amp; fish",100,0)</f>
        <v>100</v>
      </c>
      <c r="N69" s="25" t="n">
        <f aca="false">IF('Food Data'!$AG$14="Meat, poultry &amp; fish",100,0)</f>
        <v>100</v>
      </c>
      <c r="O69" s="25" t="n">
        <f aca="false">IF('Food Data'!$AG$15="Meat, poultry &amp; fish",100,0)</f>
        <v>100</v>
      </c>
      <c r="P69" s="25" t="n">
        <f aca="false">IF('Food Data'!$AG$16="Meat, poultry &amp; fish",100,0)</f>
        <v>100</v>
      </c>
      <c r="Q69" s="25" t="n">
        <f aca="false">IF('Food Data'!$AG$17="Meat, poultry &amp; fish",100,0)</f>
        <v>100</v>
      </c>
      <c r="R69" s="25" t="n">
        <f aca="false">IF('Food Data'!$AG$18="Meat, poultry &amp; fish",100,0)</f>
        <v>100</v>
      </c>
      <c r="S69" s="25" t="n">
        <f aca="false">IF('Food Data'!$AG$19="Meat, poultry &amp; fish",100,0)</f>
        <v>100</v>
      </c>
      <c r="T69" s="25" t="n">
        <f aca="false">IF('Food Data'!$AG$20="Meat, poultry &amp; fish",100,0)</f>
        <v>100</v>
      </c>
      <c r="U69" s="25" t="n">
        <f aca="false">IF('Food Data'!$AG$21="Meat, poultry &amp; fish",100,0)</f>
        <v>0</v>
      </c>
      <c r="V69" s="25" t="n">
        <f aca="false">IF('Food Data'!$AG$22="Meat, poultry &amp; fish",100,0)</f>
        <v>0</v>
      </c>
      <c r="W69" s="25" t="n">
        <f aca="false">IF('Food Data'!$AG$23="Meat, poultry &amp; fish",100,0)</f>
        <v>0</v>
      </c>
      <c r="X69" s="25" t="n">
        <f aca="false">IF('Food Data'!$AG$24="Meat, poultry &amp; fish",100,0)</f>
        <v>0</v>
      </c>
      <c r="Y69" s="25" t="n">
        <f aca="false">IF('Food Data'!$AG$25="Meat, poultry &amp; fish",100,0)</f>
        <v>0</v>
      </c>
      <c r="Z69" s="25" t="n">
        <f aca="false">IF('Food Data'!$AG$26="Meat, poultry &amp; fish",100,0)</f>
        <v>0</v>
      </c>
      <c r="AA69" s="25" t="n">
        <f aca="false">IF('Food Data'!$AG$27="Meat, poultry &amp; fish",100,0)</f>
        <v>0</v>
      </c>
      <c r="AB69" s="25" t="n">
        <f aca="false">IF('Food Data'!$AG$28="Meat, poultry &amp; fish",100,0)</f>
        <v>0</v>
      </c>
      <c r="AC69" s="25" t="n">
        <f aca="false">IF('Food Data'!$AG$29="Meat, poultry &amp; fish",100,0)</f>
        <v>0</v>
      </c>
      <c r="AD69" s="25" t="n">
        <f aca="false">IF('Food Data'!$AG$30="Meat, poultry &amp; fish",100,0)</f>
        <v>0</v>
      </c>
      <c r="AE69" s="25" t="n">
        <f aca="false">IF('Food Data'!$AG$31="Meat, poultry &amp; fish",100,0)</f>
        <v>0</v>
      </c>
      <c r="AF69" s="25" t="n">
        <f aca="false">IF('Food Data'!$AG$32="Meat, poultry &amp; fish",100,0)</f>
        <v>0</v>
      </c>
      <c r="AG69" s="25" t="n">
        <f aca="false">IF('Food Data'!$AG$33="Meat, poultry &amp; fish",100,0)</f>
        <v>0</v>
      </c>
      <c r="AH69" s="25" t="n">
        <f aca="false">IF('Food Data'!$AG$34="Meat, poultry &amp; fish",100,0)</f>
        <v>0</v>
      </c>
      <c r="AI69" s="25" t="n">
        <f aca="false">IF('Food Data'!$AG$35="Meat, poultry &amp; fish",100,0)</f>
        <v>0</v>
      </c>
      <c r="AJ69" s="25" t="n">
        <f aca="false">IF('Food Data'!$AG$36="Meat, poultry &amp; fish",100,0)</f>
        <v>0</v>
      </c>
      <c r="AK69" s="25" t="n">
        <f aca="false">IF('Food Data'!$AG$37="Meat, poultry &amp; fish",100,0)</f>
        <v>0</v>
      </c>
      <c r="AL69" s="25" t="n">
        <f aca="false">IF('Food Data'!$AG$38="Meat, poultry &amp; fish",100,0)</f>
        <v>0</v>
      </c>
      <c r="AM69" s="25" t="n">
        <f aca="false">IF('Food Data'!$AG$39="Meat, poultry &amp; fish",100,0)</f>
        <v>0</v>
      </c>
      <c r="AN69" s="25" t="n">
        <f aca="false">IF('Food Data'!$AG$40="Meat, poultry &amp; fish",100,0)</f>
        <v>0</v>
      </c>
      <c r="AO69" s="25" t="n">
        <f aca="false">IF('Food Data'!$AG$41="Meat, poultry &amp; fish",100,0)</f>
        <v>0</v>
      </c>
      <c r="AP69" s="25" t="n">
        <f aca="false">IF('Food Data'!$AG$42="Meat, poultry &amp; fish",100,0)</f>
        <v>0</v>
      </c>
      <c r="AQ69" s="25" t="n">
        <f aca="false">IF('Food Data'!$AG$43="Meat, poultry &amp; fish",100,0)</f>
        <v>0</v>
      </c>
      <c r="AR69" s="25" t="n">
        <f aca="false">IF('Food Data'!$AG$44="Meat, poultry &amp; fish",100,0)</f>
        <v>0</v>
      </c>
      <c r="AS69" s="25" t="n">
        <f aca="false">IF('Food Data'!$AG$45="Meat, poultry &amp; fish",100,0)</f>
        <v>0</v>
      </c>
      <c r="AT69" s="25" t="n">
        <f aca="false">IF('Food Data'!$AG$46="Meat, poultry &amp; fish",100,0)</f>
        <v>0</v>
      </c>
      <c r="AU69" s="25" t="n">
        <f aca="false">IF('Food Data'!$AG$47="Meat, poultry &amp; fish",100,0)</f>
        <v>0</v>
      </c>
      <c r="AV69" s="25" t="n">
        <f aca="false">IF('Food Data'!$AG$48="Meat, poultry &amp; fish",100,0)</f>
        <v>0</v>
      </c>
      <c r="AW69" s="25" t="n">
        <f aca="false">IF('Food Data'!$AG$49="Meat, poultry &amp; fish",100,0)</f>
        <v>0</v>
      </c>
      <c r="AX69" s="25" t="n">
        <f aca="false">IF('Food Data'!$AG$50="Meat, poultry &amp; fish",100,0)</f>
        <v>0</v>
      </c>
      <c r="AY69" s="25" t="n">
        <f aca="false">IF('Food Data'!$AG$51="Meat, poultry &amp; fish",100,0)</f>
        <v>0</v>
      </c>
      <c r="AZ69" s="25" t="n">
        <f aca="false">IF('Food Data'!$AG$52="Meat, poultry &amp; fish",100,0)</f>
        <v>0</v>
      </c>
      <c r="BA69" s="25" t="n">
        <f aca="false">IF('Food Data'!$AG$53="Meat, poultry &amp; fish",100,0)</f>
        <v>0</v>
      </c>
      <c r="BB69" s="25" t="n">
        <f aca="false">IF('Food Data'!$AG$54="Meat, poultry &amp; fish",100,0)</f>
        <v>0</v>
      </c>
      <c r="BC69" s="25" t="n">
        <f aca="false">IF('Food Data'!$AG$55="Meat, poultry &amp; fish",100,0)</f>
        <v>0</v>
      </c>
      <c r="BD69" s="25" t="n">
        <f aca="false">IF('Food Data'!$AG$56="Meat, poultry &amp; fish",100,0)</f>
        <v>0</v>
      </c>
      <c r="BE69" s="25" t="n">
        <f aca="false">IF('Food Data'!$AG$57="Meat, poultry &amp; fish",100,0)</f>
        <v>0</v>
      </c>
      <c r="BF69" s="25" t="n">
        <f aca="false">IF('Food Data'!$AG$58="Meat, poultry &amp; fish",100,0)</f>
        <v>0</v>
      </c>
      <c r="BG69" s="25" t="n">
        <f aca="false">IF('Food Data'!$AG$59="Meat, poultry &amp; fish",100,0)</f>
        <v>0</v>
      </c>
      <c r="BH69" s="25" t="n">
        <f aca="false">IF('Food Data'!$AG$60="Meat, poultry &amp; fish",100,0)</f>
        <v>0</v>
      </c>
      <c r="BI69" s="25" t="n">
        <f aca="false">IF('Food Data'!$AG$61="Meat, poultry &amp; fish",100,0)</f>
        <v>0</v>
      </c>
      <c r="BJ69" s="25" t="n">
        <f aca="false">IF('Food Data'!$AG$62="Meat, poultry &amp; fish",100,0)</f>
        <v>0</v>
      </c>
      <c r="BK69" s="25" t="n">
        <f aca="false">IF('Food Data'!$AG$63="Meat, poultry &amp; fish",100,0)</f>
        <v>0</v>
      </c>
      <c r="BL69" s="25" t="n">
        <f aca="false">IF('Food Data'!$AG$64="Meat, poultry &amp; fish",100,0)</f>
        <v>0</v>
      </c>
      <c r="BM69" s="25" t="n">
        <f aca="false">IF('Food Data'!$AG$65="Meat, poultry &amp; fish",100,0)</f>
        <v>0</v>
      </c>
      <c r="BN69" s="25" t="n">
        <f aca="false">IF('Food Data'!$AG$66="Meat, poultry &amp; fish",100,0)</f>
        <v>0</v>
      </c>
      <c r="BO69" s="25" t="n">
        <f aca="false">IF('Food Data'!$AG$67="Meat, poultry &amp; fish",100,0)</f>
        <v>0</v>
      </c>
      <c r="BP69" s="25" t="n">
        <f aca="false">IF('Food Data'!$AG$68="Meat, poultry &amp; fish",100,0)</f>
        <v>0</v>
      </c>
      <c r="BQ69" s="25" t="n">
        <f aca="false">IF('Food Data'!$AG$69="Meat, poultry &amp; fish",100,0)</f>
        <v>0</v>
      </c>
      <c r="BR69" s="25" t="n">
        <f aca="false">IF('Food Data'!$AG$70="Meat, poultry &amp; fish",100,0)</f>
        <v>0</v>
      </c>
      <c r="BS69" s="25" t="n">
        <f aca="false">IF('Food Data'!$AG$71="Meat, poultry &amp; fish",100,0)</f>
        <v>0</v>
      </c>
      <c r="BT69" s="25" t="n">
        <f aca="false">IF('Food Data'!$AG$72="Meat, poultry &amp; fish",100,0)</f>
        <v>0</v>
      </c>
      <c r="BU69" s="25" t="n">
        <f aca="false">IF('Food Data'!$AG$73="Meat, poultry &amp; fish",100,0)</f>
        <v>0</v>
      </c>
      <c r="BV69" s="25" t="n">
        <f aca="false">IF('Food Data'!$AG$74="Meat, poultry &amp; fish",100,0)</f>
        <v>0</v>
      </c>
      <c r="BW69" s="25" t="n">
        <f aca="false">IF('Food Data'!$AG$75="Meat, poultry &amp; fish",100,0)</f>
        <v>0</v>
      </c>
      <c r="BX69" s="25" t="n">
        <f aca="false">IF('Food Data'!$AG$76="Meat, poultry &amp; fish",100,0)</f>
        <v>0</v>
      </c>
    </row>
    <row r="70" customFormat="false" ht="15" hidden="false" customHeight="false" outlineLevel="0" collapsed="false">
      <c r="A70" s="4" t="s">
        <v>660</v>
      </c>
      <c r="B70" s="75" t="s">
        <v>659</v>
      </c>
      <c r="C70" s="76" t="n">
        <f aca="false">Planner!$C$52</f>
        <v>3</v>
      </c>
      <c r="D70" s="77" t="n">
        <v>3</v>
      </c>
      <c r="E70" s="75" t="str">
        <f aca="false">IF(D70&lt;=C70+0.000001*MAX(1,ABS(C70)),IF(ABS(D70-C70)&lt;=0.000001*MAX(1,ABS(C70)),"tight","ok"),"VIOLATED")</f>
        <v>tight</v>
      </c>
      <c r="F70" s="25" t="n">
        <f aca="false">IF('Food Data'!$AG$6="Beans &amp; lentils",100/'Food Data'!$N$6,0)</f>
        <v>0</v>
      </c>
      <c r="G70" s="25" t="n">
        <f aca="false">IF('Food Data'!$AG$7="Beans &amp; lentils",100/'Food Data'!$N$7,0)</f>
        <v>0</v>
      </c>
      <c r="H70" s="25" t="n">
        <f aca="false">IF('Food Data'!$AG$8="Beans &amp; lentils",100/'Food Data'!$N$8,0)</f>
        <v>0</v>
      </c>
      <c r="I70" s="25" t="n">
        <f aca="false">IF('Food Data'!$AG$9="Beans &amp; lentils",100/'Food Data'!$N$9,0)</f>
        <v>0</v>
      </c>
      <c r="J70" s="25" t="n">
        <f aca="false">IF('Food Data'!$AG$10="Beans &amp; lentils",100/'Food Data'!$N$10,0)</f>
        <v>0</v>
      </c>
      <c r="K70" s="25" t="n">
        <f aca="false">IF('Food Data'!$AG$11="Beans &amp; lentils",100/'Food Data'!$N$11,0)</f>
        <v>0</v>
      </c>
      <c r="L70" s="25" t="n">
        <f aca="false">IF('Food Data'!$AG$12="Beans &amp; lentils",100/'Food Data'!$N$12,0)</f>
        <v>0</v>
      </c>
      <c r="M70" s="25" t="n">
        <f aca="false">IF('Food Data'!$AG$13="Beans &amp; lentils",100/'Food Data'!$N$13,0)</f>
        <v>0</v>
      </c>
      <c r="N70" s="25" t="n">
        <f aca="false">IF('Food Data'!$AG$14="Beans &amp; lentils",100/'Food Data'!$N$14,0)</f>
        <v>0</v>
      </c>
      <c r="O70" s="25" t="n">
        <f aca="false">IF('Food Data'!$AG$15="Beans &amp; lentils",100/'Food Data'!$N$15,0)</f>
        <v>0</v>
      </c>
      <c r="P70" s="25" t="n">
        <f aca="false">IF('Food Data'!$AG$16="Beans &amp; lentils",100/'Food Data'!$N$16,0)</f>
        <v>0</v>
      </c>
      <c r="Q70" s="25" t="n">
        <f aca="false">IF('Food Data'!$AG$17="Beans &amp; lentils",100/'Food Data'!$N$17,0)</f>
        <v>0</v>
      </c>
      <c r="R70" s="25" t="n">
        <f aca="false">IF('Food Data'!$AG$18="Beans &amp; lentils",100/'Food Data'!$N$18,0)</f>
        <v>0</v>
      </c>
      <c r="S70" s="25" t="n">
        <f aca="false">IF('Food Data'!$AG$19="Beans &amp; lentils",100/'Food Data'!$N$19,0)</f>
        <v>0</v>
      </c>
      <c r="T70" s="25" t="n">
        <f aca="false">IF('Food Data'!$AG$20="Beans &amp; lentils",100/'Food Data'!$N$20,0)</f>
        <v>0</v>
      </c>
      <c r="U70" s="25" t="n">
        <f aca="false">IF('Food Data'!$AG$21="Beans &amp; lentils",100/'Food Data'!$N$21,0)</f>
        <v>0</v>
      </c>
      <c r="V70" s="25" t="n">
        <f aca="false">IF('Food Data'!$AG$22="Beans &amp; lentils",100/'Food Data'!$N$22,0)</f>
        <v>0.833333333333333</v>
      </c>
      <c r="W70" s="25" t="n">
        <f aca="false">IF('Food Data'!$AG$23="Beans &amp; lentils",100/'Food Data'!$N$23,0)</f>
        <v>0.833333333333333</v>
      </c>
      <c r="X70" s="25" t="n">
        <f aca="false">IF('Food Data'!$AG$24="Beans &amp; lentils",100/'Food Data'!$N$24,0)</f>
        <v>2.08333333333333</v>
      </c>
      <c r="Y70" s="25" t="n">
        <f aca="false">IF('Food Data'!$AG$25="Beans &amp; lentils",100/'Food Data'!$N$25,0)</f>
        <v>0</v>
      </c>
      <c r="Z70" s="25" t="n">
        <f aca="false">IF('Food Data'!$AG$26="Beans &amp; lentils",100/'Food Data'!$N$26,0)</f>
        <v>2.08333333333333</v>
      </c>
      <c r="AA70" s="25" t="n">
        <f aca="false">IF('Food Data'!$AG$27="Beans &amp; lentils",100/'Food Data'!$N$27,0)</f>
        <v>0</v>
      </c>
      <c r="AB70" s="25" t="n">
        <f aca="false">IF('Food Data'!$AG$28="Beans &amp; lentils",100/'Food Data'!$N$28,0)</f>
        <v>0</v>
      </c>
      <c r="AC70" s="25" t="n">
        <f aca="false">IF('Food Data'!$AG$29="Beans &amp; lentils",100/'Food Data'!$N$29,0)</f>
        <v>0</v>
      </c>
      <c r="AD70" s="25" t="n">
        <f aca="false">IF('Food Data'!$AG$30="Beans &amp; lentils",100/'Food Data'!$N$30,0)</f>
        <v>0</v>
      </c>
      <c r="AE70" s="25" t="n">
        <f aca="false">IF('Food Data'!$AG$31="Beans &amp; lentils",100/'Food Data'!$N$31,0)</f>
        <v>0</v>
      </c>
      <c r="AF70" s="25" t="n">
        <f aca="false">IF('Food Data'!$AG$32="Beans &amp; lentils",100/'Food Data'!$N$32,0)</f>
        <v>0</v>
      </c>
      <c r="AG70" s="25" t="n">
        <f aca="false">IF('Food Data'!$AG$33="Beans &amp; lentils",100/'Food Data'!$N$33,0)</f>
        <v>0</v>
      </c>
      <c r="AH70" s="25" t="n">
        <f aca="false">IF('Food Data'!$AG$34="Beans &amp; lentils",100/'Food Data'!$N$34,0)</f>
        <v>0</v>
      </c>
      <c r="AI70" s="25" t="n">
        <f aca="false">IF('Food Data'!$AG$35="Beans &amp; lentils",100/'Food Data'!$N$35,0)</f>
        <v>0</v>
      </c>
      <c r="AJ70" s="25" t="n">
        <f aca="false">IF('Food Data'!$AG$36="Beans &amp; lentils",100/'Food Data'!$N$36,0)</f>
        <v>0</v>
      </c>
      <c r="AK70" s="25" t="n">
        <f aca="false">IF('Food Data'!$AG$37="Beans &amp; lentils",100/'Food Data'!$N$37,0)</f>
        <v>0</v>
      </c>
      <c r="AL70" s="25" t="n">
        <f aca="false">IF('Food Data'!$AG$38="Beans &amp; lentils",100/'Food Data'!$N$38,0)</f>
        <v>0</v>
      </c>
      <c r="AM70" s="25" t="n">
        <f aca="false">IF('Food Data'!$AG$39="Beans &amp; lentils",100/'Food Data'!$N$39,0)</f>
        <v>0</v>
      </c>
      <c r="AN70" s="25" t="n">
        <f aca="false">IF('Food Data'!$AG$40="Beans &amp; lentils",100/'Food Data'!$N$40,0)</f>
        <v>0</v>
      </c>
      <c r="AO70" s="25" t="n">
        <f aca="false">IF('Food Data'!$AG$41="Beans &amp; lentils",100/'Food Data'!$N$41,0)</f>
        <v>0</v>
      </c>
      <c r="AP70" s="25" t="n">
        <f aca="false">IF('Food Data'!$AG$42="Beans &amp; lentils",100/'Food Data'!$N$42,0)</f>
        <v>0</v>
      </c>
      <c r="AQ70" s="25" t="n">
        <f aca="false">IF('Food Data'!$AG$43="Beans &amp; lentils",100/'Food Data'!$N$43,0)</f>
        <v>0</v>
      </c>
      <c r="AR70" s="25" t="n">
        <f aca="false">IF('Food Data'!$AG$44="Beans &amp; lentils",100/'Food Data'!$N$44,0)</f>
        <v>0</v>
      </c>
      <c r="AS70" s="25" t="n">
        <f aca="false">IF('Food Data'!$AG$45="Beans &amp; lentils",100/'Food Data'!$N$45,0)</f>
        <v>0</v>
      </c>
      <c r="AT70" s="25" t="n">
        <f aca="false">IF('Food Data'!$AG$46="Beans &amp; lentils",100/'Food Data'!$N$46,0)</f>
        <v>0</v>
      </c>
      <c r="AU70" s="25" t="n">
        <f aca="false">IF('Food Data'!$AG$47="Beans &amp; lentils",100/'Food Data'!$N$47,0)</f>
        <v>0</v>
      </c>
      <c r="AV70" s="25" t="n">
        <f aca="false">IF('Food Data'!$AG$48="Beans &amp; lentils",100/'Food Data'!$N$48,0)</f>
        <v>0</v>
      </c>
      <c r="AW70" s="25" t="n">
        <f aca="false">IF('Food Data'!$AG$49="Beans &amp; lentils",100/'Food Data'!$N$49,0)</f>
        <v>0</v>
      </c>
      <c r="AX70" s="25" t="n">
        <f aca="false">IF('Food Data'!$AG$50="Beans &amp; lentils",100/'Food Data'!$N$50,0)</f>
        <v>0</v>
      </c>
      <c r="AY70" s="25" t="n">
        <f aca="false">IF('Food Data'!$AG$51="Beans &amp; lentils",100/'Food Data'!$N$51,0)</f>
        <v>0</v>
      </c>
      <c r="AZ70" s="25" t="n">
        <f aca="false">IF('Food Data'!$AG$52="Beans &amp; lentils",100/'Food Data'!$N$52,0)</f>
        <v>0</v>
      </c>
      <c r="BA70" s="25" t="n">
        <f aca="false">IF('Food Data'!$AG$53="Beans &amp; lentils",100/'Food Data'!$N$53,0)</f>
        <v>0</v>
      </c>
      <c r="BB70" s="25" t="n">
        <f aca="false">IF('Food Data'!$AG$54="Beans &amp; lentils",100/'Food Data'!$N$54,0)</f>
        <v>0</v>
      </c>
      <c r="BC70" s="25" t="n">
        <f aca="false">IF('Food Data'!$AG$55="Beans &amp; lentils",100/'Food Data'!$N$55,0)</f>
        <v>0</v>
      </c>
      <c r="BD70" s="25" t="n">
        <f aca="false">IF('Food Data'!$AG$56="Beans &amp; lentils",100/'Food Data'!$N$56,0)</f>
        <v>0</v>
      </c>
      <c r="BE70" s="25" t="n">
        <f aca="false">IF('Food Data'!$AG$57="Beans &amp; lentils",100/'Food Data'!$N$57,0)</f>
        <v>0</v>
      </c>
      <c r="BF70" s="25" t="n">
        <f aca="false">IF('Food Data'!$AG$58="Beans &amp; lentils",100/'Food Data'!$N$58,0)</f>
        <v>0</v>
      </c>
      <c r="BG70" s="25" t="n">
        <f aca="false">IF('Food Data'!$AG$59="Beans &amp; lentils",100/'Food Data'!$N$59,0)</f>
        <v>0</v>
      </c>
      <c r="BH70" s="25" t="n">
        <f aca="false">IF('Food Data'!$AG$60="Beans &amp; lentils",100/'Food Data'!$N$60,0)</f>
        <v>0</v>
      </c>
      <c r="BI70" s="25" t="n">
        <f aca="false">IF('Food Data'!$AG$61="Beans &amp; lentils",100/'Food Data'!$N$61,0)</f>
        <v>0</v>
      </c>
      <c r="BJ70" s="25" t="n">
        <f aca="false">IF('Food Data'!$AG$62="Beans &amp; lentils",100/'Food Data'!$N$62,0)</f>
        <v>0</v>
      </c>
      <c r="BK70" s="25" t="n">
        <f aca="false">IF('Food Data'!$AG$63="Beans &amp; lentils",100/'Food Data'!$N$63,0)</f>
        <v>0</v>
      </c>
      <c r="BL70" s="25" t="n">
        <f aca="false">IF('Food Data'!$AG$64="Beans &amp; lentils",100/'Food Data'!$N$64,0)</f>
        <v>0</v>
      </c>
      <c r="BM70" s="25" t="n">
        <f aca="false">IF('Food Data'!$AG$65="Beans &amp; lentils",100/'Food Data'!$N$65,0)</f>
        <v>0</v>
      </c>
      <c r="BN70" s="25" t="n">
        <f aca="false">IF('Food Data'!$AG$66="Beans &amp; lentils",100/'Food Data'!$N$66,0)</f>
        <v>0</v>
      </c>
      <c r="BO70" s="25" t="n">
        <f aca="false">IF('Food Data'!$AG$67="Beans &amp; lentils",100/'Food Data'!$N$67,0)</f>
        <v>0</v>
      </c>
      <c r="BP70" s="25" t="n">
        <f aca="false">IF('Food Data'!$AG$68="Beans &amp; lentils",100/'Food Data'!$N$68,0)</f>
        <v>0</v>
      </c>
      <c r="BQ70" s="25" t="n">
        <f aca="false">IF('Food Data'!$AG$69="Beans &amp; lentils",100/'Food Data'!$N$69,0)</f>
        <v>0</v>
      </c>
      <c r="BR70" s="25" t="n">
        <f aca="false">IF('Food Data'!$AG$70="Beans &amp; lentils",100/'Food Data'!$N$70,0)</f>
        <v>0</v>
      </c>
      <c r="BS70" s="25" t="n">
        <f aca="false">IF('Food Data'!$AG$71="Beans &amp; lentils",100/'Food Data'!$N$71,0)</f>
        <v>0</v>
      </c>
      <c r="BT70" s="25" t="n">
        <f aca="false">IF('Food Data'!$AG$72="Beans &amp; lentils",100/'Food Data'!$N$72,0)</f>
        <v>0</v>
      </c>
      <c r="BU70" s="25" t="n">
        <f aca="false">IF('Food Data'!$AG$73="Beans &amp; lentils",100/'Food Data'!$N$73,0)</f>
        <v>0</v>
      </c>
      <c r="BV70" s="25" t="n">
        <f aca="false">IF('Food Data'!$AG$74="Beans &amp; lentils",100/'Food Data'!$N$74,0)</f>
        <v>0</v>
      </c>
      <c r="BW70" s="25" t="n">
        <f aca="false">IF('Food Data'!$AG$75="Beans &amp; lentils",100/'Food Data'!$N$75,0)</f>
        <v>0</v>
      </c>
      <c r="BX70" s="25" t="n">
        <f aca="false">IF('Food Data'!$AG$76="Beans &amp; lentils",100/'Food Data'!$N$76,0)</f>
        <v>0</v>
      </c>
    </row>
    <row r="71" customFormat="false" ht="15" hidden="false" customHeight="false" outlineLevel="0" collapsed="false">
      <c r="A71" s="4" t="s">
        <v>661</v>
      </c>
      <c r="B71" s="75" t="s">
        <v>659</v>
      </c>
      <c r="C71" s="76" t="n">
        <f aca="false">Planner!$C$53</f>
        <v>3</v>
      </c>
      <c r="D71" s="77" t="n">
        <v>0</v>
      </c>
      <c r="E71" s="75" t="str">
        <f aca="false">IF(D71&lt;=C71+0.000001*MAX(1,ABS(C71)),IF(ABS(D71-C71)&lt;=0.000001*MAX(1,ABS(C71)),"tight","ok"),"VIOLATED")</f>
        <v>ok</v>
      </c>
      <c r="F71" s="25" t="n">
        <f aca="false">IF('Food Data'!$AG$6="Cheese",100/'Food Data'!$N$6,0)</f>
        <v>0</v>
      </c>
      <c r="G71" s="25" t="n">
        <f aca="false">IF('Food Data'!$AG$7="Cheese",100/'Food Data'!$N$7,0)</f>
        <v>0</v>
      </c>
      <c r="H71" s="25" t="n">
        <f aca="false">IF('Food Data'!$AG$8="Cheese",100/'Food Data'!$N$8,0)</f>
        <v>0</v>
      </c>
      <c r="I71" s="25" t="n">
        <f aca="false">IF('Food Data'!$AG$9="Cheese",100/'Food Data'!$N$9,0)</f>
        <v>0</v>
      </c>
      <c r="J71" s="25" t="n">
        <f aca="false">IF('Food Data'!$AG$10="Cheese",100/'Food Data'!$N$10,0)</f>
        <v>0</v>
      </c>
      <c r="K71" s="25" t="n">
        <f aca="false">IF('Food Data'!$AG$11="Cheese",100/'Food Data'!$N$11,0)</f>
        <v>0</v>
      </c>
      <c r="L71" s="25" t="n">
        <f aca="false">IF('Food Data'!$AG$12="Cheese",100/'Food Data'!$N$12,0)</f>
        <v>0</v>
      </c>
      <c r="M71" s="25" t="n">
        <f aca="false">IF('Food Data'!$AG$13="Cheese",100/'Food Data'!$N$13,0)</f>
        <v>0</v>
      </c>
      <c r="N71" s="25" t="n">
        <f aca="false">IF('Food Data'!$AG$14="Cheese",100/'Food Data'!$N$14,0)</f>
        <v>0</v>
      </c>
      <c r="O71" s="25" t="n">
        <f aca="false">IF('Food Data'!$AG$15="Cheese",100/'Food Data'!$N$15,0)</f>
        <v>0</v>
      </c>
      <c r="P71" s="25" t="n">
        <f aca="false">IF('Food Data'!$AG$16="Cheese",100/'Food Data'!$N$16,0)</f>
        <v>0</v>
      </c>
      <c r="Q71" s="25" t="n">
        <f aca="false">IF('Food Data'!$AG$17="Cheese",100/'Food Data'!$N$17,0)</f>
        <v>0</v>
      </c>
      <c r="R71" s="25" t="n">
        <f aca="false">IF('Food Data'!$AG$18="Cheese",100/'Food Data'!$N$18,0)</f>
        <v>0</v>
      </c>
      <c r="S71" s="25" t="n">
        <f aca="false">IF('Food Data'!$AG$19="Cheese",100/'Food Data'!$N$19,0)</f>
        <v>0</v>
      </c>
      <c r="T71" s="25" t="n">
        <f aca="false">IF('Food Data'!$AG$20="Cheese",100/'Food Data'!$N$20,0)</f>
        <v>0</v>
      </c>
      <c r="U71" s="25" t="n">
        <f aca="false">IF('Food Data'!$AG$21="Cheese",100/'Food Data'!$N$21,0)</f>
        <v>0</v>
      </c>
      <c r="V71" s="25" t="n">
        <f aca="false">IF('Food Data'!$AG$22="Cheese",100/'Food Data'!$N$22,0)</f>
        <v>0</v>
      </c>
      <c r="W71" s="25" t="n">
        <f aca="false">IF('Food Data'!$AG$23="Cheese",100/'Food Data'!$N$23,0)</f>
        <v>0</v>
      </c>
      <c r="X71" s="25" t="n">
        <f aca="false">IF('Food Data'!$AG$24="Cheese",100/'Food Data'!$N$24,0)</f>
        <v>0</v>
      </c>
      <c r="Y71" s="25" t="n">
        <f aca="false">IF('Food Data'!$AG$25="Cheese",100/'Food Data'!$N$25,0)</f>
        <v>0</v>
      </c>
      <c r="Z71" s="25" t="n">
        <f aca="false">IF('Food Data'!$AG$26="Cheese",100/'Food Data'!$N$26,0)</f>
        <v>0</v>
      </c>
      <c r="AA71" s="25" t="n">
        <f aca="false">IF('Food Data'!$AG$27="Cheese",100/'Food Data'!$N$27,0)</f>
        <v>0</v>
      </c>
      <c r="AB71" s="25" t="n">
        <f aca="false">IF('Food Data'!$AG$28="Cheese",100/'Food Data'!$N$28,0)</f>
        <v>0</v>
      </c>
      <c r="AC71" s="25" t="n">
        <f aca="false">IF('Food Data'!$AG$29="Cheese",100/'Food Data'!$N$29,0)</f>
        <v>0</v>
      </c>
      <c r="AD71" s="25" t="n">
        <f aca="false">IF('Food Data'!$AG$30="Cheese",100/'Food Data'!$N$30,0)</f>
        <v>0</v>
      </c>
      <c r="AE71" s="25" t="n">
        <f aca="false">IF('Food Data'!$AG$31="Cheese",100/'Food Data'!$N$31,0)</f>
        <v>0</v>
      </c>
      <c r="AF71" s="25" t="n">
        <f aca="false">IF('Food Data'!$AG$32="Cheese",100/'Food Data'!$N$32,0)</f>
        <v>5.26315789473684</v>
      </c>
      <c r="AG71" s="25" t="n">
        <f aca="false">IF('Food Data'!$AG$33="Cheese",100/'Food Data'!$N$33,0)</f>
        <v>3.57142857142857</v>
      </c>
      <c r="AH71" s="25" t="n">
        <f aca="false">IF('Food Data'!$AG$34="Cheese",100/'Food Data'!$N$34,0)</f>
        <v>0.884955752212389</v>
      </c>
      <c r="AI71" s="25" t="n">
        <f aca="false">IF('Food Data'!$AG$35="Cheese",100/'Food Data'!$N$35,0)</f>
        <v>3.57142857142857</v>
      </c>
      <c r="AJ71" s="25" t="n">
        <f aca="false">IF('Food Data'!$AG$36="Cheese",100/'Food Data'!$N$36,0)</f>
        <v>0</v>
      </c>
      <c r="AK71" s="25" t="n">
        <f aca="false">IF('Food Data'!$AG$37="Cheese",100/'Food Data'!$N$37,0)</f>
        <v>0</v>
      </c>
      <c r="AL71" s="25" t="n">
        <f aca="false">IF('Food Data'!$AG$38="Cheese",100/'Food Data'!$N$38,0)</f>
        <v>0</v>
      </c>
      <c r="AM71" s="25" t="n">
        <f aca="false">IF('Food Data'!$AG$39="Cheese",100/'Food Data'!$N$39,0)</f>
        <v>0</v>
      </c>
      <c r="AN71" s="25" t="n">
        <f aca="false">IF('Food Data'!$AG$40="Cheese",100/'Food Data'!$N$40,0)</f>
        <v>0</v>
      </c>
      <c r="AO71" s="25" t="n">
        <f aca="false">IF('Food Data'!$AG$41="Cheese",100/'Food Data'!$N$41,0)</f>
        <v>0</v>
      </c>
      <c r="AP71" s="25" t="n">
        <f aca="false">IF('Food Data'!$AG$42="Cheese",100/'Food Data'!$N$42,0)</f>
        <v>0</v>
      </c>
      <c r="AQ71" s="25" t="n">
        <f aca="false">IF('Food Data'!$AG$43="Cheese",100/'Food Data'!$N$43,0)</f>
        <v>0</v>
      </c>
      <c r="AR71" s="25" t="n">
        <f aca="false">IF('Food Data'!$AG$44="Cheese",100/'Food Data'!$N$44,0)</f>
        <v>0</v>
      </c>
      <c r="AS71" s="25" t="n">
        <f aca="false">IF('Food Data'!$AG$45="Cheese",100/'Food Data'!$N$45,0)</f>
        <v>0</v>
      </c>
      <c r="AT71" s="25" t="n">
        <f aca="false">IF('Food Data'!$AG$46="Cheese",100/'Food Data'!$N$46,0)</f>
        <v>0</v>
      </c>
      <c r="AU71" s="25" t="n">
        <f aca="false">IF('Food Data'!$AG$47="Cheese",100/'Food Data'!$N$47,0)</f>
        <v>0</v>
      </c>
      <c r="AV71" s="25" t="n">
        <f aca="false">IF('Food Data'!$AG$48="Cheese",100/'Food Data'!$N$48,0)</f>
        <v>0</v>
      </c>
      <c r="AW71" s="25" t="n">
        <f aca="false">IF('Food Data'!$AG$49="Cheese",100/'Food Data'!$N$49,0)</f>
        <v>0</v>
      </c>
      <c r="AX71" s="25" t="n">
        <f aca="false">IF('Food Data'!$AG$50="Cheese",100/'Food Data'!$N$50,0)</f>
        <v>0</v>
      </c>
      <c r="AY71" s="25" t="n">
        <f aca="false">IF('Food Data'!$AG$51="Cheese",100/'Food Data'!$N$51,0)</f>
        <v>0</v>
      </c>
      <c r="AZ71" s="25" t="n">
        <f aca="false">IF('Food Data'!$AG$52="Cheese",100/'Food Data'!$N$52,0)</f>
        <v>0</v>
      </c>
      <c r="BA71" s="25" t="n">
        <f aca="false">IF('Food Data'!$AG$53="Cheese",100/'Food Data'!$N$53,0)</f>
        <v>0</v>
      </c>
      <c r="BB71" s="25" t="n">
        <f aca="false">IF('Food Data'!$AG$54="Cheese",100/'Food Data'!$N$54,0)</f>
        <v>0</v>
      </c>
      <c r="BC71" s="25" t="n">
        <f aca="false">IF('Food Data'!$AG$55="Cheese",100/'Food Data'!$N$55,0)</f>
        <v>0</v>
      </c>
      <c r="BD71" s="25" t="n">
        <f aca="false">IF('Food Data'!$AG$56="Cheese",100/'Food Data'!$N$56,0)</f>
        <v>0</v>
      </c>
      <c r="BE71" s="25" t="n">
        <f aca="false">IF('Food Data'!$AG$57="Cheese",100/'Food Data'!$N$57,0)</f>
        <v>0</v>
      </c>
      <c r="BF71" s="25" t="n">
        <f aca="false">IF('Food Data'!$AG$58="Cheese",100/'Food Data'!$N$58,0)</f>
        <v>0</v>
      </c>
      <c r="BG71" s="25" t="n">
        <f aca="false">IF('Food Data'!$AG$59="Cheese",100/'Food Data'!$N$59,0)</f>
        <v>0</v>
      </c>
      <c r="BH71" s="25" t="n">
        <f aca="false">IF('Food Data'!$AG$60="Cheese",100/'Food Data'!$N$60,0)</f>
        <v>0</v>
      </c>
      <c r="BI71" s="25" t="n">
        <f aca="false">IF('Food Data'!$AG$61="Cheese",100/'Food Data'!$N$61,0)</f>
        <v>0</v>
      </c>
      <c r="BJ71" s="25" t="n">
        <f aca="false">IF('Food Data'!$AG$62="Cheese",100/'Food Data'!$N$62,0)</f>
        <v>0</v>
      </c>
      <c r="BK71" s="25" t="n">
        <f aca="false">IF('Food Data'!$AG$63="Cheese",100/'Food Data'!$N$63,0)</f>
        <v>0</v>
      </c>
      <c r="BL71" s="25" t="n">
        <f aca="false">IF('Food Data'!$AG$64="Cheese",100/'Food Data'!$N$64,0)</f>
        <v>0</v>
      </c>
      <c r="BM71" s="25" t="n">
        <f aca="false">IF('Food Data'!$AG$65="Cheese",100/'Food Data'!$N$65,0)</f>
        <v>0</v>
      </c>
      <c r="BN71" s="25" t="n">
        <f aca="false">IF('Food Data'!$AG$66="Cheese",100/'Food Data'!$N$66,0)</f>
        <v>0</v>
      </c>
      <c r="BO71" s="25" t="n">
        <f aca="false">IF('Food Data'!$AG$67="Cheese",100/'Food Data'!$N$67,0)</f>
        <v>0</v>
      </c>
      <c r="BP71" s="25" t="n">
        <f aca="false">IF('Food Data'!$AG$68="Cheese",100/'Food Data'!$N$68,0)</f>
        <v>0</v>
      </c>
      <c r="BQ71" s="25" t="n">
        <f aca="false">IF('Food Data'!$AG$69="Cheese",100/'Food Data'!$N$69,0)</f>
        <v>0</v>
      </c>
      <c r="BR71" s="25" t="n">
        <f aca="false">IF('Food Data'!$AG$70="Cheese",100/'Food Data'!$N$70,0)</f>
        <v>0</v>
      </c>
      <c r="BS71" s="25" t="n">
        <f aca="false">IF('Food Data'!$AG$71="Cheese",100/'Food Data'!$N$71,0)</f>
        <v>0</v>
      </c>
      <c r="BT71" s="25" t="n">
        <f aca="false">IF('Food Data'!$AG$72="Cheese",100/'Food Data'!$N$72,0)</f>
        <v>0</v>
      </c>
      <c r="BU71" s="25" t="n">
        <f aca="false">IF('Food Data'!$AG$73="Cheese",100/'Food Data'!$N$73,0)</f>
        <v>0</v>
      </c>
      <c r="BV71" s="25" t="n">
        <f aca="false">IF('Food Data'!$AG$74="Cheese",100/'Food Data'!$N$74,0)</f>
        <v>0</v>
      </c>
      <c r="BW71" s="25" t="n">
        <f aca="false">IF('Food Data'!$AG$75="Cheese",100/'Food Data'!$N$75,0)</f>
        <v>0</v>
      </c>
      <c r="BX71" s="25" t="n">
        <f aca="false">IF('Food Data'!$AG$76="Cheese",100/'Food Data'!$N$76,0)</f>
        <v>0</v>
      </c>
    </row>
    <row r="72" customFormat="false" ht="15" hidden="false" customHeight="false" outlineLevel="0" collapsed="false">
      <c r="A72" s="4" t="s">
        <v>662</v>
      </c>
      <c r="B72" s="75" t="s">
        <v>659</v>
      </c>
      <c r="C72" s="76" t="n">
        <f aca="false">Planner!$C$54</f>
        <v>9</v>
      </c>
      <c r="D72" s="77" t="n">
        <v>7.47249284304348</v>
      </c>
      <c r="E72" s="75" t="str">
        <f aca="false">IF(D72&lt;=C72+0.000001*MAX(1,ABS(C72)),IF(ABS(D72-C72)&lt;=0.000001*MAX(1,ABS(C72)),"tight","ok"),"VIOLATED")</f>
        <v>ok</v>
      </c>
      <c r="F72" s="25" t="n">
        <f aca="false">IF('Food Data'!$AG$6="Grains &amp; bread",100/'Food Data'!$N$6,0)</f>
        <v>0</v>
      </c>
      <c r="G72" s="25" t="n">
        <f aca="false">IF('Food Data'!$AG$7="Grains &amp; bread",100/'Food Data'!$N$7,0)</f>
        <v>0</v>
      </c>
      <c r="H72" s="25" t="n">
        <f aca="false">IF('Food Data'!$AG$8="Grains &amp; bread",100/'Food Data'!$N$8,0)</f>
        <v>0</v>
      </c>
      <c r="I72" s="25" t="n">
        <f aca="false">IF('Food Data'!$AG$9="Grains &amp; bread",100/'Food Data'!$N$9,0)</f>
        <v>0</v>
      </c>
      <c r="J72" s="25" t="n">
        <f aca="false">IF('Food Data'!$AG$10="Grains &amp; bread",100/'Food Data'!$N$10,0)</f>
        <v>0</v>
      </c>
      <c r="K72" s="25" t="n">
        <f aca="false">IF('Food Data'!$AG$11="Grains &amp; bread",100/'Food Data'!$N$11,0)</f>
        <v>0</v>
      </c>
      <c r="L72" s="25" t="n">
        <f aca="false">IF('Food Data'!$AG$12="Grains &amp; bread",100/'Food Data'!$N$12,0)</f>
        <v>0</v>
      </c>
      <c r="M72" s="25" t="n">
        <f aca="false">IF('Food Data'!$AG$13="Grains &amp; bread",100/'Food Data'!$N$13,0)</f>
        <v>0</v>
      </c>
      <c r="N72" s="25" t="n">
        <f aca="false">IF('Food Data'!$AG$14="Grains &amp; bread",100/'Food Data'!$N$14,0)</f>
        <v>0</v>
      </c>
      <c r="O72" s="25" t="n">
        <f aca="false">IF('Food Data'!$AG$15="Grains &amp; bread",100/'Food Data'!$N$15,0)</f>
        <v>0</v>
      </c>
      <c r="P72" s="25" t="n">
        <f aca="false">IF('Food Data'!$AG$16="Grains &amp; bread",100/'Food Data'!$N$16,0)</f>
        <v>0</v>
      </c>
      <c r="Q72" s="25" t="n">
        <f aca="false">IF('Food Data'!$AG$17="Grains &amp; bread",100/'Food Data'!$N$17,0)</f>
        <v>0</v>
      </c>
      <c r="R72" s="25" t="n">
        <f aca="false">IF('Food Data'!$AG$18="Grains &amp; bread",100/'Food Data'!$N$18,0)</f>
        <v>0</v>
      </c>
      <c r="S72" s="25" t="n">
        <f aca="false">IF('Food Data'!$AG$19="Grains &amp; bread",100/'Food Data'!$N$19,0)</f>
        <v>0</v>
      </c>
      <c r="T72" s="25" t="n">
        <f aca="false">IF('Food Data'!$AG$20="Grains &amp; bread",100/'Food Data'!$N$20,0)</f>
        <v>0</v>
      </c>
      <c r="U72" s="25" t="n">
        <f aca="false">IF('Food Data'!$AG$21="Grains &amp; bread",100/'Food Data'!$N$21,0)</f>
        <v>0</v>
      </c>
      <c r="V72" s="25" t="n">
        <f aca="false">IF('Food Data'!$AG$22="Grains &amp; bread",100/'Food Data'!$N$22,0)</f>
        <v>0</v>
      </c>
      <c r="W72" s="25" t="n">
        <f aca="false">IF('Food Data'!$AG$23="Grains &amp; bread",100/'Food Data'!$N$23,0)</f>
        <v>0</v>
      </c>
      <c r="X72" s="25" t="n">
        <f aca="false">IF('Food Data'!$AG$24="Grains &amp; bread",100/'Food Data'!$N$24,0)</f>
        <v>0</v>
      </c>
      <c r="Y72" s="25" t="n">
        <f aca="false">IF('Food Data'!$AG$25="Grains &amp; bread",100/'Food Data'!$N$25,0)</f>
        <v>0</v>
      </c>
      <c r="Z72" s="25" t="n">
        <f aca="false">IF('Food Data'!$AG$26="Grains &amp; bread",100/'Food Data'!$N$26,0)</f>
        <v>0</v>
      </c>
      <c r="AA72" s="25" t="n">
        <f aca="false">IF('Food Data'!$AG$27="Grains &amp; bread",100/'Food Data'!$N$27,0)</f>
        <v>0</v>
      </c>
      <c r="AB72" s="25" t="n">
        <f aca="false">IF('Food Data'!$AG$28="Grains &amp; bread",100/'Food Data'!$N$28,0)</f>
        <v>0</v>
      </c>
      <c r="AC72" s="25" t="n">
        <f aca="false">IF('Food Data'!$AG$29="Grains &amp; bread",100/'Food Data'!$N$29,0)</f>
        <v>0</v>
      </c>
      <c r="AD72" s="25" t="n">
        <f aca="false">IF('Food Data'!$AG$30="Grains &amp; bread",100/'Food Data'!$N$30,0)</f>
        <v>0</v>
      </c>
      <c r="AE72" s="25" t="n">
        <f aca="false">IF('Food Data'!$AG$31="Grains &amp; bread",100/'Food Data'!$N$31,0)</f>
        <v>0</v>
      </c>
      <c r="AF72" s="25" t="n">
        <f aca="false">IF('Food Data'!$AG$32="Grains &amp; bread",100/'Food Data'!$N$32,0)</f>
        <v>0</v>
      </c>
      <c r="AG72" s="25" t="n">
        <f aca="false">IF('Food Data'!$AG$33="Grains &amp; bread",100/'Food Data'!$N$33,0)</f>
        <v>0</v>
      </c>
      <c r="AH72" s="25" t="n">
        <f aca="false">IF('Food Data'!$AG$34="Grains &amp; bread",100/'Food Data'!$N$34,0)</f>
        <v>0</v>
      </c>
      <c r="AI72" s="25" t="n">
        <f aca="false">IF('Food Data'!$AG$35="Grains &amp; bread",100/'Food Data'!$N$35,0)</f>
        <v>0</v>
      </c>
      <c r="AJ72" s="25" t="n">
        <f aca="false">IF('Food Data'!$AG$36="Grains &amp; bread",100/'Food Data'!$N$36,0)</f>
        <v>1.06382978723404</v>
      </c>
      <c r="AK72" s="25" t="n">
        <f aca="false">IF('Food Data'!$AG$37="Grains &amp; bread",100/'Food Data'!$N$37,0)</f>
        <v>2.17391304347826</v>
      </c>
      <c r="AL72" s="25" t="n">
        <f aca="false">IF('Food Data'!$AG$38="Grains &amp; bread",100/'Food Data'!$N$38,0)</f>
        <v>3.57142857142857</v>
      </c>
      <c r="AM72" s="25" t="n">
        <f aca="false">IF('Food Data'!$AG$39="Grains &amp; bread",100/'Food Data'!$N$39,0)</f>
        <v>3.84615384615385</v>
      </c>
      <c r="AN72" s="25" t="n">
        <f aca="false">IF('Food Data'!$AG$40="Grains &amp; bread",100/'Food Data'!$N$40,0)</f>
        <v>2.22222222222222</v>
      </c>
      <c r="AO72" s="25" t="n">
        <f aca="false">IF('Food Data'!$AG$41="Grains &amp; bread",100/'Food Data'!$N$41,0)</f>
        <v>2.32558139534884</v>
      </c>
      <c r="AP72" s="25" t="n">
        <f aca="false">IF('Food Data'!$AG$42="Grains &amp; bread",100/'Food Data'!$N$42,0)</f>
        <v>2.5</v>
      </c>
      <c r="AQ72" s="25" t="n">
        <f aca="false">IF('Food Data'!$AG$43="Grains &amp; bread",100/'Food Data'!$N$43,0)</f>
        <v>1.75438596491228</v>
      </c>
      <c r="AR72" s="25" t="n">
        <f aca="false">IF('Food Data'!$AG$44="Grains &amp; bread",100/'Food Data'!$N$44,0)</f>
        <v>3.57142857142857</v>
      </c>
      <c r="AS72" s="25" t="n">
        <f aca="false">IF('Food Data'!$AG$45="Grains &amp; bread",100/'Food Data'!$N$45,0)</f>
        <v>2.17391304347826</v>
      </c>
      <c r="AT72" s="25" t="n">
        <f aca="false">IF('Food Data'!$AG$46="Grains &amp; bread",100/'Food Data'!$N$46,0)</f>
        <v>3.125</v>
      </c>
      <c r="AU72" s="25" t="n">
        <f aca="false">IF('Food Data'!$AG$47="Grains &amp; bread",100/'Food Data'!$N$47,0)</f>
        <v>1.75438596491228</v>
      </c>
      <c r="AV72" s="25" t="n">
        <f aca="false">IF('Food Data'!$AG$48="Grains &amp; bread",100/'Food Data'!$N$48,0)</f>
        <v>0</v>
      </c>
      <c r="AW72" s="25" t="n">
        <f aca="false">IF('Food Data'!$AG$49="Grains &amp; bread",100/'Food Data'!$N$49,0)</f>
        <v>0</v>
      </c>
      <c r="AX72" s="25" t="n">
        <f aca="false">IF('Food Data'!$AG$50="Grains &amp; bread",100/'Food Data'!$N$50,0)</f>
        <v>0</v>
      </c>
      <c r="AY72" s="25" t="n">
        <f aca="false">IF('Food Data'!$AG$51="Grains &amp; bread",100/'Food Data'!$N$51,0)</f>
        <v>0</v>
      </c>
      <c r="AZ72" s="25" t="n">
        <f aca="false">IF('Food Data'!$AG$52="Grains &amp; bread",100/'Food Data'!$N$52,0)</f>
        <v>0</v>
      </c>
      <c r="BA72" s="25" t="n">
        <f aca="false">IF('Food Data'!$AG$53="Grains &amp; bread",100/'Food Data'!$N$53,0)</f>
        <v>0</v>
      </c>
      <c r="BB72" s="25" t="n">
        <f aca="false">IF('Food Data'!$AG$54="Grains &amp; bread",100/'Food Data'!$N$54,0)</f>
        <v>0</v>
      </c>
      <c r="BC72" s="25" t="n">
        <f aca="false">IF('Food Data'!$AG$55="Grains &amp; bread",100/'Food Data'!$N$55,0)</f>
        <v>0</v>
      </c>
      <c r="BD72" s="25" t="n">
        <f aca="false">IF('Food Data'!$AG$56="Grains &amp; bread",100/'Food Data'!$N$56,0)</f>
        <v>0</v>
      </c>
      <c r="BE72" s="25" t="n">
        <f aca="false">IF('Food Data'!$AG$57="Grains &amp; bread",100/'Food Data'!$N$57,0)</f>
        <v>0</v>
      </c>
      <c r="BF72" s="25" t="n">
        <f aca="false">IF('Food Data'!$AG$58="Grains &amp; bread",100/'Food Data'!$N$58,0)</f>
        <v>0</v>
      </c>
      <c r="BG72" s="25" t="n">
        <f aca="false">IF('Food Data'!$AG$59="Grains &amp; bread",100/'Food Data'!$N$59,0)</f>
        <v>0</v>
      </c>
      <c r="BH72" s="25" t="n">
        <f aca="false">IF('Food Data'!$AG$60="Grains &amp; bread",100/'Food Data'!$N$60,0)</f>
        <v>0</v>
      </c>
      <c r="BI72" s="25" t="n">
        <f aca="false">IF('Food Data'!$AG$61="Grains &amp; bread",100/'Food Data'!$N$61,0)</f>
        <v>0</v>
      </c>
      <c r="BJ72" s="25" t="n">
        <f aca="false">IF('Food Data'!$AG$62="Grains &amp; bread",100/'Food Data'!$N$62,0)</f>
        <v>0</v>
      </c>
      <c r="BK72" s="25" t="n">
        <f aca="false">IF('Food Data'!$AG$63="Grains &amp; bread",100/'Food Data'!$N$63,0)</f>
        <v>0</v>
      </c>
      <c r="BL72" s="25" t="n">
        <f aca="false">IF('Food Data'!$AG$64="Grains &amp; bread",100/'Food Data'!$N$64,0)</f>
        <v>0</v>
      </c>
      <c r="BM72" s="25" t="n">
        <f aca="false">IF('Food Data'!$AG$65="Grains &amp; bread",100/'Food Data'!$N$65,0)</f>
        <v>0</v>
      </c>
      <c r="BN72" s="25" t="n">
        <f aca="false">IF('Food Data'!$AG$66="Grains &amp; bread",100/'Food Data'!$N$66,0)</f>
        <v>0</v>
      </c>
      <c r="BO72" s="25" t="n">
        <f aca="false">IF('Food Data'!$AG$67="Grains &amp; bread",100/'Food Data'!$N$67,0)</f>
        <v>0</v>
      </c>
      <c r="BP72" s="25" t="n">
        <f aca="false">IF('Food Data'!$AG$68="Grains &amp; bread",100/'Food Data'!$N$68,0)</f>
        <v>0</v>
      </c>
      <c r="BQ72" s="25" t="n">
        <f aca="false">IF('Food Data'!$AG$69="Grains &amp; bread",100/'Food Data'!$N$69,0)</f>
        <v>0</v>
      </c>
      <c r="BR72" s="25" t="n">
        <f aca="false">IF('Food Data'!$AG$70="Grains &amp; bread",100/'Food Data'!$N$70,0)</f>
        <v>0</v>
      </c>
      <c r="BS72" s="25" t="n">
        <f aca="false">IF('Food Data'!$AG$71="Grains &amp; bread",100/'Food Data'!$N$71,0)</f>
        <v>0</v>
      </c>
      <c r="BT72" s="25" t="n">
        <f aca="false">IF('Food Data'!$AG$72="Grains &amp; bread",100/'Food Data'!$N$72,0)</f>
        <v>0</v>
      </c>
      <c r="BU72" s="25" t="n">
        <f aca="false">IF('Food Data'!$AG$73="Grains &amp; bread",100/'Food Data'!$N$73,0)</f>
        <v>0</v>
      </c>
      <c r="BV72" s="25" t="n">
        <f aca="false">IF('Food Data'!$AG$74="Grains &amp; bread",100/'Food Data'!$N$74,0)</f>
        <v>0</v>
      </c>
      <c r="BW72" s="25" t="n">
        <f aca="false">IF('Food Data'!$AG$75="Grains &amp; bread",100/'Food Data'!$N$75,0)</f>
        <v>0</v>
      </c>
      <c r="BX72" s="25" t="n">
        <f aca="false">IF('Food Data'!$AG$76="Grains &amp; bread",100/'Food Data'!$N$76,0)</f>
        <v>0</v>
      </c>
    </row>
    <row r="73" customFormat="false" ht="15" hidden="false" customHeight="false" outlineLevel="0" collapsed="false">
      <c r="A73" s="4" t="s">
        <v>663</v>
      </c>
      <c r="B73" s="75" t="s">
        <v>659</v>
      </c>
      <c r="C73" s="76" t="n">
        <f aca="false">Planner!$C$55</f>
        <v>4</v>
      </c>
      <c r="D73" s="77" t="n">
        <v>0.14730065</v>
      </c>
      <c r="E73" s="75" t="str">
        <f aca="false">IF(D73&lt;=C73+0.000001*MAX(1,ABS(C73)),IF(ABS(D73-C73)&lt;=0.000001*MAX(1,ABS(C73)),"tight","ok"),"VIOLATED")</f>
        <v>ok</v>
      </c>
      <c r="F73" s="25" t="n">
        <f aca="false">IF('Food Data'!$AG$6="Oils &amp; butter",100/'Food Data'!$N$6,0)</f>
        <v>0</v>
      </c>
      <c r="G73" s="25" t="n">
        <f aca="false">IF('Food Data'!$AG$7="Oils &amp; butter",100/'Food Data'!$N$7,0)</f>
        <v>0</v>
      </c>
      <c r="H73" s="25" t="n">
        <f aca="false">IF('Food Data'!$AG$8="Oils &amp; butter",100/'Food Data'!$N$8,0)</f>
        <v>0</v>
      </c>
      <c r="I73" s="25" t="n">
        <f aca="false">IF('Food Data'!$AG$9="Oils &amp; butter",100/'Food Data'!$N$9,0)</f>
        <v>0</v>
      </c>
      <c r="J73" s="25" t="n">
        <f aca="false">IF('Food Data'!$AG$10="Oils &amp; butter",100/'Food Data'!$N$10,0)</f>
        <v>0</v>
      </c>
      <c r="K73" s="25" t="n">
        <f aca="false">IF('Food Data'!$AG$11="Oils &amp; butter",100/'Food Data'!$N$11,0)</f>
        <v>0</v>
      </c>
      <c r="L73" s="25" t="n">
        <f aca="false">IF('Food Data'!$AG$12="Oils &amp; butter",100/'Food Data'!$N$12,0)</f>
        <v>0</v>
      </c>
      <c r="M73" s="25" t="n">
        <f aca="false">IF('Food Data'!$AG$13="Oils &amp; butter",100/'Food Data'!$N$13,0)</f>
        <v>0</v>
      </c>
      <c r="N73" s="25" t="n">
        <f aca="false">IF('Food Data'!$AG$14="Oils &amp; butter",100/'Food Data'!$N$14,0)</f>
        <v>0</v>
      </c>
      <c r="O73" s="25" t="n">
        <f aca="false">IF('Food Data'!$AG$15="Oils &amp; butter",100/'Food Data'!$N$15,0)</f>
        <v>0</v>
      </c>
      <c r="P73" s="25" t="n">
        <f aca="false">IF('Food Data'!$AG$16="Oils &amp; butter",100/'Food Data'!$N$16,0)</f>
        <v>0</v>
      </c>
      <c r="Q73" s="25" t="n">
        <f aca="false">IF('Food Data'!$AG$17="Oils &amp; butter",100/'Food Data'!$N$17,0)</f>
        <v>0</v>
      </c>
      <c r="R73" s="25" t="n">
        <f aca="false">IF('Food Data'!$AG$18="Oils &amp; butter",100/'Food Data'!$N$18,0)</f>
        <v>0</v>
      </c>
      <c r="S73" s="25" t="n">
        <f aca="false">IF('Food Data'!$AG$19="Oils &amp; butter",100/'Food Data'!$N$19,0)</f>
        <v>0</v>
      </c>
      <c r="T73" s="25" t="n">
        <f aca="false">IF('Food Data'!$AG$20="Oils &amp; butter",100/'Food Data'!$N$20,0)</f>
        <v>0</v>
      </c>
      <c r="U73" s="25" t="n">
        <f aca="false">IF('Food Data'!$AG$21="Oils &amp; butter",100/'Food Data'!$N$21,0)</f>
        <v>0</v>
      </c>
      <c r="V73" s="25" t="n">
        <f aca="false">IF('Food Data'!$AG$22="Oils &amp; butter",100/'Food Data'!$N$22,0)</f>
        <v>0</v>
      </c>
      <c r="W73" s="25" t="n">
        <f aca="false">IF('Food Data'!$AG$23="Oils &amp; butter",100/'Food Data'!$N$23,0)</f>
        <v>0</v>
      </c>
      <c r="X73" s="25" t="n">
        <f aca="false">IF('Food Data'!$AG$24="Oils &amp; butter",100/'Food Data'!$N$24,0)</f>
        <v>0</v>
      </c>
      <c r="Y73" s="25" t="n">
        <f aca="false">IF('Food Data'!$AG$25="Oils &amp; butter",100/'Food Data'!$N$25,0)</f>
        <v>0</v>
      </c>
      <c r="Z73" s="25" t="n">
        <f aca="false">IF('Food Data'!$AG$26="Oils &amp; butter",100/'Food Data'!$N$26,0)</f>
        <v>0</v>
      </c>
      <c r="AA73" s="25" t="n">
        <f aca="false">IF('Food Data'!$AG$27="Oils &amp; butter",100/'Food Data'!$N$27,0)</f>
        <v>0</v>
      </c>
      <c r="AB73" s="25" t="n">
        <f aca="false">IF('Food Data'!$AG$28="Oils &amp; butter",100/'Food Data'!$N$28,0)</f>
        <v>0</v>
      </c>
      <c r="AC73" s="25" t="n">
        <f aca="false">IF('Food Data'!$AG$29="Oils &amp; butter",100/'Food Data'!$N$29,0)</f>
        <v>0</v>
      </c>
      <c r="AD73" s="25" t="n">
        <f aca="false">IF('Food Data'!$AG$30="Oils &amp; butter",100/'Food Data'!$N$30,0)</f>
        <v>0</v>
      </c>
      <c r="AE73" s="25" t="n">
        <f aca="false">IF('Food Data'!$AG$31="Oils &amp; butter",100/'Food Data'!$N$31,0)</f>
        <v>0</v>
      </c>
      <c r="AF73" s="25" t="n">
        <f aca="false">IF('Food Data'!$AG$32="Oils &amp; butter",100/'Food Data'!$N$32,0)</f>
        <v>0</v>
      </c>
      <c r="AG73" s="25" t="n">
        <f aca="false">IF('Food Data'!$AG$33="Oils &amp; butter",100/'Food Data'!$N$33,0)</f>
        <v>0</v>
      </c>
      <c r="AH73" s="25" t="n">
        <f aca="false">IF('Food Data'!$AG$34="Oils &amp; butter",100/'Food Data'!$N$34,0)</f>
        <v>0</v>
      </c>
      <c r="AI73" s="25" t="n">
        <f aca="false">IF('Food Data'!$AG$35="Oils &amp; butter",100/'Food Data'!$N$35,0)</f>
        <v>0</v>
      </c>
      <c r="AJ73" s="25" t="n">
        <f aca="false">IF('Food Data'!$AG$36="Oils &amp; butter",100/'Food Data'!$N$36,0)</f>
        <v>0</v>
      </c>
      <c r="AK73" s="25" t="n">
        <f aca="false">IF('Food Data'!$AG$37="Oils &amp; butter",100/'Food Data'!$N$37,0)</f>
        <v>0</v>
      </c>
      <c r="AL73" s="25" t="n">
        <f aca="false">IF('Food Data'!$AG$38="Oils &amp; butter",100/'Food Data'!$N$38,0)</f>
        <v>0</v>
      </c>
      <c r="AM73" s="25" t="n">
        <f aca="false">IF('Food Data'!$AG$39="Oils &amp; butter",100/'Food Data'!$N$39,0)</f>
        <v>0</v>
      </c>
      <c r="AN73" s="25" t="n">
        <f aca="false">IF('Food Data'!$AG$40="Oils &amp; butter",100/'Food Data'!$N$40,0)</f>
        <v>0</v>
      </c>
      <c r="AO73" s="25" t="n">
        <f aca="false">IF('Food Data'!$AG$41="Oils &amp; butter",100/'Food Data'!$N$41,0)</f>
        <v>0</v>
      </c>
      <c r="AP73" s="25" t="n">
        <f aca="false">IF('Food Data'!$AG$42="Oils &amp; butter",100/'Food Data'!$N$42,0)</f>
        <v>0</v>
      </c>
      <c r="AQ73" s="25" t="n">
        <f aca="false">IF('Food Data'!$AG$43="Oils &amp; butter",100/'Food Data'!$N$43,0)</f>
        <v>0</v>
      </c>
      <c r="AR73" s="25" t="n">
        <f aca="false">IF('Food Data'!$AG$44="Oils &amp; butter",100/'Food Data'!$N$44,0)</f>
        <v>0</v>
      </c>
      <c r="AS73" s="25" t="n">
        <f aca="false">IF('Food Data'!$AG$45="Oils &amp; butter",100/'Food Data'!$N$45,0)</f>
        <v>0</v>
      </c>
      <c r="AT73" s="25" t="n">
        <f aca="false">IF('Food Data'!$AG$46="Oils &amp; butter",100/'Food Data'!$N$46,0)</f>
        <v>0</v>
      </c>
      <c r="AU73" s="25" t="n">
        <f aca="false">IF('Food Data'!$AG$47="Oils &amp; butter",100/'Food Data'!$N$47,0)</f>
        <v>0</v>
      </c>
      <c r="AV73" s="25" t="n">
        <f aca="false">IF('Food Data'!$AG$48="Oils &amp; butter",100/'Food Data'!$N$48,0)</f>
        <v>0</v>
      </c>
      <c r="AW73" s="25" t="n">
        <f aca="false">IF('Food Data'!$AG$49="Oils &amp; butter",100/'Food Data'!$N$49,0)</f>
        <v>0</v>
      </c>
      <c r="AX73" s="25" t="n">
        <f aca="false">IF('Food Data'!$AG$50="Oils &amp; butter",100/'Food Data'!$N$50,0)</f>
        <v>0</v>
      </c>
      <c r="AY73" s="25" t="n">
        <f aca="false">IF('Food Data'!$AG$51="Oils &amp; butter",100/'Food Data'!$N$51,0)</f>
        <v>0</v>
      </c>
      <c r="AZ73" s="25" t="n">
        <f aca="false">IF('Food Data'!$AG$52="Oils &amp; butter",100/'Food Data'!$N$52,0)</f>
        <v>0</v>
      </c>
      <c r="BA73" s="25" t="n">
        <f aca="false">IF('Food Data'!$AG$53="Oils &amp; butter",100/'Food Data'!$N$53,0)</f>
        <v>0</v>
      </c>
      <c r="BB73" s="25" t="n">
        <f aca="false">IF('Food Data'!$AG$54="Oils &amp; butter",100/'Food Data'!$N$54,0)</f>
        <v>0</v>
      </c>
      <c r="BC73" s="25" t="n">
        <f aca="false">IF('Food Data'!$AG$55="Oils &amp; butter",100/'Food Data'!$N$55,0)</f>
        <v>0</v>
      </c>
      <c r="BD73" s="25" t="n">
        <f aca="false">IF('Food Data'!$AG$56="Oils &amp; butter",100/'Food Data'!$N$56,0)</f>
        <v>0</v>
      </c>
      <c r="BE73" s="25" t="n">
        <f aca="false">IF('Food Data'!$AG$57="Oils &amp; butter",100/'Food Data'!$N$57,0)</f>
        <v>0</v>
      </c>
      <c r="BF73" s="25" t="n">
        <f aca="false">IF('Food Data'!$AG$58="Oils &amp; butter",100/'Food Data'!$N$58,0)</f>
        <v>0</v>
      </c>
      <c r="BG73" s="25" t="n">
        <f aca="false">IF('Food Data'!$AG$59="Oils &amp; butter",100/'Food Data'!$N$59,0)</f>
        <v>0</v>
      </c>
      <c r="BH73" s="25" t="n">
        <f aca="false">IF('Food Data'!$AG$60="Oils &amp; butter",100/'Food Data'!$N$60,0)</f>
        <v>0</v>
      </c>
      <c r="BI73" s="25" t="n">
        <f aca="false">IF('Food Data'!$AG$61="Oils &amp; butter",100/'Food Data'!$N$61,0)</f>
        <v>0</v>
      </c>
      <c r="BJ73" s="25" t="n">
        <f aca="false">IF('Food Data'!$AG$62="Oils &amp; butter",100/'Food Data'!$N$62,0)</f>
        <v>0</v>
      </c>
      <c r="BK73" s="25" t="n">
        <f aca="false">IF('Food Data'!$AG$63="Oils &amp; butter",100/'Food Data'!$N$63,0)</f>
        <v>0</v>
      </c>
      <c r="BL73" s="25" t="n">
        <f aca="false">IF('Food Data'!$AG$64="Oils &amp; butter",100/'Food Data'!$N$64,0)</f>
        <v>0</v>
      </c>
      <c r="BM73" s="25" t="n">
        <f aca="false">IF('Food Data'!$AG$65="Oils &amp; butter",100/'Food Data'!$N$65,0)</f>
        <v>0</v>
      </c>
      <c r="BN73" s="25" t="n">
        <f aca="false">IF('Food Data'!$AG$66="Oils &amp; butter",100/'Food Data'!$N$66,0)</f>
        <v>0</v>
      </c>
      <c r="BO73" s="25" t="n">
        <f aca="false">IF('Food Data'!$AG$67="Oils &amp; butter",100/'Food Data'!$N$67,0)</f>
        <v>0</v>
      </c>
      <c r="BP73" s="25" t="n">
        <f aca="false">IF('Food Data'!$AG$68="Oils &amp; butter",100/'Food Data'!$N$68,0)</f>
        <v>7.04225352112676</v>
      </c>
      <c r="BQ73" s="25" t="n">
        <f aca="false">IF('Food Data'!$AG$69="Oils &amp; butter",100/'Food Data'!$N$69,0)</f>
        <v>7.14285714285714</v>
      </c>
      <c r="BR73" s="25" t="n">
        <f aca="false">IF('Food Data'!$AG$70="Oils &amp; butter",100/'Food Data'!$N$70,0)</f>
        <v>7.40740740740741</v>
      </c>
      <c r="BS73" s="25" t="n">
        <f aca="false">IF('Food Data'!$AG$71="Oils &amp; butter",100/'Food Data'!$N$71,0)</f>
        <v>0</v>
      </c>
      <c r="BT73" s="25" t="n">
        <f aca="false">IF('Food Data'!$AG$72="Oils &amp; butter",100/'Food Data'!$N$72,0)</f>
        <v>0</v>
      </c>
      <c r="BU73" s="25" t="n">
        <f aca="false">IF('Food Data'!$AG$73="Oils &amp; butter",100/'Food Data'!$N$73,0)</f>
        <v>0</v>
      </c>
      <c r="BV73" s="25" t="n">
        <f aca="false">IF('Food Data'!$AG$74="Oils &amp; butter",100/'Food Data'!$N$74,0)</f>
        <v>0</v>
      </c>
      <c r="BW73" s="25" t="n">
        <f aca="false">IF('Food Data'!$AG$75="Oils &amp; butter",100/'Food Data'!$N$75,0)</f>
        <v>0</v>
      </c>
      <c r="BX73" s="25" t="n">
        <f aca="false">IF('Food Data'!$AG$76="Oils &amp; butter",100/'Food Data'!$N$76,0)</f>
        <v>0</v>
      </c>
    </row>
    <row r="74" customFormat="false" ht="15" hidden="false" customHeight="false" outlineLevel="0" collapsed="false">
      <c r="A74" s="4" t="s">
        <v>664</v>
      </c>
      <c r="B74" s="75" t="s">
        <v>659</v>
      </c>
      <c r="C74" s="76" t="n">
        <f aca="false">Planner!$C$56</f>
        <v>2</v>
      </c>
      <c r="D74" s="77" t="n">
        <v>0</v>
      </c>
      <c r="E74" s="75" t="str">
        <f aca="false">IF(D74&lt;=C74+0.000001*MAX(1,ABS(C74)),IF(ABS(D74-C74)&lt;=0.000001*MAX(1,ABS(C74)),"tight","ok"),"VIOLATED")</f>
        <v>ok</v>
      </c>
      <c r="F74" s="25" t="n">
        <f aca="false">IF('Food Data'!$AG$6="Snacks &amp; sweets",100/'Food Data'!$N$6,0)</f>
        <v>0</v>
      </c>
      <c r="G74" s="25" t="n">
        <f aca="false">IF('Food Data'!$AG$7="Snacks &amp; sweets",100/'Food Data'!$N$7,0)</f>
        <v>0</v>
      </c>
      <c r="H74" s="25" t="n">
        <f aca="false">IF('Food Data'!$AG$8="Snacks &amp; sweets",100/'Food Data'!$N$8,0)</f>
        <v>0</v>
      </c>
      <c r="I74" s="25" t="n">
        <f aca="false">IF('Food Data'!$AG$9="Snacks &amp; sweets",100/'Food Data'!$N$9,0)</f>
        <v>0</v>
      </c>
      <c r="J74" s="25" t="n">
        <f aca="false">IF('Food Data'!$AG$10="Snacks &amp; sweets",100/'Food Data'!$N$10,0)</f>
        <v>0</v>
      </c>
      <c r="K74" s="25" t="n">
        <f aca="false">IF('Food Data'!$AG$11="Snacks &amp; sweets",100/'Food Data'!$N$11,0)</f>
        <v>0</v>
      </c>
      <c r="L74" s="25" t="n">
        <f aca="false">IF('Food Data'!$AG$12="Snacks &amp; sweets",100/'Food Data'!$N$12,0)</f>
        <v>0</v>
      </c>
      <c r="M74" s="25" t="n">
        <f aca="false">IF('Food Data'!$AG$13="Snacks &amp; sweets",100/'Food Data'!$N$13,0)</f>
        <v>0</v>
      </c>
      <c r="N74" s="25" t="n">
        <f aca="false">IF('Food Data'!$AG$14="Snacks &amp; sweets",100/'Food Data'!$N$14,0)</f>
        <v>0</v>
      </c>
      <c r="O74" s="25" t="n">
        <f aca="false">IF('Food Data'!$AG$15="Snacks &amp; sweets",100/'Food Data'!$N$15,0)</f>
        <v>0</v>
      </c>
      <c r="P74" s="25" t="n">
        <f aca="false">IF('Food Data'!$AG$16="Snacks &amp; sweets",100/'Food Data'!$N$16,0)</f>
        <v>0</v>
      </c>
      <c r="Q74" s="25" t="n">
        <f aca="false">IF('Food Data'!$AG$17="Snacks &amp; sweets",100/'Food Data'!$N$17,0)</f>
        <v>0</v>
      </c>
      <c r="R74" s="25" t="n">
        <f aca="false">IF('Food Data'!$AG$18="Snacks &amp; sweets",100/'Food Data'!$N$18,0)</f>
        <v>0</v>
      </c>
      <c r="S74" s="25" t="n">
        <f aca="false">IF('Food Data'!$AG$19="Snacks &amp; sweets",100/'Food Data'!$N$19,0)</f>
        <v>0</v>
      </c>
      <c r="T74" s="25" t="n">
        <f aca="false">IF('Food Data'!$AG$20="Snacks &amp; sweets",100/'Food Data'!$N$20,0)</f>
        <v>0</v>
      </c>
      <c r="U74" s="25" t="n">
        <f aca="false">IF('Food Data'!$AG$21="Snacks &amp; sweets",100/'Food Data'!$N$21,0)</f>
        <v>0</v>
      </c>
      <c r="V74" s="25" t="n">
        <f aca="false">IF('Food Data'!$AG$22="Snacks &amp; sweets",100/'Food Data'!$N$22,0)</f>
        <v>0</v>
      </c>
      <c r="W74" s="25" t="n">
        <f aca="false">IF('Food Data'!$AG$23="Snacks &amp; sweets",100/'Food Data'!$N$23,0)</f>
        <v>0</v>
      </c>
      <c r="X74" s="25" t="n">
        <f aca="false">IF('Food Data'!$AG$24="Snacks &amp; sweets",100/'Food Data'!$N$24,0)</f>
        <v>0</v>
      </c>
      <c r="Y74" s="25" t="n">
        <f aca="false">IF('Food Data'!$AG$25="Snacks &amp; sweets",100/'Food Data'!$N$25,0)</f>
        <v>0</v>
      </c>
      <c r="Z74" s="25" t="n">
        <f aca="false">IF('Food Data'!$AG$26="Snacks &amp; sweets",100/'Food Data'!$N$26,0)</f>
        <v>0</v>
      </c>
      <c r="AA74" s="25" t="n">
        <f aca="false">IF('Food Data'!$AG$27="Snacks &amp; sweets",100/'Food Data'!$N$27,0)</f>
        <v>0</v>
      </c>
      <c r="AB74" s="25" t="n">
        <f aca="false">IF('Food Data'!$AG$28="Snacks &amp; sweets",100/'Food Data'!$N$28,0)</f>
        <v>0</v>
      </c>
      <c r="AC74" s="25" t="n">
        <f aca="false">IF('Food Data'!$AG$29="Snacks &amp; sweets",100/'Food Data'!$N$29,0)</f>
        <v>0</v>
      </c>
      <c r="AD74" s="25" t="n">
        <f aca="false">IF('Food Data'!$AG$30="Snacks &amp; sweets",100/'Food Data'!$N$30,0)</f>
        <v>0</v>
      </c>
      <c r="AE74" s="25" t="n">
        <f aca="false">IF('Food Data'!$AG$31="Snacks &amp; sweets",100/'Food Data'!$N$31,0)</f>
        <v>0</v>
      </c>
      <c r="AF74" s="25" t="n">
        <f aca="false">IF('Food Data'!$AG$32="Snacks &amp; sweets",100/'Food Data'!$N$32,0)</f>
        <v>0</v>
      </c>
      <c r="AG74" s="25" t="n">
        <f aca="false">IF('Food Data'!$AG$33="Snacks &amp; sweets",100/'Food Data'!$N$33,0)</f>
        <v>0</v>
      </c>
      <c r="AH74" s="25" t="n">
        <f aca="false">IF('Food Data'!$AG$34="Snacks &amp; sweets",100/'Food Data'!$N$34,0)</f>
        <v>0</v>
      </c>
      <c r="AI74" s="25" t="n">
        <f aca="false">IF('Food Data'!$AG$35="Snacks &amp; sweets",100/'Food Data'!$N$35,0)</f>
        <v>0</v>
      </c>
      <c r="AJ74" s="25" t="n">
        <f aca="false">IF('Food Data'!$AG$36="Snacks &amp; sweets",100/'Food Data'!$N$36,0)</f>
        <v>0</v>
      </c>
      <c r="AK74" s="25" t="n">
        <f aca="false">IF('Food Data'!$AG$37="Snacks &amp; sweets",100/'Food Data'!$N$37,0)</f>
        <v>0</v>
      </c>
      <c r="AL74" s="25" t="n">
        <f aca="false">IF('Food Data'!$AG$38="Snacks &amp; sweets",100/'Food Data'!$N$38,0)</f>
        <v>0</v>
      </c>
      <c r="AM74" s="25" t="n">
        <f aca="false">IF('Food Data'!$AG$39="Snacks &amp; sweets",100/'Food Data'!$N$39,0)</f>
        <v>0</v>
      </c>
      <c r="AN74" s="25" t="n">
        <f aca="false">IF('Food Data'!$AG$40="Snacks &amp; sweets",100/'Food Data'!$N$40,0)</f>
        <v>0</v>
      </c>
      <c r="AO74" s="25" t="n">
        <f aca="false">IF('Food Data'!$AG$41="Snacks &amp; sweets",100/'Food Data'!$N$41,0)</f>
        <v>0</v>
      </c>
      <c r="AP74" s="25" t="n">
        <f aca="false">IF('Food Data'!$AG$42="Snacks &amp; sweets",100/'Food Data'!$N$42,0)</f>
        <v>0</v>
      </c>
      <c r="AQ74" s="25" t="n">
        <f aca="false">IF('Food Data'!$AG$43="Snacks &amp; sweets",100/'Food Data'!$N$43,0)</f>
        <v>0</v>
      </c>
      <c r="AR74" s="25" t="n">
        <f aca="false">IF('Food Data'!$AG$44="Snacks &amp; sweets",100/'Food Data'!$N$44,0)</f>
        <v>0</v>
      </c>
      <c r="AS74" s="25" t="n">
        <f aca="false">IF('Food Data'!$AG$45="Snacks &amp; sweets",100/'Food Data'!$N$45,0)</f>
        <v>0</v>
      </c>
      <c r="AT74" s="25" t="n">
        <f aca="false">IF('Food Data'!$AG$46="Snacks &amp; sweets",100/'Food Data'!$N$46,0)</f>
        <v>0</v>
      </c>
      <c r="AU74" s="25" t="n">
        <f aca="false">IF('Food Data'!$AG$47="Snacks &amp; sweets",100/'Food Data'!$N$47,0)</f>
        <v>0</v>
      </c>
      <c r="AV74" s="25" t="n">
        <f aca="false">IF('Food Data'!$AG$48="Snacks &amp; sweets",100/'Food Data'!$N$48,0)</f>
        <v>0</v>
      </c>
      <c r="AW74" s="25" t="n">
        <f aca="false">IF('Food Data'!$AG$49="Snacks &amp; sweets",100/'Food Data'!$N$49,0)</f>
        <v>0</v>
      </c>
      <c r="AX74" s="25" t="n">
        <f aca="false">IF('Food Data'!$AG$50="Snacks &amp; sweets",100/'Food Data'!$N$50,0)</f>
        <v>0</v>
      </c>
      <c r="AY74" s="25" t="n">
        <f aca="false">IF('Food Data'!$AG$51="Snacks &amp; sweets",100/'Food Data'!$N$51,0)</f>
        <v>0</v>
      </c>
      <c r="AZ74" s="25" t="n">
        <f aca="false">IF('Food Data'!$AG$52="Snacks &amp; sweets",100/'Food Data'!$N$52,0)</f>
        <v>0</v>
      </c>
      <c r="BA74" s="25" t="n">
        <f aca="false">IF('Food Data'!$AG$53="Snacks &amp; sweets",100/'Food Data'!$N$53,0)</f>
        <v>0</v>
      </c>
      <c r="BB74" s="25" t="n">
        <f aca="false">IF('Food Data'!$AG$54="Snacks &amp; sweets",100/'Food Data'!$N$54,0)</f>
        <v>0</v>
      </c>
      <c r="BC74" s="25" t="n">
        <f aca="false">IF('Food Data'!$AG$55="Snacks &amp; sweets",100/'Food Data'!$N$55,0)</f>
        <v>0</v>
      </c>
      <c r="BD74" s="25" t="n">
        <f aca="false">IF('Food Data'!$AG$56="Snacks &amp; sweets",100/'Food Data'!$N$56,0)</f>
        <v>0</v>
      </c>
      <c r="BE74" s="25" t="n">
        <f aca="false">IF('Food Data'!$AG$57="Snacks &amp; sweets",100/'Food Data'!$N$57,0)</f>
        <v>0</v>
      </c>
      <c r="BF74" s="25" t="n">
        <f aca="false">IF('Food Data'!$AG$58="Snacks &amp; sweets",100/'Food Data'!$N$58,0)</f>
        <v>0</v>
      </c>
      <c r="BG74" s="25" t="n">
        <f aca="false">IF('Food Data'!$AG$59="Snacks &amp; sweets",100/'Food Data'!$N$59,0)</f>
        <v>0</v>
      </c>
      <c r="BH74" s="25" t="n">
        <f aca="false">IF('Food Data'!$AG$60="Snacks &amp; sweets",100/'Food Data'!$N$60,0)</f>
        <v>0</v>
      </c>
      <c r="BI74" s="25" t="n">
        <f aca="false">IF('Food Data'!$AG$61="Snacks &amp; sweets",100/'Food Data'!$N$61,0)</f>
        <v>0</v>
      </c>
      <c r="BJ74" s="25" t="n">
        <f aca="false">IF('Food Data'!$AG$62="Snacks &amp; sweets",100/'Food Data'!$N$62,0)</f>
        <v>0</v>
      </c>
      <c r="BK74" s="25" t="n">
        <f aca="false">IF('Food Data'!$AG$63="Snacks &amp; sweets",100/'Food Data'!$N$63,0)</f>
        <v>0</v>
      </c>
      <c r="BL74" s="25" t="n">
        <f aca="false">IF('Food Data'!$AG$64="Snacks &amp; sweets",100/'Food Data'!$N$64,0)</f>
        <v>0</v>
      </c>
      <c r="BM74" s="25" t="n">
        <f aca="false">IF('Food Data'!$AG$65="Snacks &amp; sweets",100/'Food Data'!$N$65,0)</f>
        <v>0</v>
      </c>
      <c r="BN74" s="25" t="n">
        <f aca="false">IF('Food Data'!$AG$66="Snacks &amp; sweets",100/'Food Data'!$N$66,0)</f>
        <v>0</v>
      </c>
      <c r="BO74" s="25" t="n">
        <f aca="false">IF('Food Data'!$AG$67="Snacks &amp; sweets",100/'Food Data'!$N$67,0)</f>
        <v>0</v>
      </c>
      <c r="BP74" s="25" t="n">
        <f aca="false">IF('Food Data'!$AG$68="Snacks &amp; sweets",100/'Food Data'!$N$68,0)</f>
        <v>0</v>
      </c>
      <c r="BQ74" s="25" t="n">
        <f aca="false">IF('Food Data'!$AG$69="Snacks &amp; sweets",100/'Food Data'!$N$69,0)</f>
        <v>0</v>
      </c>
      <c r="BR74" s="25" t="n">
        <f aca="false">IF('Food Data'!$AG$70="Snacks &amp; sweets",100/'Food Data'!$N$70,0)</f>
        <v>0</v>
      </c>
      <c r="BS74" s="25" t="n">
        <f aca="false">IF('Food Data'!$AG$71="Snacks &amp; sweets",100/'Food Data'!$N$71,0)</f>
        <v>0</v>
      </c>
      <c r="BT74" s="25" t="n">
        <f aca="false">IF('Food Data'!$AG$72="Snacks &amp; sweets",100/'Food Data'!$N$72,0)</f>
        <v>0</v>
      </c>
      <c r="BU74" s="25" t="n">
        <f aca="false">IF('Food Data'!$AG$73="Snacks &amp; sweets",100/'Food Data'!$N$73,0)</f>
        <v>3.84615384615385</v>
      </c>
      <c r="BV74" s="25" t="n">
        <f aca="false">IF('Food Data'!$AG$74="Snacks &amp; sweets",100/'Food Data'!$N$74,0)</f>
        <v>4.16666666666667</v>
      </c>
      <c r="BW74" s="25" t="n">
        <f aca="false">IF('Food Data'!$AG$75="Snacks &amp; sweets",100/'Food Data'!$N$75,0)</f>
        <v>3.57142857142857</v>
      </c>
      <c r="BX74" s="25" t="n">
        <f aca="false">IF('Food Data'!$AG$76="Snacks &amp; sweets",100/'Food Data'!$N$76,0)</f>
        <v>1.51515151515152</v>
      </c>
    </row>
    <row r="75" customFormat="false" ht="15" hidden="false" customHeight="false" outlineLevel="0" collapsed="false">
      <c r="A75" s="4" t="s">
        <v>665</v>
      </c>
      <c r="B75" s="75" t="s">
        <v>666</v>
      </c>
      <c r="C75" s="78" t="n">
        <v>0</v>
      </c>
      <c r="D75" s="77" t="n">
        <v>-39.199999998243</v>
      </c>
      <c r="E75" s="75" t="str">
        <f aca="false">IF(D75&lt;=C75+0.000001*MAX(1,ABS(C75)),IF(ABS(D75-C75)&lt;=0.000001*MAX(1,ABS(C75)),"tight","ok"),"VIOLATED")</f>
        <v>ok</v>
      </c>
      <c r="F75" s="25" t="n">
        <f aca="false">F$21*(1-Planner!$C$43)</f>
        <v>14.625</v>
      </c>
      <c r="G75" s="25" t="n">
        <f aca="false">G$21*(0-Planner!$C$43)</f>
        <v>-6.328</v>
      </c>
      <c r="H75" s="25" t="n">
        <f aca="false">H$21*(0-Planner!$C$43)</f>
        <v>-6.881</v>
      </c>
      <c r="I75" s="25" t="n">
        <f aca="false">I$21*(0-Planner!$C$43)</f>
        <v>-5.7155</v>
      </c>
      <c r="J75" s="25" t="n">
        <f aca="false">J$21*(0-Planner!$C$43)</f>
        <v>-6.5555</v>
      </c>
      <c r="K75" s="25" t="n">
        <f aca="false">K$21*(0-Planner!$C$43)</f>
        <v>-4.417</v>
      </c>
      <c r="L75" s="25" t="n">
        <f aca="false">L$21*(0-Planner!$C$43)</f>
        <v>-6.0095</v>
      </c>
      <c r="M75" s="25" t="n">
        <f aca="false">M$21*(0-Planner!$C$43)</f>
        <v>-7.2975</v>
      </c>
      <c r="N75" s="25" t="n">
        <f aca="false">N$21*(0-Planner!$C$43)</f>
        <v>-5.81</v>
      </c>
      <c r="O75" s="25" t="n">
        <f aca="false">O$21*(0-Planner!$C$43)</f>
        <v>-7.399</v>
      </c>
      <c r="P75" s="25" t="n">
        <f aca="false">P$21*(0-Planner!$C$43)</f>
        <v>-6.972</v>
      </c>
      <c r="Q75" s="25" t="n">
        <f aca="false">Q$21*(0-Planner!$C$43)</f>
        <v>-6.804</v>
      </c>
      <c r="R75" s="25" t="n">
        <f aca="false">R$21*(0-Planner!$C$43)</f>
        <v>-7.147</v>
      </c>
      <c r="S75" s="25" t="n">
        <f aca="false">S$21*(0-Planner!$C$43)</f>
        <v>-4.7635</v>
      </c>
      <c r="T75" s="25" t="n">
        <f aca="false">T$21*(0-Planner!$C$43)</f>
        <v>-7.028</v>
      </c>
      <c r="U75" s="25" t="n">
        <f aca="false">U$21*(0-Planner!$C$43)</f>
        <v>-4.396</v>
      </c>
      <c r="V75" s="25" t="n">
        <f aca="false">V$21*(0-Planner!$C$43)</f>
        <v>-2.1105</v>
      </c>
      <c r="W75" s="25" t="n">
        <f aca="false">W$21*(0-Planner!$C$43)</f>
        <v>-1.722</v>
      </c>
      <c r="X75" s="25" t="n">
        <f aca="false">X$21*(0-Planner!$C$43)</f>
        <v>-8.6205</v>
      </c>
      <c r="Y75" s="25" t="n">
        <f aca="false">Y$21*(0-Planner!$C$43)</f>
        <v>-7.7735</v>
      </c>
      <c r="Z75" s="25" t="n">
        <f aca="false">Z$21*(0-Planner!$C$43)</f>
        <v>-7.497</v>
      </c>
      <c r="AA75" s="25" t="n">
        <f aca="false">AA$21*(0-Planner!$C$43)</f>
        <v>-3.535</v>
      </c>
      <c r="AB75" s="25" t="n">
        <f aca="false">AB$21*(0-Planner!$C$43)</f>
        <v>-1.155</v>
      </c>
      <c r="AC75" s="25" t="n">
        <f aca="false">AC$21*(0-Planner!$C$43)</f>
        <v>-3.5665</v>
      </c>
      <c r="AD75" s="25" t="n">
        <f aca="false">AD$21*(0-Planner!$C$43)</f>
        <v>-0.91</v>
      </c>
      <c r="AE75" s="25" t="n">
        <f aca="false">AE$21*(0-Planner!$C$43)</f>
        <v>-1.1025</v>
      </c>
      <c r="AF75" s="25" t="n">
        <f aca="false">AF$21*(0-Planner!$C$43)</f>
        <v>-6.3455</v>
      </c>
      <c r="AG75" s="25" t="n">
        <f aca="false">AG$21*(0-Planner!$C$43)</f>
        <v>-8.0045</v>
      </c>
      <c r="AH75" s="25" t="n">
        <f aca="false">AH$21*(0-Planner!$C$43)</f>
        <v>-3.6575</v>
      </c>
      <c r="AI75" s="25" t="n">
        <f aca="false">AI$21*(0-Planner!$C$43)</f>
        <v>-8.3125</v>
      </c>
      <c r="AJ75" s="25" t="n">
        <f aca="false">AJ$21*(0-Planner!$C$43)</f>
        <v>-3.696</v>
      </c>
      <c r="AK75" s="25" t="n">
        <f aca="false">AK$21*(0-Planner!$C$43)</f>
        <v>-2.639</v>
      </c>
      <c r="AL75" s="25" t="n">
        <f aca="false">AL$21*(0-Planner!$C$43)</f>
        <v>-4.2315</v>
      </c>
      <c r="AM75" s="25" t="n">
        <f aca="false">AM$21*(0-Planner!$C$43)</f>
        <v>-1.995</v>
      </c>
      <c r="AN75" s="25" t="n">
        <f aca="false">AN$21*(0-Planner!$C$43)</f>
        <v>-2.8035</v>
      </c>
      <c r="AO75" s="25" t="n">
        <f aca="false">AO$21*(0-Planner!$C$43)</f>
        <v>-4.942</v>
      </c>
      <c r="AP75" s="25" t="n">
        <f aca="false">AP$21*(0-Planner!$C$43)</f>
        <v>-4.6025</v>
      </c>
      <c r="AQ75" s="25" t="n">
        <f aca="false">AQ$21*(0-Planner!$C$43)</f>
        <v>-4.564</v>
      </c>
      <c r="AR75" s="25" t="n">
        <f aca="false">AR$21*(0-Planner!$C$43)</f>
        <v>-3.0975</v>
      </c>
      <c r="AS75" s="25" t="n">
        <f aca="false">AS$21*(0-Planner!$C$43)</f>
        <v>-2.4955</v>
      </c>
      <c r="AT75" s="25" t="n">
        <f aca="false">AT$21*(0-Planner!$C$43)</f>
        <v>-4.3575</v>
      </c>
      <c r="AU75" s="25" t="n">
        <f aca="false">AU$21*(0-Planner!$C$43)</f>
        <v>-4.8545</v>
      </c>
      <c r="AV75" s="25" t="n">
        <f aca="false">AV$21*(0-Planner!$C$43)</f>
        <v>-1.057</v>
      </c>
      <c r="AW75" s="25" t="n">
        <f aca="false">AW$21*(0-Planner!$C$43)</f>
        <v>-0.7175</v>
      </c>
      <c r="AX75" s="25" t="n">
        <f aca="false">AX$21*(0-Planner!$C$43)</f>
        <v>-0.5495</v>
      </c>
      <c r="AY75" s="25" t="n">
        <f aca="false">AY$21*(0-Planner!$C$43)</f>
        <v>-0.091</v>
      </c>
      <c r="AZ75" s="25" t="n">
        <f aca="false">AZ$21*(0-Planner!$C$43)</f>
        <v>-0.3815</v>
      </c>
      <c r="BA75" s="25" t="n">
        <f aca="false">BA$21*(0-Planner!$C$43)</f>
        <v>-0.147</v>
      </c>
      <c r="BB75" s="25" t="n">
        <f aca="false">BB$21*(0-Planner!$C$43)</f>
        <v>-0.252</v>
      </c>
      <c r="BC75" s="25" t="n">
        <f aca="false">BC$21*(0-Planner!$C$43)</f>
        <v>-0.238</v>
      </c>
      <c r="BD75" s="25" t="n">
        <f aca="false">BD$21*(0-Planner!$C$43)</f>
        <v>-0.3185</v>
      </c>
      <c r="BE75" s="25" t="n">
        <f aca="false">BE$21*(0-Planner!$C$43)</f>
        <v>-1.0745</v>
      </c>
      <c r="BF75" s="25" t="n">
        <f aca="false">BF$21*(0-Planner!$C$43)</f>
        <v>-0.2345</v>
      </c>
      <c r="BG75" s="25" t="n">
        <f aca="false">BG$21*(0-Planner!$C$43)</f>
        <v>-1.071</v>
      </c>
      <c r="BH75" s="25" t="n">
        <f aca="false">BH$21*(0-Planner!$C$43)</f>
        <v>-0.3255</v>
      </c>
      <c r="BI75" s="25" t="n">
        <f aca="false">BI$21*(0-Planner!$C$43)</f>
        <v>-0.252</v>
      </c>
      <c r="BJ75" s="25" t="n">
        <f aca="false">BJ$21*(0-Planner!$C$43)</f>
        <v>-0.301</v>
      </c>
      <c r="BK75" s="25" t="n">
        <f aca="false">BK$21*(0-Planner!$C$43)</f>
        <v>-1.1655</v>
      </c>
      <c r="BL75" s="25" t="n">
        <f aca="false">BL$21*(0-Planner!$C$43)</f>
        <v>-0.385</v>
      </c>
      <c r="BM75" s="25" t="n">
        <f aca="false">BM$21*(0-Planner!$C$43)</f>
        <v>-0.4305</v>
      </c>
      <c r="BN75" s="25" t="n">
        <f aca="false">BN$21*(0-Planner!$C$43)</f>
        <v>-1.001</v>
      </c>
      <c r="BO75" s="25" t="n">
        <f aca="false">BO$21*(0-Planner!$C$43)</f>
        <v>-0.308</v>
      </c>
      <c r="BP75" s="25" t="n">
        <f aca="false">BP$21*(0-Planner!$C$43)</f>
        <v>-0.2975</v>
      </c>
      <c r="BQ75" s="25" t="n">
        <f aca="false">BQ$21*(0-Planner!$C$43)</f>
        <v>-0</v>
      </c>
      <c r="BR75" s="25" t="n">
        <f aca="false">BR$21*(0-Planner!$C$43)</f>
        <v>-0</v>
      </c>
      <c r="BS75" s="25" t="n">
        <f aca="false">BS$21*(0-Planner!$C$43)</f>
        <v>-7.4025</v>
      </c>
      <c r="BT75" s="25" t="n">
        <f aca="false">BT$21*(0-Planner!$C$43)</f>
        <v>-0.686</v>
      </c>
      <c r="BU75" s="25" t="n">
        <f aca="false">BU$21*(0-Planner!$C$43)</f>
        <v>-1.785</v>
      </c>
      <c r="BV75" s="25" t="n">
        <f aca="false">BV$21*(0-Planner!$C$43)</f>
        <v>-1.9775</v>
      </c>
      <c r="BW75" s="25" t="n">
        <f aca="false">BW$21*(0-Planner!$C$43)</f>
        <v>-2.2365</v>
      </c>
      <c r="BX75" s="25" t="n">
        <f aca="false">BX$21*(0-Planner!$C$43)</f>
        <v>-1.225</v>
      </c>
    </row>
    <row r="76" customFormat="false" ht="15" hidden="false" customHeight="false" outlineLevel="0" collapsed="false">
      <c r="A76" s="4" t="s">
        <v>667</v>
      </c>
      <c r="B76" s="75" t="s">
        <v>666</v>
      </c>
      <c r="C76" s="78" t="n">
        <v>0</v>
      </c>
      <c r="D76" s="77" t="n">
        <v>-39.199999998243</v>
      </c>
      <c r="E76" s="75" t="str">
        <f aca="false">IF(D76&lt;=C76+0.000001*MAX(1,ABS(C76)),IF(ABS(D76-C76)&lt;=0.000001*MAX(1,ABS(C76)),"tight","ok"),"VIOLATED")</f>
        <v>ok</v>
      </c>
      <c r="F76" s="25" t="n">
        <f aca="false">F$21*(0-Planner!$C$43)</f>
        <v>-7.875</v>
      </c>
      <c r="G76" s="25" t="n">
        <f aca="false">G$21*(1-Planner!$C$43)</f>
        <v>11.752</v>
      </c>
      <c r="H76" s="25" t="n">
        <f aca="false">H$21*(0-Planner!$C$43)</f>
        <v>-6.881</v>
      </c>
      <c r="I76" s="25" t="n">
        <f aca="false">I$21*(0-Planner!$C$43)</f>
        <v>-5.7155</v>
      </c>
      <c r="J76" s="25" t="n">
        <f aca="false">J$21*(0-Planner!$C$43)</f>
        <v>-6.5555</v>
      </c>
      <c r="K76" s="25" t="n">
        <f aca="false">K$21*(0-Planner!$C$43)</f>
        <v>-4.417</v>
      </c>
      <c r="L76" s="25" t="n">
        <f aca="false">L$21*(0-Planner!$C$43)</f>
        <v>-6.0095</v>
      </c>
      <c r="M76" s="25" t="n">
        <f aca="false">M$21*(0-Planner!$C$43)</f>
        <v>-7.2975</v>
      </c>
      <c r="N76" s="25" t="n">
        <f aca="false">N$21*(0-Planner!$C$43)</f>
        <v>-5.81</v>
      </c>
      <c r="O76" s="25" t="n">
        <f aca="false">O$21*(0-Planner!$C$43)</f>
        <v>-7.399</v>
      </c>
      <c r="P76" s="25" t="n">
        <f aca="false">P$21*(0-Planner!$C$43)</f>
        <v>-6.972</v>
      </c>
      <c r="Q76" s="25" t="n">
        <f aca="false">Q$21*(0-Planner!$C$43)</f>
        <v>-6.804</v>
      </c>
      <c r="R76" s="25" t="n">
        <f aca="false">R$21*(0-Planner!$C$43)</f>
        <v>-7.147</v>
      </c>
      <c r="S76" s="25" t="n">
        <f aca="false">S$21*(0-Planner!$C$43)</f>
        <v>-4.7635</v>
      </c>
      <c r="T76" s="25" t="n">
        <f aca="false">T$21*(0-Planner!$C$43)</f>
        <v>-7.028</v>
      </c>
      <c r="U76" s="25" t="n">
        <f aca="false">U$21*(0-Planner!$C$43)</f>
        <v>-4.396</v>
      </c>
      <c r="V76" s="25" t="n">
        <f aca="false">V$21*(0-Planner!$C$43)</f>
        <v>-2.1105</v>
      </c>
      <c r="W76" s="25" t="n">
        <f aca="false">W$21*(0-Planner!$C$43)</f>
        <v>-1.722</v>
      </c>
      <c r="X76" s="25" t="n">
        <f aca="false">X$21*(0-Planner!$C$43)</f>
        <v>-8.6205</v>
      </c>
      <c r="Y76" s="25" t="n">
        <f aca="false">Y$21*(0-Planner!$C$43)</f>
        <v>-7.7735</v>
      </c>
      <c r="Z76" s="25" t="n">
        <f aca="false">Z$21*(0-Planner!$C$43)</f>
        <v>-7.497</v>
      </c>
      <c r="AA76" s="25" t="n">
        <f aca="false">AA$21*(0-Planner!$C$43)</f>
        <v>-3.535</v>
      </c>
      <c r="AB76" s="25" t="n">
        <f aca="false">AB$21*(0-Planner!$C$43)</f>
        <v>-1.155</v>
      </c>
      <c r="AC76" s="25" t="n">
        <f aca="false">AC$21*(0-Planner!$C$43)</f>
        <v>-3.5665</v>
      </c>
      <c r="AD76" s="25" t="n">
        <f aca="false">AD$21*(0-Planner!$C$43)</f>
        <v>-0.91</v>
      </c>
      <c r="AE76" s="25" t="n">
        <f aca="false">AE$21*(0-Planner!$C$43)</f>
        <v>-1.1025</v>
      </c>
      <c r="AF76" s="25" t="n">
        <f aca="false">AF$21*(0-Planner!$C$43)</f>
        <v>-6.3455</v>
      </c>
      <c r="AG76" s="25" t="n">
        <f aca="false">AG$21*(0-Planner!$C$43)</f>
        <v>-8.0045</v>
      </c>
      <c r="AH76" s="25" t="n">
        <f aca="false">AH$21*(0-Planner!$C$43)</f>
        <v>-3.6575</v>
      </c>
      <c r="AI76" s="25" t="n">
        <f aca="false">AI$21*(0-Planner!$C$43)</f>
        <v>-8.3125</v>
      </c>
      <c r="AJ76" s="25" t="n">
        <f aca="false">AJ$21*(0-Planner!$C$43)</f>
        <v>-3.696</v>
      </c>
      <c r="AK76" s="25" t="n">
        <f aca="false">AK$21*(0-Planner!$C$43)</f>
        <v>-2.639</v>
      </c>
      <c r="AL76" s="25" t="n">
        <f aca="false">AL$21*(0-Planner!$C$43)</f>
        <v>-4.2315</v>
      </c>
      <c r="AM76" s="25" t="n">
        <f aca="false">AM$21*(0-Planner!$C$43)</f>
        <v>-1.995</v>
      </c>
      <c r="AN76" s="25" t="n">
        <f aca="false">AN$21*(0-Planner!$C$43)</f>
        <v>-2.8035</v>
      </c>
      <c r="AO76" s="25" t="n">
        <f aca="false">AO$21*(0-Planner!$C$43)</f>
        <v>-4.942</v>
      </c>
      <c r="AP76" s="25" t="n">
        <f aca="false">AP$21*(0-Planner!$C$43)</f>
        <v>-4.6025</v>
      </c>
      <c r="AQ76" s="25" t="n">
        <f aca="false">AQ$21*(0-Planner!$C$43)</f>
        <v>-4.564</v>
      </c>
      <c r="AR76" s="25" t="n">
        <f aca="false">AR$21*(0-Planner!$C$43)</f>
        <v>-3.0975</v>
      </c>
      <c r="AS76" s="25" t="n">
        <f aca="false">AS$21*(0-Planner!$C$43)</f>
        <v>-2.4955</v>
      </c>
      <c r="AT76" s="25" t="n">
        <f aca="false">AT$21*(0-Planner!$C$43)</f>
        <v>-4.3575</v>
      </c>
      <c r="AU76" s="25" t="n">
        <f aca="false">AU$21*(0-Planner!$C$43)</f>
        <v>-4.8545</v>
      </c>
      <c r="AV76" s="25" t="n">
        <f aca="false">AV$21*(0-Planner!$C$43)</f>
        <v>-1.057</v>
      </c>
      <c r="AW76" s="25" t="n">
        <f aca="false">AW$21*(0-Planner!$C$43)</f>
        <v>-0.7175</v>
      </c>
      <c r="AX76" s="25" t="n">
        <f aca="false">AX$21*(0-Planner!$C$43)</f>
        <v>-0.5495</v>
      </c>
      <c r="AY76" s="25" t="n">
        <f aca="false">AY$21*(0-Planner!$C$43)</f>
        <v>-0.091</v>
      </c>
      <c r="AZ76" s="25" t="n">
        <f aca="false">AZ$21*(0-Planner!$C$43)</f>
        <v>-0.3815</v>
      </c>
      <c r="BA76" s="25" t="n">
        <f aca="false">BA$21*(0-Planner!$C$43)</f>
        <v>-0.147</v>
      </c>
      <c r="BB76" s="25" t="n">
        <f aca="false">BB$21*(0-Planner!$C$43)</f>
        <v>-0.252</v>
      </c>
      <c r="BC76" s="25" t="n">
        <f aca="false">BC$21*(0-Planner!$C$43)</f>
        <v>-0.238</v>
      </c>
      <c r="BD76" s="25" t="n">
        <f aca="false">BD$21*(0-Planner!$C$43)</f>
        <v>-0.3185</v>
      </c>
      <c r="BE76" s="25" t="n">
        <f aca="false">BE$21*(0-Planner!$C$43)</f>
        <v>-1.0745</v>
      </c>
      <c r="BF76" s="25" t="n">
        <f aca="false">BF$21*(0-Planner!$C$43)</f>
        <v>-0.2345</v>
      </c>
      <c r="BG76" s="25" t="n">
        <f aca="false">BG$21*(0-Planner!$C$43)</f>
        <v>-1.071</v>
      </c>
      <c r="BH76" s="25" t="n">
        <f aca="false">BH$21*(0-Planner!$C$43)</f>
        <v>-0.3255</v>
      </c>
      <c r="BI76" s="25" t="n">
        <f aca="false">BI$21*(0-Planner!$C$43)</f>
        <v>-0.252</v>
      </c>
      <c r="BJ76" s="25" t="n">
        <f aca="false">BJ$21*(0-Planner!$C$43)</f>
        <v>-0.301</v>
      </c>
      <c r="BK76" s="25" t="n">
        <f aca="false">BK$21*(0-Planner!$C$43)</f>
        <v>-1.1655</v>
      </c>
      <c r="BL76" s="25" t="n">
        <f aca="false">BL$21*(0-Planner!$C$43)</f>
        <v>-0.385</v>
      </c>
      <c r="BM76" s="25" t="n">
        <f aca="false">BM$21*(0-Planner!$C$43)</f>
        <v>-0.4305</v>
      </c>
      <c r="BN76" s="25" t="n">
        <f aca="false">BN$21*(0-Planner!$C$43)</f>
        <v>-1.001</v>
      </c>
      <c r="BO76" s="25" t="n">
        <f aca="false">BO$21*(0-Planner!$C$43)</f>
        <v>-0.308</v>
      </c>
      <c r="BP76" s="25" t="n">
        <f aca="false">BP$21*(0-Planner!$C$43)</f>
        <v>-0.2975</v>
      </c>
      <c r="BQ76" s="25" t="n">
        <f aca="false">BQ$21*(0-Planner!$C$43)</f>
        <v>-0</v>
      </c>
      <c r="BR76" s="25" t="n">
        <f aca="false">BR$21*(0-Planner!$C$43)</f>
        <v>-0</v>
      </c>
      <c r="BS76" s="25" t="n">
        <f aca="false">BS$21*(0-Planner!$C$43)</f>
        <v>-7.4025</v>
      </c>
      <c r="BT76" s="25" t="n">
        <f aca="false">BT$21*(0-Planner!$C$43)</f>
        <v>-0.686</v>
      </c>
      <c r="BU76" s="25" t="n">
        <f aca="false">BU$21*(0-Planner!$C$43)</f>
        <v>-1.785</v>
      </c>
      <c r="BV76" s="25" t="n">
        <f aca="false">BV$21*(0-Planner!$C$43)</f>
        <v>-1.9775</v>
      </c>
      <c r="BW76" s="25" t="n">
        <f aca="false">BW$21*(0-Planner!$C$43)</f>
        <v>-2.2365</v>
      </c>
      <c r="BX76" s="25" t="n">
        <f aca="false">BX$21*(0-Planner!$C$43)</f>
        <v>-1.225</v>
      </c>
    </row>
    <row r="77" customFormat="false" ht="15" hidden="false" customHeight="false" outlineLevel="0" collapsed="false">
      <c r="A77" s="4" t="s">
        <v>668</v>
      </c>
      <c r="B77" s="75" t="s">
        <v>666</v>
      </c>
      <c r="C77" s="78" t="n">
        <v>0</v>
      </c>
      <c r="D77" s="77" t="n">
        <v>-39.199999998243</v>
      </c>
      <c r="E77" s="75" t="str">
        <f aca="false">IF(D77&lt;=C77+0.000001*MAX(1,ABS(C77)),IF(ABS(D77-C77)&lt;=0.000001*MAX(1,ABS(C77)),"tight","ok"),"VIOLATED")</f>
        <v>ok</v>
      </c>
      <c r="F77" s="25" t="n">
        <f aca="false">F$21*(0-Planner!$C$43)</f>
        <v>-7.875</v>
      </c>
      <c r="G77" s="25" t="n">
        <f aca="false">G$21*(0-Planner!$C$43)</f>
        <v>-6.328</v>
      </c>
      <c r="H77" s="25" t="n">
        <f aca="false">H$21*(1-Planner!$C$43)</f>
        <v>12.779</v>
      </c>
      <c r="I77" s="25" t="n">
        <f aca="false">I$21*(0-Planner!$C$43)</f>
        <v>-5.7155</v>
      </c>
      <c r="J77" s="25" t="n">
        <f aca="false">J$21*(0-Planner!$C$43)</f>
        <v>-6.5555</v>
      </c>
      <c r="K77" s="25" t="n">
        <f aca="false">K$21*(0-Planner!$C$43)</f>
        <v>-4.417</v>
      </c>
      <c r="L77" s="25" t="n">
        <f aca="false">L$21*(0-Planner!$C$43)</f>
        <v>-6.0095</v>
      </c>
      <c r="M77" s="25" t="n">
        <f aca="false">M$21*(0-Planner!$C$43)</f>
        <v>-7.2975</v>
      </c>
      <c r="N77" s="25" t="n">
        <f aca="false">N$21*(0-Planner!$C$43)</f>
        <v>-5.81</v>
      </c>
      <c r="O77" s="25" t="n">
        <f aca="false">O$21*(0-Planner!$C$43)</f>
        <v>-7.399</v>
      </c>
      <c r="P77" s="25" t="n">
        <f aca="false">P$21*(0-Planner!$C$43)</f>
        <v>-6.972</v>
      </c>
      <c r="Q77" s="25" t="n">
        <f aca="false">Q$21*(0-Planner!$C$43)</f>
        <v>-6.804</v>
      </c>
      <c r="R77" s="25" t="n">
        <f aca="false">R$21*(0-Planner!$C$43)</f>
        <v>-7.147</v>
      </c>
      <c r="S77" s="25" t="n">
        <f aca="false">S$21*(0-Planner!$C$43)</f>
        <v>-4.7635</v>
      </c>
      <c r="T77" s="25" t="n">
        <f aca="false">T$21*(0-Planner!$C$43)</f>
        <v>-7.028</v>
      </c>
      <c r="U77" s="25" t="n">
        <f aca="false">U$21*(0-Planner!$C$43)</f>
        <v>-4.396</v>
      </c>
      <c r="V77" s="25" t="n">
        <f aca="false">V$21*(0-Planner!$C$43)</f>
        <v>-2.1105</v>
      </c>
      <c r="W77" s="25" t="n">
        <f aca="false">W$21*(0-Planner!$C$43)</f>
        <v>-1.722</v>
      </c>
      <c r="X77" s="25" t="n">
        <f aca="false">X$21*(0-Planner!$C$43)</f>
        <v>-8.6205</v>
      </c>
      <c r="Y77" s="25" t="n">
        <f aca="false">Y$21*(0-Planner!$C$43)</f>
        <v>-7.7735</v>
      </c>
      <c r="Z77" s="25" t="n">
        <f aca="false">Z$21*(0-Planner!$C$43)</f>
        <v>-7.497</v>
      </c>
      <c r="AA77" s="25" t="n">
        <f aca="false">AA$21*(0-Planner!$C$43)</f>
        <v>-3.535</v>
      </c>
      <c r="AB77" s="25" t="n">
        <f aca="false">AB$21*(0-Planner!$C$43)</f>
        <v>-1.155</v>
      </c>
      <c r="AC77" s="25" t="n">
        <f aca="false">AC$21*(0-Planner!$C$43)</f>
        <v>-3.5665</v>
      </c>
      <c r="AD77" s="25" t="n">
        <f aca="false">AD$21*(0-Planner!$C$43)</f>
        <v>-0.91</v>
      </c>
      <c r="AE77" s="25" t="n">
        <f aca="false">AE$21*(0-Planner!$C$43)</f>
        <v>-1.1025</v>
      </c>
      <c r="AF77" s="25" t="n">
        <f aca="false">AF$21*(0-Planner!$C$43)</f>
        <v>-6.3455</v>
      </c>
      <c r="AG77" s="25" t="n">
        <f aca="false">AG$21*(0-Planner!$C$43)</f>
        <v>-8.0045</v>
      </c>
      <c r="AH77" s="25" t="n">
        <f aca="false">AH$21*(0-Planner!$C$43)</f>
        <v>-3.6575</v>
      </c>
      <c r="AI77" s="25" t="n">
        <f aca="false">AI$21*(0-Planner!$C$43)</f>
        <v>-8.3125</v>
      </c>
      <c r="AJ77" s="25" t="n">
        <f aca="false">AJ$21*(0-Planner!$C$43)</f>
        <v>-3.696</v>
      </c>
      <c r="AK77" s="25" t="n">
        <f aca="false">AK$21*(0-Planner!$C$43)</f>
        <v>-2.639</v>
      </c>
      <c r="AL77" s="25" t="n">
        <f aca="false">AL$21*(0-Planner!$C$43)</f>
        <v>-4.2315</v>
      </c>
      <c r="AM77" s="25" t="n">
        <f aca="false">AM$21*(0-Planner!$C$43)</f>
        <v>-1.995</v>
      </c>
      <c r="AN77" s="25" t="n">
        <f aca="false">AN$21*(0-Planner!$C$43)</f>
        <v>-2.8035</v>
      </c>
      <c r="AO77" s="25" t="n">
        <f aca="false">AO$21*(0-Planner!$C$43)</f>
        <v>-4.942</v>
      </c>
      <c r="AP77" s="25" t="n">
        <f aca="false">AP$21*(0-Planner!$C$43)</f>
        <v>-4.6025</v>
      </c>
      <c r="AQ77" s="25" t="n">
        <f aca="false">AQ$21*(0-Planner!$C$43)</f>
        <v>-4.564</v>
      </c>
      <c r="AR77" s="25" t="n">
        <f aca="false">AR$21*(0-Planner!$C$43)</f>
        <v>-3.0975</v>
      </c>
      <c r="AS77" s="25" t="n">
        <f aca="false">AS$21*(0-Planner!$C$43)</f>
        <v>-2.4955</v>
      </c>
      <c r="AT77" s="25" t="n">
        <f aca="false">AT$21*(0-Planner!$C$43)</f>
        <v>-4.3575</v>
      </c>
      <c r="AU77" s="25" t="n">
        <f aca="false">AU$21*(0-Planner!$C$43)</f>
        <v>-4.8545</v>
      </c>
      <c r="AV77" s="25" t="n">
        <f aca="false">AV$21*(0-Planner!$C$43)</f>
        <v>-1.057</v>
      </c>
      <c r="AW77" s="25" t="n">
        <f aca="false">AW$21*(0-Planner!$C$43)</f>
        <v>-0.7175</v>
      </c>
      <c r="AX77" s="25" t="n">
        <f aca="false">AX$21*(0-Planner!$C$43)</f>
        <v>-0.5495</v>
      </c>
      <c r="AY77" s="25" t="n">
        <f aca="false">AY$21*(0-Planner!$C$43)</f>
        <v>-0.091</v>
      </c>
      <c r="AZ77" s="25" t="n">
        <f aca="false">AZ$21*(0-Planner!$C$43)</f>
        <v>-0.3815</v>
      </c>
      <c r="BA77" s="25" t="n">
        <f aca="false">BA$21*(0-Planner!$C$43)</f>
        <v>-0.147</v>
      </c>
      <c r="BB77" s="25" t="n">
        <f aca="false">BB$21*(0-Planner!$C$43)</f>
        <v>-0.252</v>
      </c>
      <c r="BC77" s="25" t="n">
        <f aca="false">BC$21*(0-Planner!$C$43)</f>
        <v>-0.238</v>
      </c>
      <c r="BD77" s="25" t="n">
        <f aca="false">BD$21*(0-Planner!$C$43)</f>
        <v>-0.3185</v>
      </c>
      <c r="BE77" s="25" t="n">
        <f aca="false">BE$21*(0-Planner!$C$43)</f>
        <v>-1.0745</v>
      </c>
      <c r="BF77" s="25" t="n">
        <f aca="false">BF$21*(0-Planner!$C$43)</f>
        <v>-0.2345</v>
      </c>
      <c r="BG77" s="25" t="n">
        <f aca="false">BG$21*(0-Planner!$C$43)</f>
        <v>-1.071</v>
      </c>
      <c r="BH77" s="25" t="n">
        <f aca="false">BH$21*(0-Planner!$C$43)</f>
        <v>-0.3255</v>
      </c>
      <c r="BI77" s="25" t="n">
        <f aca="false">BI$21*(0-Planner!$C$43)</f>
        <v>-0.252</v>
      </c>
      <c r="BJ77" s="25" t="n">
        <f aca="false">BJ$21*(0-Planner!$C$43)</f>
        <v>-0.301</v>
      </c>
      <c r="BK77" s="25" t="n">
        <f aca="false">BK$21*(0-Planner!$C$43)</f>
        <v>-1.1655</v>
      </c>
      <c r="BL77" s="25" t="n">
        <f aca="false">BL$21*(0-Planner!$C$43)</f>
        <v>-0.385</v>
      </c>
      <c r="BM77" s="25" t="n">
        <f aca="false">BM$21*(0-Planner!$C$43)</f>
        <v>-0.4305</v>
      </c>
      <c r="BN77" s="25" t="n">
        <f aca="false">BN$21*(0-Planner!$C$43)</f>
        <v>-1.001</v>
      </c>
      <c r="BO77" s="25" t="n">
        <f aca="false">BO$21*(0-Planner!$C$43)</f>
        <v>-0.308</v>
      </c>
      <c r="BP77" s="25" t="n">
        <f aca="false">BP$21*(0-Planner!$C$43)</f>
        <v>-0.2975</v>
      </c>
      <c r="BQ77" s="25" t="n">
        <f aca="false">BQ$21*(0-Planner!$C$43)</f>
        <v>-0</v>
      </c>
      <c r="BR77" s="25" t="n">
        <f aca="false">BR$21*(0-Planner!$C$43)</f>
        <v>-0</v>
      </c>
      <c r="BS77" s="25" t="n">
        <f aca="false">BS$21*(0-Planner!$C$43)</f>
        <v>-7.4025</v>
      </c>
      <c r="BT77" s="25" t="n">
        <f aca="false">BT$21*(0-Planner!$C$43)</f>
        <v>-0.686</v>
      </c>
      <c r="BU77" s="25" t="n">
        <f aca="false">BU$21*(0-Planner!$C$43)</f>
        <v>-1.785</v>
      </c>
      <c r="BV77" s="25" t="n">
        <f aca="false">BV$21*(0-Planner!$C$43)</f>
        <v>-1.9775</v>
      </c>
      <c r="BW77" s="25" t="n">
        <f aca="false">BW$21*(0-Planner!$C$43)</f>
        <v>-2.2365</v>
      </c>
      <c r="BX77" s="25" t="n">
        <f aca="false">BX$21*(0-Planner!$C$43)</f>
        <v>-1.225</v>
      </c>
    </row>
    <row r="78" customFormat="false" ht="15" hidden="false" customHeight="false" outlineLevel="0" collapsed="false">
      <c r="A78" s="4" t="s">
        <v>669</v>
      </c>
      <c r="B78" s="75" t="s">
        <v>666</v>
      </c>
      <c r="C78" s="78" t="n">
        <v>0</v>
      </c>
      <c r="D78" s="77" t="n">
        <v>-39.199999998243</v>
      </c>
      <c r="E78" s="75" t="str">
        <f aca="false">IF(D78&lt;=C78+0.000001*MAX(1,ABS(C78)),IF(ABS(D78-C78)&lt;=0.000001*MAX(1,ABS(C78)),"tight","ok"),"VIOLATED")</f>
        <v>ok</v>
      </c>
      <c r="F78" s="25" t="n">
        <f aca="false">F$21*(0-Planner!$C$43)</f>
        <v>-7.875</v>
      </c>
      <c r="G78" s="25" t="n">
        <f aca="false">G$21*(0-Planner!$C$43)</f>
        <v>-6.328</v>
      </c>
      <c r="H78" s="25" t="n">
        <f aca="false">H$21*(0-Planner!$C$43)</f>
        <v>-6.881</v>
      </c>
      <c r="I78" s="25" t="n">
        <f aca="false">I$21*(1-Planner!$C$43)</f>
        <v>10.6145</v>
      </c>
      <c r="J78" s="25" t="n">
        <f aca="false">J$21*(0-Planner!$C$43)</f>
        <v>-6.5555</v>
      </c>
      <c r="K78" s="25" t="n">
        <f aca="false">K$21*(0-Planner!$C$43)</f>
        <v>-4.417</v>
      </c>
      <c r="L78" s="25" t="n">
        <f aca="false">L$21*(0-Planner!$C$43)</f>
        <v>-6.0095</v>
      </c>
      <c r="M78" s="25" t="n">
        <f aca="false">M$21*(0-Planner!$C$43)</f>
        <v>-7.2975</v>
      </c>
      <c r="N78" s="25" t="n">
        <f aca="false">N$21*(0-Planner!$C$43)</f>
        <v>-5.81</v>
      </c>
      <c r="O78" s="25" t="n">
        <f aca="false">O$21*(0-Planner!$C$43)</f>
        <v>-7.399</v>
      </c>
      <c r="P78" s="25" t="n">
        <f aca="false">P$21*(0-Planner!$C$43)</f>
        <v>-6.972</v>
      </c>
      <c r="Q78" s="25" t="n">
        <f aca="false">Q$21*(0-Planner!$C$43)</f>
        <v>-6.804</v>
      </c>
      <c r="R78" s="25" t="n">
        <f aca="false">R$21*(0-Planner!$C$43)</f>
        <v>-7.147</v>
      </c>
      <c r="S78" s="25" t="n">
        <f aca="false">S$21*(0-Planner!$C$43)</f>
        <v>-4.7635</v>
      </c>
      <c r="T78" s="25" t="n">
        <f aca="false">T$21*(0-Planner!$C$43)</f>
        <v>-7.028</v>
      </c>
      <c r="U78" s="25" t="n">
        <f aca="false">U$21*(0-Planner!$C$43)</f>
        <v>-4.396</v>
      </c>
      <c r="V78" s="25" t="n">
        <f aca="false">V$21*(0-Planner!$C$43)</f>
        <v>-2.1105</v>
      </c>
      <c r="W78" s="25" t="n">
        <f aca="false">W$21*(0-Planner!$C$43)</f>
        <v>-1.722</v>
      </c>
      <c r="X78" s="25" t="n">
        <f aca="false">X$21*(0-Planner!$C$43)</f>
        <v>-8.6205</v>
      </c>
      <c r="Y78" s="25" t="n">
        <f aca="false">Y$21*(0-Planner!$C$43)</f>
        <v>-7.7735</v>
      </c>
      <c r="Z78" s="25" t="n">
        <f aca="false">Z$21*(0-Planner!$C$43)</f>
        <v>-7.497</v>
      </c>
      <c r="AA78" s="25" t="n">
        <f aca="false">AA$21*(0-Planner!$C$43)</f>
        <v>-3.535</v>
      </c>
      <c r="AB78" s="25" t="n">
        <f aca="false">AB$21*(0-Planner!$C$43)</f>
        <v>-1.155</v>
      </c>
      <c r="AC78" s="25" t="n">
        <f aca="false">AC$21*(0-Planner!$C$43)</f>
        <v>-3.5665</v>
      </c>
      <c r="AD78" s="25" t="n">
        <f aca="false">AD$21*(0-Planner!$C$43)</f>
        <v>-0.91</v>
      </c>
      <c r="AE78" s="25" t="n">
        <f aca="false">AE$21*(0-Planner!$C$43)</f>
        <v>-1.1025</v>
      </c>
      <c r="AF78" s="25" t="n">
        <f aca="false">AF$21*(0-Planner!$C$43)</f>
        <v>-6.3455</v>
      </c>
      <c r="AG78" s="25" t="n">
        <f aca="false">AG$21*(0-Planner!$C$43)</f>
        <v>-8.0045</v>
      </c>
      <c r="AH78" s="25" t="n">
        <f aca="false">AH$21*(0-Planner!$C$43)</f>
        <v>-3.6575</v>
      </c>
      <c r="AI78" s="25" t="n">
        <f aca="false">AI$21*(0-Planner!$C$43)</f>
        <v>-8.3125</v>
      </c>
      <c r="AJ78" s="25" t="n">
        <f aca="false">AJ$21*(0-Planner!$C$43)</f>
        <v>-3.696</v>
      </c>
      <c r="AK78" s="25" t="n">
        <f aca="false">AK$21*(0-Planner!$C$43)</f>
        <v>-2.639</v>
      </c>
      <c r="AL78" s="25" t="n">
        <f aca="false">AL$21*(0-Planner!$C$43)</f>
        <v>-4.2315</v>
      </c>
      <c r="AM78" s="25" t="n">
        <f aca="false">AM$21*(0-Planner!$C$43)</f>
        <v>-1.995</v>
      </c>
      <c r="AN78" s="25" t="n">
        <f aca="false">AN$21*(0-Planner!$C$43)</f>
        <v>-2.8035</v>
      </c>
      <c r="AO78" s="25" t="n">
        <f aca="false">AO$21*(0-Planner!$C$43)</f>
        <v>-4.942</v>
      </c>
      <c r="AP78" s="25" t="n">
        <f aca="false">AP$21*(0-Planner!$C$43)</f>
        <v>-4.6025</v>
      </c>
      <c r="AQ78" s="25" t="n">
        <f aca="false">AQ$21*(0-Planner!$C$43)</f>
        <v>-4.564</v>
      </c>
      <c r="AR78" s="25" t="n">
        <f aca="false">AR$21*(0-Planner!$C$43)</f>
        <v>-3.0975</v>
      </c>
      <c r="AS78" s="25" t="n">
        <f aca="false">AS$21*(0-Planner!$C$43)</f>
        <v>-2.4955</v>
      </c>
      <c r="AT78" s="25" t="n">
        <f aca="false">AT$21*(0-Planner!$C$43)</f>
        <v>-4.3575</v>
      </c>
      <c r="AU78" s="25" t="n">
        <f aca="false">AU$21*(0-Planner!$C$43)</f>
        <v>-4.8545</v>
      </c>
      <c r="AV78" s="25" t="n">
        <f aca="false">AV$21*(0-Planner!$C$43)</f>
        <v>-1.057</v>
      </c>
      <c r="AW78" s="25" t="n">
        <f aca="false">AW$21*(0-Planner!$C$43)</f>
        <v>-0.7175</v>
      </c>
      <c r="AX78" s="25" t="n">
        <f aca="false">AX$21*(0-Planner!$C$43)</f>
        <v>-0.5495</v>
      </c>
      <c r="AY78" s="25" t="n">
        <f aca="false">AY$21*(0-Planner!$C$43)</f>
        <v>-0.091</v>
      </c>
      <c r="AZ78" s="25" t="n">
        <f aca="false">AZ$21*(0-Planner!$C$43)</f>
        <v>-0.3815</v>
      </c>
      <c r="BA78" s="25" t="n">
        <f aca="false">BA$21*(0-Planner!$C$43)</f>
        <v>-0.147</v>
      </c>
      <c r="BB78" s="25" t="n">
        <f aca="false">BB$21*(0-Planner!$C$43)</f>
        <v>-0.252</v>
      </c>
      <c r="BC78" s="25" t="n">
        <f aca="false">BC$21*(0-Planner!$C$43)</f>
        <v>-0.238</v>
      </c>
      <c r="BD78" s="25" t="n">
        <f aca="false">BD$21*(0-Planner!$C$43)</f>
        <v>-0.3185</v>
      </c>
      <c r="BE78" s="25" t="n">
        <f aca="false">BE$21*(0-Planner!$C$43)</f>
        <v>-1.0745</v>
      </c>
      <c r="BF78" s="25" t="n">
        <f aca="false">BF$21*(0-Planner!$C$43)</f>
        <v>-0.2345</v>
      </c>
      <c r="BG78" s="25" t="n">
        <f aca="false">BG$21*(0-Planner!$C$43)</f>
        <v>-1.071</v>
      </c>
      <c r="BH78" s="25" t="n">
        <f aca="false">BH$21*(0-Planner!$C$43)</f>
        <v>-0.3255</v>
      </c>
      <c r="BI78" s="25" t="n">
        <f aca="false">BI$21*(0-Planner!$C$43)</f>
        <v>-0.252</v>
      </c>
      <c r="BJ78" s="25" t="n">
        <f aca="false">BJ$21*(0-Planner!$C$43)</f>
        <v>-0.301</v>
      </c>
      <c r="BK78" s="25" t="n">
        <f aca="false">BK$21*(0-Planner!$C$43)</f>
        <v>-1.1655</v>
      </c>
      <c r="BL78" s="25" t="n">
        <f aca="false">BL$21*(0-Planner!$C$43)</f>
        <v>-0.385</v>
      </c>
      <c r="BM78" s="25" t="n">
        <f aca="false">BM$21*(0-Planner!$C$43)</f>
        <v>-0.4305</v>
      </c>
      <c r="BN78" s="25" t="n">
        <f aca="false">BN$21*(0-Planner!$C$43)</f>
        <v>-1.001</v>
      </c>
      <c r="BO78" s="25" t="n">
        <f aca="false">BO$21*(0-Planner!$C$43)</f>
        <v>-0.308</v>
      </c>
      <c r="BP78" s="25" t="n">
        <f aca="false">BP$21*(0-Planner!$C$43)</f>
        <v>-0.2975</v>
      </c>
      <c r="BQ78" s="25" t="n">
        <f aca="false">BQ$21*(0-Planner!$C$43)</f>
        <v>-0</v>
      </c>
      <c r="BR78" s="25" t="n">
        <f aca="false">BR$21*(0-Planner!$C$43)</f>
        <v>-0</v>
      </c>
      <c r="BS78" s="25" t="n">
        <f aca="false">BS$21*(0-Planner!$C$43)</f>
        <v>-7.4025</v>
      </c>
      <c r="BT78" s="25" t="n">
        <f aca="false">BT$21*(0-Planner!$C$43)</f>
        <v>-0.686</v>
      </c>
      <c r="BU78" s="25" t="n">
        <f aca="false">BU$21*(0-Planner!$C$43)</f>
        <v>-1.785</v>
      </c>
      <c r="BV78" s="25" t="n">
        <f aca="false">BV$21*(0-Planner!$C$43)</f>
        <v>-1.9775</v>
      </c>
      <c r="BW78" s="25" t="n">
        <f aca="false">BW$21*(0-Planner!$C$43)</f>
        <v>-2.2365</v>
      </c>
      <c r="BX78" s="25" t="n">
        <f aca="false">BX$21*(0-Planner!$C$43)</f>
        <v>-1.225</v>
      </c>
    </row>
    <row r="79" customFormat="false" ht="15" hidden="false" customHeight="false" outlineLevel="0" collapsed="false">
      <c r="A79" s="4" t="s">
        <v>670</v>
      </c>
      <c r="B79" s="75" t="s">
        <v>666</v>
      </c>
      <c r="C79" s="78" t="n">
        <v>0</v>
      </c>
      <c r="D79" s="77" t="n">
        <v>-39.199999998243</v>
      </c>
      <c r="E79" s="75" t="str">
        <f aca="false">IF(D79&lt;=C79+0.000001*MAX(1,ABS(C79)),IF(ABS(D79-C79)&lt;=0.000001*MAX(1,ABS(C79)),"tight","ok"),"VIOLATED")</f>
        <v>ok</v>
      </c>
      <c r="F79" s="25" t="n">
        <f aca="false">F$21*(0-Planner!$C$43)</f>
        <v>-7.875</v>
      </c>
      <c r="G79" s="25" t="n">
        <f aca="false">G$21*(0-Planner!$C$43)</f>
        <v>-6.328</v>
      </c>
      <c r="H79" s="25" t="n">
        <f aca="false">H$21*(0-Planner!$C$43)</f>
        <v>-6.881</v>
      </c>
      <c r="I79" s="25" t="n">
        <f aca="false">I$21*(0-Planner!$C$43)</f>
        <v>-5.7155</v>
      </c>
      <c r="J79" s="25" t="n">
        <f aca="false">J$21*(1-Planner!$C$43)</f>
        <v>12.1745</v>
      </c>
      <c r="K79" s="25" t="n">
        <f aca="false">K$21*(0-Planner!$C$43)</f>
        <v>-4.417</v>
      </c>
      <c r="L79" s="25" t="n">
        <f aca="false">L$21*(0-Planner!$C$43)</f>
        <v>-6.0095</v>
      </c>
      <c r="M79" s="25" t="n">
        <f aca="false">M$21*(0-Planner!$C$43)</f>
        <v>-7.2975</v>
      </c>
      <c r="N79" s="25" t="n">
        <f aca="false">N$21*(0-Planner!$C$43)</f>
        <v>-5.81</v>
      </c>
      <c r="O79" s="25" t="n">
        <f aca="false">O$21*(0-Planner!$C$43)</f>
        <v>-7.399</v>
      </c>
      <c r="P79" s="25" t="n">
        <f aca="false">P$21*(0-Planner!$C$43)</f>
        <v>-6.972</v>
      </c>
      <c r="Q79" s="25" t="n">
        <f aca="false">Q$21*(0-Planner!$C$43)</f>
        <v>-6.804</v>
      </c>
      <c r="R79" s="25" t="n">
        <f aca="false">R$21*(0-Planner!$C$43)</f>
        <v>-7.147</v>
      </c>
      <c r="S79" s="25" t="n">
        <f aca="false">S$21*(0-Planner!$C$43)</f>
        <v>-4.7635</v>
      </c>
      <c r="T79" s="25" t="n">
        <f aca="false">T$21*(0-Planner!$C$43)</f>
        <v>-7.028</v>
      </c>
      <c r="U79" s="25" t="n">
        <f aca="false">U$21*(0-Planner!$C$43)</f>
        <v>-4.396</v>
      </c>
      <c r="V79" s="25" t="n">
        <f aca="false">V$21*(0-Planner!$C$43)</f>
        <v>-2.1105</v>
      </c>
      <c r="W79" s="25" t="n">
        <f aca="false">W$21*(0-Planner!$C$43)</f>
        <v>-1.722</v>
      </c>
      <c r="X79" s="25" t="n">
        <f aca="false">X$21*(0-Planner!$C$43)</f>
        <v>-8.6205</v>
      </c>
      <c r="Y79" s="25" t="n">
        <f aca="false">Y$21*(0-Planner!$C$43)</f>
        <v>-7.7735</v>
      </c>
      <c r="Z79" s="25" t="n">
        <f aca="false">Z$21*(0-Planner!$C$43)</f>
        <v>-7.497</v>
      </c>
      <c r="AA79" s="25" t="n">
        <f aca="false">AA$21*(0-Planner!$C$43)</f>
        <v>-3.535</v>
      </c>
      <c r="AB79" s="25" t="n">
        <f aca="false">AB$21*(0-Planner!$C$43)</f>
        <v>-1.155</v>
      </c>
      <c r="AC79" s="25" t="n">
        <f aca="false">AC$21*(0-Planner!$C$43)</f>
        <v>-3.5665</v>
      </c>
      <c r="AD79" s="25" t="n">
        <f aca="false">AD$21*(0-Planner!$C$43)</f>
        <v>-0.91</v>
      </c>
      <c r="AE79" s="25" t="n">
        <f aca="false">AE$21*(0-Planner!$C$43)</f>
        <v>-1.1025</v>
      </c>
      <c r="AF79" s="25" t="n">
        <f aca="false">AF$21*(0-Planner!$C$43)</f>
        <v>-6.3455</v>
      </c>
      <c r="AG79" s="25" t="n">
        <f aca="false">AG$21*(0-Planner!$C$43)</f>
        <v>-8.0045</v>
      </c>
      <c r="AH79" s="25" t="n">
        <f aca="false">AH$21*(0-Planner!$C$43)</f>
        <v>-3.6575</v>
      </c>
      <c r="AI79" s="25" t="n">
        <f aca="false">AI$21*(0-Planner!$C$43)</f>
        <v>-8.3125</v>
      </c>
      <c r="AJ79" s="25" t="n">
        <f aca="false">AJ$21*(0-Planner!$C$43)</f>
        <v>-3.696</v>
      </c>
      <c r="AK79" s="25" t="n">
        <f aca="false">AK$21*(0-Planner!$C$43)</f>
        <v>-2.639</v>
      </c>
      <c r="AL79" s="25" t="n">
        <f aca="false">AL$21*(0-Planner!$C$43)</f>
        <v>-4.2315</v>
      </c>
      <c r="AM79" s="25" t="n">
        <f aca="false">AM$21*(0-Planner!$C$43)</f>
        <v>-1.995</v>
      </c>
      <c r="AN79" s="25" t="n">
        <f aca="false">AN$21*(0-Planner!$C$43)</f>
        <v>-2.8035</v>
      </c>
      <c r="AO79" s="25" t="n">
        <f aca="false">AO$21*(0-Planner!$C$43)</f>
        <v>-4.942</v>
      </c>
      <c r="AP79" s="25" t="n">
        <f aca="false">AP$21*(0-Planner!$C$43)</f>
        <v>-4.6025</v>
      </c>
      <c r="AQ79" s="25" t="n">
        <f aca="false">AQ$21*(0-Planner!$C$43)</f>
        <v>-4.564</v>
      </c>
      <c r="AR79" s="25" t="n">
        <f aca="false">AR$21*(0-Planner!$C$43)</f>
        <v>-3.0975</v>
      </c>
      <c r="AS79" s="25" t="n">
        <f aca="false">AS$21*(0-Planner!$C$43)</f>
        <v>-2.4955</v>
      </c>
      <c r="AT79" s="25" t="n">
        <f aca="false">AT$21*(0-Planner!$C$43)</f>
        <v>-4.3575</v>
      </c>
      <c r="AU79" s="25" t="n">
        <f aca="false">AU$21*(0-Planner!$C$43)</f>
        <v>-4.8545</v>
      </c>
      <c r="AV79" s="25" t="n">
        <f aca="false">AV$21*(0-Planner!$C$43)</f>
        <v>-1.057</v>
      </c>
      <c r="AW79" s="25" t="n">
        <f aca="false">AW$21*(0-Planner!$C$43)</f>
        <v>-0.7175</v>
      </c>
      <c r="AX79" s="25" t="n">
        <f aca="false">AX$21*(0-Planner!$C$43)</f>
        <v>-0.5495</v>
      </c>
      <c r="AY79" s="25" t="n">
        <f aca="false">AY$21*(0-Planner!$C$43)</f>
        <v>-0.091</v>
      </c>
      <c r="AZ79" s="25" t="n">
        <f aca="false">AZ$21*(0-Planner!$C$43)</f>
        <v>-0.3815</v>
      </c>
      <c r="BA79" s="25" t="n">
        <f aca="false">BA$21*(0-Planner!$C$43)</f>
        <v>-0.147</v>
      </c>
      <c r="BB79" s="25" t="n">
        <f aca="false">BB$21*(0-Planner!$C$43)</f>
        <v>-0.252</v>
      </c>
      <c r="BC79" s="25" t="n">
        <f aca="false">BC$21*(0-Planner!$C$43)</f>
        <v>-0.238</v>
      </c>
      <c r="BD79" s="25" t="n">
        <f aca="false">BD$21*(0-Planner!$C$43)</f>
        <v>-0.3185</v>
      </c>
      <c r="BE79" s="25" t="n">
        <f aca="false">BE$21*(0-Planner!$C$43)</f>
        <v>-1.0745</v>
      </c>
      <c r="BF79" s="25" t="n">
        <f aca="false">BF$21*(0-Planner!$C$43)</f>
        <v>-0.2345</v>
      </c>
      <c r="BG79" s="25" t="n">
        <f aca="false">BG$21*(0-Planner!$C$43)</f>
        <v>-1.071</v>
      </c>
      <c r="BH79" s="25" t="n">
        <f aca="false">BH$21*(0-Planner!$C$43)</f>
        <v>-0.3255</v>
      </c>
      <c r="BI79" s="25" t="n">
        <f aca="false">BI$21*(0-Planner!$C$43)</f>
        <v>-0.252</v>
      </c>
      <c r="BJ79" s="25" t="n">
        <f aca="false">BJ$21*(0-Planner!$C$43)</f>
        <v>-0.301</v>
      </c>
      <c r="BK79" s="25" t="n">
        <f aca="false">BK$21*(0-Planner!$C$43)</f>
        <v>-1.1655</v>
      </c>
      <c r="BL79" s="25" t="n">
        <f aca="false">BL$21*(0-Planner!$C$43)</f>
        <v>-0.385</v>
      </c>
      <c r="BM79" s="25" t="n">
        <f aca="false">BM$21*(0-Planner!$C$43)</f>
        <v>-0.4305</v>
      </c>
      <c r="BN79" s="25" t="n">
        <f aca="false">BN$21*(0-Planner!$C$43)</f>
        <v>-1.001</v>
      </c>
      <c r="BO79" s="25" t="n">
        <f aca="false">BO$21*(0-Planner!$C$43)</f>
        <v>-0.308</v>
      </c>
      <c r="BP79" s="25" t="n">
        <f aca="false">BP$21*(0-Planner!$C$43)</f>
        <v>-0.2975</v>
      </c>
      <c r="BQ79" s="25" t="n">
        <f aca="false">BQ$21*(0-Planner!$C$43)</f>
        <v>-0</v>
      </c>
      <c r="BR79" s="25" t="n">
        <f aca="false">BR$21*(0-Planner!$C$43)</f>
        <v>-0</v>
      </c>
      <c r="BS79" s="25" t="n">
        <f aca="false">BS$21*(0-Planner!$C$43)</f>
        <v>-7.4025</v>
      </c>
      <c r="BT79" s="25" t="n">
        <f aca="false">BT$21*(0-Planner!$C$43)</f>
        <v>-0.686</v>
      </c>
      <c r="BU79" s="25" t="n">
        <f aca="false">BU$21*(0-Planner!$C$43)</f>
        <v>-1.785</v>
      </c>
      <c r="BV79" s="25" t="n">
        <f aca="false">BV$21*(0-Planner!$C$43)</f>
        <v>-1.9775</v>
      </c>
      <c r="BW79" s="25" t="n">
        <f aca="false">BW$21*(0-Planner!$C$43)</f>
        <v>-2.2365</v>
      </c>
      <c r="BX79" s="25" t="n">
        <f aca="false">BX$21*(0-Planner!$C$43)</f>
        <v>-1.225</v>
      </c>
    </row>
    <row r="80" customFormat="false" ht="15" hidden="false" customHeight="false" outlineLevel="0" collapsed="false">
      <c r="A80" s="4" t="s">
        <v>671</v>
      </c>
      <c r="B80" s="75" t="s">
        <v>666</v>
      </c>
      <c r="C80" s="78" t="n">
        <v>0</v>
      </c>
      <c r="D80" s="77" t="n">
        <v>-39.199999998243</v>
      </c>
      <c r="E80" s="75" t="str">
        <f aca="false">IF(D80&lt;=C80+0.000001*MAX(1,ABS(C80)),IF(ABS(D80-C80)&lt;=0.000001*MAX(1,ABS(C80)),"tight","ok"),"VIOLATED")</f>
        <v>ok</v>
      </c>
      <c r="F80" s="25" t="n">
        <f aca="false">F$21*(0-Planner!$C$43)</f>
        <v>-7.875</v>
      </c>
      <c r="G80" s="25" t="n">
        <f aca="false">G$21*(0-Planner!$C$43)</f>
        <v>-6.328</v>
      </c>
      <c r="H80" s="25" t="n">
        <f aca="false">H$21*(0-Planner!$C$43)</f>
        <v>-6.881</v>
      </c>
      <c r="I80" s="25" t="n">
        <f aca="false">I$21*(0-Planner!$C$43)</f>
        <v>-5.7155</v>
      </c>
      <c r="J80" s="25" t="n">
        <f aca="false">J$21*(0-Planner!$C$43)</f>
        <v>-6.5555</v>
      </c>
      <c r="K80" s="25" t="n">
        <f aca="false">K$21*(1-Planner!$C$43)</f>
        <v>8.203</v>
      </c>
      <c r="L80" s="25" t="n">
        <f aca="false">L$21*(0-Planner!$C$43)</f>
        <v>-6.0095</v>
      </c>
      <c r="M80" s="25" t="n">
        <f aca="false">M$21*(0-Planner!$C$43)</f>
        <v>-7.2975</v>
      </c>
      <c r="N80" s="25" t="n">
        <f aca="false">N$21*(0-Planner!$C$43)</f>
        <v>-5.81</v>
      </c>
      <c r="O80" s="25" t="n">
        <f aca="false">O$21*(0-Planner!$C$43)</f>
        <v>-7.399</v>
      </c>
      <c r="P80" s="25" t="n">
        <f aca="false">P$21*(0-Planner!$C$43)</f>
        <v>-6.972</v>
      </c>
      <c r="Q80" s="25" t="n">
        <f aca="false">Q$21*(0-Planner!$C$43)</f>
        <v>-6.804</v>
      </c>
      <c r="R80" s="25" t="n">
        <f aca="false">R$21*(0-Planner!$C$43)</f>
        <v>-7.147</v>
      </c>
      <c r="S80" s="25" t="n">
        <f aca="false">S$21*(0-Planner!$C$43)</f>
        <v>-4.7635</v>
      </c>
      <c r="T80" s="25" t="n">
        <f aca="false">T$21*(0-Planner!$C$43)</f>
        <v>-7.028</v>
      </c>
      <c r="U80" s="25" t="n">
        <f aca="false">U$21*(0-Planner!$C$43)</f>
        <v>-4.396</v>
      </c>
      <c r="V80" s="25" t="n">
        <f aca="false">V$21*(0-Planner!$C$43)</f>
        <v>-2.1105</v>
      </c>
      <c r="W80" s="25" t="n">
        <f aca="false">W$21*(0-Planner!$C$43)</f>
        <v>-1.722</v>
      </c>
      <c r="X80" s="25" t="n">
        <f aca="false">X$21*(0-Planner!$C$43)</f>
        <v>-8.6205</v>
      </c>
      <c r="Y80" s="25" t="n">
        <f aca="false">Y$21*(0-Planner!$C$43)</f>
        <v>-7.7735</v>
      </c>
      <c r="Z80" s="25" t="n">
        <f aca="false">Z$21*(0-Planner!$C$43)</f>
        <v>-7.497</v>
      </c>
      <c r="AA80" s="25" t="n">
        <f aca="false">AA$21*(0-Planner!$C$43)</f>
        <v>-3.535</v>
      </c>
      <c r="AB80" s="25" t="n">
        <f aca="false">AB$21*(0-Planner!$C$43)</f>
        <v>-1.155</v>
      </c>
      <c r="AC80" s="25" t="n">
        <f aca="false">AC$21*(0-Planner!$C$43)</f>
        <v>-3.5665</v>
      </c>
      <c r="AD80" s="25" t="n">
        <f aca="false">AD$21*(0-Planner!$C$43)</f>
        <v>-0.91</v>
      </c>
      <c r="AE80" s="25" t="n">
        <f aca="false">AE$21*(0-Planner!$C$43)</f>
        <v>-1.1025</v>
      </c>
      <c r="AF80" s="25" t="n">
        <f aca="false">AF$21*(0-Planner!$C$43)</f>
        <v>-6.3455</v>
      </c>
      <c r="AG80" s="25" t="n">
        <f aca="false">AG$21*(0-Planner!$C$43)</f>
        <v>-8.0045</v>
      </c>
      <c r="AH80" s="25" t="n">
        <f aca="false">AH$21*(0-Planner!$C$43)</f>
        <v>-3.6575</v>
      </c>
      <c r="AI80" s="25" t="n">
        <f aca="false">AI$21*(0-Planner!$C$43)</f>
        <v>-8.3125</v>
      </c>
      <c r="AJ80" s="25" t="n">
        <f aca="false">AJ$21*(0-Planner!$C$43)</f>
        <v>-3.696</v>
      </c>
      <c r="AK80" s="25" t="n">
        <f aca="false">AK$21*(0-Planner!$C$43)</f>
        <v>-2.639</v>
      </c>
      <c r="AL80" s="25" t="n">
        <f aca="false">AL$21*(0-Planner!$C$43)</f>
        <v>-4.2315</v>
      </c>
      <c r="AM80" s="25" t="n">
        <f aca="false">AM$21*(0-Planner!$C$43)</f>
        <v>-1.995</v>
      </c>
      <c r="AN80" s="25" t="n">
        <f aca="false">AN$21*(0-Planner!$C$43)</f>
        <v>-2.8035</v>
      </c>
      <c r="AO80" s="25" t="n">
        <f aca="false">AO$21*(0-Planner!$C$43)</f>
        <v>-4.942</v>
      </c>
      <c r="AP80" s="25" t="n">
        <f aca="false">AP$21*(0-Planner!$C$43)</f>
        <v>-4.6025</v>
      </c>
      <c r="AQ80" s="25" t="n">
        <f aca="false">AQ$21*(0-Planner!$C$43)</f>
        <v>-4.564</v>
      </c>
      <c r="AR80" s="25" t="n">
        <f aca="false">AR$21*(0-Planner!$C$43)</f>
        <v>-3.0975</v>
      </c>
      <c r="AS80" s="25" t="n">
        <f aca="false">AS$21*(0-Planner!$C$43)</f>
        <v>-2.4955</v>
      </c>
      <c r="AT80" s="25" t="n">
        <f aca="false">AT$21*(0-Planner!$C$43)</f>
        <v>-4.3575</v>
      </c>
      <c r="AU80" s="25" t="n">
        <f aca="false">AU$21*(0-Planner!$C$43)</f>
        <v>-4.8545</v>
      </c>
      <c r="AV80" s="25" t="n">
        <f aca="false">AV$21*(0-Planner!$C$43)</f>
        <v>-1.057</v>
      </c>
      <c r="AW80" s="25" t="n">
        <f aca="false">AW$21*(0-Planner!$C$43)</f>
        <v>-0.7175</v>
      </c>
      <c r="AX80" s="25" t="n">
        <f aca="false">AX$21*(0-Planner!$C$43)</f>
        <v>-0.5495</v>
      </c>
      <c r="AY80" s="25" t="n">
        <f aca="false">AY$21*(0-Planner!$C$43)</f>
        <v>-0.091</v>
      </c>
      <c r="AZ80" s="25" t="n">
        <f aca="false">AZ$21*(0-Planner!$C$43)</f>
        <v>-0.3815</v>
      </c>
      <c r="BA80" s="25" t="n">
        <f aca="false">BA$21*(0-Planner!$C$43)</f>
        <v>-0.147</v>
      </c>
      <c r="BB80" s="25" t="n">
        <f aca="false">BB$21*(0-Planner!$C$43)</f>
        <v>-0.252</v>
      </c>
      <c r="BC80" s="25" t="n">
        <f aca="false">BC$21*(0-Planner!$C$43)</f>
        <v>-0.238</v>
      </c>
      <c r="BD80" s="25" t="n">
        <f aca="false">BD$21*(0-Planner!$C$43)</f>
        <v>-0.3185</v>
      </c>
      <c r="BE80" s="25" t="n">
        <f aca="false">BE$21*(0-Planner!$C$43)</f>
        <v>-1.0745</v>
      </c>
      <c r="BF80" s="25" t="n">
        <f aca="false">BF$21*(0-Planner!$C$43)</f>
        <v>-0.2345</v>
      </c>
      <c r="BG80" s="25" t="n">
        <f aca="false">BG$21*(0-Planner!$C$43)</f>
        <v>-1.071</v>
      </c>
      <c r="BH80" s="25" t="n">
        <f aca="false">BH$21*(0-Planner!$C$43)</f>
        <v>-0.3255</v>
      </c>
      <c r="BI80" s="25" t="n">
        <f aca="false">BI$21*(0-Planner!$C$43)</f>
        <v>-0.252</v>
      </c>
      <c r="BJ80" s="25" t="n">
        <f aca="false">BJ$21*(0-Planner!$C$43)</f>
        <v>-0.301</v>
      </c>
      <c r="BK80" s="25" t="n">
        <f aca="false">BK$21*(0-Planner!$C$43)</f>
        <v>-1.1655</v>
      </c>
      <c r="BL80" s="25" t="n">
        <f aca="false">BL$21*(0-Planner!$C$43)</f>
        <v>-0.385</v>
      </c>
      <c r="BM80" s="25" t="n">
        <f aca="false">BM$21*(0-Planner!$C$43)</f>
        <v>-0.4305</v>
      </c>
      <c r="BN80" s="25" t="n">
        <f aca="false">BN$21*(0-Planner!$C$43)</f>
        <v>-1.001</v>
      </c>
      <c r="BO80" s="25" t="n">
        <f aca="false">BO$21*(0-Planner!$C$43)</f>
        <v>-0.308</v>
      </c>
      <c r="BP80" s="25" t="n">
        <f aca="false">BP$21*(0-Planner!$C$43)</f>
        <v>-0.2975</v>
      </c>
      <c r="BQ80" s="25" t="n">
        <f aca="false">BQ$21*(0-Planner!$C$43)</f>
        <v>-0</v>
      </c>
      <c r="BR80" s="25" t="n">
        <f aca="false">BR$21*(0-Planner!$C$43)</f>
        <v>-0</v>
      </c>
      <c r="BS80" s="25" t="n">
        <f aca="false">BS$21*(0-Planner!$C$43)</f>
        <v>-7.4025</v>
      </c>
      <c r="BT80" s="25" t="n">
        <f aca="false">BT$21*(0-Planner!$C$43)</f>
        <v>-0.686</v>
      </c>
      <c r="BU80" s="25" t="n">
        <f aca="false">BU$21*(0-Planner!$C$43)</f>
        <v>-1.785</v>
      </c>
      <c r="BV80" s="25" t="n">
        <f aca="false">BV$21*(0-Planner!$C$43)</f>
        <v>-1.9775</v>
      </c>
      <c r="BW80" s="25" t="n">
        <f aca="false">BW$21*(0-Planner!$C$43)</f>
        <v>-2.2365</v>
      </c>
      <c r="BX80" s="25" t="n">
        <f aca="false">BX$21*(0-Planner!$C$43)</f>
        <v>-1.225</v>
      </c>
    </row>
    <row r="81" customFormat="false" ht="15" hidden="false" customHeight="false" outlineLevel="0" collapsed="false">
      <c r="A81" s="4" t="s">
        <v>672</v>
      </c>
      <c r="B81" s="75" t="s">
        <v>666</v>
      </c>
      <c r="C81" s="78" t="n">
        <v>0</v>
      </c>
      <c r="D81" s="77" t="n">
        <v>-39.199999998243</v>
      </c>
      <c r="E81" s="75" t="str">
        <f aca="false">IF(D81&lt;=C81+0.000001*MAX(1,ABS(C81)),IF(ABS(D81-C81)&lt;=0.000001*MAX(1,ABS(C81)),"tight","ok"),"VIOLATED")</f>
        <v>ok</v>
      </c>
      <c r="F81" s="25" t="n">
        <f aca="false">F$21*(0-Planner!$C$43)</f>
        <v>-7.875</v>
      </c>
      <c r="G81" s="25" t="n">
        <f aca="false">G$21*(0-Planner!$C$43)</f>
        <v>-6.328</v>
      </c>
      <c r="H81" s="25" t="n">
        <f aca="false">H$21*(0-Planner!$C$43)</f>
        <v>-6.881</v>
      </c>
      <c r="I81" s="25" t="n">
        <f aca="false">I$21*(0-Planner!$C$43)</f>
        <v>-5.7155</v>
      </c>
      <c r="J81" s="25" t="n">
        <f aca="false">J$21*(0-Planner!$C$43)</f>
        <v>-6.5555</v>
      </c>
      <c r="K81" s="25" t="n">
        <f aca="false">K$21*(0-Planner!$C$43)</f>
        <v>-4.417</v>
      </c>
      <c r="L81" s="25" t="n">
        <f aca="false">L$21*(1-Planner!$C$43)</f>
        <v>11.1605</v>
      </c>
      <c r="M81" s="25" t="n">
        <f aca="false">M$21*(0-Planner!$C$43)</f>
        <v>-7.2975</v>
      </c>
      <c r="N81" s="25" t="n">
        <f aca="false">N$21*(0-Planner!$C$43)</f>
        <v>-5.81</v>
      </c>
      <c r="O81" s="25" t="n">
        <f aca="false">O$21*(0-Planner!$C$43)</f>
        <v>-7.399</v>
      </c>
      <c r="P81" s="25" t="n">
        <f aca="false">P$21*(0-Planner!$C$43)</f>
        <v>-6.972</v>
      </c>
      <c r="Q81" s="25" t="n">
        <f aca="false">Q$21*(0-Planner!$C$43)</f>
        <v>-6.804</v>
      </c>
      <c r="R81" s="25" t="n">
        <f aca="false">R$21*(0-Planner!$C$43)</f>
        <v>-7.147</v>
      </c>
      <c r="S81" s="25" t="n">
        <f aca="false">S$21*(0-Planner!$C$43)</f>
        <v>-4.7635</v>
      </c>
      <c r="T81" s="25" t="n">
        <f aca="false">T$21*(0-Planner!$C$43)</f>
        <v>-7.028</v>
      </c>
      <c r="U81" s="25" t="n">
        <f aca="false">U$21*(0-Planner!$C$43)</f>
        <v>-4.396</v>
      </c>
      <c r="V81" s="25" t="n">
        <f aca="false">V$21*(0-Planner!$C$43)</f>
        <v>-2.1105</v>
      </c>
      <c r="W81" s="25" t="n">
        <f aca="false">W$21*(0-Planner!$C$43)</f>
        <v>-1.722</v>
      </c>
      <c r="X81" s="25" t="n">
        <f aca="false">X$21*(0-Planner!$C$43)</f>
        <v>-8.6205</v>
      </c>
      <c r="Y81" s="25" t="n">
        <f aca="false">Y$21*(0-Planner!$C$43)</f>
        <v>-7.7735</v>
      </c>
      <c r="Z81" s="25" t="n">
        <f aca="false">Z$21*(0-Planner!$C$43)</f>
        <v>-7.497</v>
      </c>
      <c r="AA81" s="25" t="n">
        <f aca="false">AA$21*(0-Planner!$C$43)</f>
        <v>-3.535</v>
      </c>
      <c r="AB81" s="25" t="n">
        <f aca="false">AB$21*(0-Planner!$C$43)</f>
        <v>-1.155</v>
      </c>
      <c r="AC81" s="25" t="n">
        <f aca="false">AC$21*(0-Planner!$C$43)</f>
        <v>-3.5665</v>
      </c>
      <c r="AD81" s="25" t="n">
        <f aca="false">AD$21*(0-Planner!$C$43)</f>
        <v>-0.91</v>
      </c>
      <c r="AE81" s="25" t="n">
        <f aca="false">AE$21*(0-Planner!$C$43)</f>
        <v>-1.1025</v>
      </c>
      <c r="AF81" s="25" t="n">
        <f aca="false">AF$21*(0-Planner!$C$43)</f>
        <v>-6.3455</v>
      </c>
      <c r="AG81" s="25" t="n">
        <f aca="false">AG$21*(0-Planner!$C$43)</f>
        <v>-8.0045</v>
      </c>
      <c r="AH81" s="25" t="n">
        <f aca="false">AH$21*(0-Planner!$C$43)</f>
        <v>-3.6575</v>
      </c>
      <c r="AI81" s="25" t="n">
        <f aca="false">AI$21*(0-Planner!$C$43)</f>
        <v>-8.3125</v>
      </c>
      <c r="AJ81" s="25" t="n">
        <f aca="false">AJ$21*(0-Planner!$C$43)</f>
        <v>-3.696</v>
      </c>
      <c r="AK81" s="25" t="n">
        <f aca="false">AK$21*(0-Planner!$C$43)</f>
        <v>-2.639</v>
      </c>
      <c r="AL81" s="25" t="n">
        <f aca="false">AL$21*(0-Planner!$C$43)</f>
        <v>-4.2315</v>
      </c>
      <c r="AM81" s="25" t="n">
        <f aca="false">AM$21*(0-Planner!$C$43)</f>
        <v>-1.995</v>
      </c>
      <c r="AN81" s="25" t="n">
        <f aca="false">AN$21*(0-Planner!$C$43)</f>
        <v>-2.8035</v>
      </c>
      <c r="AO81" s="25" t="n">
        <f aca="false">AO$21*(0-Planner!$C$43)</f>
        <v>-4.942</v>
      </c>
      <c r="AP81" s="25" t="n">
        <f aca="false">AP$21*(0-Planner!$C$43)</f>
        <v>-4.6025</v>
      </c>
      <c r="AQ81" s="25" t="n">
        <f aca="false">AQ$21*(0-Planner!$C$43)</f>
        <v>-4.564</v>
      </c>
      <c r="AR81" s="25" t="n">
        <f aca="false">AR$21*(0-Planner!$C$43)</f>
        <v>-3.0975</v>
      </c>
      <c r="AS81" s="25" t="n">
        <f aca="false">AS$21*(0-Planner!$C$43)</f>
        <v>-2.4955</v>
      </c>
      <c r="AT81" s="25" t="n">
        <f aca="false">AT$21*(0-Planner!$C$43)</f>
        <v>-4.3575</v>
      </c>
      <c r="AU81" s="25" t="n">
        <f aca="false">AU$21*(0-Planner!$C$43)</f>
        <v>-4.8545</v>
      </c>
      <c r="AV81" s="25" t="n">
        <f aca="false">AV$21*(0-Planner!$C$43)</f>
        <v>-1.057</v>
      </c>
      <c r="AW81" s="25" t="n">
        <f aca="false">AW$21*(0-Planner!$C$43)</f>
        <v>-0.7175</v>
      </c>
      <c r="AX81" s="25" t="n">
        <f aca="false">AX$21*(0-Planner!$C$43)</f>
        <v>-0.5495</v>
      </c>
      <c r="AY81" s="25" t="n">
        <f aca="false">AY$21*(0-Planner!$C$43)</f>
        <v>-0.091</v>
      </c>
      <c r="AZ81" s="25" t="n">
        <f aca="false">AZ$21*(0-Planner!$C$43)</f>
        <v>-0.3815</v>
      </c>
      <c r="BA81" s="25" t="n">
        <f aca="false">BA$21*(0-Planner!$C$43)</f>
        <v>-0.147</v>
      </c>
      <c r="BB81" s="25" t="n">
        <f aca="false">BB$21*(0-Planner!$C$43)</f>
        <v>-0.252</v>
      </c>
      <c r="BC81" s="25" t="n">
        <f aca="false">BC$21*(0-Planner!$C$43)</f>
        <v>-0.238</v>
      </c>
      <c r="BD81" s="25" t="n">
        <f aca="false">BD$21*(0-Planner!$C$43)</f>
        <v>-0.3185</v>
      </c>
      <c r="BE81" s="25" t="n">
        <f aca="false">BE$21*(0-Planner!$C$43)</f>
        <v>-1.0745</v>
      </c>
      <c r="BF81" s="25" t="n">
        <f aca="false">BF$21*(0-Planner!$C$43)</f>
        <v>-0.2345</v>
      </c>
      <c r="BG81" s="25" t="n">
        <f aca="false">BG$21*(0-Planner!$C$43)</f>
        <v>-1.071</v>
      </c>
      <c r="BH81" s="25" t="n">
        <f aca="false">BH$21*(0-Planner!$C$43)</f>
        <v>-0.3255</v>
      </c>
      <c r="BI81" s="25" t="n">
        <f aca="false">BI$21*(0-Planner!$C$43)</f>
        <v>-0.252</v>
      </c>
      <c r="BJ81" s="25" t="n">
        <f aca="false">BJ$21*(0-Planner!$C$43)</f>
        <v>-0.301</v>
      </c>
      <c r="BK81" s="25" t="n">
        <f aca="false">BK$21*(0-Planner!$C$43)</f>
        <v>-1.1655</v>
      </c>
      <c r="BL81" s="25" t="n">
        <f aca="false">BL$21*(0-Planner!$C$43)</f>
        <v>-0.385</v>
      </c>
      <c r="BM81" s="25" t="n">
        <f aca="false">BM$21*(0-Planner!$C$43)</f>
        <v>-0.4305</v>
      </c>
      <c r="BN81" s="25" t="n">
        <f aca="false">BN$21*(0-Planner!$C$43)</f>
        <v>-1.001</v>
      </c>
      <c r="BO81" s="25" t="n">
        <f aca="false">BO$21*(0-Planner!$C$43)</f>
        <v>-0.308</v>
      </c>
      <c r="BP81" s="25" t="n">
        <f aca="false">BP$21*(0-Planner!$C$43)</f>
        <v>-0.2975</v>
      </c>
      <c r="BQ81" s="25" t="n">
        <f aca="false">BQ$21*(0-Planner!$C$43)</f>
        <v>-0</v>
      </c>
      <c r="BR81" s="25" t="n">
        <f aca="false">BR$21*(0-Planner!$C$43)</f>
        <v>-0</v>
      </c>
      <c r="BS81" s="25" t="n">
        <f aca="false">BS$21*(0-Planner!$C$43)</f>
        <v>-7.4025</v>
      </c>
      <c r="BT81" s="25" t="n">
        <f aca="false">BT$21*(0-Planner!$C$43)</f>
        <v>-0.686</v>
      </c>
      <c r="BU81" s="25" t="n">
        <f aca="false">BU$21*(0-Planner!$C$43)</f>
        <v>-1.785</v>
      </c>
      <c r="BV81" s="25" t="n">
        <f aca="false">BV$21*(0-Planner!$C$43)</f>
        <v>-1.9775</v>
      </c>
      <c r="BW81" s="25" t="n">
        <f aca="false">BW$21*(0-Planner!$C$43)</f>
        <v>-2.2365</v>
      </c>
      <c r="BX81" s="25" t="n">
        <f aca="false">BX$21*(0-Planner!$C$43)</f>
        <v>-1.225</v>
      </c>
    </row>
    <row r="82" customFormat="false" ht="15" hidden="false" customHeight="false" outlineLevel="0" collapsed="false">
      <c r="A82" s="4" t="s">
        <v>673</v>
      </c>
      <c r="B82" s="75" t="s">
        <v>666</v>
      </c>
      <c r="C82" s="78" t="n">
        <v>0</v>
      </c>
      <c r="D82" s="77" t="n">
        <v>-39.199999998243</v>
      </c>
      <c r="E82" s="75" t="str">
        <f aca="false">IF(D82&lt;=C82+0.000001*MAX(1,ABS(C82)),IF(ABS(D82-C82)&lt;=0.000001*MAX(1,ABS(C82)),"tight","ok"),"VIOLATED")</f>
        <v>ok</v>
      </c>
      <c r="F82" s="25" t="n">
        <f aca="false">F$21*(0-Planner!$C$43)</f>
        <v>-7.875</v>
      </c>
      <c r="G82" s="25" t="n">
        <f aca="false">G$21*(0-Planner!$C$43)</f>
        <v>-6.328</v>
      </c>
      <c r="H82" s="25" t="n">
        <f aca="false">H$21*(0-Planner!$C$43)</f>
        <v>-6.881</v>
      </c>
      <c r="I82" s="25" t="n">
        <f aca="false">I$21*(0-Planner!$C$43)</f>
        <v>-5.7155</v>
      </c>
      <c r="J82" s="25" t="n">
        <f aca="false">J$21*(0-Planner!$C$43)</f>
        <v>-6.5555</v>
      </c>
      <c r="K82" s="25" t="n">
        <f aca="false">K$21*(0-Planner!$C$43)</f>
        <v>-4.417</v>
      </c>
      <c r="L82" s="25" t="n">
        <f aca="false">L$21*(0-Planner!$C$43)</f>
        <v>-6.0095</v>
      </c>
      <c r="M82" s="25" t="n">
        <f aca="false">M$21*(1-Planner!$C$43)</f>
        <v>13.5525</v>
      </c>
      <c r="N82" s="25" t="n">
        <f aca="false">N$21*(0-Planner!$C$43)</f>
        <v>-5.81</v>
      </c>
      <c r="O82" s="25" t="n">
        <f aca="false">O$21*(0-Planner!$C$43)</f>
        <v>-7.399</v>
      </c>
      <c r="P82" s="25" t="n">
        <f aca="false">P$21*(0-Planner!$C$43)</f>
        <v>-6.972</v>
      </c>
      <c r="Q82" s="25" t="n">
        <f aca="false">Q$21*(0-Planner!$C$43)</f>
        <v>-6.804</v>
      </c>
      <c r="R82" s="25" t="n">
        <f aca="false">R$21*(0-Planner!$C$43)</f>
        <v>-7.147</v>
      </c>
      <c r="S82" s="25" t="n">
        <f aca="false">S$21*(0-Planner!$C$43)</f>
        <v>-4.7635</v>
      </c>
      <c r="T82" s="25" t="n">
        <f aca="false">T$21*(0-Planner!$C$43)</f>
        <v>-7.028</v>
      </c>
      <c r="U82" s="25" t="n">
        <f aca="false">U$21*(0-Planner!$C$43)</f>
        <v>-4.396</v>
      </c>
      <c r="V82" s="25" t="n">
        <f aca="false">V$21*(0-Planner!$C$43)</f>
        <v>-2.1105</v>
      </c>
      <c r="W82" s="25" t="n">
        <f aca="false">W$21*(0-Planner!$C$43)</f>
        <v>-1.722</v>
      </c>
      <c r="X82" s="25" t="n">
        <f aca="false">X$21*(0-Planner!$C$43)</f>
        <v>-8.6205</v>
      </c>
      <c r="Y82" s="25" t="n">
        <f aca="false">Y$21*(0-Planner!$C$43)</f>
        <v>-7.7735</v>
      </c>
      <c r="Z82" s="25" t="n">
        <f aca="false">Z$21*(0-Planner!$C$43)</f>
        <v>-7.497</v>
      </c>
      <c r="AA82" s="25" t="n">
        <f aca="false">AA$21*(0-Planner!$C$43)</f>
        <v>-3.535</v>
      </c>
      <c r="AB82" s="25" t="n">
        <f aca="false">AB$21*(0-Planner!$C$43)</f>
        <v>-1.155</v>
      </c>
      <c r="AC82" s="25" t="n">
        <f aca="false">AC$21*(0-Planner!$C$43)</f>
        <v>-3.5665</v>
      </c>
      <c r="AD82" s="25" t="n">
        <f aca="false">AD$21*(0-Planner!$C$43)</f>
        <v>-0.91</v>
      </c>
      <c r="AE82" s="25" t="n">
        <f aca="false">AE$21*(0-Planner!$C$43)</f>
        <v>-1.1025</v>
      </c>
      <c r="AF82" s="25" t="n">
        <f aca="false">AF$21*(0-Planner!$C$43)</f>
        <v>-6.3455</v>
      </c>
      <c r="AG82" s="25" t="n">
        <f aca="false">AG$21*(0-Planner!$C$43)</f>
        <v>-8.0045</v>
      </c>
      <c r="AH82" s="25" t="n">
        <f aca="false">AH$21*(0-Planner!$C$43)</f>
        <v>-3.6575</v>
      </c>
      <c r="AI82" s="25" t="n">
        <f aca="false">AI$21*(0-Planner!$C$43)</f>
        <v>-8.3125</v>
      </c>
      <c r="AJ82" s="25" t="n">
        <f aca="false">AJ$21*(0-Planner!$C$43)</f>
        <v>-3.696</v>
      </c>
      <c r="AK82" s="25" t="n">
        <f aca="false">AK$21*(0-Planner!$C$43)</f>
        <v>-2.639</v>
      </c>
      <c r="AL82" s="25" t="n">
        <f aca="false">AL$21*(0-Planner!$C$43)</f>
        <v>-4.2315</v>
      </c>
      <c r="AM82" s="25" t="n">
        <f aca="false">AM$21*(0-Planner!$C$43)</f>
        <v>-1.995</v>
      </c>
      <c r="AN82" s="25" t="n">
        <f aca="false">AN$21*(0-Planner!$C$43)</f>
        <v>-2.8035</v>
      </c>
      <c r="AO82" s="25" t="n">
        <f aca="false">AO$21*(0-Planner!$C$43)</f>
        <v>-4.942</v>
      </c>
      <c r="AP82" s="25" t="n">
        <f aca="false">AP$21*(0-Planner!$C$43)</f>
        <v>-4.6025</v>
      </c>
      <c r="AQ82" s="25" t="n">
        <f aca="false">AQ$21*(0-Planner!$C$43)</f>
        <v>-4.564</v>
      </c>
      <c r="AR82" s="25" t="n">
        <f aca="false">AR$21*(0-Planner!$C$43)</f>
        <v>-3.0975</v>
      </c>
      <c r="AS82" s="25" t="n">
        <f aca="false">AS$21*(0-Planner!$C$43)</f>
        <v>-2.4955</v>
      </c>
      <c r="AT82" s="25" t="n">
        <f aca="false">AT$21*(0-Planner!$C$43)</f>
        <v>-4.3575</v>
      </c>
      <c r="AU82" s="25" t="n">
        <f aca="false">AU$21*(0-Planner!$C$43)</f>
        <v>-4.8545</v>
      </c>
      <c r="AV82" s="25" t="n">
        <f aca="false">AV$21*(0-Planner!$C$43)</f>
        <v>-1.057</v>
      </c>
      <c r="AW82" s="25" t="n">
        <f aca="false">AW$21*(0-Planner!$C$43)</f>
        <v>-0.7175</v>
      </c>
      <c r="AX82" s="25" t="n">
        <f aca="false">AX$21*(0-Planner!$C$43)</f>
        <v>-0.5495</v>
      </c>
      <c r="AY82" s="25" t="n">
        <f aca="false">AY$21*(0-Planner!$C$43)</f>
        <v>-0.091</v>
      </c>
      <c r="AZ82" s="25" t="n">
        <f aca="false">AZ$21*(0-Planner!$C$43)</f>
        <v>-0.3815</v>
      </c>
      <c r="BA82" s="25" t="n">
        <f aca="false">BA$21*(0-Planner!$C$43)</f>
        <v>-0.147</v>
      </c>
      <c r="BB82" s="25" t="n">
        <f aca="false">BB$21*(0-Planner!$C$43)</f>
        <v>-0.252</v>
      </c>
      <c r="BC82" s="25" t="n">
        <f aca="false">BC$21*(0-Planner!$C$43)</f>
        <v>-0.238</v>
      </c>
      <c r="BD82" s="25" t="n">
        <f aca="false">BD$21*(0-Planner!$C$43)</f>
        <v>-0.3185</v>
      </c>
      <c r="BE82" s="25" t="n">
        <f aca="false">BE$21*(0-Planner!$C$43)</f>
        <v>-1.0745</v>
      </c>
      <c r="BF82" s="25" t="n">
        <f aca="false">BF$21*(0-Planner!$C$43)</f>
        <v>-0.2345</v>
      </c>
      <c r="BG82" s="25" t="n">
        <f aca="false">BG$21*(0-Planner!$C$43)</f>
        <v>-1.071</v>
      </c>
      <c r="BH82" s="25" t="n">
        <f aca="false">BH$21*(0-Planner!$C$43)</f>
        <v>-0.3255</v>
      </c>
      <c r="BI82" s="25" t="n">
        <f aca="false">BI$21*(0-Planner!$C$43)</f>
        <v>-0.252</v>
      </c>
      <c r="BJ82" s="25" t="n">
        <f aca="false">BJ$21*(0-Planner!$C$43)</f>
        <v>-0.301</v>
      </c>
      <c r="BK82" s="25" t="n">
        <f aca="false">BK$21*(0-Planner!$C$43)</f>
        <v>-1.1655</v>
      </c>
      <c r="BL82" s="25" t="n">
        <f aca="false">BL$21*(0-Planner!$C$43)</f>
        <v>-0.385</v>
      </c>
      <c r="BM82" s="25" t="n">
        <f aca="false">BM$21*(0-Planner!$C$43)</f>
        <v>-0.4305</v>
      </c>
      <c r="BN82" s="25" t="n">
        <f aca="false">BN$21*(0-Planner!$C$43)</f>
        <v>-1.001</v>
      </c>
      <c r="BO82" s="25" t="n">
        <f aca="false">BO$21*(0-Planner!$C$43)</f>
        <v>-0.308</v>
      </c>
      <c r="BP82" s="25" t="n">
        <f aca="false">BP$21*(0-Planner!$C$43)</f>
        <v>-0.2975</v>
      </c>
      <c r="BQ82" s="25" t="n">
        <f aca="false">BQ$21*(0-Planner!$C$43)</f>
        <v>-0</v>
      </c>
      <c r="BR82" s="25" t="n">
        <f aca="false">BR$21*(0-Planner!$C$43)</f>
        <v>-0</v>
      </c>
      <c r="BS82" s="25" t="n">
        <f aca="false">BS$21*(0-Planner!$C$43)</f>
        <v>-7.4025</v>
      </c>
      <c r="BT82" s="25" t="n">
        <f aca="false">BT$21*(0-Planner!$C$43)</f>
        <v>-0.686</v>
      </c>
      <c r="BU82" s="25" t="n">
        <f aca="false">BU$21*(0-Planner!$C$43)</f>
        <v>-1.785</v>
      </c>
      <c r="BV82" s="25" t="n">
        <f aca="false">BV$21*(0-Planner!$C$43)</f>
        <v>-1.9775</v>
      </c>
      <c r="BW82" s="25" t="n">
        <f aca="false">BW$21*(0-Planner!$C$43)</f>
        <v>-2.2365</v>
      </c>
      <c r="BX82" s="25" t="n">
        <f aca="false">BX$21*(0-Planner!$C$43)</f>
        <v>-1.225</v>
      </c>
    </row>
    <row r="83" customFormat="false" ht="15" hidden="false" customHeight="false" outlineLevel="0" collapsed="false">
      <c r="A83" s="4" t="s">
        <v>674</v>
      </c>
      <c r="B83" s="75" t="s">
        <v>666</v>
      </c>
      <c r="C83" s="78" t="n">
        <v>0</v>
      </c>
      <c r="D83" s="77" t="n">
        <v>-39.199999998243</v>
      </c>
      <c r="E83" s="75" t="str">
        <f aca="false">IF(D83&lt;=C83+0.000001*MAX(1,ABS(C83)),IF(ABS(D83-C83)&lt;=0.000001*MAX(1,ABS(C83)),"tight","ok"),"VIOLATED")</f>
        <v>ok</v>
      </c>
      <c r="F83" s="25" t="n">
        <f aca="false">F$21*(0-Planner!$C$43)</f>
        <v>-7.875</v>
      </c>
      <c r="G83" s="25" t="n">
        <f aca="false">G$21*(0-Planner!$C$43)</f>
        <v>-6.328</v>
      </c>
      <c r="H83" s="25" t="n">
        <f aca="false">H$21*(0-Planner!$C$43)</f>
        <v>-6.881</v>
      </c>
      <c r="I83" s="25" t="n">
        <f aca="false">I$21*(0-Planner!$C$43)</f>
        <v>-5.7155</v>
      </c>
      <c r="J83" s="25" t="n">
        <f aca="false">J$21*(0-Planner!$C$43)</f>
        <v>-6.5555</v>
      </c>
      <c r="K83" s="25" t="n">
        <f aca="false">K$21*(0-Planner!$C$43)</f>
        <v>-4.417</v>
      </c>
      <c r="L83" s="25" t="n">
        <f aca="false">L$21*(0-Planner!$C$43)</f>
        <v>-6.0095</v>
      </c>
      <c r="M83" s="25" t="n">
        <f aca="false">M$21*(0-Planner!$C$43)</f>
        <v>-7.2975</v>
      </c>
      <c r="N83" s="25" t="n">
        <f aca="false">N$21*(1-Planner!$C$43)</f>
        <v>10.79</v>
      </c>
      <c r="O83" s="25" t="n">
        <f aca="false">O$21*(0-Planner!$C$43)</f>
        <v>-7.399</v>
      </c>
      <c r="P83" s="25" t="n">
        <f aca="false">P$21*(0-Planner!$C$43)</f>
        <v>-6.972</v>
      </c>
      <c r="Q83" s="25" t="n">
        <f aca="false">Q$21*(0-Planner!$C$43)</f>
        <v>-6.804</v>
      </c>
      <c r="R83" s="25" t="n">
        <f aca="false">R$21*(0-Planner!$C$43)</f>
        <v>-7.147</v>
      </c>
      <c r="S83" s="25" t="n">
        <f aca="false">S$21*(0-Planner!$C$43)</f>
        <v>-4.7635</v>
      </c>
      <c r="T83" s="25" t="n">
        <f aca="false">T$21*(0-Planner!$C$43)</f>
        <v>-7.028</v>
      </c>
      <c r="U83" s="25" t="n">
        <f aca="false">U$21*(0-Planner!$C$43)</f>
        <v>-4.396</v>
      </c>
      <c r="V83" s="25" t="n">
        <f aca="false">V$21*(0-Planner!$C$43)</f>
        <v>-2.1105</v>
      </c>
      <c r="W83" s="25" t="n">
        <f aca="false">W$21*(0-Planner!$C$43)</f>
        <v>-1.722</v>
      </c>
      <c r="X83" s="25" t="n">
        <f aca="false">X$21*(0-Planner!$C$43)</f>
        <v>-8.6205</v>
      </c>
      <c r="Y83" s="25" t="n">
        <f aca="false">Y$21*(0-Planner!$C$43)</f>
        <v>-7.7735</v>
      </c>
      <c r="Z83" s="25" t="n">
        <f aca="false">Z$21*(0-Planner!$C$43)</f>
        <v>-7.497</v>
      </c>
      <c r="AA83" s="25" t="n">
        <f aca="false">AA$21*(0-Planner!$C$43)</f>
        <v>-3.535</v>
      </c>
      <c r="AB83" s="25" t="n">
        <f aca="false">AB$21*(0-Planner!$C$43)</f>
        <v>-1.155</v>
      </c>
      <c r="AC83" s="25" t="n">
        <f aca="false">AC$21*(0-Planner!$C$43)</f>
        <v>-3.5665</v>
      </c>
      <c r="AD83" s="25" t="n">
        <f aca="false">AD$21*(0-Planner!$C$43)</f>
        <v>-0.91</v>
      </c>
      <c r="AE83" s="25" t="n">
        <f aca="false">AE$21*(0-Planner!$C$43)</f>
        <v>-1.1025</v>
      </c>
      <c r="AF83" s="25" t="n">
        <f aca="false">AF$21*(0-Planner!$C$43)</f>
        <v>-6.3455</v>
      </c>
      <c r="AG83" s="25" t="n">
        <f aca="false">AG$21*(0-Planner!$C$43)</f>
        <v>-8.0045</v>
      </c>
      <c r="AH83" s="25" t="n">
        <f aca="false">AH$21*(0-Planner!$C$43)</f>
        <v>-3.6575</v>
      </c>
      <c r="AI83" s="25" t="n">
        <f aca="false">AI$21*(0-Planner!$C$43)</f>
        <v>-8.3125</v>
      </c>
      <c r="AJ83" s="25" t="n">
        <f aca="false">AJ$21*(0-Planner!$C$43)</f>
        <v>-3.696</v>
      </c>
      <c r="AK83" s="25" t="n">
        <f aca="false">AK$21*(0-Planner!$C$43)</f>
        <v>-2.639</v>
      </c>
      <c r="AL83" s="25" t="n">
        <f aca="false">AL$21*(0-Planner!$C$43)</f>
        <v>-4.2315</v>
      </c>
      <c r="AM83" s="25" t="n">
        <f aca="false">AM$21*(0-Planner!$C$43)</f>
        <v>-1.995</v>
      </c>
      <c r="AN83" s="25" t="n">
        <f aca="false">AN$21*(0-Planner!$C$43)</f>
        <v>-2.8035</v>
      </c>
      <c r="AO83" s="25" t="n">
        <f aca="false">AO$21*(0-Planner!$C$43)</f>
        <v>-4.942</v>
      </c>
      <c r="AP83" s="25" t="n">
        <f aca="false">AP$21*(0-Planner!$C$43)</f>
        <v>-4.6025</v>
      </c>
      <c r="AQ83" s="25" t="n">
        <f aca="false">AQ$21*(0-Planner!$C$43)</f>
        <v>-4.564</v>
      </c>
      <c r="AR83" s="25" t="n">
        <f aca="false">AR$21*(0-Planner!$C$43)</f>
        <v>-3.0975</v>
      </c>
      <c r="AS83" s="25" t="n">
        <f aca="false">AS$21*(0-Planner!$C$43)</f>
        <v>-2.4955</v>
      </c>
      <c r="AT83" s="25" t="n">
        <f aca="false">AT$21*(0-Planner!$C$43)</f>
        <v>-4.3575</v>
      </c>
      <c r="AU83" s="25" t="n">
        <f aca="false">AU$21*(0-Planner!$C$43)</f>
        <v>-4.8545</v>
      </c>
      <c r="AV83" s="25" t="n">
        <f aca="false">AV$21*(0-Planner!$C$43)</f>
        <v>-1.057</v>
      </c>
      <c r="AW83" s="25" t="n">
        <f aca="false">AW$21*(0-Planner!$C$43)</f>
        <v>-0.7175</v>
      </c>
      <c r="AX83" s="25" t="n">
        <f aca="false">AX$21*(0-Planner!$C$43)</f>
        <v>-0.5495</v>
      </c>
      <c r="AY83" s="25" t="n">
        <f aca="false">AY$21*(0-Planner!$C$43)</f>
        <v>-0.091</v>
      </c>
      <c r="AZ83" s="25" t="n">
        <f aca="false">AZ$21*(0-Planner!$C$43)</f>
        <v>-0.3815</v>
      </c>
      <c r="BA83" s="25" t="n">
        <f aca="false">BA$21*(0-Planner!$C$43)</f>
        <v>-0.147</v>
      </c>
      <c r="BB83" s="25" t="n">
        <f aca="false">BB$21*(0-Planner!$C$43)</f>
        <v>-0.252</v>
      </c>
      <c r="BC83" s="25" t="n">
        <f aca="false">BC$21*(0-Planner!$C$43)</f>
        <v>-0.238</v>
      </c>
      <c r="BD83" s="25" t="n">
        <f aca="false">BD$21*(0-Planner!$C$43)</f>
        <v>-0.3185</v>
      </c>
      <c r="BE83" s="25" t="n">
        <f aca="false">BE$21*(0-Planner!$C$43)</f>
        <v>-1.0745</v>
      </c>
      <c r="BF83" s="25" t="n">
        <f aca="false">BF$21*(0-Planner!$C$43)</f>
        <v>-0.2345</v>
      </c>
      <c r="BG83" s="25" t="n">
        <f aca="false">BG$21*(0-Planner!$C$43)</f>
        <v>-1.071</v>
      </c>
      <c r="BH83" s="25" t="n">
        <f aca="false">BH$21*(0-Planner!$C$43)</f>
        <v>-0.3255</v>
      </c>
      <c r="BI83" s="25" t="n">
        <f aca="false">BI$21*(0-Planner!$C$43)</f>
        <v>-0.252</v>
      </c>
      <c r="BJ83" s="25" t="n">
        <f aca="false">BJ$21*(0-Planner!$C$43)</f>
        <v>-0.301</v>
      </c>
      <c r="BK83" s="25" t="n">
        <f aca="false">BK$21*(0-Planner!$C$43)</f>
        <v>-1.1655</v>
      </c>
      <c r="BL83" s="25" t="n">
        <f aca="false">BL$21*(0-Planner!$C$43)</f>
        <v>-0.385</v>
      </c>
      <c r="BM83" s="25" t="n">
        <f aca="false">BM$21*(0-Planner!$C$43)</f>
        <v>-0.4305</v>
      </c>
      <c r="BN83" s="25" t="n">
        <f aca="false">BN$21*(0-Planner!$C$43)</f>
        <v>-1.001</v>
      </c>
      <c r="BO83" s="25" t="n">
        <f aca="false">BO$21*(0-Planner!$C$43)</f>
        <v>-0.308</v>
      </c>
      <c r="BP83" s="25" t="n">
        <f aca="false">BP$21*(0-Planner!$C$43)</f>
        <v>-0.2975</v>
      </c>
      <c r="BQ83" s="25" t="n">
        <f aca="false">BQ$21*(0-Planner!$C$43)</f>
        <v>-0</v>
      </c>
      <c r="BR83" s="25" t="n">
        <f aca="false">BR$21*(0-Planner!$C$43)</f>
        <v>-0</v>
      </c>
      <c r="BS83" s="25" t="n">
        <f aca="false">BS$21*(0-Planner!$C$43)</f>
        <v>-7.4025</v>
      </c>
      <c r="BT83" s="25" t="n">
        <f aca="false">BT$21*(0-Planner!$C$43)</f>
        <v>-0.686</v>
      </c>
      <c r="BU83" s="25" t="n">
        <f aca="false">BU$21*(0-Planner!$C$43)</f>
        <v>-1.785</v>
      </c>
      <c r="BV83" s="25" t="n">
        <f aca="false">BV$21*(0-Planner!$C$43)</f>
        <v>-1.9775</v>
      </c>
      <c r="BW83" s="25" t="n">
        <f aca="false">BW$21*(0-Planner!$C$43)</f>
        <v>-2.2365</v>
      </c>
      <c r="BX83" s="25" t="n">
        <f aca="false">BX$21*(0-Planner!$C$43)</f>
        <v>-1.225</v>
      </c>
    </row>
    <row r="84" customFormat="false" ht="15" hidden="false" customHeight="false" outlineLevel="0" collapsed="false">
      <c r="A84" s="4" t="s">
        <v>675</v>
      </c>
      <c r="B84" s="75" t="s">
        <v>666</v>
      </c>
      <c r="C84" s="78" t="n">
        <v>0</v>
      </c>
      <c r="D84" s="77" t="n">
        <v>-39.199999998243</v>
      </c>
      <c r="E84" s="75" t="str">
        <f aca="false">IF(D84&lt;=C84+0.000001*MAX(1,ABS(C84)),IF(ABS(D84-C84)&lt;=0.000001*MAX(1,ABS(C84)),"tight","ok"),"VIOLATED")</f>
        <v>ok</v>
      </c>
      <c r="F84" s="25" t="n">
        <f aca="false">F$21*(0-Planner!$C$43)</f>
        <v>-7.875</v>
      </c>
      <c r="G84" s="25" t="n">
        <f aca="false">G$21*(0-Planner!$C$43)</f>
        <v>-6.328</v>
      </c>
      <c r="H84" s="25" t="n">
        <f aca="false">H$21*(0-Planner!$C$43)</f>
        <v>-6.881</v>
      </c>
      <c r="I84" s="25" t="n">
        <f aca="false">I$21*(0-Planner!$C$43)</f>
        <v>-5.7155</v>
      </c>
      <c r="J84" s="25" t="n">
        <f aca="false">J$21*(0-Planner!$C$43)</f>
        <v>-6.5555</v>
      </c>
      <c r="K84" s="25" t="n">
        <f aca="false">K$21*(0-Planner!$C$43)</f>
        <v>-4.417</v>
      </c>
      <c r="L84" s="25" t="n">
        <f aca="false">L$21*(0-Planner!$C$43)</f>
        <v>-6.0095</v>
      </c>
      <c r="M84" s="25" t="n">
        <f aca="false">M$21*(0-Planner!$C$43)</f>
        <v>-7.2975</v>
      </c>
      <c r="N84" s="25" t="n">
        <f aca="false">N$21*(0-Planner!$C$43)</f>
        <v>-5.81</v>
      </c>
      <c r="O84" s="25" t="n">
        <f aca="false">O$21*(1-Planner!$C$43)</f>
        <v>13.741</v>
      </c>
      <c r="P84" s="25" t="n">
        <f aca="false">P$21*(0-Planner!$C$43)</f>
        <v>-6.972</v>
      </c>
      <c r="Q84" s="25" t="n">
        <f aca="false">Q$21*(0-Planner!$C$43)</f>
        <v>-6.804</v>
      </c>
      <c r="R84" s="25" t="n">
        <f aca="false">R$21*(0-Planner!$C$43)</f>
        <v>-7.147</v>
      </c>
      <c r="S84" s="25" t="n">
        <f aca="false">S$21*(0-Planner!$C$43)</f>
        <v>-4.7635</v>
      </c>
      <c r="T84" s="25" t="n">
        <f aca="false">T$21*(0-Planner!$C$43)</f>
        <v>-7.028</v>
      </c>
      <c r="U84" s="25" t="n">
        <f aca="false">U$21*(0-Planner!$C$43)</f>
        <v>-4.396</v>
      </c>
      <c r="V84" s="25" t="n">
        <f aca="false">V$21*(0-Planner!$C$43)</f>
        <v>-2.1105</v>
      </c>
      <c r="W84" s="25" t="n">
        <f aca="false">W$21*(0-Planner!$C$43)</f>
        <v>-1.722</v>
      </c>
      <c r="X84" s="25" t="n">
        <f aca="false">X$21*(0-Planner!$C$43)</f>
        <v>-8.6205</v>
      </c>
      <c r="Y84" s="25" t="n">
        <f aca="false">Y$21*(0-Planner!$C$43)</f>
        <v>-7.7735</v>
      </c>
      <c r="Z84" s="25" t="n">
        <f aca="false">Z$21*(0-Planner!$C$43)</f>
        <v>-7.497</v>
      </c>
      <c r="AA84" s="25" t="n">
        <f aca="false">AA$21*(0-Planner!$C$43)</f>
        <v>-3.535</v>
      </c>
      <c r="AB84" s="25" t="n">
        <f aca="false">AB$21*(0-Planner!$C$43)</f>
        <v>-1.155</v>
      </c>
      <c r="AC84" s="25" t="n">
        <f aca="false">AC$21*(0-Planner!$C$43)</f>
        <v>-3.5665</v>
      </c>
      <c r="AD84" s="25" t="n">
        <f aca="false">AD$21*(0-Planner!$C$43)</f>
        <v>-0.91</v>
      </c>
      <c r="AE84" s="25" t="n">
        <f aca="false">AE$21*(0-Planner!$C$43)</f>
        <v>-1.1025</v>
      </c>
      <c r="AF84" s="25" t="n">
        <f aca="false">AF$21*(0-Planner!$C$43)</f>
        <v>-6.3455</v>
      </c>
      <c r="AG84" s="25" t="n">
        <f aca="false">AG$21*(0-Planner!$C$43)</f>
        <v>-8.0045</v>
      </c>
      <c r="AH84" s="25" t="n">
        <f aca="false">AH$21*(0-Planner!$C$43)</f>
        <v>-3.6575</v>
      </c>
      <c r="AI84" s="25" t="n">
        <f aca="false">AI$21*(0-Planner!$C$43)</f>
        <v>-8.3125</v>
      </c>
      <c r="AJ84" s="25" t="n">
        <f aca="false">AJ$21*(0-Planner!$C$43)</f>
        <v>-3.696</v>
      </c>
      <c r="AK84" s="25" t="n">
        <f aca="false">AK$21*(0-Planner!$C$43)</f>
        <v>-2.639</v>
      </c>
      <c r="AL84" s="25" t="n">
        <f aca="false">AL$21*(0-Planner!$C$43)</f>
        <v>-4.2315</v>
      </c>
      <c r="AM84" s="25" t="n">
        <f aca="false">AM$21*(0-Planner!$C$43)</f>
        <v>-1.995</v>
      </c>
      <c r="AN84" s="25" t="n">
        <f aca="false">AN$21*(0-Planner!$C$43)</f>
        <v>-2.8035</v>
      </c>
      <c r="AO84" s="25" t="n">
        <f aca="false">AO$21*(0-Planner!$C$43)</f>
        <v>-4.942</v>
      </c>
      <c r="AP84" s="25" t="n">
        <f aca="false">AP$21*(0-Planner!$C$43)</f>
        <v>-4.6025</v>
      </c>
      <c r="AQ84" s="25" t="n">
        <f aca="false">AQ$21*(0-Planner!$C$43)</f>
        <v>-4.564</v>
      </c>
      <c r="AR84" s="25" t="n">
        <f aca="false">AR$21*(0-Planner!$C$43)</f>
        <v>-3.0975</v>
      </c>
      <c r="AS84" s="25" t="n">
        <f aca="false">AS$21*(0-Planner!$C$43)</f>
        <v>-2.4955</v>
      </c>
      <c r="AT84" s="25" t="n">
        <f aca="false">AT$21*(0-Planner!$C$43)</f>
        <v>-4.3575</v>
      </c>
      <c r="AU84" s="25" t="n">
        <f aca="false">AU$21*(0-Planner!$C$43)</f>
        <v>-4.8545</v>
      </c>
      <c r="AV84" s="25" t="n">
        <f aca="false">AV$21*(0-Planner!$C$43)</f>
        <v>-1.057</v>
      </c>
      <c r="AW84" s="25" t="n">
        <f aca="false">AW$21*(0-Planner!$C$43)</f>
        <v>-0.7175</v>
      </c>
      <c r="AX84" s="25" t="n">
        <f aca="false">AX$21*(0-Planner!$C$43)</f>
        <v>-0.5495</v>
      </c>
      <c r="AY84" s="25" t="n">
        <f aca="false">AY$21*(0-Planner!$C$43)</f>
        <v>-0.091</v>
      </c>
      <c r="AZ84" s="25" t="n">
        <f aca="false">AZ$21*(0-Planner!$C$43)</f>
        <v>-0.3815</v>
      </c>
      <c r="BA84" s="25" t="n">
        <f aca="false">BA$21*(0-Planner!$C$43)</f>
        <v>-0.147</v>
      </c>
      <c r="BB84" s="25" t="n">
        <f aca="false">BB$21*(0-Planner!$C$43)</f>
        <v>-0.252</v>
      </c>
      <c r="BC84" s="25" t="n">
        <f aca="false">BC$21*(0-Planner!$C$43)</f>
        <v>-0.238</v>
      </c>
      <c r="BD84" s="25" t="n">
        <f aca="false">BD$21*(0-Planner!$C$43)</f>
        <v>-0.3185</v>
      </c>
      <c r="BE84" s="25" t="n">
        <f aca="false">BE$21*(0-Planner!$C$43)</f>
        <v>-1.0745</v>
      </c>
      <c r="BF84" s="25" t="n">
        <f aca="false">BF$21*(0-Planner!$C$43)</f>
        <v>-0.2345</v>
      </c>
      <c r="BG84" s="25" t="n">
        <f aca="false">BG$21*(0-Planner!$C$43)</f>
        <v>-1.071</v>
      </c>
      <c r="BH84" s="25" t="n">
        <f aca="false">BH$21*(0-Planner!$C$43)</f>
        <v>-0.3255</v>
      </c>
      <c r="BI84" s="25" t="n">
        <f aca="false">BI$21*(0-Planner!$C$43)</f>
        <v>-0.252</v>
      </c>
      <c r="BJ84" s="25" t="n">
        <f aca="false">BJ$21*(0-Planner!$C$43)</f>
        <v>-0.301</v>
      </c>
      <c r="BK84" s="25" t="n">
        <f aca="false">BK$21*(0-Planner!$C$43)</f>
        <v>-1.1655</v>
      </c>
      <c r="BL84" s="25" t="n">
        <f aca="false">BL$21*(0-Planner!$C$43)</f>
        <v>-0.385</v>
      </c>
      <c r="BM84" s="25" t="n">
        <f aca="false">BM$21*(0-Planner!$C$43)</f>
        <v>-0.4305</v>
      </c>
      <c r="BN84" s="25" t="n">
        <f aca="false">BN$21*(0-Planner!$C$43)</f>
        <v>-1.001</v>
      </c>
      <c r="BO84" s="25" t="n">
        <f aca="false">BO$21*(0-Planner!$C$43)</f>
        <v>-0.308</v>
      </c>
      <c r="BP84" s="25" t="n">
        <f aca="false">BP$21*(0-Planner!$C$43)</f>
        <v>-0.2975</v>
      </c>
      <c r="BQ84" s="25" t="n">
        <f aca="false">BQ$21*(0-Planner!$C$43)</f>
        <v>-0</v>
      </c>
      <c r="BR84" s="25" t="n">
        <f aca="false">BR$21*(0-Planner!$C$43)</f>
        <v>-0</v>
      </c>
      <c r="BS84" s="25" t="n">
        <f aca="false">BS$21*(0-Planner!$C$43)</f>
        <v>-7.4025</v>
      </c>
      <c r="BT84" s="25" t="n">
        <f aca="false">BT$21*(0-Planner!$C$43)</f>
        <v>-0.686</v>
      </c>
      <c r="BU84" s="25" t="n">
        <f aca="false">BU$21*(0-Planner!$C$43)</f>
        <v>-1.785</v>
      </c>
      <c r="BV84" s="25" t="n">
        <f aca="false">BV$21*(0-Planner!$C$43)</f>
        <v>-1.9775</v>
      </c>
      <c r="BW84" s="25" t="n">
        <f aca="false">BW$21*(0-Planner!$C$43)</f>
        <v>-2.2365</v>
      </c>
      <c r="BX84" s="25" t="n">
        <f aca="false">BX$21*(0-Planner!$C$43)</f>
        <v>-1.225</v>
      </c>
    </row>
    <row r="85" customFormat="false" ht="15" hidden="false" customHeight="false" outlineLevel="0" collapsed="false">
      <c r="A85" s="4" t="s">
        <v>676</v>
      </c>
      <c r="B85" s="75" t="s">
        <v>666</v>
      </c>
      <c r="C85" s="78" t="n">
        <v>0</v>
      </c>
      <c r="D85" s="77" t="n">
        <v>-39.199999998243</v>
      </c>
      <c r="E85" s="75" t="str">
        <f aca="false">IF(D85&lt;=C85+0.000001*MAX(1,ABS(C85)),IF(ABS(D85-C85)&lt;=0.000001*MAX(1,ABS(C85)),"tight","ok"),"VIOLATED")</f>
        <v>ok</v>
      </c>
      <c r="F85" s="25" t="n">
        <f aca="false">F$21*(0-Planner!$C$43)</f>
        <v>-7.875</v>
      </c>
      <c r="G85" s="25" t="n">
        <f aca="false">G$21*(0-Planner!$C$43)</f>
        <v>-6.328</v>
      </c>
      <c r="H85" s="25" t="n">
        <f aca="false">H$21*(0-Planner!$C$43)</f>
        <v>-6.881</v>
      </c>
      <c r="I85" s="25" t="n">
        <f aca="false">I$21*(0-Planner!$C$43)</f>
        <v>-5.7155</v>
      </c>
      <c r="J85" s="25" t="n">
        <f aca="false">J$21*(0-Planner!$C$43)</f>
        <v>-6.5555</v>
      </c>
      <c r="K85" s="25" t="n">
        <f aca="false">K$21*(0-Planner!$C$43)</f>
        <v>-4.417</v>
      </c>
      <c r="L85" s="25" t="n">
        <f aca="false">L$21*(0-Planner!$C$43)</f>
        <v>-6.0095</v>
      </c>
      <c r="M85" s="25" t="n">
        <f aca="false">M$21*(0-Planner!$C$43)</f>
        <v>-7.2975</v>
      </c>
      <c r="N85" s="25" t="n">
        <f aca="false">N$21*(0-Planner!$C$43)</f>
        <v>-5.81</v>
      </c>
      <c r="O85" s="25" t="n">
        <f aca="false">O$21*(0-Planner!$C$43)</f>
        <v>-7.399</v>
      </c>
      <c r="P85" s="25" t="n">
        <f aca="false">P$21*(1-Planner!$C$43)</f>
        <v>12.948</v>
      </c>
      <c r="Q85" s="25" t="n">
        <f aca="false">Q$21*(0-Planner!$C$43)</f>
        <v>-6.804</v>
      </c>
      <c r="R85" s="25" t="n">
        <f aca="false">R$21*(0-Planner!$C$43)</f>
        <v>-7.147</v>
      </c>
      <c r="S85" s="25" t="n">
        <f aca="false">S$21*(0-Planner!$C$43)</f>
        <v>-4.7635</v>
      </c>
      <c r="T85" s="25" t="n">
        <f aca="false">T$21*(0-Planner!$C$43)</f>
        <v>-7.028</v>
      </c>
      <c r="U85" s="25" t="n">
        <f aca="false">U$21*(0-Planner!$C$43)</f>
        <v>-4.396</v>
      </c>
      <c r="V85" s="25" t="n">
        <f aca="false">V$21*(0-Planner!$C$43)</f>
        <v>-2.1105</v>
      </c>
      <c r="W85" s="25" t="n">
        <f aca="false">W$21*(0-Planner!$C$43)</f>
        <v>-1.722</v>
      </c>
      <c r="X85" s="25" t="n">
        <f aca="false">X$21*(0-Planner!$C$43)</f>
        <v>-8.6205</v>
      </c>
      <c r="Y85" s="25" t="n">
        <f aca="false">Y$21*(0-Planner!$C$43)</f>
        <v>-7.7735</v>
      </c>
      <c r="Z85" s="25" t="n">
        <f aca="false">Z$21*(0-Planner!$C$43)</f>
        <v>-7.497</v>
      </c>
      <c r="AA85" s="25" t="n">
        <f aca="false">AA$21*(0-Planner!$C$43)</f>
        <v>-3.535</v>
      </c>
      <c r="AB85" s="25" t="n">
        <f aca="false">AB$21*(0-Planner!$C$43)</f>
        <v>-1.155</v>
      </c>
      <c r="AC85" s="25" t="n">
        <f aca="false">AC$21*(0-Planner!$C$43)</f>
        <v>-3.5665</v>
      </c>
      <c r="AD85" s="25" t="n">
        <f aca="false">AD$21*(0-Planner!$C$43)</f>
        <v>-0.91</v>
      </c>
      <c r="AE85" s="25" t="n">
        <f aca="false">AE$21*(0-Planner!$C$43)</f>
        <v>-1.1025</v>
      </c>
      <c r="AF85" s="25" t="n">
        <f aca="false">AF$21*(0-Planner!$C$43)</f>
        <v>-6.3455</v>
      </c>
      <c r="AG85" s="25" t="n">
        <f aca="false">AG$21*(0-Planner!$C$43)</f>
        <v>-8.0045</v>
      </c>
      <c r="AH85" s="25" t="n">
        <f aca="false">AH$21*(0-Planner!$C$43)</f>
        <v>-3.6575</v>
      </c>
      <c r="AI85" s="25" t="n">
        <f aca="false">AI$21*(0-Planner!$C$43)</f>
        <v>-8.3125</v>
      </c>
      <c r="AJ85" s="25" t="n">
        <f aca="false">AJ$21*(0-Planner!$C$43)</f>
        <v>-3.696</v>
      </c>
      <c r="AK85" s="25" t="n">
        <f aca="false">AK$21*(0-Planner!$C$43)</f>
        <v>-2.639</v>
      </c>
      <c r="AL85" s="25" t="n">
        <f aca="false">AL$21*(0-Planner!$C$43)</f>
        <v>-4.2315</v>
      </c>
      <c r="AM85" s="25" t="n">
        <f aca="false">AM$21*(0-Planner!$C$43)</f>
        <v>-1.995</v>
      </c>
      <c r="AN85" s="25" t="n">
        <f aca="false">AN$21*(0-Planner!$C$43)</f>
        <v>-2.8035</v>
      </c>
      <c r="AO85" s="25" t="n">
        <f aca="false">AO$21*(0-Planner!$C$43)</f>
        <v>-4.942</v>
      </c>
      <c r="AP85" s="25" t="n">
        <f aca="false">AP$21*(0-Planner!$C$43)</f>
        <v>-4.6025</v>
      </c>
      <c r="AQ85" s="25" t="n">
        <f aca="false">AQ$21*(0-Planner!$C$43)</f>
        <v>-4.564</v>
      </c>
      <c r="AR85" s="25" t="n">
        <f aca="false">AR$21*(0-Planner!$C$43)</f>
        <v>-3.0975</v>
      </c>
      <c r="AS85" s="25" t="n">
        <f aca="false">AS$21*(0-Planner!$C$43)</f>
        <v>-2.4955</v>
      </c>
      <c r="AT85" s="25" t="n">
        <f aca="false">AT$21*(0-Planner!$C$43)</f>
        <v>-4.3575</v>
      </c>
      <c r="AU85" s="25" t="n">
        <f aca="false">AU$21*(0-Planner!$C$43)</f>
        <v>-4.8545</v>
      </c>
      <c r="AV85" s="25" t="n">
        <f aca="false">AV$21*(0-Planner!$C$43)</f>
        <v>-1.057</v>
      </c>
      <c r="AW85" s="25" t="n">
        <f aca="false">AW$21*(0-Planner!$C$43)</f>
        <v>-0.7175</v>
      </c>
      <c r="AX85" s="25" t="n">
        <f aca="false">AX$21*(0-Planner!$C$43)</f>
        <v>-0.5495</v>
      </c>
      <c r="AY85" s="25" t="n">
        <f aca="false">AY$21*(0-Planner!$C$43)</f>
        <v>-0.091</v>
      </c>
      <c r="AZ85" s="25" t="n">
        <f aca="false">AZ$21*(0-Planner!$C$43)</f>
        <v>-0.3815</v>
      </c>
      <c r="BA85" s="25" t="n">
        <f aca="false">BA$21*(0-Planner!$C$43)</f>
        <v>-0.147</v>
      </c>
      <c r="BB85" s="25" t="n">
        <f aca="false">BB$21*(0-Planner!$C$43)</f>
        <v>-0.252</v>
      </c>
      <c r="BC85" s="25" t="n">
        <f aca="false">BC$21*(0-Planner!$C$43)</f>
        <v>-0.238</v>
      </c>
      <c r="BD85" s="25" t="n">
        <f aca="false">BD$21*(0-Planner!$C$43)</f>
        <v>-0.3185</v>
      </c>
      <c r="BE85" s="25" t="n">
        <f aca="false">BE$21*(0-Planner!$C$43)</f>
        <v>-1.0745</v>
      </c>
      <c r="BF85" s="25" t="n">
        <f aca="false">BF$21*(0-Planner!$C$43)</f>
        <v>-0.2345</v>
      </c>
      <c r="BG85" s="25" t="n">
        <f aca="false">BG$21*(0-Planner!$C$43)</f>
        <v>-1.071</v>
      </c>
      <c r="BH85" s="25" t="n">
        <f aca="false">BH$21*(0-Planner!$C$43)</f>
        <v>-0.3255</v>
      </c>
      <c r="BI85" s="25" t="n">
        <f aca="false">BI$21*(0-Planner!$C$43)</f>
        <v>-0.252</v>
      </c>
      <c r="BJ85" s="25" t="n">
        <f aca="false">BJ$21*(0-Planner!$C$43)</f>
        <v>-0.301</v>
      </c>
      <c r="BK85" s="25" t="n">
        <f aca="false">BK$21*(0-Planner!$C$43)</f>
        <v>-1.1655</v>
      </c>
      <c r="BL85" s="25" t="n">
        <f aca="false">BL$21*(0-Planner!$C$43)</f>
        <v>-0.385</v>
      </c>
      <c r="BM85" s="25" t="n">
        <f aca="false">BM$21*(0-Planner!$C$43)</f>
        <v>-0.4305</v>
      </c>
      <c r="BN85" s="25" t="n">
        <f aca="false">BN$21*(0-Planner!$C$43)</f>
        <v>-1.001</v>
      </c>
      <c r="BO85" s="25" t="n">
        <f aca="false">BO$21*(0-Planner!$C$43)</f>
        <v>-0.308</v>
      </c>
      <c r="BP85" s="25" t="n">
        <f aca="false">BP$21*(0-Planner!$C$43)</f>
        <v>-0.2975</v>
      </c>
      <c r="BQ85" s="25" t="n">
        <f aca="false">BQ$21*(0-Planner!$C$43)</f>
        <v>-0</v>
      </c>
      <c r="BR85" s="25" t="n">
        <f aca="false">BR$21*(0-Planner!$C$43)</f>
        <v>-0</v>
      </c>
      <c r="BS85" s="25" t="n">
        <f aca="false">BS$21*(0-Planner!$C$43)</f>
        <v>-7.4025</v>
      </c>
      <c r="BT85" s="25" t="n">
        <f aca="false">BT$21*(0-Planner!$C$43)</f>
        <v>-0.686</v>
      </c>
      <c r="BU85" s="25" t="n">
        <f aca="false">BU$21*(0-Planner!$C$43)</f>
        <v>-1.785</v>
      </c>
      <c r="BV85" s="25" t="n">
        <f aca="false">BV$21*(0-Planner!$C$43)</f>
        <v>-1.9775</v>
      </c>
      <c r="BW85" s="25" t="n">
        <f aca="false">BW$21*(0-Planner!$C$43)</f>
        <v>-2.2365</v>
      </c>
      <c r="BX85" s="25" t="n">
        <f aca="false">BX$21*(0-Planner!$C$43)</f>
        <v>-1.225</v>
      </c>
    </row>
    <row r="86" customFormat="false" ht="15" hidden="false" customHeight="false" outlineLevel="0" collapsed="false">
      <c r="A86" s="4" t="s">
        <v>677</v>
      </c>
      <c r="B86" s="75" t="s">
        <v>666</v>
      </c>
      <c r="C86" s="78" t="n">
        <v>0</v>
      </c>
      <c r="D86" s="77" t="n">
        <v>-39.199999998243</v>
      </c>
      <c r="E86" s="75" t="str">
        <f aca="false">IF(D86&lt;=C86+0.000001*MAX(1,ABS(C86)),IF(ABS(D86-C86)&lt;=0.000001*MAX(1,ABS(C86)),"tight","ok"),"VIOLATED")</f>
        <v>ok</v>
      </c>
      <c r="F86" s="25" t="n">
        <f aca="false">F$21*(0-Planner!$C$43)</f>
        <v>-7.875</v>
      </c>
      <c r="G86" s="25" t="n">
        <f aca="false">G$21*(0-Planner!$C$43)</f>
        <v>-6.328</v>
      </c>
      <c r="H86" s="25" t="n">
        <f aca="false">H$21*(0-Planner!$C$43)</f>
        <v>-6.881</v>
      </c>
      <c r="I86" s="25" t="n">
        <f aca="false">I$21*(0-Planner!$C$43)</f>
        <v>-5.7155</v>
      </c>
      <c r="J86" s="25" t="n">
        <f aca="false">J$21*(0-Planner!$C$43)</f>
        <v>-6.5555</v>
      </c>
      <c r="K86" s="25" t="n">
        <f aca="false">K$21*(0-Planner!$C$43)</f>
        <v>-4.417</v>
      </c>
      <c r="L86" s="25" t="n">
        <f aca="false">L$21*(0-Planner!$C$43)</f>
        <v>-6.0095</v>
      </c>
      <c r="M86" s="25" t="n">
        <f aca="false">M$21*(0-Planner!$C$43)</f>
        <v>-7.2975</v>
      </c>
      <c r="N86" s="25" t="n">
        <f aca="false">N$21*(0-Planner!$C$43)</f>
        <v>-5.81</v>
      </c>
      <c r="O86" s="25" t="n">
        <f aca="false">O$21*(0-Planner!$C$43)</f>
        <v>-7.399</v>
      </c>
      <c r="P86" s="25" t="n">
        <f aca="false">P$21*(0-Planner!$C$43)</f>
        <v>-6.972</v>
      </c>
      <c r="Q86" s="25" t="n">
        <f aca="false">Q$21*(1-Planner!$C$43)</f>
        <v>12.636</v>
      </c>
      <c r="R86" s="25" t="n">
        <f aca="false">R$21*(0-Planner!$C$43)</f>
        <v>-7.147</v>
      </c>
      <c r="S86" s="25" t="n">
        <f aca="false">S$21*(0-Planner!$C$43)</f>
        <v>-4.7635</v>
      </c>
      <c r="T86" s="25" t="n">
        <f aca="false">T$21*(0-Planner!$C$43)</f>
        <v>-7.028</v>
      </c>
      <c r="U86" s="25" t="n">
        <f aca="false">U$21*(0-Planner!$C$43)</f>
        <v>-4.396</v>
      </c>
      <c r="V86" s="25" t="n">
        <f aca="false">V$21*(0-Planner!$C$43)</f>
        <v>-2.1105</v>
      </c>
      <c r="W86" s="25" t="n">
        <f aca="false">W$21*(0-Planner!$C$43)</f>
        <v>-1.722</v>
      </c>
      <c r="X86" s="25" t="n">
        <f aca="false">X$21*(0-Planner!$C$43)</f>
        <v>-8.6205</v>
      </c>
      <c r="Y86" s="25" t="n">
        <f aca="false">Y$21*(0-Planner!$C$43)</f>
        <v>-7.7735</v>
      </c>
      <c r="Z86" s="25" t="n">
        <f aca="false">Z$21*(0-Planner!$C$43)</f>
        <v>-7.497</v>
      </c>
      <c r="AA86" s="25" t="n">
        <f aca="false">AA$21*(0-Planner!$C$43)</f>
        <v>-3.535</v>
      </c>
      <c r="AB86" s="25" t="n">
        <f aca="false">AB$21*(0-Planner!$C$43)</f>
        <v>-1.155</v>
      </c>
      <c r="AC86" s="25" t="n">
        <f aca="false">AC$21*(0-Planner!$C$43)</f>
        <v>-3.5665</v>
      </c>
      <c r="AD86" s="25" t="n">
        <f aca="false">AD$21*(0-Planner!$C$43)</f>
        <v>-0.91</v>
      </c>
      <c r="AE86" s="25" t="n">
        <f aca="false">AE$21*(0-Planner!$C$43)</f>
        <v>-1.1025</v>
      </c>
      <c r="AF86" s="25" t="n">
        <f aca="false">AF$21*(0-Planner!$C$43)</f>
        <v>-6.3455</v>
      </c>
      <c r="AG86" s="25" t="n">
        <f aca="false">AG$21*(0-Planner!$C$43)</f>
        <v>-8.0045</v>
      </c>
      <c r="AH86" s="25" t="n">
        <f aca="false">AH$21*(0-Planner!$C$43)</f>
        <v>-3.6575</v>
      </c>
      <c r="AI86" s="25" t="n">
        <f aca="false">AI$21*(0-Planner!$C$43)</f>
        <v>-8.3125</v>
      </c>
      <c r="AJ86" s="25" t="n">
        <f aca="false">AJ$21*(0-Planner!$C$43)</f>
        <v>-3.696</v>
      </c>
      <c r="AK86" s="25" t="n">
        <f aca="false">AK$21*(0-Planner!$C$43)</f>
        <v>-2.639</v>
      </c>
      <c r="AL86" s="25" t="n">
        <f aca="false">AL$21*(0-Planner!$C$43)</f>
        <v>-4.2315</v>
      </c>
      <c r="AM86" s="25" t="n">
        <f aca="false">AM$21*(0-Planner!$C$43)</f>
        <v>-1.995</v>
      </c>
      <c r="AN86" s="25" t="n">
        <f aca="false">AN$21*(0-Planner!$C$43)</f>
        <v>-2.8035</v>
      </c>
      <c r="AO86" s="25" t="n">
        <f aca="false">AO$21*(0-Planner!$C$43)</f>
        <v>-4.942</v>
      </c>
      <c r="AP86" s="25" t="n">
        <f aca="false">AP$21*(0-Planner!$C$43)</f>
        <v>-4.6025</v>
      </c>
      <c r="AQ86" s="25" t="n">
        <f aca="false">AQ$21*(0-Planner!$C$43)</f>
        <v>-4.564</v>
      </c>
      <c r="AR86" s="25" t="n">
        <f aca="false">AR$21*(0-Planner!$C$43)</f>
        <v>-3.0975</v>
      </c>
      <c r="AS86" s="25" t="n">
        <f aca="false">AS$21*(0-Planner!$C$43)</f>
        <v>-2.4955</v>
      </c>
      <c r="AT86" s="25" t="n">
        <f aca="false">AT$21*(0-Planner!$C$43)</f>
        <v>-4.3575</v>
      </c>
      <c r="AU86" s="25" t="n">
        <f aca="false">AU$21*(0-Planner!$C$43)</f>
        <v>-4.8545</v>
      </c>
      <c r="AV86" s="25" t="n">
        <f aca="false">AV$21*(0-Planner!$C$43)</f>
        <v>-1.057</v>
      </c>
      <c r="AW86" s="25" t="n">
        <f aca="false">AW$21*(0-Planner!$C$43)</f>
        <v>-0.7175</v>
      </c>
      <c r="AX86" s="25" t="n">
        <f aca="false">AX$21*(0-Planner!$C$43)</f>
        <v>-0.5495</v>
      </c>
      <c r="AY86" s="25" t="n">
        <f aca="false">AY$21*(0-Planner!$C$43)</f>
        <v>-0.091</v>
      </c>
      <c r="AZ86" s="25" t="n">
        <f aca="false">AZ$21*(0-Planner!$C$43)</f>
        <v>-0.3815</v>
      </c>
      <c r="BA86" s="25" t="n">
        <f aca="false">BA$21*(0-Planner!$C$43)</f>
        <v>-0.147</v>
      </c>
      <c r="BB86" s="25" t="n">
        <f aca="false">BB$21*(0-Planner!$C$43)</f>
        <v>-0.252</v>
      </c>
      <c r="BC86" s="25" t="n">
        <f aca="false">BC$21*(0-Planner!$C$43)</f>
        <v>-0.238</v>
      </c>
      <c r="BD86" s="25" t="n">
        <f aca="false">BD$21*(0-Planner!$C$43)</f>
        <v>-0.3185</v>
      </c>
      <c r="BE86" s="25" t="n">
        <f aca="false">BE$21*(0-Planner!$C$43)</f>
        <v>-1.0745</v>
      </c>
      <c r="BF86" s="25" t="n">
        <f aca="false">BF$21*(0-Planner!$C$43)</f>
        <v>-0.2345</v>
      </c>
      <c r="BG86" s="25" t="n">
        <f aca="false">BG$21*(0-Planner!$C$43)</f>
        <v>-1.071</v>
      </c>
      <c r="BH86" s="25" t="n">
        <f aca="false">BH$21*(0-Planner!$C$43)</f>
        <v>-0.3255</v>
      </c>
      <c r="BI86" s="25" t="n">
        <f aca="false">BI$21*(0-Planner!$C$43)</f>
        <v>-0.252</v>
      </c>
      <c r="BJ86" s="25" t="n">
        <f aca="false">BJ$21*(0-Planner!$C$43)</f>
        <v>-0.301</v>
      </c>
      <c r="BK86" s="25" t="n">
        <f aca="false">BK$21*(0-Planner!$C$43)</f>
        <v>-1.1655</v>
      </c>
      <c r="BL86" s="25" t="n">
        <f aca="false">BL$21*(0-Planner!$C$43)</f>
        <v>-0.385</v>
      </c>
      <c r="BM86" s="25" t="n">
        <f aca="false">BM$21*(0-Planner!$C$43)</f>
        <v>-0.4305</v>
      </c>
      <c r="BN86" s="25" t="n">
        <f aca="false">BN$21*(0-Planner!$C$43)</f>
        <v>-1.001</v>
      </c>
      <c r="BO86" s="25" t="n">
        <f aca="false">BO$21*(0-Planner!$C$43)</f>
        <v>-0.308</v>
      </c>
      <c r="BP86" s="25" t="n">
        <f aca="false">BP$21*(0-Planner!$C$43)</f>
        <v>-0.2975</v>
      </c>
      <c r="BQ86" s="25" t="n">
        <f aca="false">BQ$21*(0-Planner!$C$43)</f>
        <v>-0</v>
      </c>
      <c r="BR86" s="25" t="n">
        <f aca="false">BR$21*(0-Planner!$C$43)</f>
        <v>-0</v>
      </c>
      <c r="BS86" s="25" t="n">
        <f aca="false">BS$21*(0-Planner!$C$43)</f>
        <v>-7.4025</v>
      </c>
      <c r="BT86" s="25" t="n">
        <f aca="false">BT$21*(0-Planner!$C$43)</f>
        <v>-0.686</v>
      </c>
      <c r="BU86" s="25" t="n">
        <f aca="false">BU$21*(0-Planner!$C$43)</f>
        <v>-1.785</v>
      </c>
      <c r="BV86" s="25" t="n">
        <f aca="false">BV$21*(0-Planner!$C$43)</f>
        <v>-1.9775</v>
      </c>
      <c r="BW86" s="25" t="n">
        <f aca="false">BW$21*(0-Planner!$C$43)</f>
        <v>-2.2365</v>
      </c>
      <c r="BX86" s="25" t="n">
        <f aca="false">BX$21*(0-Planner!$C$43)</f>
        <v>-1.225</v>
      </c>
    </row>
    <row r="87" customFormat="false" ht="15" hidden="false" customHeight="false" outlineLevel="0" collapsed="false">
      <c r="A87" s="4" t="s">
        <v>678</v>
      </c>
      <c r="B87" s="75" t="s">
        <v>666</v>
      </c>
      <c r="C87" s="78" t="n">
        <v>0</v>
      </c>
      <c r="D87" s="77" t="n">
        <v>-39.199999998243</v>
      </c>
      <c r="E87" s="75" t="str">
        <f aca="false">IF(D87&lt;=C87+0.000001*MAX(1,ABS(C87)),IF(ABS(D87-C87)&lt;=0.000001*MAX(1,ABS(C87)),"tight","ok"),"VIOLATED")</f>
        <v>ok</v>
      </c>
      <c r="F87" s="25" t="n">
        <f aca="false">F$21*(0-Planner!$C$43)</f>
        <v>-7.875</v>
      </c>
      <c r="G87" s="25" t="n">
        <f aca="false">G$21*(0-Planner!$C$43)</f>
        <v>-6.328</v>
      </c>
      <c r="H87" s="25" t="n">
        <f aca="false">H$21*(0-Planner!$C$43)</f>
        <v>-6.881</v>
      </c>
      <c r="I87" s="25" t="n">
        <f aca="false">I$21*(0-Planner!$C$43)</f>
        <v>-5.7155</v>
      </c>
      <c r="J87" s="25" t="n">
        <f aca="false">J$21*(0-Planner!$C$43)</f>
        <v>-6.5555</v>
      </c>
      <c r="K87" s="25" t="n">
        <f aca="false">K$21*(0-Planner!$C$43)</f>
        <v>-4.417</v>
      </c>
      <c r="L87" s="25" t="n">
        <f aca="false">L$21*(0-Planner!$C$43)</f>
        <v>-6.0095</v>
      </c>
      <c r="M87" s="25" t="n">
        <f aca="false">M$21*(0-Planner!$C$43)</f>
        <v>-7.2975</v>
      </c>
      <c r="N87" s="25" t="n">
        <f aca="false">N$21*(0-Planner!$C$43)</f>
        <v>-5.81</v>
      </c>
      <c r="O87" s="25" t="n">
        <f aca="false">O$21*(0-Planner!$C$43)</f>
        <v>-7.399</v>
      </c>
      <c r="P87" s="25" t="n">
        <f aca="false">P$21*(0-Planner!$C$43)</f>
        <v>-6.972</v>
      </c>
      <c r="Q87" s="25" t="n">
        <f aca="false">Q$21*(0-Planner!$C$43)</f>
        <v>-6.804</v>
      </c>
      <c r="R87" s="25" t="n">
        <f aca="false">R$21*(1-Planner!$C$43)</f>
        <v>13.273</v>
      </c>
      <c r="S87" s="25" t="n">
        <f aca="false">S$21*(0-Planner!$C$43)</f>
        <v>-4.7635</v>
      </c>
      <c r="T87" s="25" t="n">
        <f aca="false">T$21*(0-Planner!$C$43)</f>
        <v>-7.028</v>
      </c>
      <c r="U87" s="25" t="n">
        <f aca="false">U$21*(0-Planner!$C$43)</f>
        <v>-4.396</v>
      </c>
      <c r="V87" s="25" t="n">
        <f aca="false">V$21*(0-Planner!$C$43)</f>
        <v>-2.1105</v>
      </c>
      <c r="W87" s="25" t="n">
        <f aca="false">W$21*(0-Planner!$C$43)</f>
        <v>-1.722</v>
      </c>
      <c r="X87" s="25" t="n">
        <f aca="false">X$21*(0-Planner!$C$43)</f>
        <v>-8.6205</v>
      </c>
      <c r="Y87" s="25" t="n">
        <f aca="false">Y$21*(0-Planner!$C$43)</f>
        <v>-7.7735</v>
      </c>
      <c r="Z87" s="25" t="n">
        <f aca="false">Z$21*(0-Planner!$C$43)</f>
        <v>-7.497</v>
      </c>
      <c r="AA87" s="25" t="n">
        <f aca="false">AA$21*(0-Planner!$C$43)</f>
        <v>-3.535</v>
      </c>
      <c r="AB87" s="25" t="n">
        <f aca="false">AB$21*(0-Planner!$C$43)</f>
        <v>-1.155</v>
      </c>
      <c r="AC87" s="25" t="n">
        <f aca="false">AC$21*(0-Planner!$C$43)</f>
        <v>-3.5665</v>
      </c>
      <c r="AD87" s="25" t="n">
        <f aca="false">AD$21*(0-Planner!$C$43)</f>
        <v>-0.91</v>
      </c>
      <c r="AE87" s="25" t="n">
        <f aca="false">AE$21*(0-Planner!$C$43)</f>
        <v>-1.1025</v>
      </c>
      <c r="AF87" s="25" t="n">
        <f aca="false">AF$21*(0-Planner!$C$43)</f>
        <v>-6.3455</v>
      </c>
      <c r="AG87" s="25" t="n">
        <f aca="false">AG$21*(0-Planner!$C$43)</f>
        <v>-8.0045</v>
      </c>
      <c r="AH87" s="25" t="n">
        <f aca="false">AH$21*(0-Planner!$C$43)</f>
        <v>-3.6575</v>
      </c>
      <c r="AI87" s="25" t="n">
        <f aca="false">AI$21*(0-Planner!$C$43)</f>
        <v>-8.3125</v>
      </c>
      <c r="AJ87" s="25" t="n">
        <f aca="false">AJ$21*(0-Planner!$C$43)</f>
        <v>-3.696</v>
      </c>
      <c r="AK87" s="25" t="n">
        <f aca="false">AK$21*(0-Planner!$C$43)</f>
        <v>-2.639</v>
      </c>
      <c r="AL87" s="25" t="n">
        <f aca="false">AL$21*(0-Planner!$C$43)</f>
        <v>-4.2315</v>
      </c>
      <c r="AM87" s="25" t="n">
        <f aca="false">AM$21*(0-Planner!$C$43)</f>
        <v>-1.995</v>
      </c>
      <c r="AN87" s="25" t="n">
        <f aca="false">AN$21*(0-Planner!$C$43)</f>
        <v>-2.8035</v>
      </c>
      <c r="AO87" s="25" t="n">
        <f aca="false">AO$21*(0-Planner!$C$43)</f>
        <v>-4.942</v>
      </c>
      <c r="AP87" s="25" t="n">
        <f aca="false">AP$21*(0-Planner!$C$43)</f>
        <v>-4.6025</v>
      </c>
      <c r="AQ87" s="25" t="n">
        <f aca="false">AQ$21*(0-Planner!$C$43)</f>
        <v>-4.564</v>
      </c>
      <c r="AR87" s="25" t="n">
        <f aca="false">AR$21*(0-Planner!$C$43)</f>
        <v>-3.0975</v>
      </c>
      <c r="AS87" s="25" t="n">
        <f aca="false">AS$21*(0-Planner!$C$43)</f>
        <v>-2.4955</v>
      </c>
      <c r="AT87" s="25" t="n">
        <f aca="false">AT$21*(0-Planner!$C$43)</f>
        <v>-4.3575</v>
      </c>
      <c r="AU87" s="25" t="n">
        <f aca="false">AU$21*(0-Planner!$C$43)</f>
        <v>-4.8545</v>
      </c>
      <c r="AV87" s="25" t="n">
        <f aca="false">AV$21*(0-Planner!$C$43)</f>
        <v>-1.057</v>
      </c>
      <c r="AW87" s="25" t="n">
        <f aca="false">AW$21*(0-Planner!$C$43)</f>
        <v>-0.7175</v>
      </c>
      <c r="AX87" s="25" t="n">
        <f aca="false">AX$21*(0-Planner!$C$43)</f>
        <v>-0.5495</v>
      </c>
      <c r="AY87" s="25" t="n">
        <f aca="false">AY$21*(0-Planner!$C$43)</f>
        <v>-0.091</v>
      </c>
      <c r="AZ87" s="25" t="n">
        <f aca="false">AZ$21*(0-Planner!$C$43)</f>
        <v>-0.3815</v>
      </c>
      <c r="BA87" s="25" t="n">
        <f aca="false">BA$21*(0-Planner!$C$43)</f>
        <v>-0.147</v>
      </c>
      <c r="BB87" s="25" t="n">
        <f aca="false">BB$21*(0-Planner!$C$43)</f>
        <v>-0.252</v>
      </c>
      <c r="BC87" s="25" t="n">
        <f aca="false">BC$21*(0-Planner!$C$43)</f>
        <v>-0.238</v>
      </c>
      <c r="BD87" s="25" t="n">
        <f aca="false">BD$21*(0-Planner!$C$43)</f>
        <v>-0.3185</v>
      </c>
      <c r="BE87" s="25" t="n">
        <f aca="false">BE$21*(0-Planner!$C$43)</f>
        <v>-1.0745</v>
      </c>
      <c r="BF87" s="25" t="n">
        <f aca="false">BF$21*(0-Planner!$C$43)</f>
        <v>-0.2345</v>
      </c>
      <c r="BG87" s="25" t="n">
        <f aca="false">BG$21*(0-Planner!$C$43)</f>
        <v>-1.071</v>
      </c>
      <c r="BH87" s="25" t="n">
        <f aca="false">BH$21*(0-Planner!$C$43)</f>
        <v>-0.3255</v>
      </c>
      <c r="BI87" s="25" t="n">
        <f aca="false">BI$21*(0-Planner!$C$43)</f>
        <v>-0.252</v>
      </c>
      <c r="BJ87" s="25" t="n">
        <f aca="false">BJ$21*(0-Planner!$C$43)</f>
        <v>-0.301</v>
      </c>
      <c r="BK87" s="25" t="n">
        <f aca="false">BK$21*(0-Planner!$C$43)</f>
        <v>-1.1655</v>
      </c>
      <c r="BL87" s="25" t="n">
        <f aca="false">BL$21*(0-Planner!$C$43)</f>
        <v>-0.385</v>
      </c>
      <c r="BM87" s="25" t="n">
        <f aca="false">BM$21*(0-Planner!$C$43)</f>
        <v>-0.4305</v>
      </c>
      <c r="BN87" s="25" t="n">
        <f aca="false">BN$21*(0-Planner!$C$43)</f>
        <v>-1.001</v>
      </c>
      <c r="BO87" s="25" t="n">
        <f aca="false">BO$21*(0-Planner!$C$43)</f>
        <v>-0.308</v>
      </c>
      <c r="BP87" s="25" t="n">
        <f aca="false">BP$21*(0-Planner!$C$43)</f>
        <v>-0.2975</v>
      </c>
      <c r="BQ87" s="25" t="n">
        <f aca="false">BQ$21*(0-Planner!$C$43)</f>
        <v>-0</v>
      </c>
      <c r="BR87" s="25" t="n">
        <f aca="false">BR$21*(0-Planner!$C$43)</f>
        <v>-0</v>
      </c>
      <c r="BS87" s="25" t="n">
        <f aca="false">BS$21*(0-Planner!$C$43)</f>
        <v>-7.4025</v>
      </c>
      <c r="BT87" s="25" t="n">
        <f aca="false">BT$21*(0-Planner!$C$43)</f>
        <v>-0.686</v>
      </c>
      <c r="BU87" s="25" t="n">
        <f aca="false">BU$21*(0-Planner!$C$43)</f>
        <v>-1.785</v>
      </c>
      <c r="BV87" s="25" t="n">
        <f aca="false">BV$21*(0-Planner!$C$43)</f>
        <v>-1.9775</v>
      </c>
      <c r="BW87" s="25" t="n">
        <f aca="false">BW$21*(0-Planner!$C$43)</f>
        <v>-2.2365</v>
      </c>
      <c r="BX87" s="25" t="n">
        <f aca="false">BX$21*(0-Planner!$C$43)</f>
        <v>-1.225</v>
      </c>
    </row>
    <row r="88" customFormat="false" ht="15" hidden="false" customHeight="false" outlineLevel="0" collapsed="false">
      <c r="A88" s="4" t="s">
        <v>679</v>
      </c>
      <c r="B88" s="75" t="s">
        <v>666</v>
      </c>
      <c r="C88" s="78" t="n">
        <v>0</v>
      </c>
      <c r="D88" s="77" t="n">
        <v>-39.199999998243</v>
      </c>
      <c r="E88" s="75" t="str">
        <f aca="false">IF(D88&lt;=C88+0.000001*MAX(1,ABS(C88)),IF(ABS(D88-C88)&lt;=0.000001*MAX(1,ABS(C88)),"tight","ok"),"VIOLATED")</f>
        <v>ok</v>
      </c>
      <c r="F88" s="25" t="n">
        <f aca="false">F$21*(0-Planner!$C$43)</f>
        <v>-7.875</v>
      </c>
      <c r="G88" s="25" t="n">
        <f aca="false">G$21*(0-Planner!$C$43)</f>
        <v>-6.328</v>
      </c>
      <c r="H88" s="25" t="n">
        <f aca="false">H$21*(0-Planner!$C$43)</f>
        <v>-6.881</v>
      </c>
      <c r="I88" s="25" t="n">
        <f aca="false">I$21*(0-Planner!$C$43)</f>
        <v>-5.7155</v>
      </c>
      <c r="J88" s="25" t="n">
        <f aca="false">J$21*(0-Planner!$C$43)</f>
        <v>-6.5555</v>
      </c>
      <c r="K88" s="25" t="n">
        <f aca="false">K$21*(0-Planner!$C$43)</f>
        <v>-4.417</v>
      </c>
      <c r="L88" s="25" t="n">
        <f aca="false">L$21*(0-Planner!$C$43)</f>
        <v>-6.0095</v>
      </c>
      <c r="M88" s="25" t="n">
        <f aca="false">M$21*(0-Planner!$C$43)</f>
        <v>-7.2975</v>
      </c>
      <c r="N88" s="25" t="n">
        <f aca="false">N$21*(0-Planner!$C$43)</f>
        <v>-5.81</v>
      </c>
      <c r="O88" s="25" t="n">
        <f aca="false">O$21*(0-Planner!$C$43)</f>
        <v>-7.399</v>
      </c>
      <c r="P88" s="25" t="n">
        <f aca="false">P$21*(0-Planner!$C$43)</f>
        <v>-6.972</v>
      </c>
      <c r="Q88" s="25" t="n">
        <f aca="false">Q$21*(0-Planner!$C$43)</f>
        <v>-6.804</v>
      </c>
      <c r="R88" s="25" t="n">
        <f aca="false">R$21*(0-Planner!$C$43)</f>
        <v>-7.147</v>
      </c>
      <c r="S88" s="25" t="n">
        <f aca="false">S$21*(1-Planner!$C$43)</f>
        <v>8.8465</v>
      </c>
      <c r="T88" s="25" t="n">
        <f aca="false">T$21*(0-Planner!$C$43)</f>
        <v>-7.028</v>
      </c>
      <c r="U88" s="25" t="n">
        <f aca="false">U$21*(0-Planner!$C$43)</f>
        <v>-4.396</v>
      </c>
      <c r="V88" s="25" t="n">
        <f aca="false">V$21*(0-Planner!$C$43)</f>
        <v>-2.1105</v>
      </c>
      <c r="W88" s="25" t="n">
        <f aca="false">W$21*(0-Planner!$C$43)</f>
        <v>-1.722</v>
      </c>
      <c r="X88" s="25" t="n">
        <f aca="false">X$21*(0-Planner!$C$43)</f>
        <v>-8.6205</v>
      </c>
      <c r="Y88" s="25" t="n">
        <f aca="false">Y$21*(0-Planner!$C$43)</f>
        <v>-7.7735</v>
      </c>
      <c r="Z88" s="25" t="n">
        <f aca="false">Z$21*(0-Planner!$C$43)</f>
        <v>-7.497</v>
      </c>
      <c r="AA88" s="25" t="n">
        <f aca="false">AA$21*(0-Planner!$C$43)</f>
        <v>-3.535</v>
      </c>
      <c r="AB88" s="25" t="n">
        <f aca="false">AB$21*(0-Planner!$C$43)</f>
        <v>-1.155</v>
      </c>
      <c r="AC88" s="25" t="n">
        <f aca="false">AC$21*(0-Planner!$C$43)</f>
        <v>-3.5665</v>
      </c>
      <c r="AD88" s="25" t="n">
        <f aca="false">AD$21*(0-Planner!$C$43)</f>
        <v>-0.91</v>
      </c>
      <c r="AE88" s="25" t="n">
        <f aca="false">AE$21*(0-Planner!$C$43)</f>
        <v>-1.1025</v>
      </c>
      <c r="AF88" s="25" t="n">
        <f aca="false">AF$21*(0-Planner!$C$43)</f>
        <v>-6.3455</v>
      </c>
      <c r="AG88" s="25" t="n">
        <f aca="false">AG$21*(0-Planner!$C$43)</f>
        <v>-8.0045</v>
      </c>
      <c r="AH88" s="25" t="n">
        <f aca="false">AH$21*(0-Planner!$C$43)</f>
        <v>-3.6575</v>
      </c>
      <c r="AI88" s="25" t="n">
        <f aca="false">AI$21*(0-Planner!$C$43)</f>
        <v>-8.3125</v>
      </c>
      <c r="AJ88" s="25" t="n">
        <f aca="false">AJ$21*(0-Planner!$C$43)</f>
        <v>-3.696</v>
      </c>
      <c r="AK88" s="25" t="n">
        <f aca="false">AK$21*(0-Planner!$C$43)</f>
        <v>-2.639</v>
      </c>
      <c r="AL88" s="25" t="n">
        <f aca="false">AL$21*(0-Planner!$C$43)</f>
        <v>-4.2315</v>
      </c>
      <c r="AM88" s="25" t="n">
        <f aca="false">AM$21*(0-Planner!$C$43)</f>
        <v>-1.995</v>
      </c>
      <c r="AN88" s="25" t="n">
        <f aca="false">AN$21*(0-Planner!$C$43)</f>
        <v>-2.8035</v>
      </c>
      <c r="AO88" s="25" t="n">
        <f aca="false">AO$21*(0-Planner!$C$43)</f>
        <v>-4.942</v>
      </c>
      <c r="AP88" s="25" t="n">
        <f aca="false">AP$21*(0-Planner!$C$43)</f>
        <v>-4.6025</v>
      </c>
      <c r="AQ88" s="25" t="n">
        <f aca="false">AQ$21*(0-Planner!$C$43)</f>
        <v>-4.564</v>
      </c>
      <c r="AR88" s="25" t="n">
        <f aca="false">AR$21*(0-Planner!$C$43)</f>
        <v>-3.0975</v>
      </c>
      <c r="AS88" s="25" t="n">
        <f aca="false">AS$21*(0-Planner!$C$43)</f>
        <v>-2.4955</v>
      </c>
      <c r="AT88" s="25" t="n">
        <f aca="false">AT$21*(0-Planner!$C$43)</f>
        <v>-4.3575</v>
      </c>
      <c r="AU88" s="25" t="n">
        <f aca="false">AU$21*(0-Planner!$C$43)</f>
        <v>-4.8545</v>
      </c>
      <c r="AV88" s="25" t="n">
        <f aca="false">AV$21*(0-Planner!$C$43)</f>
        <v>-1.057</v>
      </c>
      <c r="AW88" s="25" t="n">
        <f aca="false">AW$21*(0-Planner!$C$43)</f>
        <v>-0.7175</v>
      </c>
      <c r="AX88" s="25" t="n">
        <f aca="false">AX$21*(0-Planner!$C$43)</f>
        <v>-0.5495</v>
      </c>
      <c r="AY88" s="25" t="n">
        <f aca="false">AY$21*(0-Planner!$C$43)</f>
        <v>-0.091</v>
      </c>
      <c r="AZ88" s="25" t="n">
        <f aca="false">AZ$21*(0-Planner!$C$43)</f>
        <v>-0.3815</v>
      </c>
      <c r="BA88" s="25" t="n">
        <f aca="false">BA$21*(0-Planner!$C$43)</f>
        <v>-0.147</v>
      </c>
      <c r="BB88" s="25" t="n">
        <f aca="false">BB$21*(0-Planner!$C$43)</f>
        <v>-0.252</v>
      </c>
      <c r="BC88" s="25" t="n">
        <f aca="false">BC$21*(0-Planner!$C$43)</f>
        <v>-0.238</v>
      </c>
      <c r="BD88" s="25" t="n">
        <f aca="false">BD$21*(0-Planner!$C$43)</f>
        <v>-0.3185</v>
      </c>
      <c r="BE88" s="25" t="n">
        <f aca="false">BE$21*(0-Planner!$C$43)</f>
        <v>-1.0745</v>
      </c>
      <c r="BF88" s="25" t="n">
        <f aca="false">BF$21*(0-Planner!$C$43)</f>
        <v>-0.2345</v>
      </c>
      <c r="BG88" s="25" t="n">
        <f aca="false">BG$21*(0-Planner!$C$43)</f>
        <v>-1.071</v>
      </c>
      <c r="BH88" s="25" t="n">
        <f aca="false">BH$21*(0-Planner!$C$43)</f>
        <v>-0.3255</v>
      </c>
      <c r="BI88" s="25" t="n">
        <f aca="false">BI$21*(0-Planner!$C$43)</f>
        <v>-0.252</v>
      </c>
      <c r="BJ88" s="25" t="n">
        <f aca="false">BJ$21*(0-Planner!$C$43)</f>
        <v>-0.301</v>
      </c>
      <c r="BK88" s="25" t="n">
        <f aca="false">BK$21*(0-Planner!$C$43)</f>
        <v>-1.1655</v>
      </c>
      <c r="BL88" s="25" t="n">
        <f aca="false">BL$21*(0-Planner!$C$43)</f>
        <v>-0.385</v>
      </c>
      <c r="BM88" s="25" t="n">
        <f aca="false">BM$21*(0-Planner!$C$43)</f>
        <v>-0.4305</v>
      </c>
      <c r="BN88" s="25" t="n">
        <f aca="false">BN$21*(0-Planner!$C$43)</f>
        <v>-1.001</v>
      </c>
      <c r="BO88" s="25" t="n">
        <f aca="false">BO$21*(0-Planner!$C$43)</f>
        <v>-0.308</v>
      </c>
      <c r="BP88" s="25" t="n">
        <f aca="false">BP$21*(0-Planner!$C$43)</f>
        <v>-0.2975</v>
      </c>
      <c r="BQ88" s="25" t="n">
        <f aca="false">BQ$21*(0-Planner!$C$43)</f>
        <v>-0</v>
      </c>
      <c r="BR88" s="25" t="n">
        <f aca="false">BR$21*(0-Planner!$C$43)</f>
        <v>-0</v>
      </c>
      <c r="BS88" s="25" t="n">
        <f aca="false">BS$21*(0-Planner!$C$43)</f>
        <v>-7.4025</v>
      </c>
      <c r="BT88" s="25" t="n">
        <f aca="false">BT$21*(0-Planner!$C$43)</f>
        <v>-0.686</v>
      </c>
      <c r="BU88" s="25" t="n">
        <f aca="false">BU$21*(0-Planner!$C$43)</f>
        <v>-1.785</v>
      </c>
      <c r="BV88" s="25" t="n">
        <f aca="false">BV$21*(0-Planner!$C$43)</f>
        <v>-1.9775</v>
      </c>
      <c r="BW88" s="25" t="n">
        <f aca="false">BW$21*(0-Planner!$C$43)</f>
        <v>-2.2365</v>
      </c>
      <c r="BX88" s="25" t="n">
        <f aca="false">BX$21*(0-Planner!$C$43)</f>
        <v>-1.225</v>
      </c>
    </row>
    <row r="89" customFormat="false" ht="15" hidden="false" customHeight="false" outlineLevel="0" collapsed="false">
      <c r="A89" s="4" t="s">
        <v>680</v>
      </c>
      <c r="B89" s="75" t="s">
        <v>666</v>
      </c>
      <c r="C89" s="78" t="n">
        <v>0</v>
      </c>
      <c r="D89" s="77" t="n">
        <v>-39.199999998243</v>
      </c>
      <c r="E89" s="75" t="str">
        <f aca="false">IF(D89&lt;=C89+0.000001*MAX(1,ABS(C89)),IF(ABS(D89-C89)&lt;=0.000001*MAX(1,ABS(C89)),"tight","ok"),"VIOLATED")</f>
        <v>ok</v>
      </c>
      <c r="F89" s="25" t="n">
        <f aca="false">F$21*(0-Planner!$C$43)</f>
        <v>-7.875</v>
      </c>
      <c r="G89" s="25" t="n">
        <f aca="false">G$21*(0-Planner!$C$43)</f>
        <v>-6.328</v>
      </c>
      <c r="H89" s="25" t="n">
        <f aca="false">H$21*(0-Planner!$C$43)</f>
        <v>-6.881</v>
      </c>
      <c r="I89" s="25" t="n">
        <f aca="false">I$21*(0-Planner!$C$43)</f>
        <v>-5.7155</v>
      </c>
      <c r="J89" s="25" t="n">
        <f aca="false">J$21*(0-Planner!$C$43)</f>
        <v>-6.5555</v>
      </c>
      <c r="K89" s="25" t="n">
        <f aca="false">K$21*(0-Planner!$C$43)</f>
        <v>-4.417</v>
      </c>
      <c r="L89" s="25" t="n">
        <f aca="false">L$21*(0-Planner!$C$43)</f>
        <v>-6.0095</v>
      </c>
      <c r="M89" s="25" t="n">
        <f aca="false">M$21*(0-Planner!$C$43)</f>
        <v>-7.2975</v>
      </c>
      <c r="N89" s="25" t="n">
        <f aca="false">N$21*(0-Planner!$C$43)</f>
        <v>-5.81</v>
      </c>
      <c r="O89" s="25" t="n">
        <f aca="false">O$21*(0-Planner!$C$43)</f>
        <v>-7.399</v>
      </c>
      <c r="P89" s="25" t="n">
        <f aca="false">P$21*(0-Planner!$C$43)</f>
        <v>-6.972</v>
      </c>
      <c r="Q89" s="25" t="n">
        <f aca="false">Q$21*(0-Planner!$C$43)</f>
        <v>-6.804</v>
      </c>
      <c r="R89" s="25" t="n">
        <f aca="false">R$21*(0-Planner!$C$43)</f>
        <v>-7.147</v>
      </c>
      <c r="S89" s="25" t="n">
        <f aca="false">S$21*(0-Planner!$C$43)</f>
        <v>-4.7635</v>
      </c>
      <c r="T89" s="25" t="n">
        <f aca="false">T$21*(1-Planner!$C$43)</f>
        <v>13.052</v>
      </c>
      <c r="U89" s="25" t="n">
        <f aca="false">U$21*(0-Planner!$C$43)</f>
        <v>-4.396</v>
      </c>
      <c r="V89" s="25" t="n">
        <f aca="false">V$21*(0-Planner!$C$43)</f>
        <v>-2.1105</v>
      </c>
      <c r="W89" s="25" t="n">
        <f aca="false">W$21*(0-Planner!$C$43)</f>
        <v>-1.722</v>
      </c>
      <c r="X89" s="25" t="n">
        <f aca="false">X$21*(0-Planner!$C$43)</f>
        <v>-8.6205</v>
      </c>
      <c r="Y89" s="25" t="n">
        <f aca="false">Y$21*(0-Planner!$C$43)</f>
        <v>-7.7735</v>
      </c>
      <c r="Z89" s="25" t="n">
        <f aca="false">Z$21*(0-Planner!$C$43)</f>
        <v>-7.497</v>
      </c>
      <c r="AA89" s="25" t="n">
        <f aca="false">AA$21*(0-Planner!$C$43)</f>
        <v>-3.535</v>
      </c>
      <c r="AB89" s="25" t="n">
        <f aca="false">AB$21*(0-Planner!$C$43)</f>
        <v>-1.155</v>
      </c>
      <c r="AC89" s="25" t="n">
        <f aca="false">AC$21*(0-Planner!$C$43)</f>
        <v>-3.5665</v>
      </c>
      <c r="AD89" s="25" t="n">
        <f aca="false">AD$21*(0-Planner!$C$43)</f>
        <v>-0.91</v>
      </c>
      <c r="AE89" s="25" t="n">
        <f aca="false">AE$21*(0-Planner!$C$43)</f>
        <v>-1.1025</v>
      </c>
      <c r="AF89" s="25" t="n">
        <f aca="false">AF$21*(0-Planner!$C$43)</f>
        <v>-6.3455</v>
      </c>
      <c r="AG89" s="25" t="n">
        <f aca="false">AG$21*(0-Planner!$C$43)</f>
        <v>-8.0045</v>
      </c>
      <c r="AH89" s="25" t="n">
        <f aca="false">AH$21*(0-Planner!$C$43)</f>
        <v>-3.6575</v>
      </c>
      <c r="AI89" s="25" t="n">
        <f aca="false">AI$21*(0-Planner!$C$43)</f>
        <v>-8.3125</v>
      </c>
      <c r="AJ89" s="25" t="n">
        <f aca="false">AJ$21*(0-Planner!$C$43)</f>
        <v>-3.696</v>
      </c>
      <c r="AK89" s="25" t="n">
        <f aca="false">AK$21*(0-Planner!$C$43)</f>
        <v>-2.639</v>
      </c>
      <c r="AL89" s="25" t="n">
        <f aca="false">AL$21*(0-Planner!$C$43)</f>
        <v>-4.2315</v>
      </c>
      <c r="AM89" s="25" t="n">
        <f aca="false">AM$21*(0-Planner!$C$43)</f>
        <v>-1.995</v>
      </c>
      <c r="AN89" s="25" t="n">
        <f aca="false">AN$21*(0-Planner!$C$43)</f>
        <v>-2.8035</v>
      </c>
      <c r="AO89" s="25" t="n">
        <f aca="false">AO$21*(0-Planner!$C$43)</f>
        <v>-4.942</v>
      </c>
      <c r="AP89" s="25" t="n">
        <f aca="false">AP$21*(0-Planner!$C$43)</f>
        <v>-4.6025</v>
      </c>
      <c r="AQ89" s="25" t="n">
        <f aca="false">AQ$21*(0-Planner!$C$43)</f>
        <v>-4.564</v>
      </c>
      <c r="AR89" s="25" t="n">
        <f aca="false">AR$21*(0-Planner!$C$43)</f>
        <v>-3.0975</v>
      </c>
      <c r="AS89" s="25" t="n">
        <f aca="false">AS$21*(0-Planner!$C$43)</f>
        <v>-2.4955</v>
      </c>
      <c r="AT89" s="25" t="n">
        <f aca="false">AT$21*(0-Planner!$C$43)</f>
        <v>-4.3575</v>
      </c>
      <c r="AU89" s="25" t="n">
        <f aca="false">AU$21*(0-Planner!$C$43)</f>
        <v>-4.8545</v>
      </c>
      <c r="AV89" s="25" t="n">
        <f aca="false">AV$21*(0-Planner!$C$43)</f>
        <v>-1.057</v>
      </c>
      <c r="AW89" s="25" t="n">
        <f aca="false">AW$21*(0-Planner!$C$43)</f>
        <v>-0.7175</v>
      </c>
      <c r="AX89" s="25" t="n">
        <f aca="false">AX$21*(0-Planner!$C$43)</f>
        <v>-0.5495</v>
      </c>
      <c r="AY89" s="25" t="n">
        <f aca="false">AY$21*(0-Planner!$C$43)</f>
        <v>-0.091</v>
      </c>
      <c r="AZ89" s="25" t="n">
        <f aca="false">AZ$21*(0-Planner!$C$43)</f>
        <v>-0.3815</v>
      </c>
      <c r="BA89" s="25" t="n">
        <f aca="false">BA$21*(0-Planner!$C$43)</f>
        <v>-0.147</v>
      </c>
      <c r="BB89" s="25" t="n">
        <f aca="false">BB$21*(0-Planner!$C$43)</f>
        <v>-0.252</v>
      </c>
      <c r="BC89" s="25" t="n">
        <f aca="false">BC$21*(0-Planner!$C$43)</f>
        <v>-0.238</v>
      </c>
      <c r="BD89" s="25" t="n">
        <f aca="false">BD$21*(0-Planner!$C$43)</f>
        <v>-0.3185</v>
      </c>
      <c r="BE89" s="25" t="n">
        <f aca="false">BE$21*(0-Planner!$C$43)</f>
        <v>-1.0745</v>
      </c>
      <c r="BF89" s="25" t="n">
        <f aca="false">BF$21*(0-Planner!$C$43)</f>
        <v>-0.2345</v>
      </c>
      <c r="BG89" s="25" t="n">
        <f aca="false">BG$21*(0-Planner!$C$43)</f>
        <v>-1.071</v>
      </c>
      <c r="BH89" s="25" t="n">
        <f aca="false">BH$21*(0-Planner!$C$43)</f>
        <v>-0.3255</v>
      </c>
      <c r="BI89" s="25" t="n">
        <f aca="false">BI$21*(0-Planner!$C$43)</f>
        <v>-0.252</v>
      </c>
      <c r="BJ89" s="25" t="n">
        <f aca="false">BJ$21*(0-Planner!$C$43)</f>
        <v>-0.301</v>
      </c>
      <c r="BK89" s="25" t="n">
        <f aca="false">BK$21*(0-Planner!$C$43)</f>
        <v>-1.1655</v>
      </c>
      <c r="BL89" s="25" t="n">
        <f aca="false">BL$21*(0-Planner!$C$43)</f>
        <v>-0.385</v>
      </c>
      <c r="BM89" s="25" t="n">
        <f aca="false">BM$21*(0-Planner!$C$43)</f>
        <v>-0.4305</v>
      </c>
      <c r="BN89" s="25" t="n">
        <f aca="false">BN$21*(0-Planner!$C$43)</f>
        <v>-1.001</v>
      </c>
      <c r="BO89" s="25" t="n">
        <f aca="false">BO$21*(0-Planner!$C$43)</f>
        <v>-0.308</v>
      </c>
      <c r="BP89" s="25" t="n">
        <f aca="false">BP$21*(0-Planner!$C$43)</f>
        <v>-0.2975</v>
      </c>
      <c r="BQ89" s="25" t="n">
        <f aca="false">BQ$21*(0-Planner!$C$43)</f>
        <v>-0</v>
      </c>
      <c r="BR89" s="25" t="n">
        <f aca="false">BR$21*(0-Planner!$C$43)</f>
        <v>-0</v>
      </c>
      <c r="BS89" s="25" t="n">
        <f aca="false">BS$21*(0-Planner!$C$43)</f>
        <v>-7.4025</v>
      </c>
      <c r="BT89" s="25" t="n">
        <f aca="false">BT$21*(0-Planner!$C$43)</f>
        <v>-0.686</v>
      </c>
      <c r="BU89" s="25" t="n">
        <f aca="false">BU$21*(0-Planner!$C$43)</f>
        <v>-1.785</v>
      </c>
      <c r="BV89" s="25" t="n">
        <f aca="false">BV$21*(0-Planner!$C$43)</f>
        <v>-1.9775</v>
      </c>
      <c r="BW89" s="25" t="n">
        <f aca="false">BW$21*(0-Planner!$C$43)</f>
        <v>-2.2365</v>
      </c>
      <c r="BX89" s="25" t="n">
        <f aca="false">BX$21*(0-Planner!$C$43)</f>
        <v>-1.225</v>
      </c>
    </row>
    <row r="90" customFormat="false" ht="15" hidden="false" customHeight="false" outlineLevel="0" collapsed="false">
      <c r="A90" s="4" t="s">
        <v>681</v>
      </c>
      <c r="B90" s="75" t="s">
        <v>666</v>
      </c>
      <c r="C90" s="78" t="n">
        <v>0</v>
      </c>
      <c r="D90" s="77" t="n">
        <v>-23.327235841763</v>
      </c>
      <c r="E90" s="75" t="str">
        <f aca="false">IF(D90&lt;=C90+0.000001*MAX(1,ABS(C90)),IF(ABS(D90-C90)&lt;=0.000001*MAX(1,ABS(C90)),"tight","ok"),"VIOLATED")</f>
        <v>ok</v>
      </c>
      <c r="F90" s="25" t="n">
        <f aca="false">F$21*(0-Planner!$C$43)</f>
        <v>-7.875</v>
      </c>
      <c r="G90" s="25" t="n">
        <f aca="false">G$21*(0-Planner!$C$43)</f>
        <v>-6.328</v>
      </c>
      <c r="H90" s="25" t="n">
        <f aca="false">H$21*(0-Planner!$C$43)</f>
        <v>-6.881</v>
      </c>
      <c r="I90" s="25" t="n">
        <f aca="false">I$21*(0-Planner!$C$43)</f>
        <v>-5.7155</v>
      </c>
      <c r="J90" s="25" t="n">
        <f aca="false">J$21*(0-Planner!$C$43)</f>
        <v>-6.5555</v>
      </c>
      <c r="K90" s="25" t="n">
        <f aca="false">K$21*(0-Planner!$C$43)</f>
        <v>-4.417</v>
      </c>
      <c r="L90" s="25" t="n">
        <f aca="false">L$21*(0-Planner!$C$43)</f>
        <v>-6.0095</v>
      </c>
      <c r="M90" s="25" t="n">
        <f aca="false">M$21*(0-Planner!$C$43)</f>
        <v>-7.2975</v>
      </c>
      <c r="N90" s="25" t="n">
        <f aca="false">N$21*(0-Planner!$C$43)</f>
        <v>-5.81</v>
      </c>
      <c r="O90" s="25" t="n">
        <f aca="false">O$21*(0-Planner!$C$43)</f>
        <v>-7.399</v>
      </c>
      <c r="P90" s="25" t="n">
        <f aca="false">P$21*(0-Planner!$C$43)</f>
        <v>-6.972</v>
      </c>
      <c r="Q90" s="25" t="n">
        <f aca="false">Q$21*(0-Planner!$C$43)</f>
        <v>-6.804</v>
      </c>
      <c r="R90" s="25" t="n">
        <f aca="false">R$21*(0-Planner!$C$43)</f>
        <v>-7.147</v>
      </c>
      <c r="S90" s="25" t="n">
        <f aca="false">S$21*(0-Planner!$C$43)</f>
        <v>-4.7635</v>
      </c>
      <c r="T90" s="25" t="n">
        <f aca="false">T$21*(0-Planner!$C$43)</f>
        <v>-7.028</v>
      </c>
      <c r="U90" s="25" t="n">
        <f aca="false">U$21*(1-Planner!$C$43)</f>
        <v>8.164</v>
      </c>
      <c r="V90" s="25" t="n">
        <f aca="false">V$21*(0-Planner!$C$43)</f>
        <v>-2.1105</v>
      </c>
      <c r="W90" s="25" t="n">
        <f aca="false">W$21*(0-Planner!$C$43)</f>
        <v>-1.722</v>
      </c>
      <c r="X90" s="25" t="n">
        <f aca="false">X$21*(0-Planner!$C$43)</f>
        <v>-8.6205</v>
      </c>
      <c r="Y90" s="25" t="n">
        <f aca="false">Y$21*(0-Planner!$C$43)</f>
        <v>-7.7735</v>
      </c>
      <c r="Z90" s="25" t="n">
        <f aca="false">Z$21*(0-Planner!$C$43)</f>
        <v>-7.497</v>
      </c>
      <c r="AA90" s="25" t="n">
        <f aca="false">AA$21*(0-Planner!$C$43)</f>
        <v>-3.535</v>
      </c>
      <c r="AB90" s="25" t="n">
        <f aca="false">AB$21*(0-Planner!$C$43)</f>
        <v>-1.155</v>
      </c>
      <c r="AC90" s="25" t="n">
        <f aca="false">AC$21*(0-Planner!$C$43)</f>
        <v>-3.5665</v>
      </c>
      <c r="AD90" s="25" t="n">
        <f aca="false">AD$21*(0-Planner!$C$43)</f>
        <v>-0.91</v>
      </c>
      <c r="AE90" s="25" t="n">
        <f aca="false">AE$21*(0-Planner!$C$43)</f>
        <v>-1.1025</v>
      </c>
      <c r="AF90" s="25" t="n">
        <f aca="false">AF$21*(0-Planner!$C$43)</f>
        <v>-6.3455</v>
      </c>
      <c r="AG90" s="25" t="n">
        <f aca="false">AG$21*(0-Planner!$C$43)</f>
        <v>-8.0045</v>
      </c>
      <c r="AH90" s="25" t="n">
        <f aca="false">AH$21*(0-Planner!$C$43)</f>
        <v>-3.6575</v>
      </c>
      <c r="AI90" s="25" t="n">
        <f aca="false">AI$21*(0-Planner!$C$43)</f>
        <v>-8.3125</v>
      </c>
      <c r="AJ90" s="25" t="n">
        <f aca="false">AJ$21*(0-Planner!$C$43)</f>
        <v>-3.696</v>
      </c>
      <c r="AK90" s="25" t="n">
        <f aca="false">AK$21*(0-Planner!$C$43)</f>
        <v>-2.639</v>
      </c>
      <c r="AL90" s="25" t="n">
        <f aca="false">AL$21*(0-Planner!$C$43)</f>
        <v>-4.2315</v>
      </c>
      <c r="AM90" s="25" t="n">
        <f aca="false">AM$21*(0-Planner!$C$43)</f>
        <v>-1.995</v>
      </c>
      <c r="AN90" s="25" t="n">
        <f aca="false">AN$21*(0-Planner!$C$43)</f>
        <v>-2.8035</v>
      </c>
      <c r="AO90" s="25" t="n">
        <f aca="false">AO$21*(0-Planner!$C$43)</f>
        <v>-4.942</v>
      </c>
      <c r="AP90" s="25" t="n">
        <f aca="false">AP$21*(0-Planner!$C$43)</f>
        <v>-4.6025</v>
      </c>
      <c r="AQ90" s="25" t="n">
        <f aca="false">AQ$21*(0-Planner!$C$43)</f>
        <v>-4.564</v>
      </c>
      <c r="AR90" s="25" t="n">
        <f aca="false">AR$21*(0-Planner!$C$43)</f>
        <v>-3.0975</v>
      </c>
      <c r="AS90" s="25" t="n">
        <f aca="false">AS$21*(0-Planner!$C$43)</f>
        <v>-2.4955</v>
      </c>
      <c r="AT90" s="25" t="n">
        <f aca="false">AT$21*(0-Planner!$C$43)</f>
        <v>-4.3575</v>
      </c>
      <c r="AU90" s="25" t="n">
        <f aca="false">AU$21*(0-Planner!$C$43)</f>
        <v>-4.8545</v>
      </c>
      <c r="AV90" s="25" t="n">
        <f aca="false">AV$21*(0-Planner!$C$43)</f>
        <v>-1.057</v>
      </c>
      <c r="AW90" s="25" t="n">
        <f aca="false">AW$21*(0-Planner!$C$43)</f>
        <v>-0.7175</v>
      </c>
      <c r="AX90" s="25" t="n">
        <f aca="false">AX$21*(0-Planner!$C$43)</f>
        <v>-0.5495</v>
      </c>
      <c r="AY90" s="25" t="n">
        <f aca="false">AY$21*(0-Planner!$C$43)</f>
        <v>-0.091</v>
      </c>
      <c r="AZ90" s="25" t="n">
        <f aca="false">AZ$21*(0-Planner!$C$43)</f>
        <v>-0.3815</v>
      </c>
      <c r="BA90" s="25" t="n">
        <f aca="false">BA$21*(0-Planner!$C$43)</f>
        <v>-0.147</v>
      </c>
      <c r="BB90" s="25" t="n">
        <f aca="false">BB$21*(0-Planner!$C$43)</f>
        <v>-0.252</v>
      </c>
      <c r="BC90" s="25" t="n">
        <f aca="false">BC$21*(0-Planner!$C$43)</f>
        <v>-0.238</v>
      </c>
      <c r="BD90" s="25" t="n">
        <f aca="false">BD$21*(0-Planner!$C$43)</f>
        <v>-0.3185</v>
      </c>
      <c r="BE90" s="25" t="n">
        <f aca="false">BE$21*(0-Planner!$C$43)</f>
        <v>-1.0745</v>
      </c>
      <c r="BF90" s="25" t="n">
        <f aca="false">BF$21*(0-Planner!$C$43)</f>
        <v>-0.2345</v>
      </c>
      <c r="BG90" s="25" t="n">
        <f aca="false">BG$21*(0-Planner!$C$43)</f>
        <v>-1.071</v>
      </c>
      <c r="BH90" s="25" t="n">
        <f aca="false">BH$21*(0-Planner!$C$43)</f>
        <v>-0.3255</v>
      </c>
      <c r="BI90" s="25" t="n">
        <f aca="false">BI$21*(0-Planner!$C$43)</f>
        <v>-0.252</v>
      </c>
      <c r="BJ90" s="25" t="n">
        <f aca="false">BJ$21*(0-Planner!$C$43)</f>
        <v>-0.301</v>
      </c>
      <c r="BK90" s="25" t="n">
        <f aca="false">BK$21*(0-Planner!$C$43)</f>
        <v>-1.1655</v>
      </c>
      <c r="BL90" s="25" t="n">
        <f aca="false">BL$21*(0-Planner!$C$43)</f>
        <v>-0.385</v>
      </c>
      <c r="BM90" s="25" t="n">
        <f aca="false">BM$21*(0-Planner!$C$43)</f>
        <v>-0.4305</v>
      </c>
      <c r="BN90" s="25" t="n">
        <f aca="false">BN$21*(0-Planner!$C$43)</f>
        <v>-1.001</v>
      </c>
      <c r="BO90" s="25" t="n">
        <f aca="false">BO$21*(0-Planner!$C$43)</f>
        <v>-0.308</v>
      </c>
      <c r="BP90" s="25" t="n">
        <f aca="false">BP$21*(0-Planner!$C$43)</f>
        <v>-0.2975</v>
      </c>
      <c r="BQ90" s="25" t="n">
        <f aca="false">BQ$21*(0-Planner!$C$43)</f>
        <v>-0</v>
      </c>
      <c r="BR90" s="25" t="n">
        <f aca="false">BR$21*(0-Planner!$C$43)</f>
        <v>-0</v>
      </c>
      <c r="BS90" s="25" t="n">
        <f aca="false">BS$21*(0-Planner!$C$43)</f>
        <v>-7.4025</v>
      </c>
      <c r="BT90" s="25" t="n">
        <f aca="false">BT$21*(0-Planner!$C$43)</f>
        <v>-0.686</v>
      </c>
      <c r="BU90" s="25" t="n">
        <f aca="false">BU$21*(0-Planner!$C$43)</f>
        <v>-1.785</v>
      </c>
      <c r="BV90" s="25" t="n">
        <f aca="false">BV$21*(0-Planner!$C$43)</f>
        <v>-1.9775</v>
      </c>
      <c r="BW90" s="25" t="n">
        <f aca="false">BW$21*(0-Planner!$C$43)</f>
        <v>-2.2365</v>
      </c>
      <c r="BX90" s="25" t="n">
        <f aca="false">BX$21*(0-Planner!$C$43)</f>
        <v>-1.225</v>
      </c>
    </row>
    <row r="91" customFormat="false" ht="15" hidden="false" customHeight="false" outlineLevel="0" collapsed="false">
      <c r="A91" s="4" t="s">
        <v>682</v>
      </c>
      <c r="B91" s="75" t="s">
        <v>666</v>
      </c>
      <c r="C91" s="78" t="n">
        <v>0</v>
      </c>
      <c r="D91" s="77" t="n">
        <v>-39.199999998243</v>
      </c>
      <c r="E91" s="75" t="str">
        <f aca="false">IF(D91&lt;=C91+0.000001*MAX(1,ABS(C91)),IF(ABS(D91-C91)&lt;=0.000001*MAX(1,ABS(C91)),"tight","ok"),"VIOLATED")</f>
        <v>ok</v>
      </c>
      <c r="F91" s="25" t="n">
        <f aca="false">F$21*(0-Planner!$C$43)</f>
        <v>-7.875</v>
      </c>
      <c r="G91" s="25" t="n">
        <f aca="false">G$21*(0-Planner!$C$43)</f>
        <v>-6.328</v>
      </c>
      <c r="H91" s="25" t="n">
        <f aca="false">H$21*(0-Planner!$C$43)</f>
        <v>-6.881</v>
      </c>
      <c r="I91" s="25" t="n">
        <f aca="false">I$21*(0-Planner!$C$43)</f>
        <v>-5.7155</v>
      </c>
      <c r="J91" s="25" t="n">
        <f aca="false">J$21*(0-Planner!$C$43)</f>
        <v>-6.5555</v>
      </c>
      <c r="K91" s="25" t="n">
        <f aca="false">K$21*(0-Planner!$C$43)</f>
        <v>-4.417</v>
      </c>
      <c r="L91" s="25" t="n">
        <f aca="false">L$21*(0-Planner!$C$43)</f>
        <v>-6.0095</v>
      </c>
      <c r="M91" s="25" t="n">
        <f aca="false">M$21*(0-Planner!$C$43)</f>
        <v>-7.2975</v>
      </c>
      <c r="N91" s="25" t="n">
        <f aca="false">N$21*(0-Planner!$C$43)</f>
        <v>-5.81</v>
      </c>
      <c r="O91" s="25" t="n">
        <f aca="false">O$21*(0-Planner!$C$43)</f>
        <v>-7.399</v>
      </c>
      <c r="P91" s="25" t="n">
        <f aca="false">P$21*(0-Planner!$C$43)</f>
        <v>-6.972</v>
      </c>
      <c r="Q91" s="25" t="n">
        <f aca="false">Q$21*(0-Planner!$C$43)</f>
        <v>-6.804</v>
      </c>
      <c r="R91" s="25" t="n">
        <f aca="false">R$21*(0-Planner!$C$43)</f>
        <v>-7.147</v>
      </c>
      <c r="S91" s="25" t="n">
        <f aca="false">S$21*(0-Planner!$C$43)</f>
        <v>-4.7635</v>
      </c>
      <c r="T91" s="25" t="n">
        <f aca="false">T$21*(0-Planner!$C$43)</f>
        <v>-7.028</v>
      </c>
      <c r="U91" s="25" t="n">
        <f aca="false">U$21*(0-Planner!$C$43)</f>
        <v>-4.396</v>
      </c>
      <c r="V91" s="25" t="n">
        <f aca="false">V$21*(0-Planner!$C$43)</f>
        <v>-2.1105</v>
      </c>
      <c r="W91" s="25" t="n">
        <f aca="false">W$21*(0-Planner!$C$43)</f>
        <v>-1.722</v>
      </c>
      <c r="X91" s="25" t="n">
        <f aca="false">X$21*(1-Planner!$C$43)</f>
        <v>16.0095</v>
      </c>
      <c r="Y91" s="25" t="n">
        <f aca="false">Y$21*(0-Planner!$C$43)</f>
        <v>-7.7735</v>
      </c>
      <c r="Z91" s="25" t="n">
        <f aca="false">Z$21*(0-Planner!$C$43)</f>
        <v>-7.497</v>
      </c>
      <c r="AA91" s="25" t="n">
        <f aca="false">AA$21*(0-Planner!$C$43)</f>
        <v>-3.535</v>
      </c>
      <c r="AB91" s="25" t="n">
        <f aca="false">AB$21*(0-Planner!$C$43)</f>
        <v>-1.155</v>
      </c>
      <c r="AC91" s="25" t="n">
        <f aca="false">AC$21*(0-Planner!$C$43)</f>
        <v>-3.5665</v>
      </c>
      <c r="AD91" s="25" t="n">
        <f aca="false">AD$21*(0-Planner!$C$43)</f>
        <v>-0.91</v>
      </c>
      <c r="AE91" s="25" t="n">
        <f aca="false">AE$21*(0-Planner!$C$43)</f>
        <v>-1.1025</v>
      </c>
      <c r="AF91" s="25" t="n">
        <f aca="false">AF$21*(0-Planner!$C$43)</f>
        <v>-6.3455</v>
      </c>
      <c r="AG91" s="25" t="n">
        <f aca="false">AG$21*(0-Planner!$C$43)</f>
        <v>-8.0045</v>
      </c>
      <c r="AH91" s="25" t="n">
        <f aca="false">AH$21*(0-Planner!$C$43)</f>
        <v>-3.6575</v>
      </c>
      <c r="AI91" s="25" t="n">
        <f aca="false">AI$21*(0-Planner!$C$43)</f>
        <v>-8.3125</v>
      </c>
      <c r="AJ91" s="25" t="n">
        <f aca="false">AJ$21*(0-Planner!$C$43)</f>
        <v>-3.696</v>
      </c>
      <c r="AK91" s="25" t="n">
        <f aca="false">AK$21*(0-Planner!$C$43)</f>
        <v>-2.639</v>
      </c>
      <c r="AL91" s="25" t="n">
        <f aca="false">AL$21*(0-Planner!$C$43)</f>
        <v>-4.2315</v>
      </c>
      <c r="AM91" s="25" t="n">
        <f aca="false">AM$21*(0-Planner!$C$43)</f>
        <v>-1.995</v>
      </c>
      <c r="AN91" s="25" t="n">
        <f aca="false">AN$21*(0-Planner!$C$43)</f>
        <v>-2.8035</v>
      </c>
      <c r="AO91" s="25" t="n">
        <f aca="false">AO$21*(0-Planner!$C$43)</f>
        <v>-4.942</v>
      </c>
      <c r="AP91" s="25" t="n">
        <f aca="false">AP$21*(0-Planner!$C$43)</f>
        <v>-4.6025</v>
      </c>
      <c r="AQ91" s="25" t="n">
        <f aca="false">AQ$21*(0-Planner!$C$43)</f>
        <v>-4.564</v>
      </c>
      <c r="AR91" s="25" t="n">
        <f aca="false">AR$21*(0-Planner!$C$43)</f>
        <v>-3.0975</v>
      </c>
      <c r="AS91" s="25" t="n">
        <f aca="false">AS$21*(0-Planner!$C$43)</f>
        <v>-2.4955</v>
      </c>
      <c r="AT91" s="25" t="n">
        <f aca="false">AT$21*(0-Planner!$C$43)</f>
        <v>-4.3575</v>
      </c>
      <c r="AU91" s="25" t="n">
        <f aca="false">AU$21*(0-Planner!$C$43)</f>
        <v>-4.8545</v>
      </c>
      <c r="AV91" s="25" t="n">
        <f aca="false">AV$21*(0-Planner!$C$43)</f>
        <v>-1.057</v>
      </c>
      <c r="AW91" s="25" t="n">
        <f aca="false">AW$21*(0-Planner!$C$43)</f>
        <v>-0.7175</v>
      </c>
      <c r="AX91" s="25" t="n">
        <f aca="false">AX$21*(0-Planner!$C$43)</f>
        <v>-0.5495</v>
      </c>
      <c r="AY91" s="25" t="n">
        <f aca="false">AY$21*(0-Planner!$C$43)</f>
        <v>-0.091</v>
      </c>
      <c r="AZ91" s="25" t="n">
        <f aca="false">AZ$21*(0-Planner!$C$43)</f>
        <v>-0.3815</v>
      </c>
      <c r="BA91" s="25" t="n">
        <f aca="false">BA$21*(0-Planner!$C$43)</f>
        <v>-0.147</v>
      </c>
      <c r="BB91" s="25" t="n">
        <f aca="false">BB$21*(0-Planner!$C$43)</f>
        <v>-0.252</v>
      </c>
      <c r="BC91" s="25" t="n">
        <f aca="false">BC$21*(0-Planner!$C$43)</f>
        <v>-0.238</v>
      </c>
      <c r="BD91" s="25" t="n">
        <f aca="false">BD$21*(0-Planner!$C$43)</f>
        <v>-0.3185</v>
      </c>
      <c r="BE91" s="25" t="n">
        <f aca="false">BE$21*(0-Planner!$C$43)</f>
        <v>-1.0745</v>
      </c>
      <c r="BF91" s="25" t="n">
        <f aca="false">BF$21*(0-Planner!$C$43)</f>
        <v>-0.2345</v>
      </c>
      <c r="BG91" s="25" t="n">
        <f aca="false">BG$21*(0-Planner!$C$43)</f>
        <v>-1.071</v>
      </c>
      <c r="BH91" s="25" t="n">
        <f aca="false">BH$21*(0-Planner!$C$43)</f>
        <v>-0.3255</v>
      </c>
      <c r="BI91" s="25" t="n">
        <f aca="false">BI$21*(0-Planner!$C$43)</f>
        <v>-0.252</v>
      </c>
      <c r="BJ91" s="25" t="n">
        <f aca="false">BJ$21*(0-Planner!$C$43)</f>
        <v>-0.301</v>
      </c>
      <c r="BK91" s="25" t="n">
        <f aca="false">BK$21*(0-Planner!$C$43)</f>
        <v>-1.1655</v>
      </c>
      <c r="BL91" s="25" t="n">
        <f aca="false">BL$21*(0-Planner!$C$43)</f>
        <v>-0.385</v>
      </c>
      <c r="BM91" s="25" t="n">
        <f aca="false">BM$21*(0-Planner!$C$43)</f>
        <v>-0.4305</v>
      </c>
      <c r="BN91" s="25" t="n">
        <f aca="false">BN$21*(0-Planner!$C$43)</f>
        <v>-1.001</v>
      </c>
      <c r="BO91" s="25" t="n">
        <f aca="false">BO$21*(0-Planner!$C$43)</f>
        <v>-0.308</v>
      </c>
      <c r="BP91" s="25" t="n">
        <f aca="false">BP$21*(0-Planner!$C$43)</f>
        <v>-0.2975</v>
      </c>
      <c r="BQ91" s="25" t="n">
        <f aca="false">BQ$21*(0-Planner!$C$43)</f>
        <v>-0</v>
      </c>
      <c r="BR91" s="25" t="n">
        <f aca="false">BR$21*(0-Planner!$C$43)</f>
        <v>-0</v>
      </c>
      <c r="BS91" s="25" t="n">
        <f aca="false">BS$21*(0-Planner!$C$43)</f>
        <v>-7.4025</v>
      </c>
      <c r="BT91" s="25" t="n">
        <f aca="false">BT$21*(0-Planner!$C$43)</f>
        <v>-0.686</v>
      </c>
      <c r="BU91" s="25" t="n">
        <f aca="false">BU$21*(0-Planner!$C$43)</f>
        <v>-1.785</v>
      </c>
      <c r="BV91" s="25" t="n">
        <f aca="false">BV$21*(0-Planner!$C$43)</f>
        <v>-1.9775</v>
      </c>
      <c r="BW91" s="25" t="n">
        <f aca="false">BW$21*(0-Planner!$C$43)</f>
        <v>-2.2365</v>
      </c>
      <c r="BX91" s="25" t="n">
        <f aca="false">BX$21*(0-Planner!$C$43)</f>
        <v>-1.225</v>
      </c>
    </row>
    <row r="92" customFormat="false" ht="15" hidden="false" customHeight="false" outlineLevel="0" collapsed="false">
      <c r="A92" s="4" t="s">
        <v>683</v>
      </c>
      <c r="B92" s="75" t="s">
        <v>666</v>
      </c>
      <c r="C92" s="78" t="n">
        <v>0</v>
      </c>
      <c r="D92" s="77" t="n">
        <v>-24.985599998243</v>
      </c>
      <c r="E92" s="75" t="str">
        <f aca="false">IF(D92&lt;=C92+0.000001*MAX(1,ABS(C92)),IF(ABS(D92-C92)&lt;=0.000001*MAX(1,ABS(C92)),"tight","ok"),"VIOLATED")</f>
        <v>ok</v>
      </c>
      <c r="F92" s="25" t="n">
        <f aca="false">F$21*(0-Planner!$C$43)</f>
        <v>-7.875</v>
      </c>
      <c r="G92" s="25" t="n">
        <f aca="false">G$21*(0-Planner!$C$43)</f>
        <v>-6.328</v>
      </c>
      <c r="H92" s="25" t="n">
        <f aca="false">H$21*(0-Planner!$C$43)</f>
        <v>-6.881</v>
      </c>
      <c r="I92" s="25" t="n">
        <f aca="false">I$21*(0-Planner!$C$43)</f>
        <v>-5.7155</v>
      </c>
      <c r="J92" s="25" t="n">
        <f aca="false">J$21*(0-Planner!$C$43)</f>
        <v>-6.5555</v>
      </c>
      <c r="K92" s="25" t="n">
        <f aca="false">K$21*(0-Planner!$C$43)</f>
        <v>-4.417</v>
      </c>
      <c r="L92" s="25" t="n">
        <f aca="false">L$21*(0-Planner!$C$43)</f>
        <v>-6.0095</v>
      </c>
      <c r="M92" s="25" t="n">
        <f aca="false">M$21*(0-Planner!$C$43)</f>
        <v>-7.2975</v>
      </c>
      <c r="N92" s="25" t="n">
        <f aca="false">N$21*(0-Planner!$C$43)</f>
        <v>-5.81</v>
      </c>
      <c r="O92" s="25" t="n">
        <f aca="false">O$21*(0-Planner!$C$43)</f>
        <v>-7.399</v>
      </c>
      <c r="P92" s="25" t="n">
        <f aca="false">P$21*(0-Planner!$C$43)</f>
        <v>-6.972</v>
      </c>
      <c r="Q92" s="25" t="n">
        <f aca="false">Q$21*(0-Planner!$C$43)</f>
        <v>-6.804</v>
      </c>
      <c r="R92" s="25" t="n">
        <f aca="false">R$21*(0-Planner!$C$43)</f>
        <v>-7.147</v>
      </c>
      <c r="S92" s="25" t="n">
        <f aca="false">S$21*(0-Planner!$C$43)</f>
        <v>-4.7635</v>
      </c>
      <c r="T92" s="25" t="n">
        <f aca="false">T$21*(0-Planner!$C$43)</f>
        <v>-7.028</v>
      </c>
      <c r="U92" s="25" t="n">
        <f aca="false">U$21*(0-Planner!$C$43)</f>
        <v>-4.396</v>
      </c>
      <c r="V92" s="25" t="n">
        <f aca="false">V$21*(0-Planner!$C$43)</f>
        <v>-2.1105</v>
      </c>
      <c r="W92" s="25" t="n">
        <f aca="false">W$21*(0-Planner!$C$43)</f>
        <v>-1.722</v>
      </c>
      <c r="X92" s="25" t="n">
        <f aca="false">X$21*(0-Planner!$C$43)</f>
        <v>-8.6205</v>
      </c>
      <c r="Y92" s="25" t="n">
        <f aca="false">Y$21*(1-Planner!$C$43)</f>
        <v>14.4365</v>
      </c>
      <c r="Z92" s="25" t="n">
        <f aca="false">Z$21*(0-Planner!$C$43)</f>
        <v>-7.497</v>
      </c>
      <c r="AA92" s="25" t="n">
        <f aca="false">AA$21*(0-Planner!$C$43)</f>
        <v>-3.535</v>
      </c>
      <c r="AB92" s="25" t="n">
        <f aca="false">AB$21*(0-Planner!$C$43)</f>
        <v>-1.155</v>
      </c>
      <c r="AC92" s="25" t="n">
        <f aca="false">AC$21*(0-Planner!$C$43)</f>
        <v>-3.5665</v>
      </c>
      <c r="AD92" s="25" t="n">
        <f aca="false">AD$21*(0-Planner!$C$43)</f>
        <v>-0.91</v>
      </c>
      <c r="AE92" s="25" t="n">
        <f aca="false">AE$21*(0-Planner!$C$43)</f>
        <v>-1.1025</v>
      </c>
      <c r="AF92" s="25" t="n">
        <f aca="false">AF$21*(0-Planner!$C$43)</f>
        <v>-6.3455</v>
      </c>
      <c r="AG92" s="25" t="n">
        <f aca="false">AG$21*(0-Planner!$C$43)</f>
        <v>-8.0045</v>
      </c>
      <c r="AH92" s="25" t="n">
        <f aca="false">AH$21*(0-Planner!$C$43)</f>
        <v>-3.6575</v>
      </c>
      <c r="AI92" s="25" t="n">
        <f aca="false">AI$21*(0-Planner!$C$43)</f>
        <v>-8.3125</v>
      </c>
      <c r="AJ92" s="25" t="n">
        <f aca="false">AJ$21*(0-Planner!$C$43)</f>
        <v>-3.696</v>
      </c>
      <c r="AK92" s="25" t="n">
        <f aca="false">AK$21*(0-Planner!$C$43)</f>
        <v>-2.639</v>
      </c>
      <c r="AL92" s="25" t="n">
        <f aca="false">AL$21*(0-Planner!$C$43)</f>
        <v>-4.2315</v>
      </c>
      <c r="AM92" s="25" t="n">
        <f aca="false">AM$21*(0-Planner!$C$43)</f>
        <v>-1.995</v>
      </c>
      <c r="AN92" s="25" t="n">
        <f aca="false">AN$21*(0-Planner!$C$43)</f>
        <v>-2.8035</v>
      </c>
      <c r="AO92" s="25" t="n">
        <f aca="false">AO$21*(0-Planner!$C$43)</f>
        <v>-4.942</v>
      </c>
      <c r="AP92" s="25" t="n">
        <f aca="false">AP$21*(0-Planner!$C$43)</f>
        <v>-4.6025</v>
      </c>
      <c r="AQ92" s="25" t="n">
        <f aca="false">AQ$21*(0-Planner!$C$43)</f>
        <v>-4.564</v>
      </c>
      <c r="AR92" s="25" t="n">
        <f aca="false">AR$21*(0-Planner!$C$43)</f>
        <v>-3.0975</v>
      </c>
      <c r="AS92" s="25" t="n">
        <f aca="false">AS$21*(0-Planner!$C$43)</f>
        <v>-2.4955</v>
      </c>
      <c r="AT92" s="25" t="n">
        <f aca="false">AT$21*(0-Planner!$C$43)</f>
        <v>-4.3575</v>
      </c>
      <c r="AU92" s="25" t="n">
        <f aca="false">AU$21*(0-Planner!$C$43)</f>
        <v>-4.8545</v>
      </c>
      <c r="AV92" s="25" t="n">
        <f aca="false">AV$21*(0-Planner!$C$43)</f>
        <v>-1.057</v>
      </c>
      <c r="AW92" s="25" t="n">
        <f aca="false">AW$21*(0-Planner!$C$43)</f>
        <v>-0.7175</v>
      </c>
      <c r="AX92" s="25" t="n">
        <f aca="false">AX$21*(0-Planner!$C$43)</f>
        <v>-0.5495</v>
      </c>
      <c r="AY92" s="25" t="n">
        <f aca="false">AY$21*(0-Planner!$C$43)</f>
        <v>-0.091</v>
      </c>
      <c r="AZ92" s="25" t="n">
        <f aca="false">AZ$21*(0-Planner!$C$43)</f>
        <v>-0.3815</v>
      </c>
      <c r="BA92" s="25" t="n">
        <f aca="false">BA$21*(0-Planner!$C$43)</f>
        <v>-0.147</v>
      </c>
      <c r="BB92" s="25" t="n">
        <f aca="false">BB$21*(0-Planner!$C$43)</f>
        <v>-0.252</v>
      </c>
      <c r="BC92" s="25" t="n">
        <f aca="false">BC$21*(0-Planner!$C$43)</f>
        <v>-0.238</v>
      </c>
      <c r="BD92" s="25" t="n">
        <f aca="false">BD$21*(0-Planner!$C$43)</f>
        <v>-0.3185</v>
      </c>
      <c r="BE92" s="25" t="n">
        <f aca="false">BE$21*(0-Planner!$C$43)</f>
        <v>-1.0745</v>
      </c>
      <c r="BF92" s="25" t="n">
        <f aca="false">BF$21*(0-Planner!$C$43)</f>
        <v>-0.2345</v>
      </c>
      <c r="BG92" s="25" t="n">
        <f aca="false">BG$21*(0-Planner!$C$43)</f>
        <v>-1.071</v>
      </c>
      <c r="BH92" s="25" t="n">
        <f aca="false">BH$21*(0-Planner!$C$43)</f>
        <v>-0.3255</v>
      </c>
      <c r="BI92" s="25" t="n">
        <f aca="false">BI$21*(0-Planner!$C$43)</f>
        <v>-0.252</v>
      </c>
      <c r="BJ92" s="25" t="n">
        <f aca="false">BJ$21*(0-Planner!$C$43)</f>
        <v>-0.301</v>
      </c>
      <c r="BK92" s="25" t="n">
        <f aca="false">BK$21*(0-Planner!$C$43)</f>
        <v>-1.1655</v>
      </c>
      <c r="BL92" s="25" t="n">
        <f aca="false">BL$21*(0-Planner!$C$43)</f>
        <v>-0.385</v>
      </c>
      <c r="BM92" s="25" t="n">
        <f aca="false">BM$21*(0-Planner!$C$43)</f>
        <v>-0.4305</v>
      </c>
      <c r="BN92" s="25" t="n">
        <f aca="false">BN$21*(0-Planner!$C$43)</f>
        <v>-1.001</v>
      </c>
      <c r="BO92" s="25" t="n">
        <f aca="false">BO$21*(0-Planner!$C$43)</f>
        <v>-0.308</v>
      </c>
      <c r="BP92" s="25" t="n">
        <f aca="false">BP$21*(0-Planner!$C$43)</f>
        <v>-0.2975</v>
      </c>
      <c r="BQ92" s="25" t="n">
        <f aca="false">BQ$21*(0-Planner!$C$43)</f>
        <v>-0</v>
      </c>
      <c r="BR92" s="25" t="n">
        <f aca="false">BR$21*(0-Planner!$C$43)</f>
        <v>-0</v>
      </c>
      <c r="BS92" s="25" t="n">
        <f aca="false">BS$21*(0-Planner!$C$43)</f>
        <v>-7.4025</v>
      </c>
      <c r="BT92" s="25" t="n">
        <f aca="false">BT$21*(0-Planner!$C$43)</f>
        <v>-0.686</v>
      </c>
      <c r="BU92" s="25" t="n">
        <f aca="false">BU$21*(0-Planner!$C$43)</f>
        <v>-1.785</v>
      </c>
      <c r="BV92" s="25" t="n">
        <f aca="false">BV$21*(0-Planner!$C$43)</f>
        <v>-1.9775</v>
      </c>
      <c r="BW92" s="25" t="n">
        <f aca="false">BW$21*(0-Planner!$C$43)</f>
        <v>-2.2365</v>
      </c>
      <c r="BX92" s="25" t="n">
        <f aca="false">BX$21*(0-Planner!$C$43)</f>
        <v>-1.225</v>
      </c>
    </row>
    <row r="93" customFormat="false" ht="15" hidden="false" customHeight="false" outlineLevel="0" collapsed="false">
      <c r="A93" s="4" t="s">
        <v>684</v>
      </c>
      <c r="B93" s="75" t="s">
        <v>666</v>
      </c>
      <c r="C93" s="78" t="n">
        <v>0</v>
      </c>
      <c r="D93" s="77" t="n">
        <v>-8.355199998243</v>
      </c>
      <c r="E93" s="75" t="str">
        <f aca="false">IF(D93&lt;=C93+0.000001*MAX(1,ABS(C93)),IF(ABS(D93-C93)&lt;=0.000001*MAX(1,ABS(C93)),"tight","ok"),"VIOLATED")</f>
        <v>ok</v>
      </c>
      <c r="F93" s="25" t="n">
        <f aca="false">F$21*(0-Planner!$C$43)</f>
        <v>-7.875</v>
      </c>
      <c r="G93" s="25" t="n">
        <f aca="false">G$21*(0-Planner!$C$43)</f>
        <v>-6.328</v>
      </c>
      <c r="H93" s="25" t="n">
        <f aca="false">H$21*(0-Planner!$C$43)</f>
        <v>-6.881</v>
      </c>
      <c r="I93" s="25" t="n">
        <f aca="false">I$21*(0-Planner!$C$43)</f>
        <v>-5.7155</v>
      </c>
      <c r="J93" s="25" t="n">
        <f aca="false">J$21*(0-Planner!$C$43)</f>
        <v>-6.5555</v>
      </c>
      <c r="K93" s="25" t="n">
        <f aca="false">K$21*(0-Planner!$C$43)</f>
        <v>-4.417</v>
      </c>
      <c r="L93" s="25" t="n">
        <f aca="false">L$21*(0-Planner!$C$43)</f>
        <v>-6.0095</v>
      </c>
      <c r="M93" s="25" t="n">
        <f aca="false">M$21*(0-Planner!$C$43)</f>
        <v>-7.2975</v>
      </c>
      <c r="N93" s="25" t="n">
        <f aca="false">N$21*(0-Planner!$C$43)</f>
        <v>-5.81</v>
      </c>
      <c r="O93" s="25" t="n">
        <f aca="false">O$21*(0-Planner!$C$43)</f>
        <v>-7.399</v>
      </c>
      <c r="P93" s="25" t="n">
        <f aca="false">P$21*(0-Planner!$C$43)</f>
        <v>-6.972</v>
      </c>
      <c r="Q93" s="25" t="n">
        <f aca="false">Q$21*(0-Planner!$C$43)</f>
        <v>-6.804</v>
      </c>
      <c r="R93" s="25" t="n">
        <f aca="false">R$21*(0-Planner!$C$43)</f>
        <v>-7.147</v>
      </c>
      <c r="S93" s="25" t="n">
        <f aca="false">S$21*(0-Planner!$C$43)</f>
        <v>-4.7635</v>
      </c>
      <c r="T93" s="25" t="n">
        <f aca="false">T$21*(0-Planner!$C$43)</f>
        <v>-7.028</v>
      </c>
      <c r="U93" s="25" t="n">
        <f aca="false">U$21*(0-Planner!$C$43)</f>
        <v>-4.396</v>
      </c>
      <c r="V93" s="25" t="n">
        <f aca="false">V$21*(0-Planner!$C$43)</f>
        <v>-2.1105</v>
      </c>
      <c r="W93" s="25" t="n">
        <f aca="false">W$21*(0-Planner!$C$43)</f>
        <v>-1.722</v>
      </c>
      <c r="X93" s="25" t="n">
        <f aca="false">X$21*(0-Planner!$C$43)</f>
        <v>-8.6205</v>
      </c>
      <c r="Y93" s="25" t="n">
        <f aca="false">Y$21*(0-Planner!$C$43)</f>
        <v>-7.7735</v>
      </c>
      <c r="Z93" s="25" t="n">
        <f aca="false">Z$21*(1-Planner!$C$43)</f>
        <v>13.923</v>
      </c>
      <c r="AA93" s="25" t="n">
        <f aca="false">AA$21*(0-Planner!$C$43)</f>
        <v>-3.535</v>
      </c>
      <c r="AB93" s="25" t="n">
        <f aca="false">AB$21*(0-Planner!$C$43)</f>
        <v>-1.155</v>
      </c>
      <c r="AC93" s="25" t="n">
        <f aca="false">AC$21*(0-Planner!$C$43)</f>
        <v>-3.5665</v>
      </c>
      <c r="AD93" s="25" t="n">
        <f aca="false">AD$21*(0-Planner!$C$43)</f>
        <v>-0.91</v>
      </c>
      <c r="AE93" s="25" t="n">
        <f aca="false">AE$21*(0-Planner!$C$43)</f>
        <v>-1.1025</v>
      </c>
      <c r="AF93" s="25" t="n">
        <f aca="false">AF$21*(0-Planner!$C$43)</f>
        <v>-6.3455</v>
      </c>
      <c r="AG93" s="25" t="n">
        <f aca="false">AG$21*(0-Planner!$C$43)</f>
        <v>-8.0045</v>
      </c>
      <c r="AH93" s="25" t="n">
        <f aca="false">AH$21*(0-Planner!$C$43)</f>
        <v>-3.6575</v>
      </c>
      <c r="AI93" s="25" t="n">
        <f aca="false">AI$21*(0-Planner!$C$43)</f>
        <v>-8.3125</v>
      </c>
      <c r="AJ93" s="25" t="n">
        <f aca="false">AJ$21*(0-Planner!$C$43)</f>
        <v>-3.696</v>
      </c>
      <c r="AK93" s="25" t="n">
        <f aca="false">AK$21*(0-Planner!$C$43)</f>
        <v>-2.639</v>
      </c>
      <c r="AL93" s="25" t="n">
        <f aca="false">AL$21*(0-Planner!$C$43)</f>
        <v>-4.2315</v>
      </c>
      <c r="AM93" s="25" t="n">
        <f aca="false">AM$21*(0-Planner!$C$43)</f>
        <v>-1.995</v>
      </c>
      <c r="AN93" s="25" t="n">
        <f aca="false">AN$21*(0-Planner!$C$43)</f>
        <v>-2.8035</v>
      </c>
      <c r="AO93" s="25" t="n">
        <f aca="false">AO$21*(0-Planner!$C$43)</f>
        <v>-4.942</v>
      </c>
      <c r="AP93" s="25" t="n">
        <f aca="false">AP$21*(0-Planner!$C$43)</f>
        <v>-4.6025</v>
      </c>
      <c r="AQ93" s="25" t="n">
        <f aca="false">AQ$21*(0-Planner!$C$43)</f>
        <v>-4.564</v>
      </c>
      <c r="AR93" s="25" t="n">
        <f aca="false">AR$21*(0-Planner!$C$43)</f>
        <v>-3.0975</v>
      </c>
      <c r="AS93" s="25" t="n">
        <f aca="false">AS$21*(0-Planner!$C$43)</f>
        <v>-2.4955</v>
      </c>
      <c r="AT93" s="25" t="n">
        <f aca="false">AT$21*(0-Planner!$C$43)</f>
        <v>-4.3575</v>
      </c>
      <c r="AU93" s="25" t="n">
        <f aca="false">AU$21*(0-Planner!$C$43)</f>
        <v>-4.8545</v>
      </c>
      <c r="AV93" s="25" t="n">
        <f aca="false">AV$21*(0-Planner!$C$43)</f>
        <v>-1.057</v>
      </c>
      <c r="AW93" s="25" t="n">
        <f aca="false">AW$21*(0-Planner!$C$43)</f>
        <v>-0.7175</v>
      </c>
      <c r="AX93" s="25" t="n">
        <f aca="false">AX$21*(0-Planner!$C$43)</f>
        <v>-0.5495</v>
      </c>
      <c r="AY93" s="25" t="n">
        <f aca="false">AY$21*(0-Planner!$C$43)</f>
        <v>-0.091</v>
      </c>
      <c r="AZ93" s="25" t="n">
        <f aca="false">AZ$21*(0-Planner!$C$43)</f>
        <v>-0.3815</v>
      </c>
      <c r="BA93" s="25" t="n">
        <f aca="false">BA$21*(0-Planner!$C$43)</f>
        <v>-0.147</v>
      </c>
      <c r="BB93" s="25" t="n">
        <f aca="false">BB$21*(0-Planner!$C$43)</f>
        <v>-0.252</v>
      </c>
      <c r="BC93" s="25" t="n">
        <f aca="false">BC$21*(0-Planner!$C$43)</f>
        <v>-0.238</v>
      </c>
      <c r="BD93" s="25" t="n">
        <f aca="false">BD$21*(0-Planner!$C$43)</f>
        <v>-0.3185</v>
      </c>
      <c r="BE93" s="25" t="n">
        <f aca="false">BE$21*(0-Planner!$C$43)</f>
        <v>-1.0745</v>
      </c>
      <c r="BF93" s="25" t="n">
        <f aca="false">BF$21*(0-Planner!$C$43)</f>
        <v>-0.2345</v>
      </c>
      <c r="BG93" s="25" t="n">
        <f aca="false">BG$21*(0-Planner!$C$43)</f>
        <v>-1.071</v>
      </c>
      <c r="BH93" s="25" t="n">
        <f aca="false">BH$21*(0-Planner!$C$43)</f>
        <v>-0.3255</v>
      </c>
      <c r="BI93" s="25" t="n">
        <f aca="false">BI$21*(0-Planner!$C$43)</f>
        <v>-0.252</v>
      </c>
      <c r="BJ93" s="25" t="n">
        <f aca="false">BJ$21*(0-Planner!$C$43)</f>
        <v>-0.301</v>
      </c>
      <c r="BK93" s="25" t="n">
        <f aca="false">BK$21*(0-Planner!$C$43)</f>
        <v>-1.1655</v>
      </c>
      <c r="BL93" s="25" t="n">
        <f aca="false">BL$21*(0-Planner!$C$43)</f>
        <v>-0.385</v>
      </c>
      <c r="BM93" s="25" t="n">
        <f aca="false">BM$21*(0-Planner!$C$43)</f>
        <v>-0.4305</v>
      </c>
      <c r="BN93" s="25" t="n">
        <f aca="false">BN$21*(0-Planner!$C$43)</f>
        <v>-1.001</v>
      </c>
      <c r="BO93" s="25" t="n">
        <f aca="false">BO$21*(0-Planner!$C$43)</f>
        <v>-0.308</v>
      </c>
      <c r="BP93" s="25" t="n">
        <f aca="false">BP$21*(0-Planner!$C$43)</f>
        <v>-0.2975</v>
      </c>
      <c r="BQ93" s="25" t="n">
        <f aca="false">BQ$21*(0-Planner!$C$43)</f>
        <v>-0</v>
      </c>
      <c r="BR93" s="25" t="n">
        <f aca="false">BR$21*(0-Planner!$C$43)</f>
        <v>-0</v>
      </c>
      <c r="BS93" s="25" t="n">
        <f aca="false">BS$21*(0-Planner!$C$43)</f>
        <v>-7.4025</v>
      </c>
      <c r="BT93" s="25" t="n">
        <f aca="false">BT$21*(0-Planner!$C$43)</f>
        <v>-0.686</v>
      </c>
      <c r="BU93" s="25" t="n">
        <f aca="false">BU$21*(0-Planner!$C$43)</f>
        <v>-1.785</v>
      </c>
      <c r="BV93" s="25" t="n">
        <f aca="false">BV$21*(0-Planner!$C$43)</f>
        <v>-1.9775</v>
      </c>
      <c r="BW93" s="25" t="n">
        <f aca="false">BW$21*(0-Planner!$C$43)</f>
        <v>-2.2365</v>
      </c>
      <c r="BX93" s="25" t="n">
        <f aca="false">BX$21*(0-Planner!$C$43)</f>
        <v>-1.225</v>
      </c>
    </row>
    <row r="94" customFormat="false" ht="15" hidden="false" customHeight="false" outlineLevel="0" collapsed="false">
      <c r="A94" s="4" t="s">
        <v>685</v>
      </c>
      <c r="B94" s="75" t="s">
        <v>666</v>
      </c>
      <c r="C94" s="78" t="n">
        <v>0</v>
      </c>
      <c r="D94" s="77" t="n">
        <v>-39.199999998243</v>
      </c>
      <c r="E94" s="75" t="str">
        <f aca="false">IF(D94&lt;=C94+0.000001*MAX(1,ABS(C94)),IF(ABS(D94-C94)&lt;=0.000001*MAX(1,ABS(C94)),"tight","ok"),"VIOLATED")</f>
        <v>ok</v>
      </c>
      <c r="F94" s="25" t="n">
        <f aca="false">F$21*(0-Planner!$C$43)</f>
        <v>-7.875</v>
      </c>
      <c r="G94" s="25" t="n">
        <f aca="false">G$21*(0-Planner!$C$43)</f>
        <v>-6.328</v>
      </c>
      <c r="H94" s="25" t="n">
        <f aca="false">H$21*(0-Planner!$C$43)</f>
        <v>-6.881</v>
      </c>
      <c r="I94" s="25" t="n">
        <f aca="false">I$21*(0-Planner!$C$43)</f>
        <v>-5.7155</v>
      </c>
      <c r="J94" s="25" t="n">
        <f aca="false">J$21*(0-Planner!$C$43)</f>
        <v>-6.5555</v>
      </c>
      <c r="K94" s="25" t="n">
        <f aca="false">K$21*(0-Planner!$C$43)</f>
        <v>-4.417</v>
      </c>
      <c r="L94" s="25" t="n">
        <f aca="false">L$21*(0-Planner!$C$43)</f>
        <v>-6.0095</v>
      </c>
      <c r="M94" s="25" t="n">
        <f aca="false">M$21*(0-Planner!$C$43)</f>
        <v>-7.2975</v>
      </c>
      <c r="N94" s="25" t="n">
        <f aca="false">N$21*(0-Planner!$C$43)</f>
        <v>-5.81</v>
      </c>
      <c r="O94" s="25" t="n">
        <f aca="false">O$21*(0-Planner!$C$43)</f>
        <v>-7.399</v>
      </c>
      <c r="P94" s="25" t="n">
        <f aca="false">P$21*(0-Planner!$C$43)</f>
        <v>-6.972</v>
      </c>
      <c r="Q94" s="25" t="n">
        <f aca="false">Q$21*(0-Planner!$C$43)</f>
        <v>-6.804</v>
      </c>
      <c r="R94" s="25" t="n">
        <f aca="false">R$21*(0-Planner!$C$43)</f>
        <v>-7.147</v>
      </c>
      <c r="S94" s="25" t="n">
        <f aca="false">S$21*(0-Planner!$C$43)</f>
        <v>-4.7635</v>
      </c>
      <c r="T94" s="25" t="n">
        <f aca="false">T$21*(0-Planner!$C$43)</f>
        <v>-7.028</v>
      </c>
      <c r="U94" s="25" t="n">
        <f aca="false">U$21*(0-Planner!$C$43)</f>
        <v>-4.396</v>
      </c>
      <c r="V94" s="25" t="n">
        <f aca="false">V$21*(0-Planner!$C$43)</f>
        <v>-2.1105</v>
      </c>
      <c r="W94" s="25" t="n">
        <f aca="false">W$21*(0-Planner!$C$43)</f>
        <v>-1.722</v>
      </c>
      <c r="X94" s="25" t="n">
        <f aca="false">X$21*(0-Planner!$C$43)</f>
        <v>-8.6205</v>
      </c>
      <c r="Y94" s="25" t="n">
        <f aca="false">Y$21*(0-Planner!$C$43)</f>
        <v>-7.7735</v>
      </c>
      <c r="Z94" s="25" t="n">
        <f aca="false">Z$21*(0-Planner!$C$43)</f>
        <v>-7.497</v>
      </c>
      <c r="AA94" s="25" t="n">
        <f aca="false">AA$21*(1-Planner!$C$43)</f>
        <v>6.565</v>
      </c>
      <c r="AB94" s="25" t="n">
        <f aca="false">AB$21*(0-Planner!$C$43)</f>
        <v>-1.155</v>
      </c>
      <c r="AC94" s="25" t="n">
        <f aca="false">AC$21*(0-Planner!$C$43)</f>
        <v>-3.5665</v>
      </c>
      <c r="AD94" s="25" t="n">
        <f aca="false">AD$21*(0-Planner!$C$43)</f>
        <v>-0.91</v>
      </c>
      <c r="AE94" s="25" t="n">
        <f aca="false">AE$21*(0-Planner!$C$43)</f>
        <v>-1.1025</v>
      </c>
      <c r="AF94" s="25" t="n">
        <f aca="false">AF$21*(0-Planner!$C$43)</f>
        <v>-6.3455</v>
      </c>
      <c r="AG94" s="25" t="n">
        <f aca="false">AG$21*(0-Planner!$C$43)</f>
        <v>-8.0045</v>
      </c>
      <c r="AH94" s="25" t="n">
        <f aca="false">AH$21*(0-Planner!$C$43)</f>
        <v>-3.6575</v>
      </c>
      <c r="AI94" s="25" t="n">
        <f aca="false">AI$21*(0-Planner!$C$43)</f>
        <v>-8.3125</v>
      </c>
      <c r="AJ94" s="25" t="n">
        <f aca="false">AJ$21*(0-Planner!$C$43)</f>
        <v>-3.696</v>
      </c>
      <c r="AK94" s="25" t="n">
        <f aca="false">AK$21*(0-Planner!$C$43)</f>
        <v>-2.639</v>
      </c>
      <c r="AL94" s="25" t="n">
        <f aca="false">AL$21*(0-Planner!$C$43)</f>
        <v>-4.2315</v>
      </c>
      <c r="AM94" s="25" t="n">
        <f aca="false">AM$21*(0-Planner!$C$43)</f>
        <v>-1.995</v>
      </c>
      <c r="AN94" s="25" t="n">
        <f aca="false">AN$21*(0-Planner!$C$43)</f>
        <v>-2.8035</v>
      </c>
      <c r="AO94" s="25" t="n">
        <f aca="false">AO$21*(0-Planner!$C$43)</f>
        <v>-4.942</v>
      </c>
      <c r="AP94" s="25" t="n">
        <f aca="false">AP$21*(0-Planner!$C$43)</f>
        <v>-4.6025</v>
      </c>
      <c r="AQ94" s="25" t="n">
        <f aca="false">AQ$21*(0-Planner!$C$43)</f>
        <v>-4.564</v>
      </c>
      <c r="AR94" s="25" t="n">
        <f aca="false">AR$21*(0-Planner!$C$43)</f>
        <v>-3.0975</v>
      </c>
      <c r="AS94" s="25" t="n">
        <f aca="false">AS$21*(0-Planner!$C$43)</f>
        <v>-2.4955</v>
      </c>
      <c r="AT94" s="25" t="n">
        <f aca="false">AT$21*(0-Planner!$C$43)</f>
        <v>-4.3575</v>
      </c>
      <c r="AU94" s="25" t="n">
        <f aca="false">AU$21*(0-Planner!$C$43)</f>
        <v>-4.8545</v>
      </c>
      <c r="AV94" s="25" t="n">
        <f aca="false">AV$21*(0-Planner!$C$43)</f>
        <v>-1.057</v>
      </c>
      <c r="AW94" s="25" t="n">
        <f aca="false">AW$21*(0-Planner!$C$43)</f>
        <v>-0.7175</v>
      </c>
      <c r="AX94" s="25" t="n">
        <f aca="false">AX$21*(0-Planner!$C$43)</f>
        <v>-0.5495</v>
      </c>
      <c r="AY94" s="25" t="n">
        <f aca="false">AY$21*(0-Planner!$C$43)</f>
        <v>-0.091</v>
      </c>
      <c r="AZ94" s="25" t="n">
        <f aca="false">AZ$21*(0-Planner!$C$43)</f>
        <v>-0.3815</v>
      </c>
      <c r="BA94" s="25" t="n">
        <f aca="false">BA$21*(0-Planner!$C$43)</f>
        <v>-0.147</v>
      </c>
      <c r="BB94" s="25" t="n">
        <f aca="false">BB$21*(0-Planner!$C$43)</f>
        <v>-0.252</v>
      </c>
      <c r="BC94" s="25" t="n">
        <f aca="false">BC$21*(0-Planner!$C$43)</f>
        <v>-0.238</v>
      </c>
      <c r="BD94" s="25" t="n">
        <f aca="false">BD$21*(0-Planner!$C$43)</f>
        <v>-0.3185</v>
      </c>
      <c r="BE94" s="25" t="n">
        <f aca="false">BE$21*(0-Planner!$C$43)</f>
        <v>-1.0745</v>
      </c>
      <c r="BF94" s="25" t="n">
        <f aca="false">BF$21*(0-Planner!$C$43)</f>
        <v>-0.2345</v>
      </c>
      <c r="BG94" s="25" t="n">
        <f aca="false">BG$21*(0-Planner!$C$43)</f>
        <v>-1.071</v>
      </c>
      <c r="BH94" s="25" t="n">
        <f aca="false">BH$21*(0-Planner!$C$43)</f>
        <v>-0.3255</v>
      </c>
      <c r="BI94" s="25" t="n">
        <f aca="false">BI$21*(0-Planner!$C$43)</f>
        <v>-0.252</v>
      </c>
      <c r="BJ94" s="25" t="n">
        <f aca="false">BJ$21*(0-Planner!$C$43)</f>
        <v>-0.301</v>
      </c>
      <c r="BK94" s="25" t="n">
        <f aca="false">BK$21*(0-Planner!$C$43)</f>
        <v>-1.1655</v>
      </c>
      <c r="BL94" s="25" t="n">
        <f aca="false">BL$21*(0-Planner!$C$43)</f>
        <v>-0.385</v>
      </c>
      <c r="BM94" s="25" t="n">
        <f aca="false">BM$21*(0-Planner!$C$43)</f>
        <v>-0.4305</v>
      </c>
      <c r="BN94" s="25" t="n">
        <f aca="false">BN$21*(0-Planner!$C$43)</f>
        <v>-1.001</v>
      </c>
      <c r="BO94" s="25" t="n">
        <f aca="false">BO$21*(0-Planner!$C$43)</f>
        <v>-0.308</v>
      </c>
      <c r="BP94" s="25" t="n">
        <f aca="false">BP$21*(0-Planner!$C$43)</f>
        <v>-0.2975</v>
      </c>
      <c r="BQ94" s="25" t="n">
        <f aca="false">BQ$21*(0-Planner!$C$43)</f>
        <v>-0</v>
      </c>
      <c r="BR94" s="25" t="n">
        <f aca="false">BR$21*(0-Planner!$C$43)</f>
        <v>-0</v>
      </c>
      <c r="BS94" s="25" t="n">
        <f aca="false">BS$21*(0-Planner!$C$43)</f>
        <v>-7.4025</v>
      </c>
      <c r="BT94" s="25" t="n">
        <f aca="false">BT$21*(0-Planner!$C$43)</f>
        <v>-0.686</v>
      </c>
      <c r="BU94" s="25" t="n">
        <f aca="false">BU$21*(0-Planner!$C$43)</f>
        <v>-1.785</v>
      </c>
      <c r="BV94" s="25" t="n">
        <f aca="false">BV$21*(0-Planner!$C$43)</f>
        <v>-1.9775</v>
      </c>
      <c r="BW94" s="25" t="n">
        <f aca="false">BW$21*(0-Planner!$C$43)</f>
        <v>-2.2365</v>
      </c>
      <c r="BX94" s="25" t="n">
        <f aca="false">BX$21*(0-Planner!$C$43)</f>
        <v>-1.225</v>
      </c>
    </row>
    <row r="95" customFormat="false" ht="15" hidden="false" customHeight="false" outlineLevel="0" collapsed="false">
      <c r="A95" s="4" t="s">
        <v>686</v>
      </c>
      <c r="B95" s="75" t="s">
        <v>666</v>
      </c>
      <c r="C95" s="78" t="n">
        <v>0</v>
      </c>
      <c r="D95" s="77" t="n">
        <v>-39.199999998243</v>
      </c>
      <c r="E95" s="75" t="str">
        <f aca="false">IF(D95&lt;=C95+0.000001*MAX(1,ABS(C95)),IF(ABS(D95-C95)&lt;=0.000001*MAX(1,ABS(C95)),"tight","ok"),"VIOLATED")</f>
        <v>ok</v>
      </c>
      <c r="F95" s="25" t="n">
        <f aca="false">F$21*(0-Planner!$C$43)</f>
        <v>-7.875</v>
      </c>
      <c r="G95" s="25" t="n">
        <f aca="false">G$21*(0-Planner!$C$43)</f>
        <v>-6.328</v>
      </c>
      <c r="H95" s="25" t="n">
        <f aca="false">H$21*(0-Planner!$C$43)</f>
        <v>-6.881</v>
      </c>
      <c r="I95" s="25" t="n">
        <f aca="false">I$21*(0-Planner!$C$43)</f>
        <v>-5.7155</v>
      </c>
      <c r="J95" s="25" t="n">
        <f aca="false">J$21*(0-Planner!$C$43)</f>
        <v>-6.5555</v>
      </c>
      <c r="K95" s="25" t="n">
        <f aca="false">K$21*(0-Planner!$C$43)</f>
        <v>-4.417</v>
      </c>
      <c r="L95" s="25" t="n">
        <f aca="false">L$21*(0-Planner!$C$43)</f>
        <v>-6.0095</v>
      </c>
      <c r="M95" s="25" t="n">
        <f aca="false">M$21*(0-Planner!$C$43)</f>
        <v>-7.2975</v>
      </c>
      <c r="N95" s="25" t="n">
        <f aca="false">N$21*(0-Planner!$C$43)</f>
        <v>-5.81</v>
      </c>
      <c r="O95" s="25" t="n">
        <f aca="false">O$21*(0-Planner!$C$43)</f>
        <v>-7.399</v>
      </c>
      <c r="P95" s="25" t="n">
        <f aca="false">P$21*(0-Planner!$C$43)</f>
        <v>-6.972</v>
      </c>
      <c r="Q95" s="25" t="n">
        <f aca="false">Q$21*(0-Planner!$C$43)</f>
        <v>-6.804</v>
      </c>
      <c r="R95" s="25" t="n">
        <f aca="false">R$21*(0-Planner!$C$43)</f>
        <v>-7.147</v>
      </c>
      <c r="S95" s="25" t="n">
        <f aca="false">S$21*(0-Planner!$C$43)</f>
        <v>-4.7635</v>
      </c>
      <c r="T95" s="25" t="n">
        <f aca="false">T$21*(0-Planner!$C$43)</f>
        <v>-7.028</v>
      </c>
      <c r="U95" s="25" t="n">
        <f aca="false">U$21*(0-Planner!$C$43)</f>
        <v>-4.396</v>
      </c>
      <c r="V95" s="25" t="n">
        <f aca="false">V$21*(0-Planner!$C$43)</f>
        <v>-2.1105</v>
      </c>
      <c r="W95" s="25" t="n">
        <f aca="false">W$21*(0-Planner!$C$43)</f>
        <v>-1.722</v>
      </c>
      <c r="X95" s="25" t="n">
        <f aca="false">X$21*(0-Planner!$C$43)</f>
        <v>-8.6205</v>
      </c>
      <c r="Y95" s="25" t="n">
        <f aca="false">Y$21*(0-Planner!$C$43)</f>
        <v>-7.7735</v>
      </c>
      <c r="Z95" s="25" t="n">
        <f aca="false">Z$21*(0-Planner!$C$43)</f>
        <v>-7.497</v>
      </c>
      <c r="AA95" s="25" t="n">
        <f aca="false">AA$21*(0-Planner!$C$43)</f>
        <v>-3.535</v>
      </c>
      <c r="AB95" s="25" t="n">
        <f aca="false">AB$21*(0-Planner!$C$43)</f>
        <v>-1.155</v>
      </c>
      <c r="AC95" s="25" t="n">
        <f aca="false">AC$21*(1-Planner!$C$43)</f>
        <v>6.6235</v>
      </c>
      <c r="AD95" s="25" t="n">
        <f aca="false">AD$21*(0-Planner!$C$43)</f>
        <v>-0.91</v>
      </c>
      <c r="AE95" s="25" t="n">
        <f aca="false">AE$21*(0-Planner!$C$43)</f>
        <v>-1.1025</v>
      </c>
      <c r="AF95" s="25" t="n">
        <f aca="false">AF$21*(0-Planner!$C$43)</f>
        <v>-6.3455</v>
      </c>
      <c r="AG95" s="25" t="n">
        <f aca="false">AG$21*(0-Planner!$C$43)</f>
        <v>-8.0045</v>
      </c>
      <c r="AH95" s="25" t="n">
        <f aca="false">AH$21*(0-Planner!$C$43)</f>
        <v>-3.6575</v>
      </c>
      <c r="AI95" s="25" t="n">
        <f aca="false">AI$21*(0-Planner!$C$43)</f>
        <v>-8.3125</v>
      </c>
      <c r="AJ95" s="25" t="n">
        <f aca="false">AJ$21*(0-Planner!$C$43)</f>
        <v>-3.696</v>
      </c>
      <c r="AK95" s="25" t="n">
        <f aca="false">AK$21*(0-Planner!$C$43)</f>
        <v>-2.639</v>
      </c>
      <c r="AL95" s="25" t="n">
        <f aca="false">AL$21*(0-Planner!$C$43)</f>
        <v>-4.2315</v>
      </c>
      <c r="AM95" s="25" t="n">
        <f aca="false">AM$21*(0-Planner!$C$43)</f>
        <v>-1.995</v>
      </c>
      <c r="AN95" s="25" t="n">
        <f aca="false">AN$21*(0-Planner!$C$43)</f>
        <v>-2.8035</v>
      </c>
      <c r="AO95" s="25" t="n">
        <f aca="false">AO$21*(0-Planner!$C$43)</f>
        <v>-4.942</v>
      </c>
      <c r="AP95" s="25" t="n">
        <f aca="false">AP$21*(0-Planner!$C$43)</f>
        <v>-4.6025</v>
      </c>
      <c r="AQ95" s="25" t="n">
        <f aca="false">AQ$21*(0-Planner!$C$43)</f>
        <v>-4.564</v>
      </c>
      <c r="AR95" s="25" t="n">
        <f aca="false">AR$21*(0-Planner!$C$43)</f>
        <v>-3.0975</v>
      </c>
      <c r="AS95" s="25" t="n">
        <f aca="false">AS$21*(0-Planner!$C$43)</f>
        <v>-2.4955</v>
      </c>
      <c r="AT95" s="25" t="n">
        <f aca="false">AT$21*(0-Planner!$C$43)</f>
        <v>-4.3575</v>
      </c>
      <c r="AU95" s="25" t="n">
        <f aca="false">AU$21*(0-Planner!$C$43)</f>
        <v>-4.8545</v>
      </c>
      <c r="AV95" s="25" t="n">
        <f aca="false">AV$21*(0-Planner!$C$43)</f>
        <v>-1.057</v>
      </c>
      <c r="AW95" s="25" t="n">
        <f aca="false">AW$21*(0-Planner!$C$43)</f>
        <v>-0.7175</v>
      </c>
      <c r="AX95" s="25" t="n">
        <f aca="false">AX$21*(0-Planner!$C$43)</f>
        <v>-0.5495</v>
      </c>
      <c r="AY95" s="25" t="n">
        <f aca="false">AY$21*(0-Planner!$C$43)</f>
        <v>-0.091</v>
      </c>
      <c r="AZ95" s="25" t="n">
        <f aca="false">AZ$21*(0-Planner!$C$43)</f>
        <v>-0.3815</v>
      </c>
      <c r="BA95" s="25" t="n">
        <f aca="false">BA$21*(0-Planner!$C$43)</f>
        <v>-0.147</v>
      </c>
      <c r="BB95" s="25" t="n">
        <f aca="false">BB$21*(0-Planner!$C$43)</f>
        <v>-0.252</v>
      </c>
      <c r="BC95" s="25" t="n">
        <f aca="false">BC$21*(0-Planner!$C$43)</f>
        <v>-0.238</v>
      </c>
      <c r="BD95" s="25" t="n">
        <f aca="false">BD$21*(0-Planner!$C$43)</f>
        <v>-0.3185</v>
      </c>
      <c r="BE95" s="25" t="n">
        <f aca="false">BE$21*(0-Planner!$C$43)</f>
        <v>-1.0745</v>
      </c>
      <c r="BF95" s="25" t="n">
        <f aca="false">BF$21*(0-Planner!$C$43)</f>
        <v>-0.2345</v>
      </c>
      <c r="BG95" s="25" t="n">
        <f aca="false">BG$21*(0-Planner!$C$43)</f>
        <v>-1.071</v>
      </c>
      <c r="BH95" s="25" t="n">
        <f aca="false">BH$21*(0-Planner!$C$43)</f>
        <v>-0.3255</v>
      </c>
      <c r="BI95" s="25" t="n">
        <f aca="false">BI$21*(0-Planner!$C$43)</f>
        <v>-0.252</v>
      </c>
      <c r="BJ95" s="25" t="n">
        <f aca="false">BJ$21*(0-Planner!$C$43)</f>
        <v>-0.301</v>
      </c>
      <c r="BK95" s="25" t="n">
        <f aca="false">BK$21*(0-Planner!$C$43)</f>
        <v>-1.1655</v>
      </c>
      <c r="BL95" s="25" t="n">
        <f aca="false">BL$21*(0-Planner!$C$43)</f>
        <v>-0.385</v>
      </c>
      <c r="BM95" s="25" t="n">
        <f aca="false">BM$21*(0-Planner!$C$43)</f>
        <v>-0.4305</v>
      </c>
      <c r="BN95" s="25" t="n">
        <f aca="false">BN$21*(0-Planner!$C$43)</f>
        <v>-1.001</v>
      </c>
      <c r="BO95" s="25" t="n">
        <f aca="false">BO$21*(0-Planner!$C$43)</f>
        <v>-0.308</v>
      </c>
      <c r="BP95" s="25" t="n">
        <f aca="false">BP$21*(0-Planner!$C$43)</f>
        <v>-0.2975</v>
      </c>
      <c r="BQ95" s="25" t="n">
        <f aca="false">BQ$21*(0-Planner!$C$43)</f>
        <v>-0</v>
      </c>
      <c r="BR95" s="25" t="n">
        <f aca="false">BR$21*(0-Planner!$C$43)</f>
        <v>-0</v>
      </c>
      <c r="BS95" s="25" t="n">
        <f aca="false">BS$21*(0-Planner!$C$43)</f>
        <v>-7.4025</v>
      </c>
      <c r="BT95" s="25" t="n">
        <f aca="false">BT$21*(0-Planner!$C$43)</f>
        <v>-0.686</v>
      </c>
      <c r="BU95" s="25" t="n">
        <f aca="false">BU$21*(0-Planner!$C$43)</f>
        <v>-1.785</v>
      </c>
      <c r="BV95" s="25" t="n">
        <f aca="false">BV$21*(0-Planner!$C$43)</f>
        <v>-1.9775</v>
      </c>
      <c r="BW95" s="25" t="n">
        <f aca="false">BW$21*(0-Planner!$C$43)</f>
        <v>-2.2365</v>
      </c>
      <c r="BX95" s="25" t="n">
        <f aca="false">BX$21*(0-Planner!$C$43)</f>
        <v>-1.225</v>
      </c>
    </row>
    <row r="96" customFormat="false" ht="15" hidden="false" customHeight="false" outlineLevel="0" collapsed="false">
      <c r="A96" s="4" t="s">
        <v>687</v>
      </c>
      <c r="B96" s="75" t="s">
        <v>666</v>
      </c>
      <c r="C96" s="78" t="n">
        <v>0</v>
      </c>
      <c r="D96" s="77" t="n">
        <v>-39.199999998243</v>
      </c>
      <c r="E96" s="75" t="str">
        <f aca="false">IF(D96&lt;=C96+0.000001*MAX(1,ABS(C96)),IF(ABS(D96-C96)&lt;=0.000001*MAX(1,ABS(C96)),"tight","ok"),"VIOLATED")</f>
        <v>ok</v>
      </c>
      <c r="F96" s="25" t="n">
        <f aca="false">F$21*(0-Planner!$C$43)</f>
        <v>-7.875</v>
      </c>
      <c r="G96" s="25" t="n">
        <f aca="false">G$21*(0-Planner!$C$43)</f>
        <v>-6.328</v>
      </c>
      <c r="H96" s="25" t="n">
        <f aca="false">H$21*(0-Planner!$C$43)</f>
        <v>-6.881</v>
      </c>
      <c r="I96" s="25" t="n">
        <f aca="false">I$21*(0-Planner!$C$43)</f>
        <v>-5.7155</v>
      </c>
      <c r="J96" s="25" t="n">
        <f aca="false">J$21*(0-Planner!$C$43)</f>
        <v>-6.5555</v>
      </c>
      <c r="K96" s="25" t="n">
        <f aca="false">K$21*(0-Planner!$C$43)</f>
        <v>-4.417</v>
      </c>
      <c r="L96" s="25" t="n">
        <f aca="false">L$21*(0-Planner!$C$43)</f>
        <v>-6.0095</v>
      </c>
      <c r="M96" s="25" t="n">
        <f aca="false">M$21*(0-Planner!$C$43)</f>
        <v>-7.2975</v>
      </c>
      <c r="N96" s="25" t="n">
        <f aca="false">N$21*(0-Planner!$C$43)</f>
        <v>-5.81</v>
      </c>
      <c r="O96" s="25" t="n">
        <f aca="false">O$21*(0-Planner!$C$43)</f>
        <v>-7.399</v>
      </c>
      <c r="P96" s="25" t="n">
        <f aca="false">P$21*(0-Planner!$C$43)</f>
        <v>-6.972</v>
      </c>
      <c r="Q96" s="25" t="n">
        <f aca="false">Q$21*(0-Planner!$C$43)</f>
        <v>-6.804</v>
      </c>
      <c r="R96" s="25" t="n">
        <f aca="false">R$21*(0-Planner!$C$43)</f>
        <v>-7.147</v>
      </c>
      <c r="S96" s="25" t="n">
        <f aca="false">S$21*(0-Planner!$C$43)</f>
        <v>-4.7635</v>
      </c>
      <c r="T96" s="25" t="n">
        <f aca="false">T$21*(0-Planner!$C$43)</f>
        <v>-7.028</v>
      </c>
      <c r="U96" s="25" t="n">
        <f aca="false">U$21*(0-Planner!$C$43)</f>
        <v>-4.396</v>
      </c>
      <c r="V96" s="25" t="n">
        <f aca="false">V$21*(0-Planner!$C$43)</f>
        <v>-2.1105</v>
      </c>
      <c r="W96" s="25" t="n">
        <f aca="false">W$21*(0-Planner!$C$43)</f>
        <v>-1.722</v>
      </c>
      <c r="X96" s="25" t="n">
        <f aca="false">X$21*(0-Planner!$C$43)</f>
        <v>-8.6205</v>
      </c>
      <c r="Y96" s="25" t="n">
        <f aca="false">Y$21*(0-Planner!$C$43)</f>
        <v>-7.7735</v>
      </c>
      <c r="Z96" s="25" t="n">
        <f aca="false">Z$21*(0-Planner!$C$43)</f>
        <v>-7.497</v>
      </c>
      <c r="AA96" s="25" t="n">
        <f aca="false">AA$21*(0-Planner!$C$43)</f>
        <v>-3.535</v>
      </c>
      <c r="AB96" s="25" t="n">
        <f aca="false">AB$21*(0-Planner!$C$43)</f>
        <v>-1.155</v>
      </c>
      <c r="AC96" s="25" t="n">
        <f aca="false">AC$21*(0-Planner!$C$43)</f>
        <v>-3.5665</v>
      </c>
      <c r="AD96" s="25" t="n">
        <f aca="false">AD$21*(0-Planner!$C$43)</f>
        <v>-0.91</v>
      </c>
      <c r="AE96" s="25" t="n">
        <f aca="false">AE$21*(0-Planner!$C$43)</f>
        <v>-1.1025</v>
      </c>
      <c r="AF96" s="25" t="n">
        <f aca="false">AF$21*(1-Planner!$C$43)</f>
        <v>11.7845</v>
      </c>
      <c r="AG96" s="25" t="n">
        <f aca="false">AG$21*(0-Planner!$C$43)</f>
        <v>-8.0045</v>
      </c>
      <c r="AH96" s="25" t="n">
        <f aca="false">AH$21*(0-Planner!$C$43)</f>
        <v>-3.6575</v>
      </c>
      <c r="AI96" s="25" t="n">
        <f aca="false">AI$21*(0-Planner!$C$43)</f>
        <v>-8.3125</v>
      </c>
      <c r="AJ96" s="25" t="n">
        <f aca="false">AJ$21*(0-Planner!$C$43)</f>
        <v>-3.696</v>
      </c>
      <c r="AK96" s="25" t="n">
        <f aca="false">AK$21*(0-Planner!$C$43)</f>
        <v>-2.639</v>
      </c>
      <c r="AL96" s="25" t="n">
        <f aca="false">AL$21*(0-Planner!$C$43)</f>
        <v>-4.2315</v>
      </c>
      <c r="AM96" s="25" t="n">
        <f aca="false">AM$21*(0-Planner!$C$43)</f>
        <v>-1.995</v>
      </c>
      <c r="AN96" s="25" t="n">
        <f aca="false">AN$21*(0-Planner!$C$43)</f>
        <v>-2.8035</v>
      </c>
      <c r="AO96" s="25" t="n">
        <f aca="false">AO$21*(0-Planner!$C$43)</f>
        <v>-4.942</v>
      </c>
      <c r="AP96" s="25" t="n">
        <f aca="false">AP$21*(0-Planner!$C$43)</f>
        <v>-4.6025</v>
      </c>
      <c r="AQ96" s="25" t="n">
        <f aca="false">AQ$21*(0-Planner!$C$43)</f>
        <v>-4.564</v>
      </c>
      <c r="AR96" s="25" t="n">
        <f aca="false">AR$21*(0-Planner!$C$43)</f>
        <v>-3.0975</v>
      </c>
      <c r="AS96" s="25" t="n">
        <f aca="false">AS$21*(0-Planner!$C$43)</f>
        <v>-2.4955</v>
      </c>
      <c r="AT96" s="25" t="n">
        <f aca="false">AT$21*(0-Planner!$C$43)</f>
        <v>-4.3575</v>
      </c>
      <c r="AU96" s="25" t="n">
        <f aca="false">AU$21*(0-Planner!$C$43)</f>
        <v>-4.8545</v>
      </c>
      <c r="AV96" s="25" t="n">
        <f aca="false">AV$21*(0-Planner!$C$43)</f>
        <v>-1.057</v>
      </c>
      <c r="AW96" s="25" t="n">
        <f aca="false">AW$21*(0-Planner!$C$43)</f>
        <v>-0.7175</v>
      </c>
      <c r="AX96" s="25" t="n">
        <f aca="false">AX$21*(0-Planner!$C$43)</f>
        <v>-0.5495</v>
      </c>
      <c r="AY96" s="25" t="n">
        <f aca="false">AY$21*(0-Planner!$C$43)</f>
        <v>-0.091</v>
      </c>
      <c r="AZ96" s="25" t="n">
        <f aca="false">AZ$21*(0-Planner!$C$43)</f>
        <v>-0.3815</v>
      </c>
      <c r="BA96" s="25" t="n">
        <f aca="false">BA$21*(0-Planner!$C$43)</f>
        <v>-0.147</v>
      </c>
      <c r="BB96" s="25" t="n">
        <f aca="false">BB$21*(0-Planner!$C$43)</f>
        <v>-0.252</v>
      </c>
      <c r="BC96" s="25" t="n">
        <f aca="false">BC$21*(0-Planner!$C$43)</f>
        <v>-0.238</v>
      </c>
      <c r="BD96" s="25" t="n">
        <f aca="false">BD$21*(0-Planner!$C$43)</f>
        <v>-0.3185</v>
      </c>
      <c r="BE96" s="25" t="n">
        <f aca="false">BE$21*(0-Planner!$C$43)</f>
        <v>-1.0745</v>
      </c>
      <c r="BF96" s="25" t="n">
        <f aca="false">BF$21*(0-Planner!$C$43)</f>
        <v>-0.2345</v>
      </c>
      <c r="BG96" s="25" t="n">
        <f aca="false">BG$21*(0-Planner!$C$43)</f>
        <v>-1.071</v>
      </c>
      <c r="BH96" s="25" t="n">
        <f aca="false">BH$21*(0-Planner!$C$43)</f>
        <v>-0.3255</v>
      </c>
      <c r="BI96" s="25" t="n">
        <f aca="false">BI$21*(0-Planner!$C$43)</f>
        <v>-0.252</v>
      </c>
      <c r="BJ96" s="25" t="n">
        <f aca="false">BJ$21*(0-Planner!$C$43)</f>
        <v>-0.301</v>
      </c>
      <c r="BK96" s="25" t="n">
        <f aca="false">BK$21*(0-Planner!$C$43)</f>
        <v>-1.1655</v>
      </c>
      <c r="BL96" s="25" t="n">
        <f aca="false">BL$21*(0-Planner!$C$43)</f>
        <v>-0.385</v>
      </c>
      <c r="BM96" s="25" t="n">
        <f aca="false">BM$21*(0-Planner!$C$43)</f>
        <v>-0.4305</v>
      </c>
      <c r="BN96" s="25" t="n">
        <f aca="false">BN$21*(0-Planner!$C$43)</f>
        <v>-1.001</v>
      </c>
      <c r="BO96" s="25" t="n">
        <f aca="false">BO$21*(0-Planner!$C$43)</f>
        <v>-0.308</v>
      </c>
      <c r="BP96" s="25" t="n">
        <f aca="false">BP$21*(0-Planner!$C$43)</f>
        <v>-0.2975</v>
      </c>
      <c r="BQ96" s="25" t="n">
        <f aca="false">BQ$21*(0-Planner!$C$43)</f>
        <v>-0</v>
      </c>
      <c r="BR96" s="25" t="n">
        <f aca="false">BR$21*(0-Planner!$C$43)</f>
        <v>-0</v>
      </c>
      <c r="BS96" s="25" t="n">
        <f aca="false">BS$21*(0-Planner!$C$43)</f>
        <v>-7.4025</v>
      </c>
      <c r="BT96" s="25" t="n">
        <f aca="false">BT$21*(0-Planner!$C$43)</f>
        <v>-0.686</v>
      </c>
      <c r="BU96" s="25" t="n">
        <f aca="false">BU$21*(0-Planner!$C$43)</f>
        <v>-1.785</v>
      </c>
      <c r="BV96" s="25" t="n">
        <f aca="false">BV$21*(0-Planner!$C$43)</f>
        <v>-1.9775</v>
      </c>
      <c r="BW96" s="25" t="n">
        <f aca="false">BW$21*(0-Planner!$C$43)</f>
        <v>-2.2365</v>
      </c>
      <c r="BX96" s="25" t="n">
        <f aca="false">BX$21*(0-Planner!$C$43)</f>
        <v>-1.225</v>
      </c>
    </row>
    <row r="97" customFormat="false" ht="15" hidden="false" customHeight="false" outlineLevel="0" collapsed="false">
      <c r="A97" s="4" t="s">
        <v>688</v>
      </c>
      <c r="B97" s="75" t="s">
        <v>666</v>
      </c>
      <c r="C97" s="78" t="n">
        <v>0</v>
      </c>
      <c r="D97" s="77" t="n">
        <v>-39.199999998243</v>
      </c>
      <c r="E97" s="75" t="str">
        <f aca="false">IF(D97&lt;=C97+0.000001*MAX(1,ABS(C97)),IF(ABS(D97-C97)&lt;=0.000001*MAX(1,ABS(C97)),"tight","ok"),"VIOLATED")</f>
        <v>ok</v>
      </c>
      <c r="F97" s="25" t="n">
        <f aca="false">F$21*(0-Planner!$C$43)</f>
        <v>-7.875</v>
      </c>
      <c r="G97" s="25" t="n">
        <f aca="false">G$21*(0-Planner!$C$43)</f>
        <v>-6.328</v>
      </c>
      <c r="H97" s="25" t="n">
        <f aca="false">H$21*(0-Planner!$C$43)</f>
        <v>-6.881</v>
      </c>
      <c r="I97" s="25" t="n">
        <f aca="false">I$21*(0-Planner!$C$43)</f>
        <v>-5.7155</v>
      </c>
      <c r="J97" s="25" t="n">
        <f aca="false">J$21*(0-Planner!$C$43)</f>
        <v>-6.5555</v>
      </c>
      <c r="K97" s="25" t="n">
        <f aca="false">K$21*(0-Planner!$C$43)</f>
        <v>-4.417</v>
      </c>
      <c r="L97" s="25" t="n">
        <f aca="false">L$21*(0-Planner!$C$43)</f>
        <v>-6.0095</v>
      </c>
      <c r="M97" s="25" t="n">
        <f aca="false">M$21*(0-Planner!$C$43)</f>
        <v>-7.2975</v>
      </c>
      <c r="N97" s="25" t="n">
        <f aca="false">N$21*(0-Planner!$C$43)</f>
        <v>-5.81</v>
      </c>
      <c r="O97" s="25" t="n">
        <f aca="false">O$21*(0-Planner!$C$43)</f>
        <v>-7.399</v>
      </c>
      <c r="P97" s="25" t="n">
        <f aca="false">P$21*(0-Planner!$C$43)</f>
        <v>-6.972</v>
      </c>
      <c r="Q97" s="25" t="n">
        <f aca="false">Q$21*(0-Planner!$C$43)</f>
        <v>-6.804</v>
      </c>
      <c r="R97" s="25" t="n">
        <f aca="false">R$21*(0-Planner!$C$43)</f>
        <v>-7.147</v>
      </c>
      <c r="S97" s="25" t="n">
        <f aca="false">S$21*(0-Planner!$C$43)</f>
        <v>-4.7635</v>
      </c>
      <c r="T97" s="25" t="n">
        <f aca="false">T$21*(0-Planner!$C$43)</f>
        <v>-7.028</v>
      </c>
      <c r="U97" s="25" t="n">
        <f aca="false">U$21*(0-Planner!$C$43)</f>
        <v>-4.396</v>
      </c>
      <c r="V97" s="25" t="n">
        <f aca="false">V$21*(0-Planner!$C$43)</f>
        <v>-2.1105</v>
      </c>
      <c r="W97" s="25" t="n">
        <f aca="false">W$21*(0-Planner!$C$43)</f>
        <v>-1.722</v>
      </c>
      <c r="X97" s="25" t="n">
        <f aca="false">X$21*(0-Planner!$C$43)</f>
        <v>-8.6205</v>
      </c>
      <c r="Y97" s="25" t="n">
        <f aca="false">Y$21*(0-Planner!$C$43)</f>
        <v>-7.7735</v>
      </c>
      <c r="Z97" s="25" t="n">
        <f aca="false">Z$21*(0-Planner!$C$43)</f>
        <v>-7.497</v>
      </c>
      <c r="AA97" s="25" t="n">
        <f aca="false">AA$21*(0-Planner!$C$43)</f>
        <v>-3.535</v>
      </c>
      <c r="AB97" s="25" t="n">
        <f aca="false">AB$21*(0-Planner!$C$43)</f>
        <v>-1.155</v>
      </c>
      <c r="AC97" s="25" t="n">
        <f aca="false">AC$21*(0-Planner!$C$43)</f>
        <v>-3.5665</v>
      </c>
      <c r="AD97" s="25" t="n">
        <f aca="false">AD$21*(0-Planner!$C$43)</f>
        <v>-0.91</v>
      </c>
      <c r="AE97" s="25" t="n">
        <f aca="false">AE$21*(0-Planner!$C$43)</f>
        <v>-1.1025</v>
      </c>
      <c r="AF97" s="25" t="n">
        <f aca="false">AF$21*(0-Planner!$C$43)</f>
        <v>-6.3455</v>
      </c>
      <c r="AG97" s="25" t="n">
        <f aca="false">AG$21*(1-Planner!$C$43)</f>
        <v>14.8655</v>
      </c>
      <c r="AH97" s="25" t="n">
        <f aca="false">AH$21*(0-Planner!$C$43)</f>
        <v>-3.6575</v>
      </c>
      <c r="AI97" s="25" t="n">
        <f aca="false">AI$21*(0-Planner!$C$43)</f>
        <v>-8.3125</v>
      </c>
      <c r="AJ97" s="25" t="n">
        <f aca="false">AJ$21*(0-Planner!$C$43)</f>
        <v>-3.696</v>
      </c>
      <c r="AK97" s="25" t="n">
        <f aca="false">AK$21*(0-Planner!$C$43)</f>
        <v>-2.639</v>
      </c>
      <c r="AL97" s="25" t="n">
        <f aca="false">AL$21*(0-Planner!$C$43)</f>
        <v>-4.2315</v>
      </c>
      <c r="AM97" s="25" t="n">
        <f aca="false">AM$21*(0-Planner!$C$43)</f>
        <v>-1.995</v>
      </c>
      <c r="AN97" s="25" t="n">
        <f aca="false">AN$21*(0-Planner!$C$43)</f>
        <v>-2.8035</v>
      </c>
      <c r="AO97" s="25" t="n">
        <f aca="false">AO$21*(0-Planner!$C$43)</f>
        <v>-4.942</v>
      </c>
      <c r="AP97" s="25" t="n">
        <f aca="false">AP$21*(0-Planner!$C$43)</f>
        <v>-4.6025</v>
      </c>
      <c r="AQ97" s="25" t="n">
        <f aca="false">AQ$21*(0-Planner!$C$43)</f>
        <v>-4.564</v>
      </c>
      <c r="AR97" s="25" t="n">
        <f aca="false">AR$21*(0-Planner!$C$43)</f>
        <v>-3.0975</v>
      </c>
      <c r="AS97" s="25" t="n">
        <f aca="false">AS$21*(0-Planner!$C$43)</f>
        <v>-2.4955</v>
      </c>
      <c r="AT97" s="25" t="n">
        <f aca="false">AT$21*(0-Planner!$C$43)</f>
        <v>-4.3575</v>
      </c>
      <c r="AU97" s="25" t="n">
        <f aca="false">AU$21*(0-Planner!$C$43)</f>
        <v>-4.8545</v>
      </c>
      <c r="AV97" s="25" t="n">
        <f aca="false">AV$21*(0-Planner!$C$43)</f>
        <v>-1.057</v>
      </c>
      <c r="AW97" s="25" t="n">
        <f aca="false">AW$21*(0-Planner!$C$43)</f>
        <v>-0.7175</v>
      </c>
      <c r="AX97" s="25" t="n">
        <f aca="false">AX$21*(0-Planner!$C$43)</f>
        <v>-0.5495</v>
      </c>
      <c r="AY97" s="25" t="n">
        <f aca="false">AY$21*(0-Planner!$C$43)</f>
        <v>-0.091</v>
      </c>
      <c r="AZ97" s="25" t="n">
        <f aca="false">AZ$21*(0-Planner!$C$43)</f>
        <v>-0.3815</v>
      </c>
      <c r="BA97" s="25" t="n">
        <f aca="false">BA$21*(0-Planner!$C$43)</f>
        <v>-0.147</v>
      </c>
      <c r="BB97" s="25" t="n">
        <f aca="false">BB$21*(0-Planner!$C$43)</f>
        <v>-0.252</v>
      </c>
      <c r="BC97" s="25" t="n">
        <f aca="false">BC$21*(0-Planner!$C$43)</f>
        <v>-0.238</v>
      </c>
      <c r="BD97" s="25" t="n">
        <f aca="false">BD$21*(0-Planner!$C$43)</f>
        <v>-0.3185</v>
      </c>
      <c r="BE97" s="25" t="n">
        <f aca="false">BE$21*(0-Planner!$C$43)</f>
        <v>-1.0745</v>
      </c>
      <c r="BF97" s="25" t="n">
        <f aca="false">BF$21*(0-Planner!$C$43)</f>
        <v>-0.2345</v>
      </c>
      <c r="BG97" s="25" t="n">
        <f aca="false">BG$21*(0-Planner!$C$43)</f>
        <v>-1.071</v>
      </c>
      <c r="BH97" s="25" t="n">
        <f aca="false">BH$21*(0-Planner!$C$43)</f>
        <v>-0.3255</v>
      </c>
      <c r="BI97" s="25" t="n">
        <f aca="false">BI$21*(0-Planner!$C$43)</f>
        <v>-0.252</v>
      </c>
      <c r="BJ97" s="25" t="n">
        <f aca="false">BJ$21*(0-Planner!$C$43)</f>
        <v>-0.301</v>
      </c>
      <c r="BK97" s="25" t="n">
        <f aca="false">BK$21*(0-Planner!$C$43)</f>
        <v>-1.1655</v>
      </c>
      <c r="BL97" s="25" t="n">
        <f aca="false">BL$21*(0-Planner!$C$43)</f>
        <v>-0.385</v>
      </c>
      <c r="BM97" s="25" t="n">
        <f aca="false">BM$21*(0-Planner!$C$43)</f>
        <v>-0.4305</v>
      </c>
      <c r="BN97" s="25" t="n">
        <f aca="false">BN$21*(0-Planner!$C$43)</f>
        <v>-1.001</v>
      </c>
      <c r="BO97" s="25" t="n">
        <f aca="false">BO$21*(0-Planner!$C$43)</f>
        <v>-0.308</v>
      </c>
      <c r="BP97" s="25" t="n">
        <f aca="false">BP$21*(0-Planner!$C$43)</f>
        <v>-0.2975</v>
      </c>
      <c r="BQ97" s="25" t="n">
        <f aca="false">BQ$21*(0-Planner!$C$43)</f>
        <v>-0</v>
      </c>
      <c r="BR97" s="25" t="n">
        <f aca="false">BR$21*(0-Planner!$C$43)</f>
        <v>-0</v>
      </c>
      <c r="BS97" s="25" t="n">
        <f aca="false">BS$21*(0-Planner!$C$43)</f>
        <v>-7.4025</v>
      </c>
      <c r="BT97" s="25" t="n">
        <f aca="false">BT$21*(0-Planner!$C$43)</f>
        <v>-0.686</v>
      </c>
      <c r="BU97" s="25" t="n">
        <f aca="false">BU$21*(0-Planner!$C$43)</f>
        <v>-1.785</v>
      </c>
      <c r="BV97" s="25" t="n">
        <f aca="false">BV$21*(0-Planner!$C$43)</f>
        <v>-1.9775</v>
      </c>
      <c r="BW97" s="25" t="n">
        <f aca="false">BW$21*(0-Planner!$C$43)</f>
        <v>-2.2365</v>
      </c>
      <c r="BX97" s="25" t="n">
        <f aca="false">BX$21*(0-Planner!$C$43)</f>
        <v>-1.225</v>
      </c>
    </row>
    <row r="98" customFormat="false" ht="15" hidden="false" customHeight="false" outlineLevel="0" collapsed="false">
      <c r="A98" s="4" t="s">
        <v>689</v>
      </c>
      <c r="B98" s="75" t="s">
        <v>666</v>
      </c>
      <c r="C98" s="78" t="n">
        <v>0</v>
      </c>
      <c r="D98" s="77" t="n">
        <v>-39.199999998243</v>
      </c>
      <c r="E98" s="75" t="str">
        <f aca="false">IF(D98&lt;=C98+0.000001*MAX(1,ABS(C98)),IF(ABS(D98-C98)&lt;=0.000001*MAX(1,ABS(C98)),"tight","ok"),"VIOLATED")</f>
        <v>ok</v>
      </c>
      <c r="F98" s="25" t="n">
        <f aca="false">F$21*(0-Planner!$C$43)</f>
        <v>-7.875</v>
      </c>
      <c r="G98" s="25" t="n">
        <f aca="false">G$21*(0-Planner!$C$43)</f>
        <v>-6.328</v>
      </c>
      <c r="H98" s="25" t="n">
        <f aca="false">H$21*(0-Planner!$C$43)</f>
        <v>-6.881</v>
      </c>
      <c r="I98" s="25" t="n">
        <f aca="false">I$21*(0-Planner!$C$43)</f>
        <v>-5.7155</v>
      </c>
      <c r="J98" s="25" t="n">
        <f aca="false">J$21*(0-Planner!$C$43)</f>
        <v>-6.5555</v>
      </c>
      <c r="K98" s="25" t="n">
        <f aca="false">K$21*(0-Planner!$C$43)</f>
        <v>-4.417</v>
      </c>
      <c r="L98" s="25" t="n">
        <f aca="false">L$21*(0-Planner!$C$43)</f>
        <v>-6.0095</v>
      </c>
      <c r="M98" s="25" t="n">
        <f aca="false">M$21*(0-Planner!$C$43)</f>
        <v>-7.2975</v>
      </c>
      <c r="N98" s="25" t="n">
        <f aca="false">N$21*(0-Planner!$C$43)</f>
        <v>-5.81</v>
      </c>
      <c r="O98" s="25" t="n">
        <f aca="false">O$21*(0-Planner!$C$43)</f>
        <v>-7.399</v>
      </c>
      <c r="P98" s="25" t="n">
        <f aca="false">P$21*(0-Planner!$C$43)</f>
        <v>-6.972</v>
      </c>
      <c r="Q98" s="25" t="n">
        <f aca="false">Q$21*(0-Planner!$C$43)</f>
        <v>-6.804</v>
      </c>
      <c r="R98" s="25" t="n">
        <f aca="false">R$21*(0-Planner!$C$43)</f>
        <v>-7.147</v>
      </c>
      <c r="S98" s="25" t="n">
        <f aca="false">S$21*(0-Planner!$C$43)</f>
        <v>-4.7635</v>
      </c>
      <c r="T98" s="25" t="n">
        <f aca="false">T$21*(0-Planner!$C$43)</f>
        <v>-7.028</v>
      </c>
      <c r="U98" s="25" t="n">
        <f aca="false">U$21*(0-Planner!$C$43)</f>
        <v>-4.396</v>
      </c>
      <c r="V98" s="25" t="n">
        <f aca="false">V$21*(0-Planner!$C$43)</f>
        <v>-2.1105</v>
      </c>
      <c r="W98" s="25" t="n">
        <f aca="false">W$21*(0-Planner!$C$43)</f>
        <v>-1.722</v>
      </c>
      <c r="X98" s="25" t="n">
        <f aca="false">X$21*(0-Planner!$C$43)</f>
        <v>-8.6205</v>
      </c>
      <c r="Y98" s="25" t="n">
        <f aca="false">Y$21*(0-Planner!$C$43)</f>
        <v>-7.7735</v>
      </c>
      <c r="Z98" s="25" t="n">
        <f aca="false">Z$21*(0-Planner!$C$43)</f>
        <v>-7.497</v>
      </c>
      <c r="AA98" s="25" t="n">
        <f aca="false">AA$21*(0-Planner!$C$43)</f>
        <v>-3.535</v>
      </c>
      <c r="AB98" s="25" t="n">
        <f aca="false">AB$21*(0-Planner!$C$43)</f>
        <v>-1.155</v>
      </c>
      <c r="AC98" s="25" t="n">
        <f aca="false">AC$21*(0-Planner!$C$43)</f>
        <v>-3.5665</v>
      </c>
      <c r="AD98" s="25" t="n">
        <f aca="false">AD$21*(0-Planner!$C$43)</f>
        <v>-0.91</v>
      </c>
      <c r="AE98" s="25" t="n">
        <f aca="false">AE$21*(0-Planner!$C$43)</f>
        <v>-1.1025</v>
      </c>
      <c r="AF98" s="25" t="n">
        <f aca="false">AF$21*(0-Planner!$C$43)</f>
        <v>-6.3455</v>
      </c>
      <c r="AG98" s="25" t="n">
        <f aca="false">AG$21*(0-Planner!$C$43)</f>
        <v>-8.0045</v>
      </c>
      <c r="AH98" s="25" t="n">
        <f aca="false">AH$21*(1-Planner!$C$43)</f>
        <v>6.7925</v>
      </c>
      <c r="AI98" s="25" t="n">
        <f aca="false">AI$21*(0-Planner!$C$43)</f>
        <v>-8.3125</v>
      </c>
      <c r="AJ98" s="25" t="n">
        <f aca="false">AJ$21*(0-Planner!$C$43)</f>
        <v>-3.696</v>
      </c>
      <c r="AK98" s="25" t="n">
        <f aca="false">AK$21*(0-Planner!$C$43)</f>
        <v>-2.639</v>
      </c>
      <c r="AL98" s="25" t="n">
        <f aca="false">AL$21*(0-Planner!$C$43)</f>
        <v>-4.2315</v>
      </c>
      <c r="AM98" s="25" t="n">
        <f aca="false">AM$21*(0-Planner!$C$43)</f>
        <v>-1.995</v>
      </c>
      <c r="AN98" s="25" t="n">
        <f aca="false">AN$21*(0-Planner!$C$43)</f>
        <v>-2.8035</v>
      </c>
      <c r="AO98" s="25" t="n">
        <f aca="false">AO$21*(0-Planner!$C$43)</f>
        <v>-4.942</v>
      </c>
      <c r="AP98" s="25" t="n">
        <f aca="false">AP$21*(0-Planner!$C$43)</f>
        <v>-4.6025</v>
      </c>
      <c r="AQ98" s="25" t="n">
        <f aca="false">AQ$21*(0-Planner!$C$43)</f>
        <v>-4.564</v>
      </c>
      <c r="AR98" s="25" t="n">
        <f aca="false">AR$21*(0-Planner!$C$43)</f>
        <v>-3.0975</v>
      </c>
      <c r="AS98" s="25" t="n">
        <f aca="false">AS$21*(0-Planner!$C$43)</f>
        <v>-2.4955</v>
      </c>
      <c r="AT98" s="25" t="n">
        <f aca="false">AT$21*(0-Planner!$C$43)</f>
        <v>-4.3575</v>
      </c>
      <c r="AU98" s="25" t="n">
        <f aca="false">AU$21*(0-Planner!$C$43)</f>
        <v>-4.8545</v>
      </c>
      <c r="AV98" s="25" t="n">
        <f aca="false">AV$21*(0-Planner!$C$43)</f>
        <v>-1.057</v>
      </c>
      <c r="AW98" s="25" t="n">
        <f aca="false">AW$21*(0-Planner!$C$43)</f>
        <v>-0.7175</v>
      </c>
      <c r="AX98" s="25" t="n">
        <f aca="false">AX$21*(0-Planner!$C$43)</f>
        <v>-0.5495</v>
      </c>
      <c r="AY98" s="25" t="n">
        <f aca="false">AY$21*(0-Planner!$C$43)</f>
        <v>-0.091</v>
      </c>
      <c r="AZ98" s="25" t="n">
        <f aca="false">AZ$21*(0-Planner!$C$43)</f>
        <v>-0.3815</v>
      </c>
      <c r="BA98" s="25" t="n">
        <f aca="false">BA$21*(0-Planner!$C$43)</f>
        <v>-0.147</v>
      </c>
      <c r="BB98" s="25" t="n">
        <f aca="false">BB$21*(0-Planner!$C$43)</f>
        <v>-0.252</v>
      </c>
      <c r="BC98" s="25" t="n">
        <f aca="false">BC$21*(0-Planner!$C$43)</f>
        <v>-0.238</v>
      </c>
      <c r="BD98" s="25" t="n">
        <f aca="false">BD$21*(0-Planner!$C$43)</f>
        <v>-0.3185</v>
      </c>
      <c r="BE98" s="25" t="n">
        <f aca="false">BE$21*(0-Planner!$C$43)</f>
        <v>-1.0745</v>
      </c>
      <c r="BF98" s="25" t="n">
        <f aca="false">BF$21*(0-Planner!$C$43)</f>
        <v>-0.2345</v>
      </c>
      <c r="BG98" s="25" t="n">
        <f aca="false">BG$21*(0-Planner!$C$43)</f>
        <v>-1.071</v>
      </c>
      <c r="BH98" s="25" t="n">
        <f aca="false">BH$21*(0-Planner!$C$43)</f>
        <v>-0.3255</v>
      </c>
      <c r="BI98" s="25" t="n">
        <f aca="false">BI$21*(0-Planner!$C$43)</f>
        <v>-0.252</v>
      </c>
      <c r="BJ98" s="25" t="n">
        <f aca="false">BJ$21*(0-Planner!$C$43)</f>
        <v>-0.301</v>
      </c>
      <c r="BK98" s="25" t="n">
        <f aca="false">BK$21*(0-Planner!$C$43)</f>
        <v>-1.1655</v>
      </c>
      <c r="BL98" s="25" t="n">
        <f aca="false">BL$21*(0-Planner!$C$43)</f>
        <v>-0.385</v>
      </c>
      <c r="BM98" s="25" t="n">
        <f aca="false">BM$21*(0-Planner!$C$43)</f>
        <v>-0.4305</v>
      </c>
      <c r="BN98" s="25" t="n">
        <f aca="false">BN$21*(0-Planner!$C$43)</f>
        <v>-1.001</v>
      </c>
      <c r="BO98" s="25" t="n">
        <f aca="false">BO$21*(0-Planner!$C$43)</f>
        <v>-0.308</v>
      </c>
      <c r="BP98" s="25" t="n">
        <f aca="false">BP$21*(0-Planner!$C$43)</f>
        <v>-0.2975</v>
      </c>
      <c r="BQ98" s="25" t="n">
        <f aca="false">BQ$21*(0-Planner!$C$43)</f>
        <v>-0</v>
      </c>
      <c r="BR98" s="25" t="n">
        <f aca="false">BR$21*(0-Planner!$C$43)</f>
        <v>-0</v>
      </c>
      <c r="BS98" s="25" t="n">
        <f aca="false">BS$21*(0-Planner!$C$43)</f>
        <v>-7.4025</v>
      </c>
      <c r="BT98" s="25" t="n">
        <f aca="false">BT$21*(0-Planner!$C$43)</f>
        <v>-0.686</v>
      </c>
      <c r="BU98" s="25" t="n">
        <f aca="false">BU$21*(0-Planner!$C$43)</f>
        <v>-1.785</v>
      </c>
      <c r="BV98" s="25" t="n">
        <f aca="false">BV$21*(0-Planner!$C$43)</f>
        <v>-1.9775</v>
      </c>
      <c r="BW98" s="25" t="n">
        <f aca="false">BW$21*(0-Planner!$C$43)</f>
        <v>-2.2365</v>
      </c>
      <c r="BX98" s="25" t="n">
        <f aca="false">BX$21*(0-Planner!$C$43)</f>
        <v>-1.225</v>
      </c>
    </row>
    <row r="99" customFormat="false" ht="15" hidden="false" customHeight="false" outlineLevel="0" collapsed="false">
      <c r="A99" s="4" t="s">
        <v>690</v>
      </c>
      <c r="B99" s="75" t="s">
        <v>666</v>
      </c>
      <c r="C99" s="78" t="n">
        <v>0</v>
      </c>
      <c r="D99" s="77" t="n">
        <v>-39.199999998243</v>
      </c>
      <c r="E99" s="75" t="str">
        <f aca="false">IF(D99&lt;=C99+0.000001*MAX(1,ABS(C99)),IF(ABS(D99-C99)&lt;=0.000001*MAX(1,ABS(C99)),"tight","ok"),"VIOLATED")</f>
        <v>ok</v>
      </c>
      <c r="F99" s="25" t="n">
        <f aca="false">F$21*(0-Planner!$C$43)</f>
        <v>-7.875</v>
      </c>
      <c r="G99" s="25" t="n">
        <f aca="false">G$21*(0-Planner!$C$43)</f>
        <v>-6.328</v>
      </c>
      <c r="H99" s="25" t="n">
        <f aca="false">H$21*(0-Planner!$C$43)</f>
        <v>-6.881</v>
      </c>
      <c r="I99" s="25" t="n">
        <f aca="false">I$21*(0-Planner!$C$43)</f>
        <v>-5.7155</v>
      </c>
      <c r="J99" s="25" t="n">
        <f aca="false">J$21*(0-Planner!$C$43)</f>
        <v>-6.5555</v>
      </c>
      <c r="K99" s="25" t="n">
        <f aca="false">K$21*(0-Planner!$C$43)</f>
        <v>-4.417</v>
      </c>
      <c r="L99" s="25" t="n">
        <f aca="false">L$21*(0-Planner!$C$43)</f>
        <v>-6.0095</v>
      </c>
      <c r="M99" s="25" t="n">
        <f aca="false">M$21*(0-Planner!$C$43)</f>
        <v>-7.2975</v>
      </c>
      <c r="N99" s="25" t="n">
        <f aca="false">N$21*(0-Planner!$C$43)</f>
        <v>-5.81</v>
      </c>
      <c r="O99" s="25" t="n">
        <f aca="false">O$21*(0-Planner!$C$43)</f>
        <v>-7.399</v>
      </c>
      <c r="P99" s="25" t="n">
        <f aca="false">P$21*(0-Planner!$C$43)</f>
        <v>-6.972</v>
      </c>
      <c r="Q99" s="25" t="n">
        <f aca="false">Q$21*(0-Planner!$C$43)</f>
        <v>-6.804</v>
      </c>
      <c r="R99" s="25" t="n">
        <f aca="false">R$21*(0-Planner!$C$43)</f>
        <v>-7.147</v>
      </c>
      <c r="S99" s="25" t="n">
        <f aca="false">S$21*(0-Planner!$C$43)</f>
        <v>-4.7635</v>
      </c>
      <c r="T99" s="25" t="n">
        <f aca="false">T$21*(0-Planner!$C$43)</f>
        <v>-7.028</v>
      </c>
      <c r="U99" s="25" t="n">
        <f aca="false">U$21*(0-Planner!$C$43)</f>
        <v>-4.396</v>
      </c>
      <c r="V99" s="25" t="n">
        <f aca="false">V$21*(0-Planner!$C$43)</f>
        <v>-2.1105</v>
      </c>
      <c r="W99" s="25" t="n">
        <f aca="false">W$21*(0-Planner!$C$43)</f>
        <v>-1.722</v>
      </c>
      <c r="X99" s="25" t="n">
        <f aca="false">X$21*(0-Planner!$C$43)</f>
        <v>-8.6205</v>
      </c>
      <c r="Y99" s="25" t="n">
        <f aca="false">Y$21*(0-Planner!$C$43)</f>
        <v>-7.7735</v>
      </c>
      <c r="Z99" s="25" t="n">
        <f aca="false">Z$21*(0-Planner!$C$43)</f>
        <v>-7.497</v>
      </c>
      <c r="AA99" s="25" t="n">
        <f aca="false">AA$21*(0-Planner!$C$43)</f>
        <v>-3.535</v>
      </c>
      <c r="AB99" s="25" t="n">
        <f aca="false">AB$21*(0-Planner!$C$43)</f>
        <v>-1.155</v>
      </c>
      <c r="AC99" s="25" t="n">
        <f aca="false">AC$21*(0-Planner!$C$43)</f>
        <v>-3.5665</v>
      </c>
      <c r="AD99" s="25" t="n">
        <f aca="false">AD$21*(0-Planner!$C$43)</f>
        <v>-0.91</v>
      </c>
      <c r="AE99" s="25" t="n">
        <f aca="false">AE$21*(0-Planner!$C$43)</f>
        <v>-1.1025</v>
      </c>
      <c r="AF99" s="25" t="n">
        <f aca="false">AF$21*(0-Planner!$C$43)</f>
        <v>-6.3455</v>
      </c>
      <c r="AG99" s="25" t="n">
        <f aca="false">AG$21*(0-Planner!$C$43)</f>
        <v>-8.0045</v>
      </c>
      <c r="AH99" s="25" t="n">
        <f aca="false">AH$21*(0-Planner!$C$43)</f>
        <v>-3.6575</v>
      </c>
      <c r="AI99" s="25" t="n">
        <f aca="false">AI$21*(1-Planner!$C$43)</f>
        <v>15.4375</v>
      </c>
      <c r="AJ99" s="25" t="n">
        <f aca="false">AJ$21*(0-Planner!$C$43)</f>
        <v>-3.696</v>
      </c>
      <c r="AK99" s="25" t="n">
        <f aca="false">AK$21*(0-Planner!$C$43)</f>
        <v>-2.639</v>
      </c>
      <c r="AL99" s="25" t="n">
        <f aca="false">AL$21*(0-Planner!$C$43)</f>
        <v>-4.2315</v>
      </c>
      <c r="AM99" s="25" t="n">
        <f aca="false">AM$21*(0-Planner!$C$43)</f>
        <v>-1.995</v>
      </c>
      <c r="AN99" s="25" t="n">
        <f aca="false">AN$21*(0-Planner!$C$43)</f>
        <v>-2.8035</v>
      </c>
      <c r="AO99" s="25" t="n">
        <f aca="false">AO$21*(0-Planner!$C$43)</f>
        <v>-4.942</v>
      </c>
      <c r="AP99" s="25" t="n">
        <f aca="false">AP$21*(0-Planner!$C$43)</f>
        <v>-4.6025</v>
      </c>
      <c r="AQ99" s="25" t="n">
        <f aca="false">AQ$21*(0-Planner!$C$43)</f>
        <v>-4.564</v>
      </c>
      <c r="AR99" s="25" t="n">
        <f aca="false">AR$21*(0-Planner!$C$43)</f>
        <v>-3.0975</v>
      </c>
      <c r="AS99" s="25" t="n">
        <f aca="false">AS$21*(0-Planner!$C$43)</f>
        <v>-2.4955</v>
      </c>
      <c r="AT99" s="25" t="n">
        <f aca="false">AT$21*(0-Planner!$C$43)</f>
        <v>-4.3575</v>
      </c>
      <c r="AU99" s="25" t="n">
        <f aca="false">AU$21*(0-Planner!$C$43)</f>
        <v>-4.8545</v>
      </c>
      <c r="AV99" s="25" t="n">
        <f aca="false">AV$21*(0-Planner!$C$43)</f>
        <v>-1.057</v>
      </c>
      <c r="AW99" s="25" t="n">
        <f aca="false">AW$21*(0-Planner!$C$43)</f>
        <v>-0.7175</v>
      </c>
      <c r="AX99" s="25" t="n">
        <f aca="false">AX$21*(0-Planner!$C$43)</f>
        <v>-0.5495</v>
      </c>
      <c r="AY99" s="25" t="n">
        <f aca="false">AY$21*(0-Planner!$C$43)</f>
        <v>-0.091</v>
      </c>
      <c r="AZ99" s="25" t="n">
        <f aca="false">AZ$21*(0-Planner!$C$43)</f>
        <v>-0.3815</v>
      </c>
      <c r="BA99" s="25" t="n">
        <f aca="false">BA$21*(0-Planner!$C$43)</f>
        <v>-0.147</v>
      </c>
      <c r="BB99" s="25" t="n">
        <f aca="false">BB$21*(0-Planner!$C$43)</f>
        <v>-0.252</v>
      </c>
      <c r="BC99" s="25" t="n">
        <f aca="false">BC$21*(0-Planner!$C$43)</f>
        <v>-0.238</v>
      </c>
      <c r="BD99" s="25" t="n">
        <f aca="false">BD$21*(0-Planner!$C$43)</f>
        <v>-0.3185</v>
      </c>
      <c r="BE99" s="25" t="n">
        <f aca="false">BE$21*(0-Planner!$C$43)</f>
        <v>-1.0745</v>
      </c>
      <c r="BF99" s="25" t="n">
        <f aca="false">BF$21*(0-Planner!$C$43)</f>
        <v>-0.2345</v>
      </c>
      <c r="BG99" s="25" t="n">
        <f aca="false">BG$21*(0-Planner!$C$43)</f>
        <v>-1.071</v>
      </c>
      <c r="BH99" s="25" t="n">
        <f aca="false">BH$21*(0-Planner!$C$43)</f>
        <v>-0.3255</v>
      </c>
      <c r="BI99" s="25" t="n">
        <f aca="false">BI$21*(0-Planner!$C$43)</f>
        <v>-0.252</v>
      </c>
      <c r="BJ99" s="25" t="n">
        <f aca="false">BJ$21*(0-Planner!$C$43)</f>
        <v>-0.301</v>
      </c>
      <c r="BK99" s="25" t="n">
        <f aca="false">BK$21*(0-Planner!$C$43)</f>
        <v>-1.1655</v>
      </c>
      <c r="BL99" s="25" t="n">
        <f aca="false">BL$21*(0-Planner!$C$43)</f>
        <v>-0.385</v>
      </c>
      <c r="BM99" s="25" t="n">
        <f aca="false">BM$21*(0-Planner!$C$43)</f>
        <v>-0.4305</v>
      </c>
      <c r="BN99" s="25" t="n">
        <f aca="false">BN$21*(0-Planner!$C$43)</f>
        <v>-1.001</v>
      </c>
      <c r="BO99" s="25" t="n">
        <f aca="false">BO$21*(0-Planner!$C$43)</f>
        <v>-0.308</v>
      </c>
      <c r="BP99" s="25" t="n">
        <f aca="false">BP$21*(0-Planner!$C$43)</f>
        <v>-0.2975</v>
      </c>
      <c r="BQ99" s="25" t="n">
        <f aca="false">BQ$21*(0-Planner!$C$43)</f>
        <v>-0</v>
      </c>
      <c r="BR99" s="25" t="n">
        <f aca="false">BR$21*(0-Planner!$C$43)</f>
        <v>-0</v>
      </c>
      <c r="BS99" s="25" t="n">
        <f aca="false">BS$21*(0-Planner!$C$43)</f>
        <v>-7.4025</v>
      </c>
      <c r="BT99" s="25" t="n">
        <f aca="false">BT$21*(0-Planner!$C$43)</f>
        <v>-0.686</v>
      </c>
      <c r="BU99" s="25" t="n">
        <f aca="false">BU$21*(0-Planner!$C$43)</f>
        <v>-1.785</v>
      </c>
      <c r="BV99" s="25" t="n">
        <f aca="false">BV$21*(0-Planner!$C$43)</f>
        <v>-1.9775</v>
      </c>
      <c r="BW99" s="25" t="n">
        <f aca="false">BW$21*(0-Planner!$C$43)</f>
        <v>-2.2365</v>
      </c>
      <c r="BX99" s="25" t="n">
        <f aca="false">BX$21*(0-Planner!$C$43)</f>
        <v>-1.225</v>
      </c>
    </row>
    <row r="100" customFormat="false" ht="15" hidden="false" customHeight="false" outlineLevel="0" collapsed="false">
      <c r="A100" s="4" t="s">
        <v>691</v>
      </c>
      <c r="B100" s="75" t="s">
        <v>666</v>
      </c>
      <c r="C100" s="78" t="n">
        <v>0</v>
      </c>
      <c r="D100" s="77" t="n">
        <v>-39.199999998243</v>
      </c>
      <c r="E100" s="75" t="str">
        <f aca="false">IF(D100&lt;=C100+0.000001*MAX(1,ABS(C100)),IF(ABS(D100-C100)&lt;=0.000001*MAX(1,ABS(C100)),"tight","ok"),"VIOLATED")</f>
        <v>ok</v>
      </c>
      <c r="F100" s="25" t="n">
        <f aca="false">F$21*(0-Planner!$C$43)</f>
        <v>-7.875</v>
      </c>
      <c r="G100" s="25" t="n">
        <f aca="false">G$21*(0-Planner!$C$43)</f>
        <v>-6.328</v>
      </c>
      <c r="H100" s="25" t="n">
        <f aca="false">H$21*(0-Planner!$C$43)</f>
        <v>-6.881</v>
      </c>
      <c r="I100" s="25" t="n">
        <f aca="false">I$21*(0-Planner!$C$43)</f>
        <v>-5.7155</v>
      </c>
      <c r="J100" s="25" t="n">
        <f aca="false">J$21*(0-Planner!$C$43)</f>
        <v>-6.5555</v>
      </c>
      <c r="K100" s="25" t="n">
        <f aca="false">K$21*(0-Planner!$C$43)</f>
        <v>-4.417</v>
      </c>
      <c r="L100" s="25" t="n">
        <f aca="false">L$21*(0-Planner!$C$43)</f>
        <v>-6.0095</v>
      </c>
      <c r="M100" s="25" t="n">
        <f aca="false">M$21*(0-Planner!$C$43)</f>
        <v>-7.2975</v>
      </c>
      <c r="N100" s="25" t="n">
        <f aca="false">N$21*(0-Planner!$C$43)</f>
        <v>-5.81</v>
      </c>
      <c r="O100" s="25" t="n">
        <f aca="false">O$21*(0-Planner!$C$43)</f>
        <v>-7.399</v>
      </c>
      <c r="P100" s="25" t="n">
        <f aca="false">P$21*(0-Planner!$C$43)</f>
        <v>-6.972</v>
      </c>
      <c r="Q100" s="25" t="n">
        <f aca="false">Q$21*(0-Planner!$C$43)</f>
        <v>-6.804</v>
      </c>
      <c r="R100" s="25" t="n">
        <f aca="false">R$21*(0-Planner!$C$43)</f>
        <v>-7.147</v>
      </c>
      <c r="S100" s="25" t="n">
        <f aca="false">S$21*(0-Planner!$C$43)</f>
        <v>-4.7635</v>
      </c>
      <c r="T100" s="25" t="n">
        <f aca="false">T$21*(0-Planner!$C$43)</f>
        <v>-7.028</v>
      </c>
      <c r="U100" s="25" t="n">
        <f aca="false">U$21*(0-Planner!$C$43)</f>
        <v>-4.396</v>
      </c>
      <c r="V100" s="25" t="n">
        <f aca="false">V$21*(0-Planner!$C$43)</f>
        <v>-2.1105</v>
      </c>
      <c r="W100" s="25" t="n">
        <f aca="false">W$21*(0-Planner!$C$43)</f>
        <v>-1.722</v>
      </c>
      <c r="X100" s="25" t="n">
        <f aca="false">X$21*(0-Planner!$C$43)</f>
        <v>-8.6205</v>
      </c>
      <c r="Y100" s="25" t="n">
        <f aca="false">Y$21*(0-Planner!$C$43)</f>
        <v>-7.7735</v>
      </c>
      <c r="Z100" s="25" t="n">
        <f aca="false">Z$21*(0-Planner!$C$43)</f>
        <v>-7.497</v>
      </c>
      <c r="AA100" s="25" t="n">
        <f aca="false">AA$21*(0-Planner!$C$43)</f>
        <v>-3.535</v>
      </c>
      <c r="AB100" s="25" t="n">
        <f aca="false">AB$21*(0-Planner!$C$43)</f>
        <v>-1.155</v>
      </c>
      <c r="AC100" s="25" t="n">
        <f aca="false">AC$21*(0-Planner!$C$43)</f>
        <v>-3.5665</v>
      </c>
      <c r="AD100" s="25" t="n">
        <f aca="false">AD$21*(0-Planner!$C$43)</f>
        <v>-0.91</v>
      </c>
      <c r="AE100" s="25" t="n">
        <f aca="false">AE$21*(0-Planner!$C$43)</f>
        <v>-1.1025</v>
      </c>
      <c r="AF100" s="25" t="n">
        <f aca="false">AF$21*(0-Planner!$C$43)</f>
        <v>-6.3455</v>
      </c>
      <c r="AG100" s="25" t="n">
        <f aca="false">AG$21*(0-Planner!$C$43)</f>
        <v>-8.0045</v>
      </c>
      <c r="AH100" s="25" t="n">
        <f aca="false">AH$21*(0-Planner!$C$43)</f>
        <v>-3.6575</v>
      </c>
      <c r="AI100" s="25" t="n">
        <f aca="false">AI$21*(0-Planner!$C$43)</f>
        <v>-8.3125</v>
      </c>
      <c r="AJ100" s="25" t="n">
        <f aca="false">AJ$21*(1-Planner!$C$43)</f>
        <v>6.864</v>
      </c>
      <c r="AK100" s="25" t="n">
        <f aca="false">AK$21*(0-Planner!$C$43)</f>
        <v>-2.639</v>
      </c>
      <c r="AL100" s="25" t="n">
        <f aca="false">AL$21*(0-Planner!$C$43)</f>
        <v>-4.2315</v>
      </c>
      <c r="AM100" s="25" t="n">
        <f aca="false">AM$21*(0-Planner!$C$43)</f>
        <v>-1.995</v>
      </c>
      <c r="AN100" s="25" t="n">
        <f aca="false">AN$21*(0-Planner!$C$43)</f>
        <v>-2.8035</v>
      </c>
      <c r="AO100" s="25" t="n">
        <f aca="false">AO$21*(0-Planner!$C$43)</f>
        <v>-4.942</v>
      </c>
      <c r="AP100" s="25" t="n">
        <f aca="false">AP$21*(0-Planner!$C$43)</f>
        <v>-4.6025</v>
      </c>
      <c r="AQ100" s="25" t="n">
        <f aca="false">AQ$21*(0-Planner!$C$43)</f>
        <v>-4.564</v>
      </c>
      <c r="AR100" s="25" t="n">
        <f aca="false">AR$21*(0-Planner!$C$43)</f>
        <v>-3.0975</v>
      </c>
      <c r="AS100" s="25" t="n">
        <f aca="false">AS$21*(0-Planner!$C$43)</f>
        <v>-2.4955</v>
      </c>
      <c r="AT100" s="25" t="n">
        <f aca="false">AT$21*(0-Planner!$C$43)</f>
        <v>-4.3575</v>
      </c>
      <c r="AU100" s="25" t="n">
        <f aca="false">AU$21*(0-Planner!$C$43)</f>
        <v>-4.8545</v>
      </c>
      <c r="AV100" s="25" t="n">
        <f aca="false">AV$21*(0-Planner!$C$43)</f>
        <v>-1.057</v>
      </c>
      <c r="AW100" s="25" t="n">
        <f aca="false">AW$21*(0-Planner!$C$43)</f>
        <v>-0.7175</v>
      </c>
      <c r="AX100" s="25" t="n">
        <f aca="false">AX$21*(0-Planner!$C$43)</f>
        <v>-0.5495</v>
      </c>
      <c r="AY100" s="25" t="n">
        <f aca="false">AY$21*(0-Planner!$C$43)</f>
        <v>-0.091</v>
      </c>
      <c r="AZ100" s="25" t="n">
        <f aca="false">AZ$21*(0-Planner!$C$43)</f>
        <v>-0.3815</v>
      </c>
      <c r="BA100" s="25" t="n">
        <f aca="false">BA$21*(0-Planner!$C$43)</f>
        <v>-0.147</v>
      </c>
      <c r="BB100" s="25" t="n">
        <f aca="false">BB$21*(0-Planner!$C$43)</f>
        <v>-0.252</v>
      </c>
      <c r="BC100" s="25" t="n">
        <f aca="false">BC$21*(0-Planner!$C$43)</f>
        <v>-0.238</v>
      </c>
      <c r="BD100" s="25" t="n">
        <f aca="false">BD$21*(0-Planner!$C$43)</f>
        <v>-0.3185</v>
      </c>
      <c r="BE100" s="25" t="n">
        <f aca="false">BE$21*(0-Planner!$C$43)</f>
        <v>-1.0745</v>
      </c>
      <c r="BF100" s="25" t="n">
        <f aca="false">BF$21*(0-Planner!$C$43)</f>
        <v>-0.2345</v>
      </c>
      <c r="BG100" s="25" t="n">
        <f aca="false">BG$21*(0-Planner!$C$43)</f>
        <v>-1.071</v>
      </c>
      <c r="BH100" s="25" t="n">
        <f aca="false">BH$21*(0-Planner!$C$43)</f>
        <v>-0.3255</v>
      </c>
      <c r="BI100" s="25" t="n">
        <f aca="false">BI$21*(0-Planner!$C$43)</f>
        <v>-0.252</v>
      </c>
      <c r="BJ100" s="25" t="n">
        <f aca="false">BJ$21*(0-Planner!$C$43)</f>
        <v>-0.301</v>
      </c>
      <c r="BK100" s="25" t="n">
        <f aca="false">BK$21*(0-Planner!$C$43)</f>
        <v>-1.1655</v>
      </c>
      <c r="BL100" s="25" t="n">
        <f aca="false">BL$21*(0-Planner!$C$43)</f>
        <v>-0.385</v>
      </c>
      <c r="BM100" s="25" t="n">
        <f aca="false">BM$21*(0-Planner!$C$43)</f>
        <v>-0.4305</v>
      </c>
      <c r="BN100" s="25" t="n">
        <f aca="false">BN$21*(0-Planner!$C$43)</f>
        <v>-1.001</v>
      </c>
      <c r="BO100" s="25" t="n">
        <f aca="false">BO$21*(0-Planner!$C$43)</f>
        <v>-0.308</v>
      </c>
      <c r="BP100" s="25" t="n">
        <f aca="false">BP$21*(0-Planner!$C$43)</f>
        <v>-0.2975</v>
      </c>
      <c r="BQ100" s="25" t="n">
        <f aca="false">BQ$21*(0-Planner!$C$43)</f>
        <v>-0</v>
      </c>
      <c r="BR100" s="25" t="n">
        <f aca="false">BR$21*(0-Planner!$C$43)</f>
        <v>-0</v>
      </c>
      <c r="BS100" s="25" t="n">
        <f aca="false">BS$21*(0-Planner!$C$43)</f>
        <v>-7.4025</v>
      </c>
      <c r="BT100" s="25" t="n">
        <f aca="false">BT$21*(0-Planner!$C$43)</f>
        <v>-0.686</v>
      </c>
      <c r="BU100" s="25" t="n">
        <f aca="false">BU$21*(0-Planner!$C$43)</f>
        <v>-1.785</v>
      </c>
      <c r="BV100" s="25" t="n">
        <f aca="false">BV$21*(0-Planner!$C$43)</f>
        <v>-1.9775</v>
      </c>
      <c r="BW100" s="25" t="n">
        <f aca="false">BW$21*(0-Planner!$C$43)</f>
        <v>-2.2365</v>
      </c>
      <c r="BX100" s="25" t="n">
        <f aca="false">BX$21*(0-Planner!$C$43)</f>
        <v>-1.225</v>
      </c>
    </row>
    <row r="101" customFormat="false" ht="15" hidden="false" customHeight="false" outlineLevel="0" collapsed="false">
      <c r="A101" s="4" t="s">
        <v>692</v>
      </c>
      <c r="B101" s="75" t="s">
        <v>666</v>
      </c>
      <c r="C101" s="78" t="n">
        <v>0</v>
      </c>
      <c r="D101" s="77" t="n">
        <v>-39.199999998243</v>
      </c>
      <c r="E101" s="75" t="str">
        <f aca="false">IF(D101&lt;=C101+0.000001*MAX(1,ABS(C101)),IF(ABS(D101-C101)&lt;=0.000001*MAX(1,ABS(C101)),"tight","ok"),"VIOLATED")</f>
        <v>ok</v>
      </c>
      <c r="F101" s="25" t="n">
        <f aca="false">F$21*(0-Planner!$C$43)</f>
        <v>-7.875</v>
      </c>
      <c r="G101" s="25" t="n">
        <f aca="false">G$21*(0-Planner!$C$43)</f>
        <v>-6.328</v>
      </c>
      <c r="H101" s="25" t="n">
        <f aca="false">H$21*(0-Planner!$C$43)</f>
        <v>-6.881</v>
      </c>
      <c r="I101" s="25" t="n">
        <f aca="false">I$21*(0-Planner!$C$43)</f>
        <v>-5.7155</v>
      </c>
      <c r="J101" s="25" t="n">
        <f aca="false">J$21*(0-Planner!$C$43)</f>
        <v>-6.5555</v>
      </c>
      <c r="K101" s="25" t="n">
        <f aca="false">K$21*(0-Planner!$C$43)</f>
        <v>-4.417</v>
      </c>
      <c r="L101" s="25" t="n">
        <f aca="false">L$21*(0-Planner!$C$43)</f>
        <v>-6.0095</v>
      </c>
      <c r="M101" s="25" t="n">
        <f aca="false">M$21*(0-Planner!$C$43)</f>
        <v>-7.2975</v>
      </c>
      <c r="N101" s="25" t="n">
        <f aca="false">N$21*(0-Planner!$C$43)</f>
        <v>-5.81</v>
      </c>
      <c r="O101" s="25" t="n">
        <f aca="false">O$21*(0-Planner!$C$43)</f>
        <v>-7.399</v>
      </c>
      <c r="P101" s="25" t="n">
        <f aca="false">P$21*(0-Planner!$C$43)</f>
        <v>-6.972</v>
      </c>
      <c r="Q101" s="25" t="n">
        <f aca="false">Q$21*(0-Planner!$C$43)</f>
        <v>-6.804</v>
      </c>
      <c r="R101" s="25" t="n">
        <f aca="false">R$21*(0-Planner!$C$43)</f>
        <v>-7.147</v>
      </c>
      <c r="S101" s="25" t="n">
        <f aca="false">S$21*(0-Planner!$C$43)</f>
        <v>-4.7635</v>
      </c>
      <c r="T101" s="25" t="n">
        <f aca="false">T$21*(0-Planner!$C$43)</f>
        <v>-7.028</v>
      </c>
      <c r="U101" s="25" t="n">
        <f aca="false">U$21*(0-Planner!$C$43)</f>
        <v>-4.396</v>
      </c>
      <c r="V101" s="25" t="n">
        <f aca="false">V$21*(0-Planner!$C$43)</f>
        <v>-2.1105</v>
      </c>
      <c r="W101" s="25" t="n">
        <f aca="false">W$21*(0-Planner!$C$43)</f>
        <v>-1.722</v>
      </c>
      <c r="X101" s="25" t="n">
        <f aca="false">X$21*(0-Planner!$C$43)</f>
        <v>-8.6205</v>
      </c>
      <c r="Y101" s="25" t="n">
        <f aca="false">Y$21*(0-Planner!$C$43)</f>
        <v>-7.7735</v>
      </c>
      <c r="Z101" s="25" t="n">
        <f aca="false">Z$21*(0-Planner!$C$43)</f>
        <v>-7.497</v>
      </c>
      <c r="AA101" s="25" t="n">
        <f aca="false">AA$21*(0-Planner!$C$43)</f>
        <v>-3.535</v>
      </c>
      <c r="AB101" s="25" t="n">
        <f aca="false">AB$21*(0-Planner!$C$43)</f>
        <v>-1.155</v>
      </c>
      <c r="AC101" s="25" t="n">
        <f aca="false">AC$21*(0-Planner!$C$43)</f>
        <v>-3.5665</v>
      </c>
      <c r="AD101" s="25" t="n">
        <f aca="false">AD$21*(0-Planner!$C$43)</f>
        <v>-0.91</v>
      </c>
      <c r="AE101" s="25" t="n">
        <f aca="false">AE$21*(0-Planner!$C$43)</f>
        <v>-1.1025</v>
      </c>
      <c r="AF101" s="25" t="n">
        <f aca="false">AF$21*(0-Planner!$C$43)</f>
        <v>-6.3455</v>
      </c>
      <c r="AG101" s="25" t="n">
        <f aca="false">AG$21*(0-Planner!$C$43)</f>
        <v>-8.0045</v>
      </c>
      <c r="AH101" s="25" t="n">
        <f aca="false">AH$21*(0-Planner!$C$43)</f>
        <v>-3.6575</v>
      </c>
      <c r="AI101" s="25" t="n">
        <f aca="false">AI$21*(0-Planner!$C$43)</f>
        <v>-8.3125</v>
      </c>
      <c r="AJ101" s="25" t="n">
        <f aca="false">AJ$21*(0-Planner!$C$43)</f>
        <v>-3.696</v>
      </c>
      <c r="AK101" s="25" t="n">
        <f aca="false">AK$21*(0-Planner!$C$43)</f>
        <v>-2.639</v>
      </c>
      <c r="AL101" s="25" t="n">
        <f aca="false">AL$21*(1-Planner!$C$43)</f>
        <v>7.8585</v>
      </c>
      <c r="AM101" s="25" t="n">
        <f aca="false">AM$21*(0-Planner!$C$43)</f>
        <v>-1.995</v>
      </c>
      <c r="AN101" s="25" t="n">
        <f aca="false">AN$21*(0-Planner!$C$43)</f>
        <v>-2.8035</v>
      </c>
      <c r="AO101" s="25" t="n">
        <f aca="false">AO$21*(0-Planner!$C$43)</f>
        <v>-4.942</v>
      </c>
      <c r="AP101" s="25" t="n">
        <f aca="false">AP$21*(0-Planner!$C$43)</f>
        <v>-4.6025</v>
      </c>
      <c r="AQ101" s="25" t="n">
        <f aca="false">AQ$21*(0-Planner!$C$43)</f>
        <v>-4.564</v>
      </c>
      <c r="AR101" s="25" t="n">
        <f aca="false">AR$21*(0-Planner!$C$43)</f>
        <v>-3.0975</v>
      </c>
      <c r="AS101" s="25" t="n">
        <f aca="false">AS$21*(0-Planner!$C$43)</f>
        <v>-2.4955</v>
      </c>
      <c r="AT101" s="25" t="n">
        <f aca="false">AT$21*(0-Planner!$C$43)</f>
        <v>-4.3575</v>
      </c>
      <c r="AU101" s="25" t="n">
        <f aca="false">AU$21*(0-Planner!$C$43)</f>
        <v>-4.8545</v>
      </c>
      <c r="AV101" s="25" t="n">
        <f aca="false">AV$21*(0-Planner!$C$43)</f>
        <v>-1.057</v>
      </c>
      <c r="AW101" s="25" t="n">
        <f aca="false">AW$21*(0-Planner!$C$43)</f>
        <v>-0.7175</v>
      </c>
      <c r="AX101" s="25" t="n">
        <f aca="false">AX$21*(0-Planner!$C$43)</f>
        <v>-0.5495</v>
      </c>
      <c r="AY101" s="25" t="n">
        <f aca="false">AY$21*(0-Planner!$C$43)</f>
        <v>-0.091</v>
      </c>
      <c r="AZ101" s="25" t="n">
        <f aca="false">AZ$21*(0-Planner!$C$43)</f>
        <v>-0.3815</v>
      </c>
      <c r="BA101" s="25" t="n">
        <f aca="false">BA$21*(0-Planner!$C$43)</f>
        <v>-0.147</v>
      </c>
      <c r="BB101" s="25" t="n">
        <f aca="false">BB$21*(0-Planner!$C$43)</f>
        <v>-0.252</v>
      </c>
      <c r="BC101" s="25" t="n">
        <f aca="false">BC$21*(0-Planner!$C$43)</f>
        <v>-0.238</v>
      </c>
      <c r="BD101" s="25" t="n">
        <f aca="false">BD$21*(0-Planner!$C$43)</f>
        <v>-0.3185</v>
      </c>
      <c r="BE101" s="25" t="n">
        <f aca="false">BE$21*(0-Planner!$C$43)</f>
        <v>-1.0745</v>
      </c>
      <c r="BF101" s="25" t="n">
        <f aca="false">BF$21*(0-Planner!$C$43)</f>
        <v>-0.2345</v>
      </c>
      <c r="BG101" s="25" t="n">
        <f aca="false">BG$21*(0-Planner!$C$43)</f>
        <v>-1.071</v>
      </c>
      <c r="BH101" s="25" t="n">
        <f aca="false">BH$21*(0-Planner!$C$43)</f>
        <v>-0.3255</v>
      </c>
      <c r="BI101" s="25" t="n">
        <f aca="false">BI$21*(0-Planner!$C$43)</f>
        <v>-0.252</v>
      </c>
      <c r="BJ101" s="25" t="n">
        <f aca="false">BJ$21*(0-Planner!$C$43)</f>
        <v>-0.301</v>
      </c>
      <c r="BK101" s="25" t="n">
        <f aca="false">BK$21*(0-Planner!$C$43)</f>
        <v>-1.1655</v>
      </c>
      <c r="BL101" s="25" t="n">
        <f aca="false">BL$21*(0-Planner!$C$43)</f>
        <v>-0.385</v>
      </c>
      <c r="BM101" s="25" t="n">
        <f aca="false">BM$21*(0-Planner!$C$43)</f>
        <v>-0.4305</v>
      </c>
      <c r="BN101" s="25" t="n">
        <f aca="false">BN$21*(0-Planner!$C$43)</f>
        <v>-1.001</v>
      </c>
      <c r="BO101" s="25" t="n">
        <f aca="false">BO$21*(0-Planner!$C$43)</f>
        <v>-0.308</v>
      </c>
      <c r="BP101" s="25" t="n">
        <f aca="false">BP$21*(0-Planner!$C$43)</f>
        <v>-0.2975</v>
      </c>
      <c r="BQ101" s="25" t="n">
        <f aca="false">BQ$21*(0-Planner!$C$43)</f>
        <v>-0</v>
      </c>
      <c r="BR101" s="25" t="n">
        <f aca="false">BR$21*(0-Planner!$C$43)</f>
        <v>-0</v>
      </c>
      <c r="BS101" s="25" t="n">
        <f aca="false">BS$21*(0-Planner!$C$43)</f>
        <v>-7.4025</v>
      </c>
      <c r="BT101" s="25" t="n">
        <f aca="false">BT$21*(0-Planner!$C$43)</f>
        <v>-0.686</v>
      </c>
      <c r="BU101" s="25" t="n">
        <f aca="false">BU$21*(0-Planner!$C$43)</f>
        <v>-1.785</v>
      </c>
      <c r="BV101" s="25" t="n">
        <f aca="false">BV$21*(0-Planner!$C$43)</f>
        <v>-1.9775</v>
      </c>
      <c r="BW101" s="25" t="n">
        <f aca="false">BW$21*(0-Planner!$C$43)</f>
        <v>-2.2365</v>
      </c>
      <c r="BX101" s="25" t="n">
        <f aca="false">BX$21*(0-Planner!$C$43)</f>
        <v>-1.225</v>
      </c>
    </row>
    <row r="102" customFormat="false" ht="15" hidden="false" customHeight="false" outlineLevel="0" collapsed="false">
      <c r="A102" s="4" t="s">
        <v>693</v>
      </c>
      <c r="B102" s="75" t="s">
        <v>666</v>
      </c>
      <c r="C102" s="78" t="n">
        <v>0</v>
      </c>
      <c r="D102" s="77" t="n">
        <v>-39.199999998243</v>
      </c>
      <c r="E102" s="75" t="str">
        <f aca="false">IF(D102&lt;=C102+0.000001*MAX(1,ABS(C102)),IF(ABS(D102-C102)&lt;=0.000001*MAX(1,ABS(C102)),"tight","ok"),"VIOLATED")</f>
        <v>ok</v>
      </c>
      <c r="F102" s="25" t="n">
        <f aca="false">F$21*(0-Planner!$C$43)</f>
        <v>-7.875</v>
      </c>
      <c r="G102" s="25" t="n">
        <f aca="false">G$21*(0-Planner!$C$43)</f>
        <v>-6.328</v>
      </c>
      <c r="H102" s="25" t="n">
        <f aca="false">H$21*(0-Planner!$C$43)</f>
        <v>-6.881</v>
      </c>
      <c r="I102" s="25" t="n">
        <f aca="false">I$21*(0-Planner!$C$43)</f>
        <v>-5.7155</v>
      </c>
      <c r="J102" s="25" t="n">
        <f aca="false">J$21*(0-Planner!$C$43)</f>
        <v>-6.5555</v>
      </c>
      <c r="K102" s="25" t="n">
        <f aca="false">K$21*(0-Planner!$C$43)</f>
        <v>-4.417</v>
      </c>
      <c r="L102" s="25" t="n">
        <f aca="false">L$21*(0-Planner!$C$43)</f>
        <v>-6.0095</v>
      </c>
      <c r="M102" s="25" t="n">
        <f aca="false">M$21*(0-Planner!$C$43)</f>
        <v>-7.2975</v>
      </c>
      <c r="N102" s="25" t="n">
        <f aca="false">N$21*(0-Planner!$C$43)</f>
        <v>-5.81</v>
      </c>
      <c r="O102" s="25" t="n">
        <f aca="false">O$21*(0-Planner!$C$43)</f>
        <v>-7.399</v>
      </c>
      <c r="P102" s="25" t="n">
        <f aca="false">P$21*(0-Planner!$C$43)</f>
        <v>-6.972</v>
      </c>
      <c r="Q102" s="25" t="n">
        <f aca="false">Q$21*(0-Planner!$C$43)</f>
        <v>-6.804</v>
      </c>
      <c r="R102" s="25" t="n">
        <f aca="false">R$21*(0-Planner!$C$43)</f>
        <v>-7.147</v>
      </c>
      <c r="S102" s="25" t="n">
        <f aca="false">S$21*(0-Planner!$C$43)</f>
        <v>-4.7635</v>
      </c>
      <c r="T102" s="25" t="n">
        <f aca="false">T$21*(0-Planner!$C$43)</f>
        <v>-7.028</v>
      </c>
      <c r="U102" s="25" t="n">
        <f aca="false">U$21*(0-Planner!$C$43)</f>
        <v>-4.396</v>
      </c>
      <c r="V102" s="25" t="n">
        <f aca="false">V$21*(0-Planner!$C$43)</f>
        <v>-2.1105</v>
      </c>
      <c r="W102" s="25" t="n">
        <f aca="false">W$21*(0-Planner!$C$43)</f>
        <v>-1.722</v>
      </c>
      <c r="X102" s="25" t="n">
        <f aca="false">X$21*(0-Planner!$C$43)</f>
        <v>-8.6205</v>
      </c>
      <c r="Y102" s="25" t="n">
        <f aca="false">Y$21*(0-Planner!$C$43)</f>
        <v>-7.7735</v>
      </c>
      <c r="Z102" s="25" t="n">
        <f aca="false">Z$21*(0-Planner!$C$43)</f>
        <v>-7.497</v>
      </c>
      <c r="AA102" s="25" t="n">
        <f aca="false">AA$21*(0-Planner!$C$43)</f>
        <v>-3.535</v>
      </c>
      <c r="AB102" s="25" t="n">
        <f aca="false">AB$21*(0-Planner!$C$43)</f>
        <v>-1.155</v>
      </c>
      <c r="AC102" s="25" t="n">
        <f aca="false">AC$21*(0-Planner!$C$43)</f>
        <v>-3.5665</v>
      </c>
      <c r="AD102" s="25" t="n">
        <f aca="false">AD$21*(0-Planner!$C$43)</f>
        <v>-0.91</v>
      </c>
      <c r="AE102" s="25" t="n">
        <f aca="false">AE$21*(0-Planner!$C$43)</f>
        <v>-1.1025</v>
      </c>
      <c r="AF102" s="25" t="n">
        <f aca="false">AF$21*(0-Planner!$C$43)</f>
        <v>-6.3455</v>
      </c>
      <c r="AG102" s="25" t="n">
        <f aca="false">AG$21*(0-Planner!$C$43)</f>
        <v>-8.0045</v>
      </c>
      <c r="AH102" s="25" t="n">
        <f aca="false">AH$21*(0-Planner!$C$43)</f>
        <v>-3.6575</v>
      </c>
      <c r="AI102" s="25" t="n">
        <f aca="false">AI$21*(0-Planner!$C$43)</f>
        <v>-8.3125</v>
      </c>
      <c r="AJ102" s="25" t="n">
        <f aca="false">AJ$21*(0-Planner!$C$43)</f>
        <v>-3.696</v>
      </c>
      <c r="AK102" s="25" t="n">
        <f aca="false">AK$21*(0-Planner!$C$43)</f>
        <v>-2.639</v>
      </c>
      <c r="AL102" s="25" t="n">
        <f aca="false">AL$21*(0-Planner!$C$43)</f>
        <v>-4.2315</v>
      </c>
      <c r="AM102" s="25" t="n">
        <f aca="false">AM$21*(0-Planner!$C$43)</f>
        <v>-1.995</v>
      </c>
      <c r="AN102" s="25" t="n">
        <f aca="false">AN$21*(0-Planner!$C$43)</f>
        <v>-2.8035</v>
      </c>
      <c r="AO102" s="25" t="n">
        <f aca="false">AO$21*(1-Planner!$C$43)</f>
        <v>9.178</v>
      </c>
      <c r="AP102" s="25" t="n">
        <f aca="false">AP$21*(0-Planner!$C$43)</f>
        <v>-4.6025</v>
      </c>
      <c r="AQ102" s="25" t="n">
        <f aca="false">AQ$21*(0-Planner!$C$43)</f>
        <v>-4.564</v>
      </c>
      <c r="AR102" s="25" t="n">
        <f aca="false">AR$21*(0-Planner!$C$43)</f>
        <v>-3.0975</v>
      </c>
      <c r="AS102" s="25" t="n">
        <f aca="false">AS$21*(0-Planner!$C$43)</f>
        <v>-2.4955</v>
      </c>
      <c r="AT102" s="25" t="n">
        <f aca="false">AT$21*(0-Planner!$C$43)</f>
        <v>-4.3575</v>
      </c>
      <c r="AU102" s="25" t="n">
        <f aca="false">AU$21*(0-Planner!$C$43)</f>
        <v>-4.8545</v>
      </c>
      <c r="AV102" s="25" t="n">
        <f aca="false">AV$21*(0-Planner!$C$43)</f>
        <v>-1.057</v>
      </c>
      <c r="AW102" s="25" t="n">
        <f aca="false">AW$21*(0-Planner!$C$43)</f>
        <v>-0.7175</v>
      </c>
      <c r="AX102" s="25" t="n">
        <f aca="false">AX$21*(0-Planner!$C$43)</f>
        <v>-0.5495</v>
      </c>
      <c r="AY102" s="25" t="n">
        <f aca="false">AY$21*(0-Planner!$C$43)</f>
        <v>-0.091</v>
      </c>
      <c r="AZ102" s="25" t="n">
        <f aca="false">AZ$21*(0-Planner!$C$43)</f>
        <v>-0.3815</v>
      </c>
      <c r="BA102" s="25" t="n">
        <f aca="false">BA$21*(0-Planner!$C$43)</f>
        <v>-0.147</v>
      </c>
      <c r="BB102" s="25" t="n">
        <f aca="false">BB$21*(0-Planner!$C$43)</f>
        <v>-0.252</v>
      </c>
      <c r="BC102" s="25" t="n">
        <f aca="false">BC$21*(0-Planner!$C$43)</f>
        <v>-0.238</v>
      </c>
      <c r="BD102" s="25" t="n">
        <f aca="false">BD$21*(0-Planner!$C$43)</f>
        <v>-0.3185</v>
      </c>
      <c r="BE102" s="25" t="n">
        <f aca="false">BE$21*(0-Planner!$C$43)</f>
        <v>-1.0745</v>
      </c>
      <c r="BF102" s="25" t="n">
        <f aca="false">BF$21*(0-Planner!$C$43)</f>
        <v>-0.2345</v>
      </c>
      <c r="BG102" s="25" t="n">
        <f aca="false">BG$21*(0-Planner!$C$43)</f>
        <v>-1.071</v>
      </c>
      <c r="BH102" s="25" t="n">
        <f aca="false">BH$21*(0-Planner!$C$43)</f>
        <v>-0.3255</v>
      </c>
      <c r="BI102" s="25" t="n">
        <f aca="false">BI$21*(0-Planner!$C$43)</f>
        <v>-0.252</v>
      </c>
      <c r="BJ102" s="25" t="n">
        <f aca="false">BJ$21*(0-Planner!$C$43)</f>
        <v>-0.301</v>
      </c>
      <c r="BK102" s="25" t="n">
        <f aca="false">BK$21*(0-Planner!$C$43)</f>
        <v>-1.1655</v>
      </c>
      <c r="BL102" s="25" t="n">
        <f aca="false">BL$21*(0-Planner!$C$43)</f>
        <v>-0.385</v>
      </c>
      <c r="BM102" s="25" t="n">
        <f aca="false">BM$21*(0-Planner!$C$43)</f>
        <v>-0.4305</v>
      </c>
      <c r="BN102" s="25" t="n">
        <f aca="false">BN$21*(0-Planner!$C$43)</f>
        <v>-1.001</v>
      </c>
      <c r="BO102" s="25" t="n">
        <f aca="false">BO$21*(0-Planner!$C$43)</f>
        <v>-0.308</v>
      </c>
      <c r="BP102" s="25" t="n">
        <f aca="false">BP$21*(0-Planner!$C$43)</f>
        <v>-0.2975</v>
      </c>
      <c r="BQ102" s="25" t="n">
        <f aca="false">BQ$21*(0-Planner!$C$43)</f>
        <v>-0</v>
      </c>
      <c r="BR102" s="25" t="n">
        <f aca="false">BR$21*(0-Planner!$C$43)</f>
        <v>-0</v>
      </c>
      <c r="BS102" s="25" t="n">
        <f aca="false">BS$21*(0-Planner!$C$43)</f>
        <v>-7.4025</v>
      </c>
      <c r="BT102" s="25" t="n">
        <f aca="false">BT$21*(0-Planner!$C$43)</f>
        <v>-0.686</v>
      </c>
      <c r="BU102" s="25" t="n">
        <f aca="false">BU$21*(0-Planner!$C$43)</f>
        <v>-1.785</v>
      </c>
      <c r="BV102" s="25" t="n">
        <f aca="false">BV$21*(0-Planner!$C$43)</f>
        <v>-1.9775</v>
      </c>
      <c r="BW102" s="25" t="n">
        <f aca="false">BW$21*(0-Planner!$C$43)</f>
        <v>-2.2365</v>
      </c>
      <c r="BX102" s="25" t="n">
        <f aca="false">BX$21*(0-Planner!$C$43)</f>
        <v>-1.225</v>
      </c>
    </row>
    <row r="103" customFormat="false" ht="15" hidden="false" customHeight="false" outlineLevel="0" collapsed="false">
      <c r="A103" s="4" t="s">
        <v>694</v>
      </c>
      <c r="B103" s="75" t="s">
        <v>666</v>
      </c>
      <c r="C103" s="78" t="n">
        <v>0</v>
      </c>
      <c r="D103" s="77" t="n">
        <v>-38.806495821443</v>
      </c>
      <c r="E103" s="75" t="str">
        <f aca="false">IF(D103&lt;=C103+0.000001*MAX(1,ABS(C103)),IF(ABS(D103-C103)&lt;=0.000001*MAX(1,ABS(C103)),"tight","ok"),"VIOLATED")</f>
        <v>ok</v>
      </c>
      <c r="F103" s="25" t="n">
        <f aca="false">F$21*(0-Planner!$C$43)</f>
        <v>-7.875</v>
      </c>
      <c r="G103" s="25" t="n">
        <f aca="false">G$21*(0-Planner!$C$43)</f>
        <v>-6.328</v>
      </c>
      <c r="H103" s="25" t="n">
        <f aca="false">H$21*(0-Planner!$C$43)</f>
        <v>-6.881</v>
      </c>
      <c r="I103" s="25" t="n">
        <f aca="false">I$21*(0-Planner!$C$43)</f>
        <v>-5.7155</v>
      </c>
      <c r="J103" s="25" t="n">
        <f aca="false">J$21*(0-Planner!$C$43)</f>
        <v>-6.5555</v>
      </c>
      <c r="K103" s="25" t="n">
        <f aca="false">K$21*(0-Planner!$C$43)</f>
        <v>-4.417</v>
      </c>
      <c r="L103" s="25" t="n">
        <f aca="false">L$21*(0-Planner!$C$43)</f>
        <v>-6.0095</v>
      </c>
      <c r="M103" s="25" t="n">
        <f aca="false">M$21*(0-Planner!$C$43)</f>
        <v>-7.2975</v>
      </c>
      <c r="N103" s="25" t="n">
        <f aca="false">N$21*(0-Planner!$C$43)</f>
        <v>-5.81</v>
      </c>
      <c r="O103" s="25" t="n">
        <f aca="false">O$21*(0-Planner!$C$43)</f>
        <v>-7.399</v>
      </c>
      <c r="P103" s="25" t="n">
        <f aca="false">P$21*(0-Planner!$C$43)</f>
        <v>-6.972</v>
      </c>
      <c r="Q103" s="25" t="n">
        <f aca="false">Q$21*(0-Planner!$C$43)</f>
        <v>-6.804</v>
      </c>
      <c r="R103" s="25" t="n">
        <f aca="false">R$21*(0-Planner!$C$43)</f>
        <v>-7.147</v>
      </c>
      <c r="S103" s="25" t="n">
        <f aca="false">S$21*(0-Planner!$C$43)</f>
        <v>-4.7635</v>
      </c>
      <c r="T103" s="25" t="n">
        <f aca="false">T$21*(0-Planner!$C$43)</f>
        <v>-7.028</v>
      </c>
      <c r="U103" s="25" t="n">
        <f aca="false">U$21*(0-Planner!$C$43)</f>
        <v>-4.396</v>
      </c>
      <c r="V103" s="25" t="n">
        <f aca="false">V$21*(0-Planner!$C$43)</f>
        <v>-2.1105</v>
      </c>
      <c r="W103" s="25" t="n">
        <f aca="false">W$21*(0-Planner!$C$43)</f>
        <v>-1.722</v>
      </c>
      <c r="X103" s="25" t="n">
        <f aca="false">X$21*(0-Planner!$C$43)</f>
        <v>-8.6205</v>
      </c>
      <c r="Y103" s="25" t="n">
        <f aca="false">Y$21*(0-Planner!$C$43)</f>
        <v>-7.7735</v>
      </c>
      <c r="Z103" s="25" t="n">
        <f aca="false">Z$21*(0-Planner!$C$43)</f>
        <v>-7.497</v>
      </c>
      <c r="AA103" s="25" t="n">
        <f aca="false">AA$21*(0-Planner!$C$43)</f>
        <v>-3.535</v>
      </c>
      <c r="AB103" s="25" t="n">
        <f aca="false">AB$21*(0-Planner!$C$43)</f>
        <v>-1.155</v>
      </c>
      <c r="AC103" s="25" t="n">
        <f aca="false">AC$21*(0-Planner!$C$43)</f>
        <v>-3.5665</v>
      </c>
      <c r="AD103" s="25" t="n">
        <f aca="false">AD$21*(0-Planner!$C$43)</f>
        <v>-0.91</v>
      </c>
      <c r="AE103" s="25" t="n">
        <f aca="false">AE$21*(0-Planner!$C$43)</f>
        <v>-1.1025</v>
      </c>
      <c r="AF103" s="25" t="n">
        <f aca="false">AF$21*(0-Planner!$C$43)</f>
        <v>-6.3455</v>
      </c>
      <c r="AG103" s="25" t="n">
        <f aca="false">AG$21*(0-Planner!$C$43)</f>
        <v>-8.0045</v>
      </c>
      <c r="AH103" s="25" t="n">
        <f aca="false">AH$21*(0-Planner!$C$43)</f>
        <v>-3.6575</v>
      </c>
      <c r="AI103" s="25" t="n">
        <f aca="false">AI$21*(0-Planner!$C$43)</f>
        <v>-8.3125</v>
      </c>
      <c r="AJ103" s="25" t="n">
        <f aca="false">AJ$21*(0-Planner!$C$43)</f>
        <v>-3.696</v>
      </c>
      <c r="AK103" s="25" t="n">
        <f aca="false">AK$21*(0-Planner!$C$43)</f>
        <v>-2.639</v>
      </c>
      <c r="AL103" s="25" t="n">
        <f aca="false">AL$21*(0-Planner!$C$43)</f>
        <v>-4.2315</v>
      </c>
      <c r="AM103" s="25" t="n">
        <f aca="false">AM$21*(0-Planner!$C$43)</f>
        <v>-1.995</v>
      </c>
      <c r="AN103" s="25" t="n">
        <f aca="false">AN$21*(0-Planner!$C$43)</f>
        <v>-2.8035</v>
      </c>
      <c r="AO103" s="25" t="n">
        <f aca="false">AO$21*(0-Planner!$C$43)</f>
        <v>-4.942</v>
      </c>
      <c r="AP103" s="25" t="n">
        <f aca="false">AP$21*(1-Planner!$C$43)</f>
        <v>8.5475</v>
      </c>
      <c r="AQ103" s="25" t="n">
        <f aca="false">AQ$21*(0-Planner!$C$43)</f>
        <v>-4.564</v>
      </c>
      <c r="AR103" s="25" t="n">
        <f aca="false">AR$21*(0-Planner!$C$43)</f>
        <v>-3.0975</v>
      </c>
      <c r="AS103" s="25" t="n">
        <f aca="false">AS$21*(0-Planner!$C$43)</f>
        <v>-2.4955</v>
      </c>
      <c r="AT103" s="25" t="n">
        <f aca="false">AT$21*(0-Planner!$C$43)</f>
        <v>-4.3575</v>
      </c>
      <c r="AU103" s="25" t="n">
        <f aca="false">AU$21*(0-Planner!$C$43)</f>
        <v>-4.8545</v>
      </c>
      <c r="AV103" s="25" t="n">
        <f aca="false">AV$21*(0-Planner!$C$43)</f>
        <v>-1.057</v>
      </c>
      <c r="AW103" s="25" t="n">
        <f aca="false">AW$21*(0-Planner!$C$43)</f>
        <v>-0.7175</v>
      </c>
      <c r="AX103" s="25" t="n">
        <f aca="false">AX$21*(0-Planner!$C$43)</f>
        <v>-0.5495</v>
      </c>
      <c r="AY103" s="25" t="n">
        <f aca="false">AY$21*(0-Planner!$C$43)</f>
        <v>-0.091</v>
      </c>
      <c r="AZ103" s="25" t="n">
        <f aca="false">AZ$21*(0-Planner!$C$43)</f>
        <v>-0.3815</v>
      </c>
      <c r="BA103" s="25" t="n">
        <f aca="false">BA$21*(0-Planner!$C$43)</f>
        <v>-0.147</v>
      </c>
      <c r="BB103" s="25" t="n">
        <f aca="false">BB$21*(0-Planner!$C$43)</f>
        <v>-0.252</v>
      </c>
      <c r="BC103" s="25" t="n">
        <f aca="false">BC$21*(0-Planner!$C$43)</f>
        <v>-0.238</v>
      </c>
      <c r="BD103" s="25" t="n">
        <f aca="false">BD$21*(0-Planner!$C$43)</f>
        <v>-0.3185</v>
      </c>
      <c r="BE103" s="25" t="n">
        <f aca="false">BE$21*(0-Planner!$C$43)</f>
        <v>-1.0745</v>
      </c>
      <c r="BF103" s="25" t="n">
        <f aca="false">BF$21*(0-Planner!$C$43)</f>
        <v>-0.2345</v>
      </c>
      <c r="BG103" s="25" t="n">
        <f aca="false">BG$21*(0-Planner!$C$43)</f>
        <v>-1.071</v>
      </c>
      <c r="BH103" s="25" t="n">
        <f aca="false">BH$21*(0-Planner!$C$43)</f>
        <v>-0.3255</v>
      </c>
      <c r="BI103" s="25" t="n">
        <f aca="false">BI$21*(0-Planner!$C$43)</f>
        <v>-0.252</v>
      </c>
      <c r="BJ103" s="25" t="n">
        <f aca="false">BJ$21*(0-Planner!$C$43)</f>
        <v>-0.301</v>
      </c>
      <c r="BK103" s="25" t="n">
        <f aca="false">BK$21*(0-Planner!$C$43)</f>
        <v>-1.1655</v>
      </c>
      <c r="BL103" s="25" t="n">
        <f aca="false">BL$21*(0-Planner!$C$43)</f>
        <v>-0.385</v>
      </c>
      <c r="BM103" s="25" t="n">
        <f aca="false">BM$21*(0-Planner!$C$43)</f>
        <v>-0.4305</v>
      </c>
      <c r="BN103" s="25" t="n">
        <f aca="false">BN$21*(0-Planner!$C$43)</f>
        <v>-1.001</v>
      </c>
      <c r="BO103" s="25" t="n">
        <f aca="false">BO$21*(0-Planner!$C$43)</f>
        <v>-0.308</v>
      </c>
      <c r="BP103" s="25" t="n">
        <f aca="false">BP$21*(0-Planner!$C$43)</f>
        <v>-0.2975</v>
      </c>
      <c r="BQ103" s="25" t="n">
        <f aca="false">BQ$21*(0-Planner!$C$43)</f>
        <v>-0</v>
      </c>
      <c r="BR103" s="25" t="n">
        <f aca="false">BR$21*(0-Planner!$C$43)</f>
        <v>-0</v>
      </c>
      <c r="BS103" s="25" t="n">
        <f aca="false">BS$21*(0-Planner!$C$43)</f>
        <v>-7.4025</v>
      </c>
      <c r="BT103" s="25" t="n">
        <f aca="false">BT$21*(0-Planner!$C$43)</f>
        <v>-0.686</v>
      </c>
      <c r="BU103" s="25" t="n">
        <f aca="false">BU$21*(0-Planner!$C$43)</f>
        <v>-1.785</v>
      </c>
      <c r="BV103" s="25" t="n">
        <f aca="false">BV$21*(0-Planner!$C$43)</f>
        <v>-1.9775</v>
      </c>
      <c r="BW103" s="25" t="n">
        <f aca="false">BW$21*(0-Planner!$C$43)</f>
        <v>-2.2365</v>
      </c>
      <c r="BX103" s="25" t="n">
        <f aca="false">BX$21*(0-Planner!$C$43)</f>
        <v>-1.225</v>
      </c>
    </row>
    <row r="104" customFormat="false" ht="15" hidden="false" customHeight="false" outlineLevel="0" collapsed="false">
      <c r="A104" s="4" t="s">
        <v>695</v>
      </c>
      <c r="B104" s="75" t="s">
        <v>666</v>
      </c>
      <c r="C104" s="78" t="n">
        <v>0</v>
      </c>
      <c r="D104" s="77" t="n">
        <v>-39.199999998243</v>
      </c>
      <c r="E104" s="75" t="str">
        <f aca="false">IF(D104&lt;=C104+0.000001*MAX(1,ABS(C104)),IF(ABS(D104-C104)&lt;=0.000001*MAX(1,ABS(C104)),"tight","ok"),"VIOLATED")</f>
        <v>ok</v>
      </c>
      <c r="F104" s="25" t="n">
        <f aca="false">F$21*(0-Planner!$C$43)</f>
        <v>-7.875</v>
      </c>
      <c r="G104" s="25" t="n">
        <f aca="false">G$21*(0-Planner!$C$43)</f>
        <v>-6.328</v>
      </c>
      <c r="H104" s="25" t="n">
        <f aca="false">H$21*(0-Planner!$C$43)</f>
        <v>-6.881</v>
      </c>
      <c r="I104" s="25" t="n">
        <f aca="false">I$21*(0-Planner!$C$43)</f>
        <v>-5.7155</v>
      </c>
      <c r="J104" s="25" t="n">
        <f aca="false">J$21*(0-Planner!$C$43)</f>
        <v>-6.5555</v>
      </c>
      <c r="K104" s="25" t="n">
        <f aca="false">K$21*(0-Planner!$C$43)</f>
        <v>-4.417</v>
      </c>
      <c r="L104" s="25" t="n">
        <f aca="false">L$21*(0-Planner!$C$43)</f>
        <v>-6.0095</v>
      </c>
      <c r="M104" s="25" t="n">
        <f aca="false">M$21*(0-Planner!$C$43)</f>
        <v>-7.2975</v>
      </c>
      <c r="N104" s="25" t="n">
        <f aca="false">N$21*(0-Planner!$C$43)</f>
        <v>-5.81</v>
      </c>
      <c r="O104" s="25" t="n">
        <f aca="false">O$21*(0-Planner!$C$43)</f>
        <v>-7.399</v>
      </c>
      <c r="P104" s="25" t="n">
        <f aca="false">P$21*(0-Planner!$C$43)</f>
        <v>-6.972</v>
      </c>
      <c r="Q104" s="25" t="n">
        <f aca="false">Q$21*(0-Planner!$C$43)</f>
        <v>-6.804</v>
      </c>
      <c r="R104" s="25" t="n">
        <f aca="false">R$21*(0-Planner!$C$43)</f>
        <v>-7.147</v>
      </c>
      <c r="S104" s="25" t="n">
        <f aca="false">S$21*(0-Planner!$C$43)</f>
        <v>-4.7635</v>
      </c>
      <c r="T104" s="25" t="n">
        <f aca="false">T$21*(0-Planner!$C$43)</f>
        <v>-7.028</v>
      </c>
      <c r="U104" s="25" t="n">
        <f aca="false">U$21*(0-Planner!$C$43)</f>
        <v>-4.396</v>
      </c>
      <c r="V104" s="25" t="n">
        <f aca="false">V$21*(0-Planner!$C$43)</f>
        <v>-2.1105</v>
      </c>
      <c r="W104" s="25" t="n">
        <f aca="false">W$21*(0-Planner!$C$43)</f>
        <v>-1.722</v>
      </c>
      <c r="X104" s="25" t="n">
        <f aca="false">X$21*(0-Planner!$C$43)</f>
        <v>-8.6205</v>
      </c>
      <c r="Y104" s="25" t="n">
        <f aca="false">Y$21*(0-Planner!$C$43)</f>
        <v>-7.7735</v>
      </c>
      <c r="Z104" s="25" t="n">
        <f aca="false">Z$21*(0-Planner!$C$43)</f>
        <v>-7.497</v>
      </c>
      <c r="AA104" s="25" t="n">
        <f aca="false">AA$21*(0-Planner!$C$43)</f>
        <v>-3.535</v>
      </c>
      <c r="AB104" s="25" t="n">
        <f aca="false">AB$21*(0-Planner!$C$43)</f>
        <v>-1.155</v>
      </c>
      <c r="AC104" s="25" t="n">
        <f aca="false">AC$21*(0-Planner!$C$43)</f>
        <v>-3.5665</v>
      </c>
      <c r="AD104" s="25" t="n">
        <f aca="false">AD$21*(0-Planner!$C$43)</f>
        <v>-0.91</v>
      </c>
      <c r="AE104" s="25" t="n">
        <f aca="false">AE$21*(0-Planner!$C$43)</f>
        <v>-1.1025</v>
      </c>
      <c r="AF104" s="25" t="n">
        <f aca="false">AF$21*(0-Planner!$C$43)</f>
        <v>-6.3455</v>
      </c>
      <c r="AG104" s="25" t="n">
        <f aca="false">AG$21*(0-Planner!$C$43)</f>
        <v>-8.0045</v>
      </c>
      <c r="AH104" s="25" t="n">
        <f aca="false">AH$21*(0-Planner!$C$43)</f>
        <v>-3.6575</v>
      </c>
      <c r="AI104" s="25" t="n">
        <f aca="false">AI$21*(0-Planner!$C$43)</f>
        <v>-8.3125</v>
      </c>
      <c r="AJ104" s="25" t="n">
        <f aca="false">AJ$21*(0-Planner!$C$43)</f>
        <v>-3.696</v>
      </c>
      <c r="AK104" s="25" t="n">
        <f aca="false">AK$21*(0-Planner!$C$43)</f>
        <v>-2.639</v>
      </c>
      <c r="AL104" s="25" t="n">
        <f aca="false">AL$21*(0-Planner!$C$43)</f>
        <v>-4.2315</v>
      </c>
      <c r="AM104" s="25" t="n">
        <f aca="false">AM$21*(0-Planner!$C$43)</f>
        <v>-1.995</v>
      </c>
      <c r="AN104" s="25" t="n">
        <f aca="false">AN$21*(0-Planner!$C$43)</f>
        <v>-2.8035</v>
      </c>
      <c r="AO104" s="25" t="n">
        <f aca="false">AO$21*(0-Planner!$C$43)</f>
        <v>-4.942</v>
      </c>
      <c r="AP104" s="25" t="n">
        <f aca="false">AP$21*(0-Planner!$C$43)</f>
        <v>-4.6025</v>
      </c>
      <c r="AQ104" s="25" t="n">
        <f aca="false">AQ$21*(1-Planner!$C$43)</f>
        <v>8.476</v>
      </c>
      <c r="AR104" s="25" t="n">
        <f aca="false">AR$21*(0-Planner!$C$43)</f>
        <v>-3.0975</v>
      </c>
      <c r="AS104" s="25" t="n">
        <f aca="false">AS$21*(0-Planner!$C$43)</f>
        <v>-2.4955</v>
      </c>
      <c r="AT104" s="25" t="n">
        <f aca="false">AT$21*(0-Planner!$C$43)</f>
        <v>-4.3575</v>
      </c>
      <c r="AU104" s="25" t="n">
        <f aca="false">AU$21*(0-Planner!$C$43)</f>
        <v>-4.8545</v>
      </c>
      <c r="AV104" s="25" t="n">
        <f aca="false">AV$21*(0-Planner!$C$43)</f>
        <v>-1.057</v>
      </c>
      <c r="AW104" s="25" t="n">
        <f aca="false">AW$21*(0-Planner!$C$43)</f>
        <v>-0.7175</v>
      </c>
      <c r="AX104" s="25" t="n">
        <f aca="false">AX$21*(0-Planner!$C$43)</f>
        <v>-0.5495</v>
      </c>
      <c r="AY104" s="25" t="n">
        <f aca="false">AY$21*(0-Planner!$C$43)</f>
        <v>-0.091</v>
      </c>
      <c r="AZ104" s="25" t="n">
        <f aca="false">AZ$21*(0-Planner!$C$43)</f>
        <v>-0.3815</v>
      </c>
      <c r="BA104" s="25" t="n">
        <f aca="false">BA$21*(0-Planner!$C$43)</f>
        <v>-0.147</v>
      </c>
      <c r="BB104" s="25" t="n">
        <f aca="false">BB$21*(0-Planner!$C$43)</f>
        <v>-0.252</v>
      </c>
      <c r="BC104" s="25" t="n">
        <f aca="false">BC$21*(0-Planner!$C$43)</f>
        <v>-0.238</v>
      </c>
      <c r="BD104" s="25" t="n">
        <f aca="false">BD$21*(0-Planner!$C$43)</f>
        <v>-0.3185</v>
      </c>
      <c r="BE104" s="25" t="n">
        <f aca="false">BE$21*(0-Planner!$C$43)</f>
        <v>-1.0745</v>
      </c>
      <c r="BF104" s="25" t="n">
        <f aca="false">BF$21*(0-Planner!$C$43)</f>
        <v>-0.2345</v>
      </c>
      <c r="BG104" s="25" t="n">
        <f aca="false">BG$21*(0-Planner!$C$43)</f>
        <v>-1.071</v>
      </c>
      <c r="BH104" s="25" t="n">
        <f aca="false">BH$21*(0-Planner!$C$43)</f>
        <v>-0.3255</v>
      </c>
      <c r="BI104" s="25" t="n">
        <f aca="false">BI$21*(0-Planner!$C$43)</f>
        <v>-0.252</v>
      </c>
      <c r="BJ104" s="25" t="n">
        <f aca="false">BJ$21*(0-Planner!$C$43)</f>
        <v>-0.301</v>
      </c>
      <c r="BK104" s="25" t="n">
        <f aca="false">BK$21*(0-Planner!$C$43)</f>
        <v>-1.1655</v>
      </c>
      <c r="BL104" s="25" t="n">
        <f aca="false">BL$21*(0-Planner!$C$43)</f>
        <v>-0.385</v>
      </c>
      <c r="BM104" s="25" t="n">
        <f aca="false">BM$21*(0-Planner!$C$43)</f>
        <v>-0.4305</v>
      </c>
      <c r="BN104" s="25" t="n">
        <f aca="false">BN$21*(0-Planner!$C$43)</f>
        <v>-1.001</v>
      </c>
      <c r="BO104" s="25" t="n">
        <f aca="false">BO$21*(0-Planner!$C$43)</f>
        <v>-0.308</v>
      </c>
      <c r="BP104" s="25" t="n">
        <f aca="false">BP$21*(0-Planner!$C$43)</f>
        <v>-0.2975</v>
      </c>
      <c r="BQ104" s="25" t="n">
        <f aca="false">BQ$21*(0-Planner!$C$43)</f>
        <v>-0</v>
      </c>
      <c r="BR104" s="25" t="n">
        <f aca="false">BR$21*(0-Planner!$C$43)</f>
        <v>-0</v>
      </c>
      <c r="BS104" s="25" t="n">
        <f aca="false">BS$21*(0-Planner!$C$43)</f>
        <v>-7.4025</v>
      </c>
      <c r="BT104" s="25" t="n">
        <f aca="false">BT$21*(0-Planner!$C$43)</f>
        <v>-0.686</v>
      </c>
      <c r="BU104" s="25" t="n">
        <f aca="false">BU$21*(0-Planner!$C$43)</f>
        <v>-1.785</v>
      </c>
      <c r="BV104" s="25" t="n">
        <f aca="false">BV$21*(0-Planner!$C$43)</f>
        <v>-1.9775</v>
      </c>
      <c r="BW104" s="25" t="n">
        <f aca="false">BW$21*(0-Planner!$C$43)</f>
        <v>-2.2365</v>
      </c>
      <c r="BX104" s="25" t="n">
        <f aca="false">BX$21*(0-Planner!$C$43)</f>
        <v>-1.225</v>
      </c>
    </row>
    <row r="105" customFormat="false" ht="15" hidden="false" customHeight="false" outlineLevel="0" collapsed="false">
      <c r="A105" s="4" t="s">
        <v>696</v>
      </c>
      <c r="B105" s="75" t="s">
        <v>666</v>
      </c>
      <c r="C105" s="78" t="n">
        <v>0</v>
      </c>
      <c r="D105" s="77" t="n">
        <v>-39.199999998243</v>
      </c>
      <c r="E105" s="75" t="str">
        <f aca="false">IF(D105&lt;=C105+0.000001*MAX(1,ABS(C105)),IF(ABS(D105-C105)&lt;=0.000001*MAX(1,ABS(C105)),"tight","ok"),"VIOLATED")</f>
        <v>ok</v>
      </c>
      <c r="F105" s="25" t="n">
        <f aca="false">F$21*(0-Planner!$C$43)</f>
        <v>-7.875</v>
      </c>
      <c r="G105" s="25" t="n">
        <f aca="false">G$21*(0-Planner!$C$43)</f>
        <v>-6.328</v>
      </c>
      <c r="H105" s="25" t="n">
        <f aca="false">H$21*(0-Planner!$C$43)</f>
        <v>-6.881</v>
      </c>
      <c r="I105" s="25" t="n">
        <f aca="false">I$21*(0-Planner!$C$43)</f>
        <v>-5.7155</v>
      </c>
      <c r="J105" s="25" t="n">
        <f aca="false">J$21*(0-Planner!$C$43)</f>
        <v>-6.5555</v>
      </c>
      <c r="K105" s="25" t="n">
        <f aca="false">K$21*(0-Planner!$C$43)</f>
        <v>-4.417</v>
      </c>
      <c r="L105" s="25" t="n">
        <f aca="false">L$21*(0-Planner!$C$43)</f>
        <v>-6.0095</v>
      </c>
      <c r="M105" s="25" t="n">
        <f aca="false">M$21*(0-Planner!$C$43)</f>
        <v>-7.2975</v>
      </c>
      <c r="N105" s="25" t="n">
        <f aca="false">N$21*(0-Planner!$C$43)</f>
        <v>-5.81</v>
      </c>
      <c r="O105" s="25" t="n">
        <f aca="false">O$21*(0-Planner!$C$43)</f>
        <v>-7.399</v>
      </c>
      <c r="P105" s="25" t="n">
        <f aca="false">P$21*(0-Planner!$C$43)</f>
        <v>-6.972</v>
      </c>
      <c r="Q105" s="25" t="n">
        <f aca="false">Q$21*(0-Planner!$C$43)</f>
        <v>-6.804</v>
      </c>
      <c r="R105" s="25" t="n">
        <f aca="false">R$21*(0-Planner!$C$43)</f>
        <v>-7.147</v>
      </c>
      <c r="S105" s="25" t="n">
        <f aca="false">S$21*(0-Planner!$C$43)</f>
        <v>-4.7635</v>
      </c>
      <c r="T105" s="25" t="n">
        <f aca="false">T$21*(0-Planner!$C$43)</f>
        <v>-7.028</v>
      </c>
      <c r="U105" s="25" t="n">
        <f aca="false">U$21*(0-Planner!$C$43)</f>
        <v>-4.396</v>
      </c>
      <c r="V105" s="25" t="n">
        <f aca="false">V$21*(0-Planner!$C$43)</f>
        <v>-2.1105</v>
      </c>
      <c r="W105" s="25" t="n">
        <f aca="false">W$21*(0-Planner!$C$43)</f>
        <v>-1.722</v>
      </c>
      <c r="X105" s="25" t="n">
        <f aca="false">X$21*(0-Planner!$C$43)</f>
        <v>-8.6205</v>
      </c>
      <c r="Y105" s="25" t="n">
        <f aca="false">Y$21*(0-Planner!$C$43)</f>
        <v>-7.7735</v>
      </c>
      <c r="Z105" s="25" t="n">
        <f aca="false">Z$21*(0-Planner!$C$43)</f>
        <v>-7.497</v>
      </c>
      <c r="AA105" s="25" t="n">
        <f aca="false">AA$21*(0-Planner!$C$43)</f>
        <v>-3.535</v>
      </c>
      <c r="AB105" s="25" t="n">
        <f aca="false">AB$21*(0-Planner!$C$43)</f>
        <v>-1.155</v>
      </c>
      <c r="AC105" s="25" t="n">
        <f aca="false">AC$21*(0-Planner!$C$43)</f>
        <v>-3.5665</v>
      </c>
      <c r="AD105" s="25" t="n">
        <f aca="false">AD$21*(0-Planner!$C$43)</f>
        <v>-0.91</v>
      </c>
      <c r="AE105" s="25" t="n">
        <f aca="false">AE$21*(0-Planner!$C$43)</f>
        <v>-1.1025</v>
      </c>
      <c r="AF105" s="25" t="n">
        <f aca="false">AF$21*(0-Planner!$C$43)</f>
        <v>-6.3455</v>
      </c>
      <c r="AG105" s="25" t="n">
        <f aca="false">AG$21*(0-Planner!$C$43)</f>
        <v>-8.0045</v>
      </c>
      <c r="AH105" s="25" t="n">
        <f aca="false">AH$21*(0-Planner!$C$43)</f>
        <v>-3.6575</v>
      </c>
      <c r="AI105" s="25" t="n">
        <f aca="false">AI$21*(0-Planner!$C$43)</f>
        <v>-8.3125</v>
      </c>
      <c r="AJ105" s="25" t="n">
        <f aca="false">AJ$21*(0-Planner!$C$43)</f>
        <v>-3.696</v>
      </c>
      <c r="AK105" s="25" t="n">
        <f aca="false">AK$21*(0-Planner!$C$43)</f>
        <v>-2.639</v>
      </c>
      <c r="AL105" s="25" t="n">
        <f aca="false">AL$21*(0-Planner!$C$43)</f>
        <v>-4.2315</v>
      </c>
      <c r="AM105" s="25" t="n">
        <f aca="false">AM$21*(0-Planner!$C$43)</f>
        <v>-1.995</v>
      </c>
      <c r="AN105" s="25" t="n">
        <f aca="false">AN$21*(0-Planner!$C$43)</f>
        <v>-2.8035</v>
      </c>
      <c r="AO105" s="25" t="n">
        <f aca="false">AO$21*(0-Planner!$C$43)</f>
        <v>-4.942</v>
      </c>
      <c r="AP105" s="25" t="n">
        <f aca="false">AP$21*(0-Planner!$C$43)</f>
        <v>-4.6025</v>
      </c>
      <c r="AQ105" s="25" t="n">
        <f aca="false">AQ$21*(0-Planner!$C$43)</f>
        <v>-4.564</v>
      </c>
      <c r="AR105" s="25" t="n">
        <f aca="false">AR$21*(0-Planner!$C$43)</f>
        <v>-3.0975</v>
      </c>
      <c r="AS105" s="25" t="n">
        <f aca="false">AS$21*(0-Planner!$C$43)</f>
        <v>-2.4955</v>
      </c>
      <c r="AT105" s="25" t="n">
        <f aca="false">AT$21*(1-Planner!$C$43)</f>
        <v>8.0925</v>
      </c>
      <c r="AU105" s="25" t="n">
        <f aca="false">AU$21*(0-Planner!$C$43)</f>
        <v>-4.8545</v>
      </c>
      <c r="AV105" s="25" t="n">
        <f aca="false">AV$21*(0-Planner!$C$43)</f>
        <v>-1.057</v>
      </c>
      <c r="AW105" s="25" t="n">
        <f aca="false">AW$21*(0-Planner!$C$43)</f>
        <v>-0.7175</v>
      </c>
      <c r="AX105" s="25" t="n">
        <f aca="false">AX$21*(0-Planner!$C$43)</f>
        <v>-0.5495</v>
      </c>
      <c r="AY105" s="25" t="n">
        <f aca="false">AY$21*(0-Planner!$C$43)</f>
        <v>-0.091</v>
      </c>
      <c r="AZ105" s="25" t="n">
        <f aca="false">AZ$21*(0-Planner!$C$43)</f>
        <v>-0.3815</v>
      </c>
      <c r="BA105" s="25" t="n">
        <f aca="false">BA$21*(0-Planner!$C$43)</f>
        <v>-0.147</v>
      </c>
      <c r="BB105" s="25" t="n">
        <f aca="false">BB$21*(0-Planner!$C$43)</f>
        <v>-0.252</v>
      </c>
      <c r="BC105" s="25" t="n">
        <f aca="false">BC$21*(0-Planner!$C$43)</f>
        <v>-0.238</v>
      </c>
      <c r="BD105" s="25" t="n">
        <f aca="false">BD$21*(0-Planner!$C$43)</f>
        <v>-0.3185</v>
      </c>
      <c r="BE105" s="25" t="n">
        <f aca="false">BE$21*(0-Planner!$C$43)</f>
        <v>-1.0745</v>
      </c>
      <c r="BF105" s="25" t="n">
        <f aca="false">BF$21*(0-Planner!$C$43)</f>
        <v>-0.2345</v>
      </c>
      <c r="BG105" s="25" t="n">
        <f aca="false">BG$21*(0-Planner!$C$43)</f>
        <v>-1.071</v>
      </c>
      <c r="BH105" s="25" t="n">
        <f aca="false">BH$21*(0-Planner!$C$43)</f>
        <v>-0.3255</v>
      </c>
      <c r="BI105" s="25" t="n">
        <f aca="false">BI$21*(0-Planner!$C$43)</f>
        <v>-0.252</v>
      </c>
      <c r="BJ105" s="25" t="n">
        <f aca="false">BJ$21*(0-Planner!$C$43)</f>
        <v>-0.301</v>
      </c>
      <c r="BK105" s="25" t="n">
        <f aca="false">BK$21*(0-Planner!$C$43)</f>
        <v>-1.1655</v>
      </c>
      <c r="BL105" s="25" t="n">
        <f aca="false">BL$21*(0-Planner!$C$43)</f>
        <v>-0.385</v>
      </c>
      <c r="BM105" s="25" t="n">
        <f aca="false">BM$21*(0-Planner!$C$43)</f>
        <v>-0.4305</v>
      </c>
      <c r="BN105" s="25" t="n">
        <f aca="false">BN$21*(0-Planner!$C$43)</f>
        <v>-1.001</v>
      </c>
      <c r="BO105" s="25" t="n">
        <f aca="false">BO$21*(0-Planner!$C$43)</f>
        <v>-0.308</v>
      </c>
      <c r="BP105" s="25" t="n">
        <f aca="false">BP$21*(0-Planner!$C$43)</f>
        <v>-0.2975</v>
      </c>
      <c r="BQ105" s="25" t="n">
        <f aca="false">BQ$21*(0-Planner!$C$43)</f>
        <v>-0</v>
      </c>
      <c r="BR105" s="25" t="n">
        <f aca="false">BR$21*(0-Planner!$C$43)</f>
        <v>-0</v>
      </c>
      <c r="BS105" s="25" t="n">
        <f aca="false">BS$21*(0-Planner!$C$43)</f>
        <v>-7.4025</v>
      </c>
      <c r="BT105" s="25" t="n">
        <f aca="false">BT$21*(0-Planner!$C$43)</f>
        <v>-0.686</v>
      </c>
      <c r="BU105" s="25" t="n">
        <f aca="false">BU$21*(0-Planner!$C$43)</f>
        <v>-1.785</v>
      </c>
      <c r="BV105" s="25" t="n">
        <f aca="false">BV$21*(0-Planner!$C$43)</f>
        <v>-1.9775</v>
      </c>
      <c r="BW105" s="25" t="n">
        <f aca="false">BW$21*(0-Planner!$C$43)</f>
        <v>-2.2365</v>
      </c>
      <c r="BX105" s="25" t="n">
        <f aca="false">BX$21*(0-Planner!$C$43)</f>
        <v>-1.225</v>
      </c>
    </row>
    <row r="106" customFormat="false" ht="15" hidden="false" customHeight="false" outlineLevel="0" collapsed="false">
      <c r="A106" s="4" t="s">
        <v>697</v>
      </c>
      <c r="B106" s="75" t="s">
        <v>666</v>
      </c>
      <c r="C106" s="78" t="n">
        <v>0</v>
      </c>
      <c r="D106" s="77" t="n">
        <v>-39.199999998243</v>
      </c>
      <c r="E106" s="75" t="str">
        <f aca="false">IF(D106&lt;=C106+0.000001*MAX(1,ABS(C106)),IF(ABS(D106-C106)&lt;=0.000001*MAX(1,ABS(C106)),"tight","ok"),"VIOLATED")</f>
        <v>ok</v>
      </c>
      <c r="F106" s="25" t="n">
        <f aca="false">F$21*(0-Planner!$C$43)</f>
        <v>-7.875</v>
      </c>
      <c r="G106" s="25" t="n">
        <f aca="false">G$21*(0-Planner!$C$43)</f>
        <v>-6.328</v>
      </c>
      <c r="H106" s="25" t="n">
        <f aca="false">H$21*(0-Planner!$C$43)</f>
        <v>-6.881</v>
      </c>
      <c r="I106" s="25" t="n">
        <f aca="false">I$21*(0-Planner!$C$43)</f>
        <v>-5.7155</v>
      </c>
      <c r="J106" s="25" t="n">
        <f aca="false">J$21*(0-Planner!$C$43)</f>
        <v>-6.5555</v>
      </c>
      <c r="K106" s="25" t="n">
        <f aca="false">K$21*(0-Planner!$C$43)</f>
        <v>-4.417</v>
      </c>
      <c r="L106" s="25" t="n">
        <f aca="false">L$21*(0-Planner!$C$43)</f>
        <v>-6.0095</v>
      </c>
      <c r="M106" s="25" t="n">
        <f aca="false">M$21*(0-Planner!$C$43)</f>
        <v>-7.2975</v>
      </c>
      <c r="N106" s="25" t="n">
        <f aca="false">N$21*(0-Planner!$C$43)</f>
        <v>-5.81</v>
      </c>
      <c r="O106" s="25" t="n">
        <f aca="false">O$21*(0-Planner!$C$43)</f>
        <v>-7.399</v>
      </c>
      <c r="P106" s="25" t="n">
        <f aca="false">P$21*(0-Planner!$C$43)</f>
        <v>-6.972</v>
      </c>
      <c r="Q106" s="25" t="n">
        <f aca="false">Q$21*(0-Planner!$C$43)</f>
        <v>-6.804</v>
      </c>
      <c r="R106" s="25" t="n">
        <f aca="false">R$21*(0-Planner!$C$43)</f>
        <v>-7.147</v>
      </c>
      <c r="S106" s="25" t="n">
        <f aca="false">S$21*(0-Planner!$C$43)</f>
        <v>-4.7635</v>
      </c>
      <c r="T106" s="25" t="n">
        <f aca="false">T$21*(0-Planner!$C$43)</f>
        <v>-7.028</v>
      </c>
      <c r="U106" s="25" t="n">
        <f aca="false">U$21*(0-Planner!$C$43)</f>
        <v>-4.396</v>
      </c>
      <c r="V106" s="25" t="n">
        <f aca="false">V$21*(0-Planner!$C$43)</f>
        <v>-2.1105</v>
      </c>
      <c r="W106" s="25" t="n">
        <f aca="false">W$21*(0-Planner!$C$43)</f>
        <v>-1.722</v>
      </c>
      <c r="X106" s="25" t="n">
        <f aca="false">X$21*(0-Planner!$C$43)</f>
        <v>-8.6205</v>
      </c>
      <c r="Y106" s="25" t="n">
        <f aca="false">Y$21*(0-Planner!$C$43)</f>
        <v>-7.7735</v>
      </c>
      <c r="Z106" s="25" t="n">
        <f aca="false">Z$21*(0-Planner!$C$43)</f>
        <v>-7.497</v>
      </c>
      <c r="AA106" s="25" t="n">
        <f aca="false">AA$21*(0-Planner!$C$43)</f>
        <v>-3.535</v>
      </c>
      <c r="AB106" s="25" t="n">
        <f aca="false">AB$21*(0-Planner!$C$43)</f>
        <v>-1.155</v>
      </c>
      <c r="AC106" s="25" t="n">
        <f aca="false">AC$21*(0-Planner!$C$43)</f>
        <v>-3.5665</v>
      </c>
      <c r="AD106" s="25" t="n">
        <f aca="false">AD$21*(0-Planner!$C$43)</f>
        <v>-0.91</v>
      </c>
      <c r="AE106" s="25" t="n">
        <f aca="false">AE$21*(0-Planner!$C$43)</f>
        <v>-1.1025</v>
      </c>
      <c r="AF106" s="25" t="n">
        <f aca="false">AF$21*(0-Planner!$C$43)</f>
        <v>-6.3455</v>
      </c>
      <c r="AG106" s="25" t="n">
        <f aca="false">AG$21*(0-Planner!$C$43)</f>
        <v>-8.0045</v>
      </c>
      <c r="AH106" s="25" t="n">
        <f aca="false">AH$21*(0-Planner!$C$43)</f>
        <v>-3.6575</v>
      </c>
      <c r="AI106" s="25" t="n">
        <f aca="false">AI$21*(0-Planner!$C$43)</f>
        <v>-8.3125</v>
      </c>
      <c r="AJ106" s="25" t="n">
        <f aca="false">AJ$21*(0-Planner!$C$43)</f>
        <v>-3.696</v>
      </c>
      <c r="AK106" s="25" t="n">
        <f aca="false">AK$21*(0-Planner!$C$43)</f>
        <v>-2.639</v>
      </c>
      <c r="AL106" s="25" t="n">
        <f aca="false">AL$21*(0-Planner!$C$43)</f>
        <v>-4.2315</v>
      </c>
      <c r="AM106" s="25" t="n">
        <f aca="false">AM$21*(0-Planner!$C$43)</f>
        <v>-1.995</v>
      </c>
      <c r="AN106" s="25" t="n">
        <f aca="false">AN$21*(0-Planner!$C$43)</f>
        <v>-2.8035</v>
      </c>
      <c r="AO106" s="25" t="n">
        <f aca="false">AO$21*(0-Planner!$C$43)</f>
        <v>-4.942</v>
      </c>
      <c r="AP106" s="25" t="n">
        <f aca="false">AP$21*(0-Planner!$C$43)</f>
        <v>-4.6025</v>
      </c>
      <c r="AQ106" s="25" t="n">
        <f aca="false">AQ$21*(0-Planner!$C$43)</f>
        <v>-4.564</v>
      </c>
      <c r="AR106" s="25" t="n">
        <f aca="false">AR$21*(0-Planner!$C$43)</f>
        <v>-3.0975</v>
      </c>
      <c r="AS106" s="25" t="n">
        <f aca="false">AS$21*(0-Planner!$C$43)</f>
        <v>-2.4955</v>
      </c>
      <c r="AT106" s="25" t="n">
        <f aca="false">AT$21*(0-Planner!$C$43)</f>
        <v>-4.3575</v>
      </c>
      <c r="AU106" s="25" t="n">
        <f aca="false">AU$21*(1-Planner!$C$43)</f>
        <v>9.0155</v>
      </c>
      <c r="AV106" s="25" t="n">
        <f aca="false">AV$21*(0-Planner!$C$43)</f>
        <v>-1.057</v>
      </c>
      <c r="AW106" s="25" t="n">
        <f aca="false">AW$21*(0-Planner!$C$43)</f>
        <v>-0.7175</v>
      </c>
      <c r="AX106" s="25" t="n">
        <f aca="false">AX$21*(0-Planner!$C$43)</f>
        <v>-0.5495</v>
      </c>
      <c r="AY106" s="25" t="n">
        <f aca="false">AY$21*(0-Planner!$C$43)</f>
        <v>-0.091</v>
      </c>
      <c r="AZ106" s="25" t="n">
        <f aca="false">AZ$21*(0-Planner!$C$43)</f>
        <v>-0.3815</v>
      </c>
      <c r="BA106" s="25" t="n">
        <f aca="false">BA$21*(0-Planner!$C$43)</f>
        <v>-0.147</v>
      </c>
      <c r="BB106" s="25" t="n">
        <f aca="false">BB$21*(0-Planner!$C$43)</f>
        <v>-0.252</v>
      </c>
      <c r="BC106" s="25" t="n">
        <f aca="false">BC$21*(0-Planner!$C$43)</f>
        <v>-0.238</v>
      </c>
      <c r="BD106" s="25" t="n">
        <f aca="false">BD$21*(0-Planner!$C$43)</f>
        <v>-0.3185</v>
      </c>
      <c r="BE106" s="25" t="n">
        <f aca="false">BE$21*(0-Planner!$C$43)</f>
        <v>-1.0745</v>
      </c>
      <c r="BF106" s="25" t="n">
        <f aca="false">BF$21*(0-Planner!$C$43)</f>
        <v>-0.2345</v>
      </c>
      <c r="BG106" s="25" t="n">
        <f aca="false">BG$21*(0-Planner!$C$43)</f>
        <v>-1.071</v>
      </c>
      <c r="BH106" s="25" t="n">
        <f aca="false">BH$21*(0-Planner!$C$43)</f>
        <v>-0.3255</v>
      </c>
      <c r="BI106" s="25" t="n">
        <f aca="false">BI$21*(0-Planner!$C$43)</f>
        <v>-0.252</v>
      </c>
      <c r="BJ106" s="25" t="n">
        <f aca="false">BJ$21*(0-Planner!$C$43)</f>
        <v>-0.301</v>
      </c>
      <c r="BK106" s="25" t="n">
        <f aca="false">BK$21*(0-Planner!$C$43)</f>
        <v>-1.1655</v>
      </c>
      <c r="BL106" s="25" t="n">
        <f aca="false">BL$21*(0-Planner!$C$43)</f>
        <v>-0.385</v>
      </c>
      <c r="BM106" s="25" t="n">
        <f aca="false">BM$21*(0-Planner!$C$43)</f>
        <v>-0.4305</v>
      </c>
      <c r="BN106" s="25" t="n">
        <f aca="false">BN$21*(0-Planner!$C$43)</f>
        <v>-1.001</v>
      </c>
      <c r="BO106" s="25" t="n">
        <f aca="false">BO$21*(0-Planner!$C$43)</f>
        <v>-0.308</v>
      </c>
      <c r="BP106" s="25" t="n">
        <f aca="false">BP$21*(0-Planner!$C$43)</f>
        <v>-0.2975</v>
      </c>
      <c r="BQ106" s="25" t="n">
        <f aca="false">BQ$21*(0-Planner!$C$43)</f>
        <v>-0</v>
      </c>
      <c r="BR106" s="25" t="n">
        <f aca="false">BR$21*(0-Planner!$C$43)</f>
        <v>-0</v>
      </c>
      <c r="BS106" s="25" t="n">
        <f aca="false">BS$21*(0-Planner!$C$43)</f>
        <v>-7.4025</v>
      </c>
      <c r="BT106" s="25" t="n">
        <f aca="false">BT$21*(0-Planner!$C$43)</f>
        <v>-0.686</v>
      </c>
      <c r="BU106" s="25" t="n">
        <f aca="false">BU$21*(0-Planner!$C$43)</f>
        <v>-1.785</v>
      </c>
      <c r="BV106" s="25" t="n">
        <f aca="false">BV$21*(0-Planner!$C$43)</f>
        <v>-1.9775</v>
      </c>
      <c r="BW106" s="25" t="n">
        <f aca="false">BW$21*(0-Planner!$C$43)</f>
        <v>-2.2365</v>
      </c>
      <c r="BX106" s="25" t="n">
        <f aca="false">BX$21*(0-Planner!$C$43)</f>
        <v>-1.225</v>
      </c>
    </row>
    <row r="107" customFormat="false" ht="15" hidden="false" customHeight="false" outlineLevel="0" collapsed="false">
      <c r="A107" s="4" t="s">
        <v>698</v>
      </c>
      <c r="B107" s="75" t="s">
        <v>666</v>
      </c>
      <c r="C107" s="78" t="n">
        <v>0</v>
      </c>
      <c r="D107" s="77" t="n">
        <v>-39.199999998243</v>
      </c>
      <c r="E107" s="75" t="str">
        <f aca="false">IF(D107&lt;=C107+0.000001*MAX(1,ABS(C107)),IF(ABS(D107-C107)&lt;=0.000001*MAX(1,ABS(C107)),"tight","ok"),"VIOLATED")</f>
        <v>ok</v>
      </c>
      <c r="F107" s="25" t="n">
        <f aca="false">F$21*(0-Planner!$C$43)</f>
        <v>-7.875</v>
      </c>
      <c r="G107" s="25" t="n">
        <f aca="false">G$21*(0-Planner!$C$43)</f>
        <v>-6.328</v>
      </c>
      <c r="H107" s="25" t="n">
        <f aca="false">H$21*(0-Planner!$C$43)</f>
        <v>-6.881</v>
      </c>
      <c r="I107" s="25" t="n">
        <f aca="false">I$21*(0-Planner!$C$43)</f>
        <v>-5.7155</v>
      </c>
      <c r="J107" s="25" t="n">
        <f aca="false">J$21*(0-Planner!$C$43)</f>
        <v>-6.5555</v>
      </c>
      <c r="K107" s="25" t="n">
        <f aca="false">K$21*(0-Planner!$C$43)</f>
        <v>-4.417</v>
      </c>
      <c r="L107" s="25" t="n">
        <f aca="false">L$21*(0-Planner!$C$43)</f>
        <v>-6.0095</v>
      </c>
      <c r="M107" s="25" t="n">
        <f aca="false">M$21*(0-Planner!$C$43)</f>
        <v>-7.2975</v>
      </c>
      <c r="N107" s="25" t="n">
        <f aca="false">N$21*(0-Planner!$C$43)</f>
        <v>-5.81</v>
      </c>
      <c r="O107" s="25" t="n">
        <f aca="false">O$21*(0-Planner!$C$43)</f>
        <v>-7.399</v>
      </c>
      <c r="P107" s="25" t="n">
        <f aca="false">P$21*(0-Planner!$C$43)</f>
        <v>-6.972</v>
      </c>
      <c r="Q107" s="25" t="n">
        <f aca="false">Q$21*(0-Planner!$C$43)</f>
        <v>-6.804</v>
      </c>
      <c r="R107" s="25" t="n">
        <f aca="false">R$21*(0-Planner!$C$43)</f>
        <v>-7.147</v>
      </c>
      <c r="S107" s="25" t="n">
        <f aca="false">S$21*(0-Planner!$C$43)</f>
        <v>-4.7635</v>
      </c>
      <c r="T107" s="25" t="n">
        <f aca="false">T$21*(0-Planner!$C$43)</f>
        <v>-7.028</v>
      </c>
      <c r="U107" s="25" t="n">
        <f aca="false">U$21*(0-Planner!$C$43)</f>
        <v>-4.396</v>
      </c>
      <c r="V107" s="25" t="n">
        <f aca="false">V$21*(0-Planner!$C$43)</f>
        <v>-2.1105</v>
      </c>
      <c r="W107" s="25" t="n">
        <f aca="false">W$21*(0-Planner!$C$43)</f>
        <v>-1.722</v>
      </c>
      <c r="X107" s="25" t="n">
        <f aca="false">X$21*(0-Planner!$C$43)</f>
        <v>-8.6205</v>
      </c>
      <c r="Y107" s="25" t="n">
        <f aca="false">Y$21*(0-Planner!$C$43)</f>
        <v>-7.7735</v>
      </c>
      <c r="Z107" s="25" t="n">
        <f aca="false">Z$21*(0-Planner!$C$43)</f>
        <v>-7.497</v>
      </c>
      <c r="AA107" s="25" t="n">
        <f aca="false">AA$21*(0-Planner!$C$43)</f>
        <v>-3.535</v>
      </c>
      <c r="AB107" s="25" t="n">
        <f aca="false">AB$21*(0-Planner!$C$43)</f>
        <v>-1.155</v>
      </c>
      <c r="AC107" s="25" t="n">
        <f aca="false">AC$21*(0-Planner!$C$43)</f>
        <v>-3.5665</v>
      </c>
      <c r="AD107" s="25" t="n">
        <f aca="false">AD$21*(0-Planner!$C$43)</f>
        <v>-0.91</v>
      </c>
      <c r="AE107" s="25" t="n">
        <f aca="false">AE$21*(0-Planner!$C$43)</f>
        <v>-1.1025</v>
      </c>
      <c r="AF107" s="25" t="n">
        <f aca="false">AF$21*(0-Planner!$C$43)</f>
        <v>-6.3455</v>
      </c>
      <c r="AG107" s="25" t="n">
        <f aca="false">AG$21*(0-Planner!$C$43)</f>
        <v>-8.0045</v>
      </c>
      <c r="AH107" s="25" t="n">
        <f aca="false">AH$21*(0-Planner!$C$43)</f>
        <v>-3.6575</v>
      </c>
      <c r="AI107" s="25" t="n">
        <f aca="false">AI$21*(0-Planner!$C$43)</f>
        <v>-8.3125</v>
      </c>
      <c r="AJ107" s="25" t="n">
        <f aca="false">AJ$21*(0-Planner!$C$43)</f>
        <v>-3.696</v>
      </c>
      <c r="AK107" s="25" t="n">
        <f aca="false">AK$21*(0-Planner!$C$43)</f>
        <v>-2.639</v>
      </c>
      <c r="AL107" s="25" t="n">
        <f aca="false">AL$21*(0-Planner!$C$43)</f>
        <v>-4.2315</v>
      </c>
      <c r="AM107" s="25" t="n">
        <f aca="false">AM$21*(0-Planner!$C$43)</f>
        <v>-1.995</v>
      </c>
      <c r="AN107" s="25" t="n">
        <f aca="false">AN$21*(0-Planner!$C$43)</f>
        <v>-2.8035</v>
      </c>
      <c r="AO107" s="25" t="n">
        <f aca="false">AO$21*(0-Planner!$C$43)</f>
        <v>-4.942</v>
      </c>
      <c r="AP107" s="25" t="n">
        <f aca="false">AP$21*(0-Planner!$C$43)</f>
        <v>-4.6025</v>
      </c>
      <c r="AQ107" s="25" t="n">
        <f aca="false">AQ$21*(0-Planner!$C$43)</f>
        <v>-4.564</v>
      </c>
      <c r="AR107" s="25" t="n">
        <f aca="false">AR$21*(0-Planner!$C$43)</f>
        <v>-3.0975</v>
      </c>
      <c r="AS107" s="25" t="n">
        <f aca="false">AS$21*(0-Planner!$C$43)</f>
        <v>-2.4955</v>
      </c>
      <c r="AT107" s="25" t="n">
        <f aca="false">AT$21*(0-Planner!$C$43)</f>
        <v>-4.3575</v>
      </c>
      <c r="AU107" s="25" t="n">
        <f aca="false">AU$21*(0-Planner!$C$43)</f>
        <v>-4.8545</v>
      </c>
      <c r="AV107" s="25" t="n">
        <f aca="false">AV$21*(0-Planner!$C$43)</f>
        <v>-1.057</v>
      </c>
      <c r="AW107" s="25" t="n">
        <f aca="false">AW$21*(0-Planner!$C$43)</f>
        <v>-0.7175</v>
      </c>
      <c r="AX107" s="25" t="n">
        <f aca="false">AX$21*(0-Planner!$C$43)</f>
        <v>-0.5495</v>
      </c>
      <c r="AY107" s="25" t="n">
        <f aca="false">AY$21*(0-Planner!$C$43)</f>
        <v>-0.091</v>
      </c>
      <c r="AZ107" s="25" t="n">
        <f aca="false">AZ$21*(0-Planner!$C$43)</f>
        <v>-0.3815</v>
      </c>
      <c r="BA107" s="25" t="n">
        <f aca="false">BA$21*(0-Planner!$C$43)</f>
        <v>-0.147</v>
      </c>
      <c r="BB107" s="25" t="n">
        <f aca="false">BB$21*(0-Planner!$C$43)</f>
        <v>-0.252</v>
      </c>
      <c r="BC107" s="25" t="n">
        <f aca="false">BC$21*(0-Planner!$C$43)</f>
        <v>-0.238</v>
      </c>
      <c r="BD107" s="25" t="n">
        <f aca="false">BD$21*(0-Planner!$C$43)</f>
        <v>-0.3185</v>
      </c>
      <c r="BE107" s="25" t="n">
        <f aca="false">BE$21*(0-Planner!$C$43)</f>
        <v>-1.0745</v>
      </c>
      <c r="BF107" s="25" t="n">
        <f aca="false">BF$21*(0-Planner!$C$43)</f>
        <v>-0.2345</v>
      </c>
      <c r="BG107" s="25" t="n">
        <f aca="false">BG$21*(0-Planner!$C$43)</f>
        <v>-1.071</v>
      </c>
      <c r="BH107" s="25" t="n">
        <f aca="false">BH$21*(0-Planner!$C$43)</f>
        <v>-0.3255</v>
      </c>
      <c r="BI107" s="25" t="n">
        <f aca="false">BI$21*(0-Planner!$C$43)</f>
        <v>-0.252</v>
      </c>
      <c r="BJ107" s="25" t="n">
        <f aca="false">BJ$21*(0-Planner!$C$43)</f>
        <v>-0.301</v>
      </c>
      <c r="BK107" s="25" t="n">
        <f aca="false">BK$21*(0-Planner!$C$43)</f>
        <v>-1.1655</v>
      </c>
      <c r="BL107" s="25" t="n">
        <f aca="false">BL$21*(0-Planner!$C$43)</f>
        <v>-0.385</v>
      </c>
      <c r="BM107" s="25" t="n">
        <f aca="false">BM$21*(0-Planner!$C$43)</f>
        <v>-0.4305</v>
      </c>
      <c r="BN107" s="25" t="n">
        <f aca="false">BN$21*(0-Planner!$C$43)</f>
        <v>-1.001</v>
      </c>
      <c r="BO107" s="25" t="n">
        <f aca="false">BO$21*(0-Planner!$C$43)</f>
        <v>-0.308</v>
      </c>
      <c r="BP107" s="25" t="n">
        <f aca="false">BP$21*(0-Planner!$C$43)</f>
        <v>-0.2975</v>
      </c>
      <c r="BQ107" s="25" t="n">
        <f aca="false">BQ$21*(0-Planner!$C$43)</f>
        <v>-0</v>
      </c>
      <c r="BR107" s="25" t="n">
        <f aca="false">BR$21*(0-Planner!$C$43)</f>
        <v>-0</v>
      </c>
      <c r="BS107" s="25" t="n">
        <f aca="false">BS$21*(1-Planner!$C$43)</f>
        <v>13.7475</v>
      </c>
      <c r="BT107" s="25" t="n">
        <f aca="false">BT$21*(0-Planner!$C$43)</f>
        <v>-0.686</v>
      </c>
      <c r="BU107" s="25" t="n">
        <f aca="false">BU$21*(0-Planner!$C$43)</f>
        <v>-1.785</v>
      </c>
      <c r="BV107" s="25" t="n">
        <f aca="false">BV$21*(0-Planner!$C$43)</f>
        <v>-1.9775</v>
      </c>
      <c r="BW107" s="25" t="n">
        <f aca="false">BW$21*(0-Planner!$C$43)</f>
        <v>-2.2365</v>
      </c>
      <c r="BX107" s="25" t="n">
        <f aca="false">BX$21*(0-Planner!$C$43)</f>
        <v>-1.225</v>
      </c>
    </row>
    <row r="109" customFormat="false" ht="15" hidden="false" customHeight="false" outlineLevel="0" collapsed="false">
      <c r="A109" s="3" t="s">
        <v>699</v>
      </c>
    </row>
    <row r="111" customFormat="false" ht="39.75" hidden="false" customHeight="true" outlineLevel="0" collapsed="false">
      <c r="A111" s="16" t="s">
        <v>155</v>
      </c>
      <c r="B111" s="16" t="s">
        <v>157</v>
      </c>
      <c r="C111" s="16" t="s">
        <v>700</v>
      </c>
      <c r="D111" s="16" t="s">
        <v>701</v>
      </c>
      <c r="E111" s="16" t="s">
        <v>702</v>
      </c>
      <c r="F111" s="16" t="s">
        <v>703</v>
      </c>
      <c r="G111" s="16" t="s">
        <v>68</v>
      </c>
      <c r="H111" s="16" t="s">
        <v>704</v>
      </c>
      <c r="I111" s="16" t="s">
        <v>705</v>
      </c>
      <c r="J111" s="16" t="s">
        <v>706</v>
      </c>
      <c r="K111" s="16" t="s">
        <v>707</v>
      </c>
      <c r="L111" s="16" t="s">
        <v>708</v>
      </c>
      <c r="M111" s="16" t="s">
        <v>709</v>
      </c>
      <c r="N111" s="16" t="s">
        <v>710</v>
      </c>
      <c r="O111" s="16" t="s">
        <v>711</v>
      </c>
      <c r="P111" s="16" t="s">
        <v>712</v>
      </c>
      <c r="Q111" s="16" t="s">
        <v>713</v>
      </c>
    </row>
    <row r="112" customFormat="false" ht="15" hidden="false" customHeight="false" outlineLevel="0" collapsed="false">
      <c r="A112" s="4" t="n">
        <v>1</v>
      </c>
      <c r="B112" s="79" t="str">
        <f aca="false">F$13</f>
        <v>Chicken breast (boneless, skinless)</v>
      </c>
      <c r="C112" s="80" t="n">
        <v>0</v>
      </c>
      <c r="D112" s="71" t="n">
        <f aca="false">INDEX($F$15:$BX$15,1,A112)</f>
        <v>2.26</v>
      </c>
      <c r="E112" s="71" t="n">
        <f aca="false">INDEX($F$16:$BX$16,1,A112)</f>
        <v>0</v>
      </c>
      <c r="F112" s="23" t="n">
        <f aca="false">C112*100</f>
        <v>0</v>
      </c>
      <c r="G112" s="25" t="n">
        <f aca="false">F112/'Food Data'!N6</f>
        <v>0</v>
      </c>
      <c r="H112" s="81" t="n">
        <f aca="false">C112*INDEX($F$14:$BX$14,1,A112)</f>
        <v>0</v>
      </c>
      <c r="I112" s="75" t="str">
        <f aca="false">IF(AND(D112&gt;0,C112&gt;=D112-0.00001),"at cap","")</f>
        <v/>
      </c>
      <c r="J112" s="23" t="n">
        <f aca="false">F112*INDEX($F$33:$BX$33,1,A112)</f>
        <v>0</v>
      </c>
      <c r="K112" s="23" t="n">
        <f aca="false">F112*INDEX($F$34:$BX$34,1,A112)</f>
        <v>0</v>
      </c>
      <c r="L112" s="23" t="n">
        <f aca="false">F112*INDEX($F$35:$BX$35,1,A112)</f>
        <v>0</v>
      </c>
      <c r="M112" s="23" t="n">
        <f aca="false">F112*INDEX($F$36:$BX$36,1,A112)</f>
        <v>0</v>
      </c>
      <c r="N112" s="23" t="str">
        <f aca="false">IF(J112&gt;=0.5,COUNTIF(J$112:J112,"&gt;=0.5"),"")</f>
        <v/>
      </c>
      <c r="O112" s="23" t="str">
        <f aca="false">IF(K112&gt;=0.5,COUNTIF(K$112:K112,"&gt;=0.5"),"")</f>
        <v/>
      </c>
      <c r="P112" s="23" t="str">
        <f aca="false">IF(L112&gt;=0.5,COUNTIF(L$112:L112,"&gt;=0.5"),"")</f>
        <v/>
      </c>
      <c r="Q112" s="23" t="str">
        <f aca="false">IF(M112&gt;=0.5,COUNTIF(M$112:M112,"&gt;=0.5"),"")</f>
        <v/>
      </c>
    </row>
    <row r="113" customFormat="false" ht="15" hidden="false" customHeight="false" outlineLevel="0" collapsed="false">
      <c r="A113" s="4" t="n">
        <v>2</v>
      </c>
      <c r="B113" s="79" t="str">
        <f aca="false">G$13</f>
        <v>Chicken drumsticks (bone-in)</v>
      </c>
      <c r="C113" s="80" t="n">
        <v>0</v>
      </c>
      <c r="D113" s="71" t="n">
        <f aca="false">INDEX($F$15:$BX$15,1,A113)</f>
        <v>2</v>
      </c>
      <c r="E113" s="71" t="n">
        <f aca="false">INDEX($F$16:$BX$16,1,A113)</f>
        <v>0</v>
      </c>
      <c r="F113" s="23" t="n">
        <f aca="false">C113*100</f>
        <v>0</v>
      </c>
      <c r="G113" s="25" t="n">
        <f aca="false">F113/'Food Data'!N7</f>
        <v>0</v>
      </c>
      <c r="H113" s="81" t="n">
        <f aca="false">C113*INDEX($F$14:$BX$14,1,A113)</f>
        <v>0</v>
      </c>
      <c r="I113" s="75" t="str">
        <f aca="false">IF(AND(D113&gt;0,C113&gt;=D113-0.00001),"at cap","")</f>
        <v/>
      </c>
      <c r="J113" s="23" t="n">
        <f aca="false">F113*INDEX($F$33:$BX$33,1,A113)</f>
        <v>0</v>
      </c>
      <c r="K113" s="23" t="n">
        <f aca="false">F113*INDEX($F$34:$BX$34,1,A113)</f>
        <v>0</v>
      </c>
      <c r="L113" s="23" t="n">
        <f aca="false">F113*INDEX($F$35:$BX$35,1,A113)</f>
        <v>0</v>
      </c>
      <c r="M113" s="23" t="n">
        <f aca="false">F113*INDEX($F$36:$BX$36,1,A113)</f>
        <v>0</v>
      </c>
      <c r="N113" s="23" t="str">
        <f aca="false">IF(J113&gt;=0.5,COUNTIF(J$112:J113,"&gt;=0.5"),"")</f>
        <v/>
      </c>
      <c r="O113" s="23" t="str">
        <f aca="false">IF(K113&gt;=0.5,COUNTIF(K$112:K113,"&gt;=0.5"),"")</f>
        <v/>
      </c>
      <c r="P113" s="23" t="str">
        <f aca="false">IF(L113&gt;=0.5,COUNTIF(L$112:L113,"&gt;=0.5"),"")</f>
        <v/>
      </c>
      <c r="Q113" s="23" t="str">
        <f aca="false">IF(M113&gt;=0.5,COUNTIF(M$112:M113,"&gt;=0.5"),"")</f>
        <v/>
      </c>
    </row>
    <row r="114" customFormat="false" ht="15" hidden="false" customHeight="false" outlineLevel="0" collapsed="false">
      <c r="A114" s="4" t="n">
        <v>3</v>
      </c>
      <c r="B114" s="79" t="str">
        <f aca="false">H$13</f>
        <v>Chicken thighs (boneless, skinless)</v>
      </c>
      <c r="C114" s="80" t="n">
        <v>0</v>
      </c>
      <c r="D114" s="71" t="n">
        <f aca="false">INDEX($F$15:$BX$15,1,A114)</f>
        <v>2.26</v>
      </c>
      <c r="E114" s="71" t="n">
        <f aca="false">INDEX($F$16:$BX$16,1,A114)</f>
        <v>0</v>
      </c>
      <c r="F114" s="23" t="n">
        <f aca="false">C114*100</f>
        <v>0</v>
      </c>
      <c r="G114" s="25" t="n">
        <f aca="false">F114/'Food Data'!N8</f>
        <v>0</v>
      </c>
      <c r="H114" s="81" t="n">
        <f aca="false">C114*INDEX($F$14:$BX$14,1,A114)</f>
        <v>0</v>
      </c>
      <c r="I114" s="75" t="str">
        <f aca="false">IF(AND(D114&gt;0,C114&gt;=D114-0.00001),"at cap","")</f>
        <v/>
      </c>
      <c r="J114" s="23" t="n">
        <f aca="false">F114*INDEX($F$33:$BX$33,1,A114)</f>
        <v>0</v>
      </c>
      <c r="K114" s="23" t="n">
        <f aca="false">F114*INDEX($F$34:$BX$34,1,A114)</f>
        <v>0</v>
      </c>
      <c r="L114" s="23" t="n">
        <f aca="false">F114*INDEX($F$35:$BX$35,1,A114)</f>
        <v>0</v>
      </c>
      <c r="M114" s="23" t="n">
        <f aca="false">F114*INDEX($F$36:$BX$36,1,A114)</f>
        <v>0</v>
      </c>
      <c r="N114" s="23" t="str">
        <f aca="false">IF(J114&gt;=0.5,COUNTIF(J$112:J114,"&gt;=0.5"),"")</f>
        <v/>
      </c>
      <c r="O114" s="23" t="str">
        <f aca="false">IF(K114&gt;=0.5,COUNTIF(K$112:K114,"&gt;=0.5"),"")</f>
        <v/>
      </c>
      <c r="P114" s="23" t="str">
        <f aca="false">IF(L114&gt;=0.5,COUNTIF(L$112:L114,"&gt;=0.5"),"")</f>
        <v/>
      </c>
      <c r="Q114" s="23" t="str">
        <f aca="false">IF(M114&gt;=0.5,COUNTIF(M$112:M114,"&gt;=0.5"),"")</f>
        <v/>
      </c>
    </row>
    <row r="115" customFormat="false" ht="15" hidden="false" customHeight="false" outlineLevel="0" collapsed="false">
      <c r="A115" s="4" t="n">
        <v>4</v>
      </c>
      <c r="B115" s="79" t="str">
        <f aca="false">I$13</f>
        <v>Deli turkey breast (sliced)</v>
      </c>
      <c r="C115" s="80" t="n">
        <v>0</v>
      </c>
      <c r="D115" s="71" t="n">
        <f aca="false">INDEX($F$15:$BX$15,1,A115)</f>
        <v>1.12</v>
      </c>
      <c r="E115" s="71" t="n">
        <f aca="false">INDEX($F$16:$BX$16,1,A115)</f>
        <v>0</v>
      </c>
      <c r="F115" s="23" t="n">
        <f aca="false">C115*100</f>
        <v>0</v>
      </c>
      <c r="G115" s="25" t="n">
        <f aca="false">F115/'Food Data'!N9</f>
        <v>0</v>
      </c>
      <c r="H115" s="81" t="n">
        <f aca="false">C115*INDEX($F$14:$BX$14,1,A115)</f>
        <v>0</v>
      </c>
      <c r="I115" s="75" t="str">
        <f aca="false">IF(AND(D115&gt;0,C115&gt;=D115-0.00001),"at cap","")</f>
        <v/>
      </c>
      <c r="J115" s="23" t="n">
        <f aca="false">F115*INDEX($F$33:$BX$33,1,A115)</f>
        <v>0</v>
      </c>
      <c r="K115" s="23" t="n">
        <f aca="false">F115*INDEX($F$34:$BX$34,1,A115)</f>
        <v>0</v>
      </c>
      <c r="L115" s="23" t="n">
        <f aca="false">F115*INDEX($F$35:$BX$35,1,A115)</f>
        <v>0</v>
      </c>
      <c r="M115" s="23" t="n">
        <f aca="false">F115*INDEX($F$36:$BX$36,1,A115)</f>
        <v>0</v>
      </c>
      <c r="N115" s="23" t="str">
        <f aca="false">IF(J115&gt;=0.5,COUNTIF(J$112:J115,"&gt;=0.5"),"")</f>
        <v/>
      </c>
      <c r="O115" s="23" t="str">
        <f aca="false">IF(K115&gt;=0.5,COUNTIF(K$112:K115,"&gt;=0.5"),"")</f>
        <v/>
      </c>
      <c r="P115" s="23" t="str">
        <f aca="false">IF(L115&gt;=0.5,COUNTIF(L$112:L115,"&gt;=0.5"),"")</f>
        <v/>
      </c>
      <c r="Q115" s="23" t="str">
        <f aca="false">IF(M115&gt;=0.5,COUNTIF(M$112:M115,"&gt;=0.5"),"")</f>
        <v/>
      </c>
    </row>
    <row r="116" customFormat="false" ht="15" hidden="false" customHeight="false" outlineLevel="0" collapsed="false">
      <c r="A116" s="4" t="n">
        <v>5</v>
      </c>
      <c r="B116" s="79" t="str">
        <f aca="false">J$13</f>
        <v>Ground turkey 93/7</v>
      </c>
      <c r="C116" s="80" t="n">
        <v>0</v>
      </c>
      <c r="D116" s="71" t="n">
        <f aca="false">INDEX($F$15:$BX$15,1,A116)</f>
        <v>2.26</v>
      </c>
      <c r="E116" s="71" t="n">
        <f aca="false">INDEX($F$16:$BX$16,1,A116)</f>
        <v>0</v>
      </c>
      <c r="F116" s="23" t="n">
        <f aca="false">C116*100</f>
        <v>0</v>
      </c>
      <c r="G116" s="25" t="n">
        <f aca="false">F116/'Food Data'!N10</f>
        <v>0</v>
      </c>
      <c r="H116" s="81" t="n">
        <f aca="false">C116*INDEX($F$14:$BX$14,1,A116)</f>
        <v>0</v>
      </c>
      <c r="I116" s="75" t="str">
        <f aca="false">IF(AND(D116&gt;0,C116&gt;=D116-0.00001),"at cap","")</f>
        <v/>
      </c>
      <c r="J116" s="23" t="n">
        <f aca="false">F116*INDEX($F$33:$BX$33,1,A116)</f>
        <v>0</v>
      </c>
      <c r="K116" s="23" t="n">
        <f aca="false">F116*INDEX($F$34:$BX$34,1,A116)</f>
        <v>0</v>
      </c>
      <c r="L116" s="23" t="n">
        <f aca="false">F116*INDEX($F$35:$BX$35,1,A116)</f>
        <v>0</v>
      </c>
      <c r="M116" s="23" t="n">
        <f aca="false">F116*INDEX($F$36:$BX$36,1,A116)</f>
        <v>0</v>
      </c>
      <c r="N116" s="23" t="str">
        <f aca="false">IF(J116&gt;=0.5,COUNTIF(J$112:J116,"&gt;=0.5"),"")</f>
        <v/>
      </c>
      <c r="O116" s="23" t="str">
        <f aca="false">IF(K116&gt;=0.5,COUNTIF(K$112:K116,"&gt;=0.5"),"")</f>
        <v/>
      </c>
      <c r="P116" s="23" t="str">
        <f aca="false">IF(L116&gt;=0.5,COUNTIF(L$112:L116,"&gt;=0.5"),"")</f>
        <v/>
      </c>
      <c r="Q116" s="23" t="str">
        <f aca="false">IF(M116&gt;=0.5,COUNTIF(M$112:M116,"&gt;=0.5"),"")</f>
        <v/>
      </c>
    </row>
    <row r="117" customFormat="false" ht="15" hidden="false" customHeight="false" outlineLevel="0" collapsed="false">
      <c r="A117" s="4" t="n">
        <v>6</v>
      </c>
      <c r="B117" s="79" t="str">
        <f aca="false">K$13</f>
        <v>Bacon</v>
      </c>
      <c r="C117" s="80" t="n">
        <v>0</v>
      </c>
      <c r="D117" s="71" t="n">
        <f aca="false">INDEX($F$15:$BX$15,1,A117)</f>
        <v>0.84</v>
      </c>
      <c r="E117" s="71" t="n">
        <f aca="false">INDEX($F$16:$BX$16,1,A117)</f>
        <v>0</v>
      </c>
      <c r="F117" s="23" t="n">
        <f aca="false">C117*100</f>
        <v>0</v>
      </c>
      <c r="G117" s="25" t="n">
        <f aca="false">F117/'Food Data'!N11</f>
        <v>0</v>
      </c>
      <c r="H117" s="81" t="n">
        <f aca="false">C117*INDEX($F$14:$BX$14,1,A117)</f>
        <v>0</v>
      </c>
      <c r="I117" s="75" t="str">
        <f aca="false">IF(AND(D117&gt;0,C117&gt;=D117-0.00001),"at cap","")</f>
        <v/>
      </c>
      <c r="J117" s="23" t="n">
        <f aca="false">F117*INDEX($F$33:$BX$33,1,A117)</f>
        <v>0</v>
      </c>
      <c r="K117" s="23" t="n">
        <f aca="false">F117*INDEX($F$34:$BX$34,1,A117)</f>
        <v>0</v>
      </c>
      <c r="L117" s="23" t="n">
        <f aca="false">F117*INDEX($F$35:$BX$35,1,A117)</f>
        <v>0</v>
      </c>
      <c r="M117" s="23" t="n">
        <f aca="false">F117*INDEX($F$36:$BX$36,1,A117)</f>
        <v>0</v>
      </c>
      <c r="N117" s="23" t="str">
        <f aca="false">IF(J117&gt;=0.5,COUNTIF(J$112:J117,"&gt;=0.5"),"")</f>
        <v/>
      </c>
      <c r="O117" s="23" t="str">
        <f aca="false">IF(K117&gt;=0.5,COUNTIF(K$112:K117,"&gt;=0.5"),"")</f>
        <v/>
      </c>
      <c r="P117" s="23" t="str">
        <f aca="false">IF(L117&gt;=0.5,COUNTIF(L$112:L117,"&gt;=0.5"),"")</f>
        <v/>
      </c>
      <c r="Q117" s="23" t="str">
        <f aca="false">IF(M117&gt;=0.5,COUNTIF(M$112:M117,"&gt;=0.5"),"")</f>
        <v/>
      </c>
    </row>
    <row r="118" customFormat="false" ht="15" hidden="false" customHeight="false" outlineLevel="0" collapsed="false">
      <c r="A118" s="4" t="n">
        <v>7</v>
      </c>
      <c r="B118" s="79" t="str">
        <f aca="false">L$13</f>
        <v>Ground beef 80/20</v>
      </c>
      <c r="C118" s="80" t="n">
        <v>0</v>
      </c>
      <c r="D118" s="71" t="n">
        <f aca="false">INDEX($F$15:$BX$15,1,A118)</f>
        <v>2.26</v>
      </c>
      <c r="E118" s="71" t="n">
        <f aca="false">INDEX($F$16:$BX$16,1,A118)</f>
        <v>0</v>
      </c>
      <c r="F118" s="23" t="n">
        <f aca="false">C118*100</f>
        <v>0</v>
      </c>
      <c r="G118" s="25" t="n">
        <f aca="false">F118/'Food Data'!N12</f>
        <v>0</v>
      </c>
      <c r="H118" s="81" t="n">
        <f aca="false">C118*INDEX($F$14:$BX$14,1,A118)</f>
        <v>0</v>
      </c>
      <c r="I118" s="75" t="str">
        <f aca="false">IF(AND(D118&gt;0,C118&gt;=D118-0.00001),"at cap","")</f>
        <v/>
      </c>
      <c r="J118" s="23" t="n">
        <f aca="false">F118*INDEX($F$33:$BX$33,1,A118)</f>
        <v>0</v>
      </c>
      <c r="K118" s="23" t="n">
        <f aca="false">F118*INDEX($F$34:$BX$34,1,A118)</f>
        <v>0</v>
      </c>
      <c r="L118" s="23" t="n">
        <f aca="false">F118*INDEX($F$35:$BX$35,1,A118)</f>
        <v>0</v>
      </c>
      <c r="M118" s="23" t="n">
        <f aca="false">F118*INDEX($F$36:$BX$36,1,A118)</f>
        <v>0</v>
      </c>
      <c r="N118" s="23" t="str">
        <f aca="false">IF(J118&gt;=0.5,COUNTIF(J$112:J118,"&gt;=0.5"),"")</f>
        <v/>
      </c>
      <c r="O118" s="23" t="str">
        <f aca="false">IF(K118&gt;=0.5,COUNTIF(K$112:K118,"&gt;=0.5"),"")</f>
        <v/>
      </c>
      <c r="P118" s="23" t="str">
        <f aca="false">IF(L118&gt;=0.5,COUNTIF(L$112:L118,"&gt;=0.5"),"")</f>
        <v/>
      </c>
      <c r="Q118" s="23" t="str">
        <f aca="false">IF(M118&gt;=0.5,COUNTIF(M$112:M118,"&gt;=0.5"),"")</f>
        <v/>
      </c>
    </row>
    <row r="119" customFormat="false" ht="15" hidden="false" customHeight="false" outlineLevel="0" collapsed="false">
      <c r="A119" s="4" t="n">
        <v>8</v>
      </c>
      <c r="B119" s="79" t="str">
        <f aca="false">M$13</f>
        <v>Ground beef 93/7 (lean)</v>
      </c>
      <c r="C119" s="80" t="n">
        <v>0</v>
      </c>
      <c r="D119" s="71" t="n">
        <f aca="false">INDEX($F$15:$BX$15,1,A119)</f>
        <v>2.26</v>
      </c>
      <c r="E119" s="71" t="n">
        <f aca="false">INDEX($F$16:$BX$16,1,A119)</f>
        <v>0</v>
      </c>
      <c r="F119" s="23" t="n">
        <f aca="false">C119*100</f>
        <v>0</v>
      </c>
      <c r="G119" s="25" t="n">
        <f aca="false">F119/'Food Data'!N13</f>
        <v>0</v>
      </c>
      <c r="H119" s="81" t="n">
        <f aca="false">C119*INDEX($F$14:$BX$14,1,A119)</f>
        <v>0</v>
      </c>
      <c r="I119" s="75" t="str">
        <f aca="false">IF(AND(D119&gt;0,C119&gt;=D119-0.00001),"at cap","")</f>
        <v/>
      </c>
      <c r="J119" s="23" t="n">
        <f aca="false">F119*INDEX($F$33:$BX$33,1,A119)</f>
        <v>0</v>
      </c>
      <c r="K119" s="23" t="n">
        <f aca="false">F119*INDEX($F$34:$BX$34,1,A119)</f>
        <v>0</v>
      </c>
      <c r="L119" s="23" t="n">
        <f aca="false">F119*INDEX($F$35:$BX$35,1,A119)</f>
        <v>0</v>
      </c>
      <c r="M119" s="23" t="n">
        <f aca="false">F119*INDEX($F$36:$BX$36,1,A119)</f>
        <v>0</v>
      </c>
      <c r="N119" s="23" t="str">
        <f aca="false">IF(J119&gt;=0.5,COUNTIF(J$112:J119,"&gt;=0.5"),"")</f>
        <v/>
      </c>
      <c r="O119" s="23" t="str">
        <f aca="false">IF(K119&gt;=0.5,COUNTIF(K$112:K119,"&gt;=0.5"),"")</f>
        <v/>
      </c>
      <c r="P119" s="23" t="str">
        <f aca="false">IF(L119&gt;=0.5,COUNTIF(L$112:L119,"&gt;=0.5"),"")</f>
        <v/>
      </c>
      <c r="Q119" s="23" t="str">
        <f aca="false">IF(M119&gt;=0.5,COUNTIF(M$112:M119,"&gt;=0.5"),"")</f>
        <v/>
      </c>
    </row>
    <row r="120" customFormat="false" ht="15" hidden="false" customHeight="false" outlineLevel="0" collapsed="false">
      <c r="A120" s="4" t="n">
        <v>9</v>
      </c>
      <c r="B120" s="79" t="str">
        <f aca="false">N$13</f>
        <v>Ham (sliced, cooked)</v>
      </c>
      <c r="C120" s="80" t="n">
        <v>0</v>
      </c>
      <c r="D120" s="71" t="n">
        <f aca="false">INDEX($F$15:$BX$15,1,A120)</f>
        <v>1.12</v>
      </c>
      <c r="E120" s="71" t="n">
        <f aca="false">INDEX($F$16:$BX$16,1,A120)</f>
        <v>0</v>
      </c>
      <c r="F120" s="23" t="n">
        <f aca="false">C120*100</f>
        <v>0</v>
      </c>
      <c r="G120" s="25" t="n">
        <f aca="false">F120/'Food Data'!N14</f>
        <v>0</v>
      </c>
      <c r="H120" s="81" t="n">
        <f aca="false">C120*INDEX($F$14:$BX$14,1,A120)</f>
        <v>0</v>
      </c>
      <c r="I120" s="75" t="str">
        <f aca="false">IF(AND(D120&gt;0,C120&gt;=D120-0.00001),"at cap","")</f>
        <v/>
      </c>
      <c r="J120" s="23" t="n">
        <f aca="false">F120*INDEX($F$33:$BX$33,1,A120)</f>
        <v>0</v>
      </c>
      <c r="K120" s="23" t="n">
        <f aca="false">F120*INDEX($F$34:$BX$34,1,A120)</f>
        <v>0</v>
      </c>
      <c r="L120" s="23" t="n">
        <f aca="false">F120*INDEX($F$35:$BX$35,1,A120)</f>
        <v>0</v>
      </c>
      <c r="M120" s="23" t="n">
        <f aca="false">F120*INDEX($F$36:$BX$36,1,A120)</f>
        <v>0</v>
      </c>
      <c r="N120" s="23" t="str">
        <f aca="false">IF(J120&gt;=0.5,COUNTIF(J$112:J120,"&gt;=0.5"),"")</f>
        <v/>
      </c>
      <c r="O120" s="23" t="str">
        <f aca="false">IF(K120&gt;=0.5,COUNTIF(K$112:K120,"&gt;=0.5"),"")</f>
        <v/>
      </c>
      <c r="P120" s="23" t="str">
        <f aca="false">IF(L120&gt;=0.5,COUNTIF(L$112:L120,"&gt;=0.5"),"")</f>
        <v/>
      </c>
      <c r="Q120" s="23" t="str">
        <f aca="false">IF(M120&gt;=0.5,COUNTIF(M$112:M120,"&gt;=0.5"),"")</f>
        <v/>
      </c>
    </row>
    <row r="121" customFormat="false" ht="15" hidden="false" customHeight="false" outlineLevel="0" collapsed="false">
      <c r="A121" s="4" t="n">
        <v>10</v>
      </c>
      <c r="B121" s="79" t="str">
        <f aca="false">O$13</f>
        <v>Pork loin chops (boneless)</v>
      </c>
      <c r="C121" s="80" t="n">
        <v>0</v>
      </c>
      <c r="D121" s="71" t="n">
        <f aca="false">INDEX($F$15:$BX$15,1,A121)</f>
        <v>2.26</v>
      </c>
      <c r="E121" s="71" t="n">
        <f aca="false">INDEX($F$16:$BX$16,1,A121)</f>
        <v>0</v>
      </c>
      <c r="F121" s="23" t="n">
        <f aca="false">C121*100</f>
        <v>0</v>
      </c>
      <c r="G121" s="25" t="n">
        <f aca="false">F121/'Food Data'!N15</f>
        <v>0</v>
      </c>
      <c r="H121" s="81" t="n">
        <f aca="false">C121*INDEX($F$14:$BX$14,1,A121)</f>
        <v>0</v>
      </c>
      <c r="I121" s="75" t="str">
        <f aca="false">IF(AND(D121&gt;0,C121&gt;=D121-0.00001),"at cap","")</f>
        <v/>
      </c>
      <c r="J121" s="23" t="n">
        <f aca="false">F121*INDEX($F$33:$BX$33,1,A121)</f>
        <v>0</v>
      </c>
      <c r="K121" s="23" t="n">
        <f aca="false">F121*INDEX($F$34:$BX$34,1,A121)</f>
        <v>0</v>
      </c>
      <c r="L121" s="23" t="n">
        <f aca="false">F121*INDEX($F$35:$BX$35,1,A121)</f>
        <v>0</v>
      </c>
      <c r="M121" s="23" t="n">
        <f aca="false">F121*INDEX($F$36:$BX$36,1,A121)</f>
        <v>0</v>
      </c>
      <c r="N121" s="23" t="str">
        <f aca="false">IF(J121&gt;=0.5,COUNTIF(J$112:J121,"&gt;=0.5"),"")</f>
        <v/>
      </c>
      <c r="O121" s="23" t="str">
        <f aca="false">IF(K121&gt;=0.5,COUNTIF(K$112:K121,"&gt;=0.5"),"")</f>
        <v/>
      </c>
      <c r="P121" s="23" t="str">
        <f aca="false">IF(L121&gt;=0.5,COUNTIF(L$112:L121,"&gt;=0.5"),"")</f>
        <v/>
      </c>
      <c r="Q121" s="23" t="str">
        <f aca="false">IF(M121&gt;=0.5,COUNTIF(M$112:M121,"&gt;=0.5"),"")</f>
        <v/>
      </c>
    </row>
    <row r="122" customFormat="false" ht="15" hidden="false" customHeight="false" outlineLevel="0" collapsed="false">
      <c r="A122" s="4" t="n">
        <v>11</v>
      </c>
      <c r="B122" s="79" t="str">
        <f aca="false">P$13</f>
        <v>Top sirloin steak</v>
      </c>
      <c r="C122" s="80" t="n">
        <v>0</v>
      </c>
      <c r="D122" s="71" t="n">
        <f aca="false">INDEX($F$15:$BX$15,1,A122)</f>
        <v>2.26</v>
      </c>
      <c r="E122" s="71" t="n">
        <f aca="false">INDEX($F$16:$BX$16,1,A122)</f>
        <v>0</v>
      </c>
      <c r="F122" s="23" t="n">
        <f aca="false">C122*100</f>
        <v>0</v>
      </c>
      <c r="G122" s="25" t="n">
        <f aca="false">F122/'Food Data'!N16</f>
        <v>0</v>
      </c>
      <c r="H122" s="81" t="n">
        <f aca="false">C122*INDEX($F$14:$BX$14,1,A122)</f>
        <v>0</v>
      </c>
      <c r="I122" s="75" t="str">
        <f aca="false">IF(AND(D122&gt;0,C122&gt;=D122-0.00001),"at cap","")</f>
        <v/>
      </c>
      <c r="J122" s="23" t="n">
        <f aca="false">F122*INDEX($F$33:$BX$33,1,A122)</f>
        <v>0</v>
      </c>
      <c r="K122" s="23" t="n">
        <f aca="false">F122*INDEX($F$34:$BX$34,1,A122)</f>
        <v>0</v>
      </c>
      <c r="L122" s="23" t="n">
        <f aca="false">F122*INDEX($F$35:$BX$35,1,A122)</f>
        <v>0</v>
      </c>
      <c r="M122" s="23" t="n">
        <f aca="false">F122*INDEX($F$36:$BX$36,1,A122)</f>
        <v>0</v>
      </c>
      <c r="N122" s="23" t="str">
        <f aca="false">IF(J122&gt;=0.5,COUNTIF(J$112:J122,"&gt;=0.5"),"")</f>
        <v/>
      </c>
      <c r="O122" s="23" t="str">
        <f aca="false">IF(K122&gt;=0.5,COUNTIF(K$112:K122,"&gt;=0.5"),"")</f>
        <v/>
      </c>
      <c r="P122" s="23" t="str">
        <f aca="false">IF(L122&gt;=0.5,COUNTIF(L$112:L122,"&gt;=0.5"),"")</f>
        <v/>
      </c>
      <c r="Q122" s="23" t="str">
        <f aca="false">IF(M122&gt;=0.5,COUNTIF(M$112:M122,"&gt;=0.5"),"")</f>
        <v/>
      </c>
    </row>
    <row r="123" customFormat="false" ht="15" hidden="false" customHeight="false" outlineLevel="0" collapsed="false">
      <c r="A123" s="4" t="n">
        <v>12</v>
      </c>
      <c r="B123" s="79" t="str">
        <f aca="false">Q$13</f>
        <v>Canned light tuna (in water)</v>
      </c>
      <c r="C123" s="80" t="n">
        <v>0</v>
      </c>
      <c r="D123" s="71" t="n">
        <f aca="false">INDEX($F$15:$BX$15,1,A123)</f>
        <v>1.7</v>
      </c>
      <c r="E123" s="71" t="n">
        <f aca="false">INDEX($F$16:$BX$16,1,A123)</f>
        <v>0</v>
      </c>
      <c r="F123" s="23" t="n">
        <f aca="false">C123*100</f>
        <v>0</v>
      </c>
      <c r="G123" s="25" t="n">
        <f aca="false">F123/'Food Data'!N17</f>
        <v>0</v>
      </c>
      <c r="H123" s="81" t="n">
        <f aca="false">C123*INDEX($F$14:$BX$14,1,A123)</f>
        <v>0</v>
      </c>
      <c r="I123" s="75" t="str">
        <f aca="false">IF(AND(D123&gt;0,C123&gt;=D123-0.00001),"at cap","")</f>
        <v/>
      </c>
      <c r="J123" s="23" t="n">
        <f aca="false">F123*INDEX($F$33:$BX$33,1,A123)</f>
        <v>0</v>
      </c>
      <c r="K123" s="23" t="n">
        <f aca="false">F123*INDEX($F$34:$BX$34,1,A123)</f>
        <v>0</v>
      </c>
      <c r="L123" s="23" t="n">
        <f aca="false">F123*INDEX($F$35:$BX$35,1,A123)</f>
        <v>0</v>
      </c>
      <c r="M123" s="23" t="n">
        <f aca="false">F123*INDEX($F$36:$BX$36,1,A123)</f>
        <v>0</v>
      </c>
      <c r="N123" s="23" t="str">
        <f aca="false">IF(J123&gt;=0.5,COUNTIF(J$112:J123,"&gt;=0.5"),"")</f>
        <v/>
      </c>
      <c r="O123" s="23" t="str">
        <f aca="false">IF(K123&gt;=0.5,COUNTIF(K$112:K123,"&gt;=0.5"),"")</f>
        <v/>
      </c>
      <c r="P123" s="23" t="str">
        <f aca="false">IF(L123&gt;=0.5,COUNTIF(L$112:L123,"&gt;=0.5"),"")</f>
        <v/>
      </c>
      <c r="Q123" s="23" t="str">
        <f aca="false">IF(M123&gt;=0.5,COUNTIF(M$112:M123,"&gt;=0.5"),"")</f>
        <v/>
      </c>
    </row>
    <row r="124" customFormat="false" ht="15" hidden="false" customHeight="false" outlineLevel="0" collapsed="false">
      <c r="A124" s="4" t="n">
        <v>13</v>
      </c>
      <c r="B124" s="79" t="str">
        <f aca="false">R$13</f>
        <v>Salmon (Atlantic, fillet)</v>
      </c>
      <c r="C124" s="80" t="n">
        <v>0</v>
      </c>
      <c r="D124" s="71" t="n">
        <f aca="false">INDEX($F$15:$BX$15,1,A124)</f>
        <v>2.26</v>
      </c>
      <c r="E124" s="71" t="n">
        <f aca="false">INDEX($F$16:$BX$16,1,A124)</f>
        <v>0</v>
      </c>
      <c r="F124" s="23" t="n">
        <f aca="false">C124*100</f>
        <v>0</v>
      </c>
      <c r="G124" s="25" t="n">
        <f aca="false">F124/'Food Data'!N18</f>
        <v>0</v>
      </c>
      <c r="H124" s="81" t="n">
        <f aca="false">C124*INDEX($F$14:$BX$14,1,A124)</f>
        <v>0</v>
      </c>
      <c r="I124" s="75" t="str">
        <f aca="false">IF(AND(D124&gt;0,C124&gt;=D124-0.00001),"at cap","")</f>
        <v/>
      </c>
      <c r="J124" s="23" t="n">
        <f aca="false">F124*INDEX($F$33:$BX$33,1,A124)</f>
        <v>0</v>
      </c>
      <c r="K124" s="23" t="n">
        <f aca="false">F124*INDEX($F$34:$BX$34,1,A124)</f>
        <v>0</v>
      </c>
      <c r="L124" s="23" t="n">
        <f aca="false">F124*INDEX($F$35:$BX$35,1,A124)</f>
        <v>0</v>
      </c>
      <c r="M124" s="23" t="n">
        <f aca="false">F124*INDEX($F$36:$BX$36,1,A124)</f>
        <v>0</v>
      </c>
      <c r="N124" s="23" t="str">
        <f aca="false">IF(J124&gt;=0.5,COUNTIF(J$112:J124,"&gt;=0.5"),"")</f>
        <v/>
      </c>
      <c r="O124" s="23" t="str">
        <f aca="false">IF(K124&gt;=0.5,COUNTIF(K$112:K124,"&gt;=0.5"),"")</f>
        <v/>
      </c>
      <c r="P124" s="23" t="str">
        <f aca="false">IF(L124&gt;=0.5,COUNTIF(L$112:L124,"&gt;=0.5"),"")</f>
        <v/>
      </c>
      <c r="Q124" s="23" t="str">
        <f aca="false">IF(M124&gt;=0.5,COUNTIF(M$112:M124,"&gt;=0.5"),"")</f>
        <v/>
      </c>
    </row>
    <row r="125" customFormat="false" ht="15" hidden="false" customHeight="false" outlineLevel="0" collapsed="false">
      <c r="A125" s="4" t="n">
        <v>14</v>
      </c>
      <c r="B125" s="79" t="str">
        <f aca="false">S$13</f>
        <v>Shrimp (raw, peeled)</v>
      </c>
      <c r="C125" s="80" t="n">
        <v>0</v>
      </c>
      <c r="D125" s="71" t="n">
        <f aca="false">INDEX($F$15:$BX$15,1,A125)</f>
        <v>2.26</v>
      </c>
      <c r="E125" s="71" t="n">
        <f aca="false">INDEX($F$16:$BX$16,1,A125)</f>
        <v>0</v>
      </c>
      <c r="F125" s="23" t="n">
        <f aca="false">C125*100</f>
        <v>0</v>
      </c>
      <c r="G125" s="25" t="n">
        <f aca="false">F125/'Food Data'!N19</f>
        <v>0</v>
      </c>
      <c r="H125" s="81" t="n">
        <f aca="false">C125*INDEX($F$14:$BX$14,1,A125)</f>
        <v>0</v>
      </c>
      <c r="I125" s="75" t="str">
        <f aca="false">IF(AND(D125&gt;0,C125&gt;=D125-0.00001),"at cap","")</f>
        <v/>
      </c>
      <c r="J125" s="23" t="n">
        <f aca="false">F125*INDEX($F$33:$BX$33,1,A125)</f>
        <v>0</v>
      </c>
      <c r="K125" s="23" t="n">
        <f aca="false">F125*INDEX($F$34:$BX$34,1,A125)</f>
        <v>0</v>
      </c>
      <c r="L125" s="23" t="n">
        <f aca="false">F125*INDEX($F$35:$BX$35,1,A125)</f>
        <v>0</v>
      </c>
      <c r="M125" s="23" t="n">
        <f aca="false">F125*INDEX($F$36:$BX$36,1,A125)</f>
        <v>0</v>
      </c>
      <c r="N125" s="23" t="str">
        <f aca="false">IF(J125&gt;=0.5,COUNTIF(J$112:J125,"&gt;=0.5"),"")</f>
        <v/>
      </c>
      <c r="O125" s="23" t="str">
        <f aca="false">IF(K125&gt;=0.5,COUNTIF(K$112:K125,"&gt;=0.5"),"")</f>
        <v/>
      </c>
      <c r="P125" s="23" t="str">
        <f aca="false">IF(L125&gt;=0.5,COUNTIF(L$112:L125,"&gt;=0.5"),"")</f>
        <v/>
      </c>
      <c r="Q125" s="23" t="str">
        <f aca="false">IF(M125&gt;=0.5,COUNTIF(M$112:M125,"&gt;=0.5"),"")</f>
        <v/>
      </c>
    </row>
    <row r="126" customFormat="false" ht="15" hidden="false" customHeight="false" outlineLevel="0" collapsed="false">
      <c r="A126" s="4" t="n">
        <v>15</v>
      </c>
      <c r="B126" s="79" t="str">
        <f aca="false">T$13</f>
        <v>Tilapia (fillet)</v>
      </c>
      <c r="C126" s="80" t="n">
        <v>0</v>
      </c>
      <c r="D126" s="71" t="n">
        <f aca="false">INDEX($F$15:$BX$15,1,A126)</f>
        <v>2.26</v>
      </c>
      <c r="E126" s="71" t="n">
        <f aca="false">INDEX($F$16:$BX$16,1,A126)</f>
        <v>0</v>
      </c>
      <c r="F126" s="23" t="n">
        <f aca="false">C126*100</f>
        <v>0</v>
      </c>
      <c r="G126" s="25" t="n">
        <f aca="false">F126/'Food Data'!N20</f>
        <v>0</v>
      </c>
      <c r="H126" s="81" t="n">
        <f aca="false">C126*INDEX($F$14:$BX$14,1,A126)</f>
        <v>0</v>
      </c>
      <c r="I126" s="75" t="str">
        <f aca="false">IF(AND(D126&gt;0,C126&gt;=D126-0.00001),"at cap","")</f>
        <v/>
      </c>
      <c r="J126" s="23" t="n">
        <f aca="false">F126*INDEX($F$33:$BX$33,1,A126)</f>
        <v>0</v>
      </c>
      <c r="K126" s="23" t="n">
        <f aca="false">F126*INDEX($F$34:$BX$34,1,A126)</f>
        <v>0</v>
      </c>
      <c r="L126" s="23" t="n">
        <f aca="false">F126*INDEX($F$35:$BX$35,1,A126)</f>
        <v>0</v>
      </c>
      <c r="M126" s="23" t="n">
        <f aca="false">F126*INDEX($F$36:$BX$36,1,A126)</f>
        <v>0</v>
      </c>
      <c r="N126" s="23" t="str">
        <f aca="false">IF(J126&gt;=0.5,COUNTIF(J$112:J126,"&gt;=0.5"),"")</f>
        <v/>
      </c>
      <c r="O126" s="23" t="str">
        <f aca="false">IF(K126&gt;=0.5,COUNTIF(K$112:K126,"&gt;=0.5"),"")</f>
        <v/>
      </c>
      <c r="P126" s="23" t="str">
        <f aca="false">IF(L126&gt;=0.5,COUNTIF(L$112:L126,"&gt;=0.5"),"")</f>
        <v/>
      </c>
      <c r="Q126" s="23" t="str">
        <f aca="false">IF(M126&gt;=0.5,COUNTIF(M$112:M126,"&gt;=0.5"),"")</f>
        <v/>
      </c>
    </row>
    <row r="127" customFormat="false" ht="15" hidden="false" customHeight="false" outlineLevel="0" collapsed="false">
      <c r="A127" s="4" t="n">
        <v>16</v>
      </c>
      <c r="B127" s="79" t="str">
        <f aca="false">U$13</f>
        <v>Eggs (large)</v>
      </c>
      <c r="C127" s="80" t="n">
        <v>1.263755108</v>
      </c>
      <c r="D127" s="71" t="n">
        <f aca="false">INDEX($F$15:$BX$15,1,A127)</f>
        <v>1.5</v>
      </c>
      <c r="E127" s="71" t="n">
        <f aca="false">INDEX($F$16:$BX$16,1,A127)</f>
        <v>0</v>
      </c>
      <c r="F127" s="23" t="n">
        <f aca="false">C127*100</f>
        <v>126.3755108</v>
      </c>
      <c r="G127" s="25" t="n">
        <f aca="false">F127/'Food Data'!N21</f>
        <v>2.527510216</v>
      </c>
      <c r="H127" s="81" t="n">
        <f aca="false">C127*INDEX($F$14:$BX$14,1,A127)</f>
        <v>0.351754551848049</v>
      </c>
      <c r="I127" s="75" t="str">
        <f aca="false">IF(AND(D127&gt;0,C127&gt;=D127-0.00001),"at cap","")</f>
        <v/>
      </c>
      <c r="J127" s="23" t="n">
        <f aca="false">F127*INDEX($F$33:$BX$33,1,A127)</f>
        <v>126.3755108</v>
      </c>
      <c r="K127" s="23" t="n">
        <f aca="false">F127*INDEX($F$34:$BX$34,1,A127)</f>
        <v>0</v>
      </c>
      <c r="L127" s="23" t="n">
        <f aca="false">F127*INDEX($F$35:$BX$35,1,A127)</f>
        <v>0</v>
      </c>
      <c r="M127" s="23" t="n">
        <f aca="false">F127*INDEX($F$36:$BX$36,1,A127)</f>
        <v>0</v>
      </c>
      <c r="N127" s="23" t="n">
        <f aca="false">IF(J127&gt;=0.5,COUNTIF(J$112:J127,"&gt;=0.5"),"")</f>
        <v>1</v>
      </c>
      <c r="O127" s="23" t="str">
        <f aca="false">IF(K127&gt;=0.5,COUNTIF(K$112:K127,"&gt;=0.5"),"")</f>
        <v/>
      </c>
      <c r="P127" s="23" t="str">
        <f aca="false">IF(L127&gt;=0.5,COUNTIF(L$112:L127,"&gt;=0.5"),"")</f>
        <v/>
      </c>
      <c r="Q127" s="23" t="str">
        <f aca="false">IF(M127&gt;=0.5,COUNTIF(M$112:M127,"&gt;=0.5"),"")</f>
        <v/>
      </c>
    </row>
    <row r="128" customFormat="false" ht="15" hidden="false" customHeight="false" outlineLevel="0" collapsed="false">
      <c r="A128" s="4" t="n">
        <v>17</v>
      </c>
      <c r="B128" s="79" t="str">
        <f aca="false">V$13</f>
        <v>Black beans (canned)</v>
      </c>
      <c r="C128" s="80" t="n">
        <v>0</v>
      </c>
      <c r="D128" s="71" t="n">
        <f aca="false">INDEX($F$15:$BX$15,1,A128)</f>
        <v>3.6</v>
      </c>
      <c r="E128" s="71" t="n">
        <f aca="false">INDEX($F$16:$BX$16,1,A128)</f>
        <v>0</v>
      </c>
      <c r="F128" s="23" t="n">
        <f aca="false">C128*100</f>
        <v>0</v>
      </c>
      <c r="G128" s="25" t="n">
        <f aca="false">F128/'Food Data'!N22</f>
        <v>0</v>
      </c>
      <c r="H128" s="81" t="n">
        <f aca="false">C128*INDEX($F$14:$BX$14,1,A128)</f>
        <v>0</v>
      </c>
      <c r="I128" s="75" t="str">
        <f aca="false">IF(AND(D128&gt;0,C128&gt;=D128-0.00001),"at cap","")</f>
        <v/>
      </c>
      <c r="J128" s="23" t="n">
        <f aca="false">F128*INDEX($F$33:$BX$33,1,A128)</f>
        <v>0</v>
      </c>
      <c r="K128" s="23" t="n">
        <f aca="false">F128*INDEX($F$34:$BX$34,1,A128)</f>
        <v>0</v>
      </c>
      <c r="L128" s="23" t="n">
        <f aca="false">F128*INDEX($F$35:$BX$35,1,A128)</f>
        <v>0</v>
      </c>
      <c r="M128" s="23" t="n">
        <f aca="false">F128*INDEX($F$36:$BX$36,1,A128)</f>
        <v>0</v>
      </c>
      <c r="N128" s="23" t="str">
        <f aca="false">IF(J128&gt;=0.5,COUNTIF(J$112:J128,"&gt;=0.5"),"")</f>
        <v/>
      </c>
      <c r="O128" s="23" t="str">
        <f aca="false">IF(K128&gt;=0.5,COUNTIF(K$112:K128,"&gt;=0.5"),"")</f>
        <v/>
      </c>
      <c r="P128" s="23" t="str">
        <f aca="false">IF(L128&gt;=0.5,COUNTIF(L$112:L128,"&gt;=0.5"),"")</f>
        <v/>
      </c>
      <c r="Q128" s="23" t="str">
        <f aca="false">IF(M128&gt;=0.5,COUNTIF(M$112:M128,"&gt;=0.5"),"")</f>
        <v/>
      </c>
    </row>
    <row r="129" customFormat="false" ht="15" hidden="false" customHeight="false" outlineLevel="0" collapsed="false">
      <c r="A129" s="4" t="n">
        <v>18</v>
      </c>
      <c r="B129" s="79" t="str">
        <f aca="false">W$13</f>
        <v>Chickpeas (canned)</v>
      </c>
      <c r="C129" s="80" t="n">
        <v>0</v>
      </c>
      <c r="D129" s="71" t="n">
        <f aca="false">INDEX($F$15:$BX$15,1,A129)</f>
        <v>3.6</v>
      </c>
      <c r="E129" s="71" t="n">
        <f aca="false">INDEX($F$16:$BX$16,1,A129)</f>
        <v>0</v>
      </c>
      <c r="F129" s="23" t="n">
        <f aca="false">C129*100</f>
        <v>0</v>
      </c>
      <c r="G129" s="25" t="n">
        <f aca="false">F129/'Food Data'!N23</f>
        <v>0</v>
      </c>
      <c r="H129" s="81" t="n">
        <f aca="false">C129*INDEX($F$14:$BX$14,1,A129)</f>
        <v>0</v>
      </c>
      <c r="I129" s="75" t="str">
        <f aca="false">IF(AND(D129&gt;0,C129&gt;=D129-0.00001),"at cap","")</f>
        <v/>
      </c>
      <c r="J129" s="23" t="n">
        <f aca="false">F129*INDEX($F$33:$BX$33,1,A129)</f>
        <v>0</v>
      </c>
      <c r="K129" s="23" t="n">
        <f aca="false">F129*INDEX($F$34:$BX$34,1,A129)</f>
        <v>0</v>
      </c>
      <c r="L129" s="23" t="n">
        <f aca="false">F129*INDEX($F$35:$BX$35,1,A129)</f>
        <v>0</v>
      </c>
      <c r="M129" s="23" t="n">
        <f aca="false">F129*INDEX($F$36:$BX$36,1,A129)</f>
        <v>0</v>
      </c>
      <c r="N129" s="23" t="str">
        <f aca="false">IF(J129&gt;=0.5,COUNTIF(J$112:J129,"&gt;=0.5"),"")</f>
        <v/>
      </c>
      <c r="O129" s="23" t="str">
        <f aca="false">IF(K129&gt;=0.5,COUNTIF(K$112:K129,"&gt;=0.5"),"")</f>
        <v/>
      </c>
      <c r="P129" s="23" t="str">
        <f aca="false">IF(L129&gt;=0.5,COUNTIF(L$112:L129,"&gt;=0.5"),"")</f>
        <v/>
      </c>
      <c r="Q129" s="23" t="str">
        <f aca="false">IF(M129&gt;=0.5,COUNTIF(M$112:M129,"&gt;=0.5"),"")</f>
        <v/>
      </c>
    </row>
    <row r="130" customFormat="false" ht="15" hidden="false" customHeight="false" outlineLevel="0" collapsed="false">
      <c r="A130" s="4" t="n">
        <v>19</v>
      </c>
      <c r="B130" s="79" t="str">
        <f aca="false">X$13</f>
        <v>Lentils (dry)</v>
      </c>
      <c r="C130" s="80" t="n">
        <v>0</v>
      </c>
      <c r="D130" s="71" t="n">
        <f aca="false">INDEX($F$15:$BX$15,1,A130)</f>
        <v>1.44</v>
      </c>
      <c r="E130" s="71" t="n">
        <f aca="false">INDEX($F$16:$BX$16,1,A130)</f>
        <v>0</v>
      </c>
      <c r="F130" s="23" t="n">
        <f aca="false">C130*100</f>
        <v>0</v>
      </c>
      <c r="G130" s="25" t="n">
        <f aca="false">F130/'Food Data'!N24</f>
        <v>0</v>
      </c>
      <c r="H130" s="81" t="n">
        <f aca="false">C130*INDEX($F$14:$BX$14,1,A130)</f>
        <v>0</v>
      </c>
      <c r="I130" s="75" t="str">
        <f aca="false">IF(AND(D130&gt;0,C130&gt;=D130-0.00001),"at cap","")</f>
        <v/>
      </c>
      <c r="J130" s="23" t="n">
        <f aca="false">F130*INDEX($F$33:$BX$33,1,A130)</f>
        <v>0</v>
      </c>
      <c r="K130" s="23" t="n">
        <f aca="false">F130*INDEX($F$34:$BX$34,1,A130)</f>
        <v>0</v>
      </c>
      <c r="L130" s="23" t="n">
        <f aca="false">F130*INDEX($F$35:$BX$35,1,A130)</f>
        <v>0</v>
      </c>
      <c r="M130" s="23" t="n">
        <f aca="false">F130*INDEX($F$36:$BX$36,1,A130)</f>
        <v>0</v>
      </c>
      <c r="N130" s="23" t="str">
        <f aca="false">IF(J130&gt;=0.5,COUNTIF(J$112:J130,"&gt;=0.5"),"")</f>
        <v/>
      </c>
      <c r="O130" s="23" t="str">
        <f aca="false">IF(K130&gt;=0.5,COUNTIF(K$112:K130,"&gt;=0.5"),"")</f>
        <v/>
      </c>
      <c r="P130" s="23" t="str">
        <f aca="false">IF(L130&gt;=0.5,COUNTIF(L$112:L130,"&gt;=0.5"),"")</f>
        <v/>
      </c>
      <c r="Q130" s="23" t="str">
        <f aca="false">IF(M130&gt;=0.5,COUNTIF(M$112:M130,"&gt;=0.5"),"")</f>
        <v/>
      </c>
    </row>
    <row r="131" customFormat="false" ht="15" hidden="false" customHeight="false" outlineLevel="0" collapsed="false">
      <c r="A131" s="4" t="n">
        <v>20</v>
      </c>
      <c r="B131" s="79" t="str">
        <f aca="false">Y$13</f>
        <v>Peanut butter</v>
      </c>
      <c r="C131" s="80" t="n">
        <v>0.64</v>
      </c>
      <c r="D131" s="71" t="n">
        <f aca="false">INDEX($F$15:$BX$15,1,A131)</f>
        <v>0.64</v>
      </c>
      <c r="E131" s="71" t="n">
        <f aca="false">INDEX($F$16:$BX$16,1,A131)</f>
        <v>0</v>
      </c>
      <c r="F131" s="23" t="n">
        <f aca="false">C131*100</f>
        <v>64</v>
      </c>
      <c r="G131" s="25" t="n">
        <f aca="false">F131/'Food Data'!N25</f>
        <v>2</v>
      </c>
      <c r="H131" s="81" t="n">
        <f aca="false">C131*INDEX($F$14:$BX$14,1,A131)</f>
        <v>0.224620811287478</v>
      </c>
      <c r="I131" s="75" t="str">
        <f aca="false">IF(AND(D131&gt;0,C131&gt;=D131-0.00001),"at cap","")</f>
        <v>at cap</v>
      </c>
      <c r="J131" s="23" t="n">
        <f aca="false">F131*INDEX($F$33:$BX$33,1,A131)</f>
        <v>32</v>
      </c>
      <c r="K131" s="23" t="n">
        <f aca="false">F131*INDEX($F$34:$BX$34,1,A131)</f>
        <v>0</v>
      </c>
      <c r="L131" s="23" t="n">
        <f aca="false">F131*INDEX($F$35:$BX$35,1,A131)</f>
        <v>0</v>
      </c>
      <c r="M131" s="23" t="n">
        <f aca="false">F131*INDEX($F$36:$BX$36,1,A131)</f>
        <v>32</v>
      </c>
      <c r="N131" s="23" t="n">
        <f aca="false">IF(J131&gt;=0.5,COUNTIF(J$112:J131,"&gt;=0.5"),"")</f>
        <v>2</v>
      </c>
      <c r="O131" s="23" t="str">
        <f aca="false">IF(K131&gt;=0.5,COUNTIF(K$112:K131,"&gt;=0.5"),"")</f>
        <v/>
      </c>
      <c r="P131" s="23" t="str">
        <f aca="false">IF(L131&gt;=0.5,COUNTIF(L$112:L131,"&gt;=0.5"),"")</f>
        <v/>
      </c>
      <c r="Q131" s="23" t="n">
        <f aca="false">IF(M131&gt;=0.5,COUNTIF(M$112:M131,"&gt;=0.5"),"")</f>
        <v>1</v>
      </c>
    </row>
    <row r="132" customFormat="false" ht="15" hidden="false" customHeight="false" outlineLevel="0" collapsed="false">
      <c r="A132" s="4" t="n">
        <v>21</v>
      </c>
      <c r="B132" s="79" t="str">
        <f aca="false">Z$13</f>
        <v>Pinto beans (dry)</v>
      </c>
      <c r="C132" s="80" t="n">
        <v>1.44</v>
      </c>
      <c r="D132" s="71" t="n">
        <f aca="false">INDEX($F$15:$BX$15,1,A132)</f>
        <v>1.44</v>
      </c>
      <c r="E132" s="71" t="n">
        <f aca="false">INDEX($F$16:$BX$16,1,A132)</f>
        <v>0</v>
      </c>
      <c r="F132" s="23" t="n">
        <f aca="false">C132*100</f>
        <v>144</v>
      </c>
      <c r="G132" s="25" t="n">
        <f aca="false">F132/'Food Data'!N26</f>
        <v>3</v>
      </c>
      <c r="H132" s="81" t="n">
        <f aca="false">C132*INDEX($F$14:$BX$14,1,A132)</f>
        <v>0.314285714285714</v>
      </c>
      <c r="I132" s="75" t="str">
        <f aca="false">IF(AND(D132&gt;0,C132&gt;=D132-0.00001),"at cap","")</f>
        <v>at cap</v>
      </c>
      <c r="J132" s="23" t="n">
        <f aca="false">F132*INDEX($F$33:$BX$33,1,A132)</f>
        <v>0</v>
      </c>
      <c r="K132" s="23" t="n">
        <f aca="false">F132*INDEX($F$34:$BX$34,1,A132)</f>
        <v>72</v>
      </c>
      <c r="L132" s="23" t="n">
        <f aca="false">F132*INDEX($F$35:$BX$35,1,A132)</f>
        <v>72</v>
      </c>
      <c r="M132" s="23" t="n">
        <f aca="false">F132*INDEX($F$36:$BX$36,1,A132)</f>
        <v>0</v>
      </c>
      <c r="N132" s="23" t="str">
        <f aca="false">IF(J132&gt;=0.5,COUNTIF(J$112:J132,"&gt;=0.5"),"")</f>
        <v/>
      </c>
      <c r="O132" s="23" t="n">
        <f aca="false">IF(K132&gt;=0.5,COUNTIF(K$112:K132,"&gt;=0.5"),"")</f>
        <v>1</v>
      </c>
      <c r="P132" s="23" t="n">
        <f aca="false">IF(L132&gt;=0.5,COUNTIF(L$112:L132,"&gt;=0.5"),"")</f>
        <v>1</v>
      </c>
      <c r="Q132" s="23" t="str">
        <f aca="false">IF(M132&gt;=0.5,COUNTIF(M$112:M132,"&gt;=0.5"),"")</f>
        <v/>
      </c>
    </row>
    <row r="133" customFormat="false" ht="15" hidden="false" customHeight="false" outlineLevel="0" collapsed="false">
      <c r="A133" s="4" t="n">
        <v>22</v>
      </c>
      <c r="B133" s="79" t="str">
        <f aca="false">AA$13</f>
        <v>Tofu (extra firm)</v>
      </c>
      <c r="C133" s="80" t="n">
        <v>0</v>
      </c>
      <c r="D133" s="71" t="n">
        <f aca="false">INDEX($F$15:$BX$15,1,A133)</f>
        <v>2.55</v>
      </c>
      <c r="E133" s="71" t="n">
        <f aca="false">INDEX($F$16:$BX$16,1,A133)</f>
        <v>0</v>
      </c>
      <c r="F133" s="23" t="n">
        <f aca="false">C133*100</f>
        <v>0</v>
      </c>
      <c r="G133" s="25" t="n">
        <f aca="false">F133/'Food Data'!N27</f>
        <v>0</v>
      </c>
      <c r="H133" s="81" t="n">
        <f aca="false">C133*INDEX($F$14:$BX$14,1,A133)</f>
        <v>0</v>
      </c>
      <c r="I133" s="75" t="str">
        <f aca="false">IF(AND(D133&gt;0,C133&gt;=D133-0.00001),"at cap","")</f>
        <v/>
      </c>
      <c r="J133" s="23" t="n">
        <f aca="false">F133*INDEX($F$33:$BX$33,1,A133)</f>
        <v>0</v>
      </c>
      <c r="K133" s="23" t="n">
        <f aca="false">F133*INDEX($F$34:$BX$34,1,A133)</f>
        <v>0</v>
      </c>
      <c r="L133" s="23" t="n">
        <f aca="false">F133*INDEX($F$35:$BX$35,1,A133)</f>
        <v>0</v>
      </c>
      <c r="M133" s="23" t="n">
        <f aca="false">F133*INDEX($F$36:$BX$36,1,A133)</f>
        <v>0</v>
      </c>
      <c r="N133" s="23" t="str">
        <f aca="false">IF(J133&gt;=0.5,COUNTIF(J$112:J133,"&gt;=0.5"),"")</f>
        <v/>
      </c>
      <c r="O133" s="23" t="str">
        <f aca="false">IF(K133&gt;=0.5,COUNTIF(K$112:K133,"&gt;=0.5"),"")</f>
        <v/>
      </c>
      <c r="P133" s="23" t="str">
        <f aca="false">IF(L133&gt;=0.5,COUNTIF(L$112:L133,"&gt;=0.5"),"")</f>
        <v/>
      </c>
      <c r="Q133" s="23" t="str">
        <f aca="false">IF(M133&gt;=0.5,COUNTIF(M$112:M133,"&gt;=0.5"),"")</f>
        <v/>
      </c>
    </row>
    <row r="134" customFormat="false" ht="15" hidden="false" customHeight="false" outlineLevel="0" collapsed="false">
      <c r="A134" s="4" t="n">
        <v>23</v>
      </c>
      <c r="B134" s="79" t="str">
        <f aca="false">AB$13</f>
        <v>2% milk</v>
      </c>
      <c r="C134" s="80" t="n">
        <v>4.702468822</v>
      </c>
      <c r="D134" s="71" t="n">
        <f aca="false">INDEX($F$15:$BX$15,1,A134)</f>
        <v>7.32</v>
      </c>
      <c r="E134" s="71" t="n">
        <f aca="false">INDEX($F$16:$BX$16,1,A134)</f>
        <v>0</v>
      </c>
      <c r="F134" s="23" t="n">
        <f aca="false">C134*100</f>
        <v>470.2468822</v>
      </c>
      <c r="G134" s="25" t="n">
        <f aca="false">F134/'Food Data'!N28</f>
        <v>1.9272413204918</v>
      </c>
      <c r="H134" s="81" t="n">
        <f aca="false">C134*INDEX($F$14:$BX$14,1,A134)</f>
        <v>0.398698048176742</v>
      </c>
      <c r="I134" s="75" t="str">
        <f aca="false">IF(AND(D134&gt;0,C134&gt;=D134-0.00001),"at cap","")</f>
        <v/>
      </c>
      <c r="J134" s="23" t="n">
        <f aca="false">F134*INDEX($F$33:$BX$33,1,A134)</f>
        <v>235.1234411</v>
      </c>
      <c r="K134" s="23" t="n">
        <f aca="false">F134*INDEX($F$34:$BX$34,1,A134)</f>
        <v>0</v>
      </c>
      <c r="L134" s="23" t="n">
        <f aca="false">F134*INDEX($F$35:$BX$35,1,A134)</f>
        <v>0</v>
      </c>
      <c r="M134" s="23" t="n">
        <f aca="false">F134*INDEX($F$36:$BX$36,1,A134)</f>
        <v>235.1234411</v>
      </c>
      <c r="N134" s="23" t="n">
        <f aca="false">IF(J134&gt;=0.5,COUNTIF(J$112:J134,"&gt;=0.5"),"")</f>
        <v>3</v>
      </c>
      <c r="O134" s="23" t="str">
        <f aca="false">IF(K134&gt;=0.5,COUNTIF(K$112:K134,"&gt;=0.5"),"")</f>
        <v/>
      </c>
      <c r="P134" s="23" t="str">
        <f aca="false">IF(L134&gt;=0.5,COUNTIF(L$112:L134,"&gt;=0.5"),"")</f>
        <v/>
      </c>
      <c r="Q134" s="23" t="n">
        <f aca="false">IF(M134&gt;=0.5,COUNTIF(M$112:M134,"&gt;=0.5"),"")</f>
        <v>2</v>
      </c>
    </row>
    <row r="135" customFormat="false" ht="15" hidden="false" customHeight="false" outlineLevel="0" collapsed="false">
      <c r="A135" s="4" t="n">
        <v>24</v>
      </c>
      <c r="B135" s="79" t="str">
        <f aca="false">AC$13</f>
        <v>Greek yogurt (plain, nonfat)</v>
      </c>
      <c r="C135" s="80" t="n">
        <v>0</v>
      </c>
      <c r="D135" s="71" t="n">
        <f aca="false">INDEX($F$15:$BX$15,1,A135)</f>
        <v>3.4</v>
      </c>
      <c r="E135" s="71" t="n">
        <f aca="false">INDEX($F$16:$BX$16,1,A135)</f>
        <v>0</v>
      </c>
      <c r="F135" s="23" t="n">
        <f aca="false">C135*100</f>
        <v>0</v>
      </c>
      <c r="G135" s="25" t="n">
        <f aca="false">F135/'Food Data'!N29</f>
        <v>0</v>
      </c>
      <c r="H135" s="81" t="n">
        <f aca="false">C135*INDEX($F$14:$BX$14,1,A135)</f>
        <v>0</v>
      </c>
      <c r="I135" s="75" t="str">
        <f aca="false">IF(AND(D135&gt;0,C135&gt;=D135-0.00001),"at cap","")</f>
        <v/>
      </c>
      <c r="J135" s="23" t="n">
        <f aca="false">F135*INDEX($F$33:$BX$33,1,A135)</f>
        <v>0</v>
      </c>
      <c r="K135" s="23" t="n">
        <f aca="false">F135*INDEX($F$34:$BX$34,1,A135)</f>
        <v>0</v>
      </c>
      <c r="L135" s="23" t="n">
        <f aca="false">F135*INDEX($F$35:$BX$35,1,A135)</f>
        <v>0</v>
      </c>
      <c r="M135" s="23" t="n">
        <f aca="false">F135*INDEX($F$36:$BX$36,1,A135)</f>
        <v>0</v>
      </c>
      <c r="N135" s="23" t="str">
        <f aca="false">IF(J135&gt;=0.5,COUNTIF(J$112:J135,"&gt;=0.5"),"")</f>
        <v/>
      </c>
      <c r="O135" s="23" t="str">
        <f aca="false">IF(K135&gt;=0.5,COUNTIF(K$112:K135,"&gt;=0.5"),"")</f>
        <v/>
      </c>
      <c r="P135" s="23" t="str">
        <f aca="false">IF(L135&gt;=0.5,COUNTIF(L$112:L135,"&gt;=0.5"),"")</f>
        <v/>
      </c>
      <c r="Q135" s="23" t="str">
        <f aca="false">IF(M135&gt;=0.5,COUNTIF(M$112:M135,"&gt;=0.5"),"")</f>
        <v/>
      </c>
    </row>
    <row r="136" customFormat="false" ht="15" hidden="false" customHeight="false" outlineLevel="0" collapsed="false">
      <c r="A136" s="4" t="n">
        <v>25</v>
      </c>
      <c r="B136" s="79" t="str">
        <f aca="false">AD$13</f>
        <v>Soy milk (calcium-fortified)</v>
      </c>
      <c r="C136" s="80" t="n">
        <v>0</v>
      </c>
      <c r="D136" s="71" t="n">
        <f aca="false">INDEX($F$15:$BX$15,1,A136)</f>
        <v>7.29</v>
      </c>
      <c r="E136" s="71" t="n">
        <f aca="false">INDEX($F$16:$BX$16,1,A136)</f>
        <v>0</v>
      </c>
      <c r="F136" s="23" t="n">
        <f aca="false">C136*100</f>
        <v>0</v>
      </c>
      <c r="G136" s="25" t="n">
        <f aca="false">F136/'Food Data'!N30</f>
        <v>0</v>
      </c>
      <c r="H136" s="81" t="n">
        <f aca="false">C136*INDEX($F$14:$BX$14,1,A136)</f>
        <v>0</v>
      </c>
      <c r="I136" s="75" t="str">
        <f aca="false">IF(AND(D136&gt;0,C136&gt;=D136-0.00001),"at cap","")</f>
        <v/>
      </c>
      <c r="J136" s="23" t="n">
        <f aca="false">F136*INDEX($F$33:$BX$33,1,A136)</f>
        <v>0</v>
      </c>
      <c r="K136" s="23" t="n">
        <f aca="false">F136*INDEX($F$34:$BX$34,1,A136)</f>
        <v>0</v>
      </c>
      <c r="L136" s="23" t="n">
        <f aca="false">F136*INDEX($F$35:$BX$35,1,A136)</f>
        <v>0</v>
      </c>
      <c r="M136" s="23" t="n">
        <f aca="false">F136*INDEX($F$36:$BX$36,1,A136)</f>
        <v>0</v>
      </c>
      <c r="N136" s="23" t="str">
        <f aca="false">IF(J136&gt;=0.5,COUNTIF(J$112:J136,"&gt;=0.5"),"")</f>
        <v/>
      </c>
      <c r="O136" s="23" t="str">
        <f aca="false">IF(K136&gt;=0.5,COUNTIF(K$112:K136,"&gt;=0.5"),"")</f>
        <v/>
      </c>
      <c r="P136" s="23" t="str">
        <f aca="false">IF(L136&gt;=0.5,COUNTIF(L$112:L136,"&gt;=0.5"),"")</f>
        <v/>
      </c>
      <c r="Q136" s="23" t="str">
        <f aca="false">IF(M136&gt;=0.5,COUNTIF(M$112:M136,"&gt;=0.5"),"")</f>
        <v/>
      </c>
    </row>
    <row r="137" customFormat="false" ht="15" hidden="false" customHeight="false" outlineLevel="0" collapsed="false">
      <c r="A137" s="4" t="n">
        <v>26</v>
      </c>
      <c r="B137" s="79" t="str">
        <f aca="false">AE$13</f>
        <v>Whole milk</v>
      </c>
      <c r="C137" s="80" t="n">
        <v>0</v>
      </c>
      <c r="D137" s="71" t="n">
        <f aca="false">INDEX($F$15:$BX$15,1,A137)</f>
        <v>7.32</v>
      </c>
      <c r="E137" s="71" t="n">
        <f aca="false">INDEX($F$16:$BX$16,1,A137)</f>
        <v>0</v>
      </c>
      <c r="F137" s="23" t="n">
        <f aca="false">C137*100</f>
        <v>0</v>
      </c>
      <c r="G137" s="25" t="n">
        <f aca="false">F137/'Food Data'!N31</f>
        <v>0</v>
      </c>
      <c r="H137" s="81" t="n">
        <f aca="false">C137*INDEX($F$14:$BX$14,1,A137)</f>
        <v>0</v>
      </c>
      <c r="I137" s="75" t="str">
        <f aca="false">IF(AND(D137&gt;0,C137&gt;=D137-0.00001),"at cap","")</f>
        <v/>
      </c>
      <c r="J137" s="23" t="n">
        <f aca="false">F137*INDEX($F$33:$BX$33,1,A137)</f>
        <v>0</v>
      </c>
      <c r="K137" s="23" t="n">
        <f aca="false">F137*INDEX($F$34:$BX$34,1,A137)</f>
        <v>0</v>
      </c>
      <c r="L137" s="23" t="n">
        <f aca="false">F137*INDEX($F$35:$BX$35,1,A137)</f>
        <v>0</v>
      </c>
      <c r="M137" s="23" t="n">
        <f aca="false">F137*INDEX($F$36:$BX$36,1,A137)</f>
        <v>0</v>
      </c>
      <c r="N137" s="23" t="str">
        <f aca="false">IF(J137&gt;=0.5,COUNTIF(J$112:J137,"&gt;=0.5"),"")</f>
        <v/>
      </c>
      <c r="O137" s="23" t="str">
        <f aca="false">IF(K137&gt;=0.5,COUNTIF(K$112:K137,"&gt;=0.5"),"")</f>
        <v/>
      </c>
      <c r="P137" s="23" t="str">
        <f aca="false">IF(L137&gt;=0.5,COUNTIF(L$112:L137,"&gt;=0.5"),"")</f>
        <v/>
      </c>
      <c r="Q137" s="23" t="str">
        <f aca="false">IF(M137&gt;=0.5,COUNTIF(M$112:M137,"&gt;=0.5"),"")</f>
        <v/>
      </c>
    </row>
    <row r="138" customFormat="false" ht="15" hidden="false" customHeight="false" outlineLevel="0" collapsed="false">
      <c r="A138" s="4" t="n">
        <v>27</v>
      </c>
      <c r="B138" s="79" t="str">
        <f aca="false">AF$13</f>
        <v>American cheese (singles)</v>
      </c>
      <c r="C138" s="80" t="n">
        <v>0</v>
      </c>
      <c r="D138" s="71" t="n">
        <f aca="false">INDEX($F$15:$BX$15,1,A138)</f>
        <v>0.57</v>
      </c>
      <c r="E138" s="71" t="n">
        <f aca="false">INDEX($F$16:$BX$16,1,A138)</f>
        <v>0</v>
      </c>
      <c r="F138" s="23" t="n">
        <f aca="false">C138*100</f>
        <v>0</v>
      </c>
      <c r="G138" s="25" t="n">
        <f aca="false">F138/'Food Data'!N32</f>
        <v>0</v>
      </c>
      <c r="H138" s="81" t="n">
        <f aca="false">C138*INDEX($F$14:$BX$14,1,A138)</f>
        <v>0</v>
      </c>
      <c r="I138" s="75" t="str">
        <f aca="false">IF(AND(D138&gt;0,C138&gt;=D138-0.00001),"at cap","")</f>
        <v/>
      </c>
      <c r="J138" s="23" t="n">
        <f aca="false">F138*INDEX($F$33:$BX$33,1,A138)</f>
        <v>0</v>
      </c>
      <c r="K138" s="23" t="n">
        <f aca="false">F138*INDEX($F$34:$BX$34,1,A138)</f>
        <v>0</v>
      </c>
      <c r="L138" s="23" t="n">
        <f aca="false">F138*INDEX($F$35:$BX$35,1,A138)</f>
        <v>0</v>
      </c>
      <c r="M138" s="23" t="n">
        <f aca="false">F138*INDEX($F$36:$BX$36,1,A138)</f>
        <v>0</v>
      </c>
      <c r="N138" s="23" t="str">
        <f aca="false">IF(J138&gt;=0.5,COUNTIF(J$112:J138,"&gt;=0.5"),"")</f>
        <v/>
      </c>
      <c r="O138" s="23" t="str">
        <f aca="false">IF(K138&gt;=0.5,COUNTIF(K$112:K138,"&gt;=0.5"),"")</f>
        <v/>
      </c>
      <c r="P138" s="23" t="str">
        <f aca="false">IF(L138&gt;=0.5,COUNTIF(L$112:L138,"&gt;=0.5"),"")</f>
        <v/>
      </c>
      <c r="Q138" s="23" t="str">
        <f aca="false">IF(M138&gt;=0.5,COUNTIF(M$112:M138,"&gt;=0.5"),"")</f>
        <v/>
      </c>
    </row>
    <row r="139" customFormat="false" ht="15" hidden="false" customHeight="false" outlineLevel="0" collapsed="false">
      <c r="A139" s="4" t="n">
        <v>28</v>
      </c>
      <c r="B139" s="79" t="str">
        <f aca="false">AG$13</f>
        <v>Cheddar cheese</v>
      </c>
      <c r="C139" s="80" t="n">
        <v>0</v>
      </c>
      <c r="D139" s="71" t="n">
        <f aca="false">INDEX($F$15:$BX$15,1,A139)</f>
        <v>0.56</v>
      </c>
      <c r="E139" s="71" t="n">
        <f aca="false">INDEX($F$16:$BX$16,1,A139)</f>
        <v>0</v>
      </c>
      <c r="F139" s="23" t="n">
        <f aca="false">C139*100</f>
        <v>0</v>
      </c>
      <c r="G139" s="25" t="n">
        <f aca="false">F139/'Food Data'!N33</f>
        <v>0</v>
      </c>
      <c r="H139" s="81" t="n">
        <f aca="false">C139*INDEX($F$14:$BX$14,1,A139)</f>
        <v>0</v>
      </c>
      <c r="I139" s="75" t="str">
        <f aca="false">IF(AND(D139&gt;0,C139&gt;=D139-0.00001),"at cap","")</f>
        <v/>
      </c>
      <c r="J139" s="23" t="n">
        <f aca="false">F139*INDEX($F$33:$BX$33,1,A139)</f>
        <v>0</v>
      </c>
      <c r="K139" s="23" t="n">
        <f aca="false">F139*INDEX($F$34:$BX$34,1,A139)</f>
        <v>0</v>
      </c>
      <c r="L139" s="23" t="n">
        <f aca="false">F139*INDEX($F$35:$BX$35,1,A139)</f>
        <v>0</v>
      </c>
      <c r="M139" s="23" t="n">
        <f aca="false">F139*INDEX($F$36:$BX$36,1,A139)</f>
        <v>0</v>
      </c>
      <c r="N139" s="23" t="str">
        <f aca="false">IF(J139&gt;=0.5,COUNTIF(J$112:J139,"&gt;=0.5"),"")</f>
        <v/>
      </c>
      <c r="O139" s="23" t="str">
        <f aca="false">IF(K139&gt;=0.5,COUNTIF(K$112:K139,"&gt;=0.5"),"")</f>
        <v/>
      </c>
      <c r="P139" s="23" t="str">
        <f aca="false">IF(L139&gt;=0.5,COUNTIF(L$112:L139,"&gt;=0.5"),"")</f>
        <v/>
      </c>
      <c r="Q139" s="23" t="str">
        <f aca="false">IF(M139&gt;=0.5,COUNTIF(M$112:M139,"&gt;=0.5"),"")</f>
        <v/>
      </c>
    </row>
    <row r="140" customFormat="false" ht="15" hidden="false" customHeight="false" outlineLevel="0" collapsed="false">
      <c r="A140" s="4" t="n">
        <v>29</v>
      </c>
      <c r="B140" s="79" t="str">
        <f aca="false">AH$13</f>
        <v>Cottage cheese (2%)</v>
      </c>
      <c r="C140" s="80" t="n">
        <v>0</v>
      </c>
      <c r="D140" s="71" t="n">
        <f aca="false">INDEX($F$15:$BX$15,1,A140)</f>
        <v>2.26</v>
      </c>
      <c r="E140" s="71" t="n">
        <f aca="false">INDEX($F$16:$BX$16,1,A140)</f>
        <v>0</v>
      </c>
      <c r="F140" s="23" t="n">
        <f aca="false">C140*100</f>
        <v>0</v>
      </c>
      <c r="G140" s="25" t="n">
        <f aca="false">F140/'Food Data'!N34</f>
        <v>0</v>
      </c>
      <c r="H140" s="81" t="n">
        <f aca="false">C140*INDEX($F$14:$BX$14,1,A140)</f>
        <v>0</v>
      </c>
      <c r="I140" s="75" t="str">
        <f aca="false">IF(AND(D140&gt;0,C140&gt;=D140-0.00001),"at cap","")</f>
        <v/>
      </c>
      <c r="J140" s="23" t="n">
        <f aca="false">F140*INDEX($F$33:$BX$33,1,A140)</f>
        <v>0</v>
      </c>
      <c r="K140" s="23" t="n">
        <f aca="false">F140*INDEX($F$34:$BX$34,1,A140)</f>
        <v>0</v>
      </c>
      <c r="L140" s="23" t="n">
        <f aca="false">F140*INDEX($F$35:$BX$35,1,A140)</f>
        <v>0</v>
      </c>
      <c r="M140" s="23" t="n">
        <f aca="false">F140*INDEX($F$36:$BX$36,1,A140)</f>
        <v>0</v>
      </c>
      <c r="N140" s="23" t="str">
        <f aca="false">IF(J140&gt;=0.5,COUNTIF(J$112:J140,"&gt;=0.5"),"")</f>
        <v/>
      </c>
      <c r="O140" s="23" t="str">
        <f aca="false">IF(K140&gt;=0.5,COUNTIF(K$112:K140,"&gt;=0.5"),"")</f>
        <v/>
      </c>
      <c r="P140" s="23" t="str">
        <f aca="false">IF(L140&gt;=0.5,COUNTIF(L$112:L140,"&gt;=0.5"),"")</f>
        <v/>
      </c>
      <c r="Q140" s="23" t="str">
        <f aca="false">IF(M140&gt;=0.5,COUNTIF(M$112:M140,"&gt;=0.5"),"")</f>
        <v/>
      </c>
    </row>
    <row r="141" customFormat="false" ht="15" hidden="false" customHeight="false" outlineLevel="0" collapsed="false">
      <c r="A141" s="4" t="n">
        <v>30</v>
      </c>
      <c r="B141" s="79" t="str">
        <f aca="false">AI$13</f>
        <v>Mozzarella string cheese</v>
      </c>
      <c r="C141" s="80" t="n">
        <v>0</v>
      </c>
      <c r="D141" s="71" t="n">
        <f aca="false">INDEX($F$15:$BX$15,1,A141)</f>
        <v>0.56</v>
      </c>
      <c r="E141" s="71" t="n">
        <f aca="false">INDEX($F$16:$BX$16,1,A141)</f>
        <v>0</v>
      </c>
      <c r="F141" s="23" t="n">
        <f aca="false">C141*100</f>
        <v>0</v>
      </c>
      <c r="G141" s="25" t="n">
        <f aca="false">F141/'Food Data'!N35</f>
        <v>0</v>
      </c>
      <c r="H141" s="81" t="n">
        <f aca="false">C141*INDEX($F$14:$BX$14,1,A141)</f>
        <v>0</v>
      </c>
      <c r="I141" s="75" t="str">
        <f aca="false">IF(AND(D141&gt;0,C141&gt;=D141-0.00001),"at cap","")</f>
        <v/>
      </c>
      <c r="J141" s="23" t="n">
        <f aca="false">F141*INDEX($F$33:$BX$33,1,A141)</f>
        <v>0</v>
      </c>
      <c r="K141" s="23" t="n">
        <f aca="false">F141*INDEX($F$34:$BX$34,1,A141)</f>
        <v>0</v>
      </c>
      <c r="L141" s="23" t="n">
        <f aca="false">F141*INDEX($F$35:$BX$35,1,A141)</f>
        <v>0</v>
      </c>
      <c r="M141" s="23" t="n">
        <f aca="false">F141*INDEX($F$36:$BX$36,1,A141)</f>
        <v>0</v>
      </c>
      <c r="N141" s="23" t="str">
        <f aca="false">IF(J141&gt;=0.5,COUNTIF(J$112:J141,"&gt;=0.5"),"")</f>
        <v/>
      </c>
      <c r="O141" s="23" t="str">
        <f aca="false">IF(K141&gt;=0.5,COUNTIF(K$112:K141,"&gt;=0.5"),"")</f>
        <v/>
      </c>
      <c r="P141" s="23" t="str">
        <f aca="false">IF(L141&gt;=0.5,COUNTIF(L$112:L141,"&gt;=0.5"),"")</f>
        <v/>
      </c>
      <c r="Q141" s="23" t="str">
        <f aca="false">IF(M141&gt;=0.5,COUNTIF(M$112:M141,"&gt;=0.5"),"")</f>
        <v/>
      </c>
    </row>
    <row r="142" customFormat="false" ht="15" hidden="false" customHeight="false" outlineLevel="0" collapsed="false">
      <c r="A142" s="4" t="n">
        <v>31</v>
      </c>
      <c r="B142" s="79" t="str">
        <f aca="false">AJ$13</f>
        <v>Bagels (plain)</v>
      </c>
      <c r="C142" s="80" t="n">
        <v>0</v>
      </c>
      <c r="D142" s="71" t="n">
        <f aca="false">INDEX($F$15:$BX$15,1,A142)</f>
        <v>0.94</v>
      </c>
      <c r="E142" s="71" t="n">
        <f aca="false">INDEX($F$16:$BX$16,1,A142)</f>
        <v>0</v>
      </c>
      <c r="F142" s="23" t="n">
        <f aca="false">C142*100</f>
        <v>0</v>
      </c>
      <c r="G142" s="25" t="n">
        <f aca="false">F142/'Food Data'!N36</f>
        <v>0</v>
      </c>
      <c r="H142" s="81" t="n">
        <f aca="false">C142*INDEX($F$14:$BX$14,1,A142)</f>
        <v>0</v>
      </c>
      <c r="I142" s="75" t="str">
        <f aca="false">IF(AND(D142&gt;0,C142&gt;=D142-0.00001),"at cap","")</f>
        <v/>
      </c>
      <c r="J142" s="23" t="n">
        <f aca="false">F142*INDEX($F$33:$BX$33,1,A142)</f>
        <v>0</v>
      </c>
      <c r="K142" s="23" t="n">
        <f aca="false">F142*INDEX($F$34:$BX$34,1,A142)</f>
        <v>0</v>
      </c>
      <c r="L142" s="23" t="n">
        <f aca="false">F142*INDEX($F$35:$BX$35,1,A142)</f>
        <v>0</v>
      </c>
      <c r="M142" s="23" t="n">
        <f aca="false">F142*INDEX($F$36:$BX$36,1,A142)</f>
        <v>0</v>
      </c>
      <c r="N142" s="23" t="str">
        <f aca="false">IF(J142&gt;=0.5,COUNTIF(J$112:J142,"&gt;=0.5"),"")</f>
        <v/>
      </c>
      <c r="O142" s="23" t="str">
        <f aca="false">IF(K142&gt;=0.5,COUNTIF(K$112:K142,"&gt;=0.5"),"")</f>
        <v/>
      </c>
      <c r="P142" s="23" t="str">
        <f aca="false">IF(L142&gt;=0.5,COUNTIF(L$112:L142,"&gt;=0.5"),"")</f>
        <v/>
      </c>
      <c r="Q142" s="23" t="str">
        <f aca="false">IF(M142&gt;=0.5,COUNTIF(M$112:M142,"&gt;=0.5"),"")</f>
        <v/>
      </c>
    </row>
    <row r="143" customFormat="false" ht="15" hidden="false" customHeight="false" outlineLevel="0" collapsed="false">
      <c r="A143" s="4" t="n">
        <v>32</v>
      </c>
      <c r="B143" s="79" t="str">
        <f aca="false">AK$13</f>
        <v>Brown rice (dry)</v>
      </c>
      <c r="C143" s="80" t="n">
        <v>1.562933795</v>
      </c>
      <c r="D143" s="71" t="n">
        <f aca="false">INDEX($F$15:$BX$15,1,A143)</f>
        <v>1.84</v>
      </c>
      <c r="E143" s="71" t="n">
        <f aca="false">INDEX($F$16:$BX$16,1,A143)</f>
        <v>0</v>
      </c>
      <c r="F143" s="23" t="n">
        <f aca="false">C143*100</f>
        <v>156.2933795</v>
      </c>
      <c r="G143" s="25" t="n">
        <f aca="false">F143/'Food Data'!N37</f>
        <v>3.39768216304348</v>
      </c>
      <c r="H143" s="81" t="n">
        <f aca="false">C143*INDEX($F$14:$BX$14,1,A143)</f>
        <v>0.296323426741623</v>
      </c>
      <c r="I143" s="75" t="str">
        <f aca="false">IF(AND(D143&gt;0,C143&gt;=D143-0.00001),"at cap","")</f>
        <v/>
      </c>
      <c r="J143" s="23" t="n">
        <f aca="false">F143*INDEX($F$33:$BX$33,1,A143)</f>
        <v>0</v>
      </c>
      <c r="K143" s="23" t="n">
        <f aca="false">F143*INDEX($F$34:$BX$34,1,A143)</f>
        <v>78.14668975</v>
      </c>
      <c r="L143" s="23" t="n">
        <f aca="false">F143*INDEX($F$35:$BX$35,1,A143)</f>
        <v>78.14668975</v>
      </c>
      <c r="M143" s="23" t="n">
        <f aca="false">F143*INDEX($F$36:$BX$36,1,A143)</f>
        <v>0</v>
      </c>
      <c r="N143" s="23" t="str">
        <f aca="false">IF(J143&gt;=0.5,COUNTIF(J$112:J143,"&gt;=0.5"),"")</f>
        <v/>
      </c>
      <c r="O143" s="23" t="n">
        <f aca="false">IF(K143&gt;=0.5,COUNTIF(K$112:K143,"&gt;=0.5"),"")</f>
        <v>2</v>
      </c>
      <c r="P143" s="23" t="n">
        <f aca="false">IF(L143&gt;=0.5,COUNTIF(L$112:L143,"&gt;=0.5"),"")</f>
        <v>2</v>
      </c>
      <c r="Q143" s="23" t="str">
        <f aca="false">IF(M143&gt;=0.5,COUNTIF(M$112:M143,"&gt;=0.5"),"")</f>
        <v/>
      </c>
    </row>
    <row r="144" customFormat="false" ht="15" hidden="false" customHeight="false" outlineLevel="0" collapsed="false">
      <c r="A144" s="4" t="n">
        <v>33</v>
      </c>
      <c r="B144" s="79" t="str">
        <f aca="false">AL$13</f>
        <v>Cheerios</v>
      </c>
      <c r="C144" s="80" t="n">
        <v>0</v>
      </c>
      <c r="D144" s="71" t="n">
        <f aca="false">INDEX($F$15:$BX$15,1,A144)</f>
        <v>0.56</v>
      </c>
      <c r="E144" s="71" t="n">
        <f aca="false">INDEX($F$16:$BX$16,1,A144)</f>
        <v>0</v>
      </c>
      <c r="F144" s="23" t="n">
        <f aca="false">C144*100</f>
        <v>0</v>
      </c>
      <c r="G144" s="25" t="n">
        <f aca="false">F144/'Food Data'!N38</f>
        <v>0</v>
      </c>
      <c r="H144" s="81" t="n">
        <f aca="false">C144*INDEX($F$14:$BX$14,1,A144)</f>
        <v>0</v>
      </c>
      <c r="I144" s="75" t="str">
        <f aca="false">IF(AND(D144&gt;0,C144&gt;=D144-0.00001),"at cap","")</f>
        <v/>
      </c>
      <c r="J144" s="23" t="n">
        <f aca="false">F144*INDEX($F$33:$BX$33,1,A144)</f>
        <v>0</v>
      </c>
      <c r="K144" s="23" t="n">
        <f aca="false">F144*INDEX($F$34:$BX$34,1,A144)</f>
        <v>0</v>
      </c>
      <c r="L144" s="23" t="n">
        <f aca="false">F144*INDEX($F$35:$BX$35,1,A144)</f>
        <v>0</v>
      </c>
      <c r="M144" s="23" t="n">
        <f aca="false">F144*INDEX($F$36:$BX$36,1,A144)</f>
        <v>0</v>
      </c>
      <c r="N144" s="23" t="str">
        <f aca="false">IF(J144&gt;=0.5,COUNTIF(J$112:J144,"&gt;=0.5"),"")</f>
        <v/>
      </c>
      <c r="O144" s="23" t="str">
        <f aca="false">IF(K144&gt;=0.5,COUNTIF(K$112:K144,"&gt;=0.5"),"")</f>
        <v/>
      </c>
      <c r="P144" s="23" t="str">
        <f aca="false">IF(L144&gt;=0.5,COUNTIF(L$112:L144,"&gt;=0.5"),"")</f>
        <v/>
      </c>
      <c r="Q144" s="23" t="str">
        <f aca="false">IF(M144&gt;=0.5,COUNTIF(M$112:M144,"&gt;=0.5"),"")</f>
        <v/>
      </c>
    </row>
    <row r="145" customFormat="false" ht="15" hidden="false" customHeight="false" outlineLevel="0" collapsed="false">
      <c r="A145" s="4" t="n">
        <v>34</v>
      </c>
      <c r="B145" s="79" t="str">
        <f aca="false">AM$13</f>
        <v>Corn tortillas</v>
      </c>
      <c r="C145" s="80" t="n">
        <v>0</v>
      </c>
      <c r="D145" s="71" t="n">
        <f aca="false">INDEX($F$15:$BX$15,1,A145)</f>
        <v>1.56</v>
      </c>
      <c r="E145" s="71" t="n">
        <f aca="false">INDEX($F$16:$BX$16,1,A145)</f>
        <v>0</v>
      </c>
      <c r="F145" s="23" t="n">
        <f aca="false">C145*100</f>
        <v>0</v>
      </c>
      <c r="G145" s="25" t="n">
        <f aca="false">F145/'Food Data'!N39</f>
        <v>0</v>
      </c>
      <c r="H145" s="81" t="n">
        <f aca="false">C145*INDEX($F$14:$BX$14,1,A145)</f>
        <v>0</v>
      </c>
      <c r="I145" s="75" t="str">
        <f aca="false">IF(AND(D145&gt;0,C145&gt;=D145-0.00001),"at cap","")</f>
        <v/>
      </c>
      <c r="J145" s="23" t="n">
        <f aca="false">F145*INDEX($F$33:$BX$33,1,A145)</f>
        <v>0</v>
      </c>
      <c r="K145" s="23" t="n">
        <f aca="false">F145*INDEX($F$34:$BX$34,1,A145)</f>
        <v>0</v>
      </c>
      <c r="L145" s="23" t="n">
        <f aca="false">F145*INDEX($F$35:$BX$35,1,A145)</f>
        <v>0</v>
      </c>
      <c r="M145" s="23" t="n">
        <f aca="false">F145*INDEX($F$36:$BX$36,1,A145)</f>
        <v>0</v>
      </c>
      <c r="N145" s="23" t="str">
        <f aca="false">IF(J145&gt;=0.5,COUNTIF(J$112:J145,"&gt;=0.5"),"")</f>
        <v/>
      </c>
      <c r="O145" s="23" t="str">
        <f aca="false">IF(K145&gt;=0.5,COUNTIF(K$112:K145,"&gt;=0.5"),"")</f>
        <v/>
      </c>
      <c r="P145" s="23" t="str">
        <f aca="false">IF(L145&gt;=0.5,COUNTIF(L$112:L145,"&gt;=0.5"),"")</f>
        <v/>
      </c>
      <c r="Q145" s="23" t="str">
        <f aca="false">IF(M145&gt;=0.5,COUNTIF(M$112:M145,"&gt;=0.5"),"")</f>
        <v/>
      </c>
    </row>
    <row r="146" customFormat="false" ht="15" hidden="false" customHeight="false" outlineLevel="0" collapsed="false">
      <c r="A146" s="4" t="n">
        <v>35</v>
      </c>
      <c r="B146" s="79" t="str">
        <f aca="false">AN$13</f>
        <v>Flour tortillas</v>
      </c>
      <c r="C146" s="80" t="n">
        <v>0</v>
      </c>
      <c r="D146" s="71" t="n">
        <f aca="false">INDEX($F$15:$BX$15,1,A146)</f>
        <v>1.35</v>
      </c>
      <c r="E146" s="71" t="n">
        <f aca="false">INDEX($F$16:$BX$16,1,A146)</f>
        <v>0</v>
      </c>
      <c r="F146" s="23" t="n">
        <f aca="false">C146*100</f>
        <v>0</v>
      </c>
      <c r="G146" s="25" t="n">
        <f aca="false">F146/'Food Data'!N40</f>
        <v>0</v>
      </c>
      <c r="H146" s="81" t="n">
        <f aca="false">C146*INDEX($F$14:$BX$14,1,A146)</f>
        <v>0</v>
      </c>
      <c r="I146" s="75" t="str">
        <f aca="false">IF(AND(D146&gt;0,C146&gt;=D146-0.00001),"at cap","")</f>
        <v/>
      </c>
      <c r="J146" s="23" t="n">
        <f aca="false">F146*INDEX($F$33:$BX$33,1,A146)</f>
        <v>0</v>
      </c>
      <c r="K146" s="23" t="n">
        <f aca="false">F146*INDEX($F$34:$BX$34,1,A146)</f>
        <v>0</v>
      </c>
      <c r="L146" s="23" t="n">
        <f aca="false">F146*INDEX($F$35:$BX$35,1,A146)</f>
        <v>0</v>
      </c>
      <c r="M146" s="23" t="n">
        <f aca="false">F146*INDEX($F$36:$BX$36,1,A146)</f>
        <v>0</v>
      </c>
      <c r="N146" s="23" t="str">
        <f aca="false">IF(J146&gt;=0.5,COUNTIF(J$112:J146,"&gt;=0.5"),"")</f>
        <v/>
      </c>
      <c r="O146" s="23" t="str">
        <f aca="false">IF(K146&gt;=0.5,COUNTIF(K$112:K146,"&gt;=0.5"),"")</f>
        <v/>
      </c>
      <c r="P146" s="23" t="str">
        <f aca="false">IF(L146&gt;=0.5,COUNTIF(L$112:L146,"&gt;=0.5"),"")</f>
        <v/>
      </c>
      <c r="Q146" s="23" t="str">
        <f aca="false">IF(M146&gt;=0.5,COUNTIF(M$112:M146,"&gt;=0.5"),"")</f>
        <v/>
      </c>
    </row>
    <row r="147" customFormat="false" ht="15" hidden="false" customHeight="false" outlineLevel="0" collapsed="false">
      <c r="A147" s="4" t="n">
        <v>36</v>
      </c>
      <c r="B147" s="79" t="str">
        <f aca="false">AO$13</f>
        <v>Quinoa (dry)</v>
      </c>
      <c r="C147" s="80" t="n">
        <v>0</v>
      </c>
      <c r="D147" s="71" t="n">
        <f aca="false">INDEX($F$15:$BX$15,1,A147)</f>
        <v>1.29</v>
      </c>
      <c r="E147" s="71" t="n">
        <f aca="false">INDEX($F$16:$BX$16,1,A147)</f>
        <v>0</v>
      </c>
      <c r="F147" s="23" t="n">
        <f aca="false">C147*100</f>
        <v>0</v>
      </c>
      <c r="G147" s="25" t="n">
        <f aca="false">F147/'Food Data'!N41</f>
        <v>0</v>
      </c>
      <c r="H147" s="81" t="n">
        <f aca="false">C147*INDEX($F$14:$BX$14,1,A147)</f>
        <v>0</v>
      </c>
      <c r="I147" s="75" t="str">
        <f aca="false">IF(AND(D147&gt;0,C147&gt;=D147-0.00001),"at cap","")</f>
        <v/>
      </c>
      <c r="J147" s="23" t="n">
        <f aca="false">F147*INDEX($F$33:$BX$33,1,A147)</f>
        <v>0</v>
      </c>
      <c r="K147" s="23" t="n">
        <f aca="false">F147*INDEX($F$34:$BX$34,1,A147)</f>
        <v>0</v>
      </c>
      <c r="L147" s="23" t="n">
        <f aca="false">F147*INDEX($F$35:$BX$35,1,A147)</f>
        <v>0</v>
      </c>
      <c r="M147" s="23" t="n">
        <f aca="false">F147*INDEX($F$36:$BX$36,1,A147)</f>
        <v>0</v>
      </c>
      <c r="N147" s="23" t="str">
        <f aca="false">IF(J147&gt;=0.5,COUNTIF(J$112:J147,"&gt;=0.5"),"")</f>
        <v/>
      </c>
      <c r="O147" s="23" t="str">
        <f aca="false">IF(K147&gt;=0.5,COUNTIF(K$112:K147,"&gt;=0.5"),"")</f>
        <v/>
      </c>
      <c r="P147" s="23" t="str">
        <f aca="false">IF(L147&gt;=0.5,COUNTIF(L$112:L147,"&gt;=0.5"),"")</f>
        <v/>
      </c>
      <c r="Q147" s="23" t="str">
        <f aca="false">IF(M147&gt;=0.5,COUNTIF(M$112:M147,"&gt;=0.5"),"")</f>
        <v/>
      </c>
    </row>
    <row r="148" customFormat="false" ht="15" hidden="false" customHeight="false" outlineLevel="0" collapsed="false">
      <c r="A148" s="4" t="n">
        <v>37</v>
      </c>
      <c r="B148" s="79" t="str">
        <f aca="false">AP$13</f>
        <v>Rolled oats (dry)</v>
      </c>
      <c r="C148" s="80" t="n">
        <v>0.029924272</v>
      </c>
      <c r="D148" s="71" t="n">
        <f aca="false">INDEX($F$15:$BX$15,1,A148)</f>
        <v>0.8</v>
      </c>
      <c r="E148" s="71" t="n">
        <f aca="false">INDEX($F$16:$BX$16,1,A148)</f>
        <v>0</v>
      </c>
      <c r="F148" s="23" t="n">
        <f aca="false">C148*100</f>
        <v>2.9924272</v>
      </c>
      <c r="G148" s="25" t="n">
        <f aca="false">F148/'Food Data'!N42</f>
        <v>0.07481068</v>
      </c>
      <c r="H148" s="81" t="n">
        <f aca="false">C148*INDEX($F$14:$BX$14,1,A148)</f>
        <v>0.011007668712522</v>
      </c>
      <c r="I148" s="75" t="str">
        <f aca="false">IF(AND(D148&gt;0,C148&gt;=D148-0.00001),"at cap","")</f>
        <v/>
      </c>
      <c r="J148" s="23" t="n">
        <f aca="false">F148*INDEX($F$33:$BX$33,1,A148)</f>
        <v>2.9924272</v>
      </c>
      <c r="K148" s="23" t="n">
        <f aca="false">F148*INDEX($F$34:$BX$34,1,A148)</f>
        <v>0</v>
      </c>
      <c r="L148" s="23" t="n">
        <f aca="false">F148*INDEX($F$35:$BX$35,1,A148)</f>
        <v>0</v>
      </c>
      <c r="M148" s="23" t="n">
        <f aca="false">F148*INDEX($F$36:$BX$36,1,A148)</f>
        <v>0</v>
      </c>
      <c r="N148" s="23" t="n">
        <f aca="false">IF(J148&gt;=0.5,COUNTIF(J$112:J148,"&gt;=0.5"),"")</f>
        <v>4</v>
      </c>
      <c r="O148" s="23" t="str">
        <f aca="false">IF(K148&gt;=0.5,COUNTIF(K$112:K148,"&gt;=0.5"),"")</f>
        <v/>
      </c>
      <c r="P148" s="23" t="str">
        <f aca="false">IF(L148&gt;=0.5,COUNTIF(L$112:L148,"&gt;=0.5"),"")</f>
        <v/>
      </c>
      <c r="Q148" s="23" t="str">
        <f aca="false">IF(M148&gt;=0.5,COUNTIF(M$112:M148,"&gt;=0.5"),"")</f>
        <v/>
      </c>
    </row>
    <row r="149" customFormat="false" ht="15" hidden="false" customHeight="false" outlineLevel="0" collapsed="false">
      <c r="A149" s="4" t="n">
        <v>38</v>
      </c>
      <c r="B149" s="79" t="str">
        <f aca="false">AQ$13</f>
        <v>Spaghetti (dry)</v>
      </c>
      <c r="C149" s="80" t="n">
        <v>0</v>
      </c>
      <c r="D149" s="71" t="n">
        <f aca="false">INDEX($F$15:$BX$15,1,A149)</f>
        <v>1.71</v>
      </c>
      <c r="E149" s="71" t="n">
        <f aca="false">INDEX($F$16:$BX$16,1,A149)</f>
        <v>0</v>
      </c>
      <c r="F149" s="23" t="n">
        <f aca="false">C149*100</f>
        <v>0</v>
      </c>
      <c r="G149" s="25" t="n">
        <f aca="false">F149/'Food Data'!N43</f>
        <v>0</v>
      </c>
      <c r="H149" s="81" t="n">
        <f aca="false">C149*INDEX($F$14:$BX$14,1,A149)</f>
        <v>0</v>
      </c>
      <c r="I149" s="75" t="str">
        <f aca="false">IF(AND(D149&gt;0,C149&gt;=D149-0.00001),"at cap","")</f>
        <v/>
      </c>
      <c r="J149" s="23" t="n">
        <f aca="false">F149*INDEX($F$33:$BX$33,1,A149)</f>
        <v>0</v>
      </c>
      <c r="K149" s="23" t="n">
        <f aca="false">F149*INDEX($F$34:$BX$34,1,A149)</f>
        <v>0</v>
      </c>
      <c r="L149" s="23" t="n">
        <f aca="false">F149*INDEX($F$35:$BX$35,1,A149)</f>
        <v>0</v>
      </c>
      <c r="M149" s="23" t="n">
        <f aca="false">F149*INDEX($F$36:$BX$36,1,A149)</f>
        <v>0</v>
      </c>
      <c r="N149" s="23" t="str">
        <f aca="false">IF(J149&gt;=0.5,COUNTIF(J$112:J149,"&gt;=0.5"),"")</f>
        <v/>
      </c>
      <c r="O149" s="23" t="str">
        <f aca="false">IF(K149&gt;=0.5,COUNTIF(K$112:K149,"&gt;=0.5"),"")</f>
        <v/>
      </c>
      <c r="P149" s="23" t="str">
        <f aca="false">IF(L149&gt;=0.5,COUNTIF(L$112:L149,"&gt;=0.5"),"")</f>
        <v/>
      </c>
      <c r="Q149" s="23" t="str">
        <f aca="false">IF(M149&gt;=0.5,COUNTIF(M$112:M149,"&gt;=0.5"),"")</f>
        <v/>
      </c>
    </row>
    <row r="150" customFormat="false" ht="15" hidden="false" customHeight="false" outlineLevel="0" collapsed="false">
      <c r="A150" s="4" t="n">
        <v>39</v>
      </c>
      <c r="B150" s="79" t="str">
        <f aca="false">AR$13</f>
        <v>White bread</v>
      </c>
      <c r="C150" s="80" t="n">
        <v>0</v>
      </c>
      <c r="D150" s="71" t="n">
        <f aca="false">INDEX($F$15:$BX$15,1,A150)</f>
        <v>1.12</v>
      </c>
      <c r="E150" s="71" t="n">
        <f aca="false">INDEX($F$16:$BX$16,1,A150)</f>
        <v>0</v>
      </c>
      <c r="F150" s="23" t="n">
        <f aca="false">C150*100</f>
        <v>0</v>
      </c>
      <c r="G150" s="25" t="n">
        <f aca="false">F150/'Food Data'!N44</f>
        <v>0</v>
      </c>
      <c r="H150" s="81" t="n">
        <f aca="false">C150*INDEX($F$14:$BX$14,1,A150)</f>
        <v>0</v>
      </c>
      <c r="I150" s="75" t="str">
        <f aca="false">IF(AND(D150&gt;0,C150&gt;=D150-0.00001),"at cap","")</f>
        <v/>
      </c>
      <c r="J150" s="23" t="n">
        <f aca="false">F150*INDEX($F$33:$BX$33,1,A150)</f>
        <v>0</v>
      </c>
      <c r="K150" s="23" t="n">
        <f aca="false">F150*INDEX($F$34:$BX$34,1,A150)</f>
        <v>0</v>
      </c>
      <c r="L150" s="23" t="n">
        <f aca="false">F150*INDEX($F$35:$BX$35,1,A150)</f>
        <v>0</v>
      </c>
      <c r="M150" s="23" t="n">
        <f aca="false">F150*INDEX($F$36:$BX$36,1,A150)</f>
        <v>0</v>
      </c>
      <c r="N150" s="23" t="str">
        <f aca="false">IF(J150&gt;=0.5,COUNTIF(J$112:J150,"&gt;=0.5"),"")</f>
        <v/>
      </c>
      <c r="O150" s="23" t="str">
        <f aca="false">IF(K150&gt;=0.5,COUNTIF(K$112:K150,"&gt;=0.5"),"")</f>
        <v/>
      </c>
      <c r="P150" s="23" t="str">
        <f aca="false">IF(L150&gt;=0.5,COUNTIF(L$112:L150,"&gt;=0.5"),"")</f>
        <v/>
      </c>
      <c r="Q150" s="23" t="str">
        <f aca="false">IF(M150&gt;=0.5,COUNTIF(M$112:M150,"&gt;=0.5"),"")</f>
        <v/>
      </c>
    </row>
    <row r="151" customFormat="false" ht="15" hidden="false" customHeight="false" outlineLevel="0" collapsed="false">
      <c r="A151" s="4" t="n">
        <v>40</v>
      </c>
      <c r="B151" s="79" t="str">
        <f aca="false">AS$13</f>
        <v>White rice (dry)</v>
      </c>
      <c r="C151" s="80" t="n">
        <v>1.84</v>
      </c>
      <c r="D151" s="71" t="n">
        <f aca="false">INDEX($F$15:$BX$15,1,A151)</f>
        <v>1.84</v>
      </c>
      <c r="E151" s="71" t="n">
        <f aca="false">INDEX($F$16:$BX$16,1,A151)</f>
        <v>0</v>
      </c>
      <c r="F151" s="23" t="n">
        <f aca="false">C151*100</f>
        <v>184</v>
      </c>
      <c r="G151" s="25" t="n">
        <f aca="false">F151/'Food Data'!N45</f>
        <v>4</v>
      </c>
      <c r="H151" s="81" t="n">
        <f aca="false">C151*INDEX($F$14:$BX$14,1,A151)</f>
        <v>0.201199294532628</v>
      </c>
      <c r="I151" s="75" t="str">
        <f aca="false">IF(AND(D151&gt;0,C151&gt;=D151-0.00001),"at cap","")</f>
        <v>at cap</v>
      </c>
      <c r="J151" s="23" t="n">
        <f aca="false">F151*INDEX($F$33:$BX$33,1,A151)</f>
        <v>0</v>
      </c>
      <c r="K151" s="23" t="n">
        <f aca="false">F151*INDEX($F$34:$BX$34,1,A151)</f>
        <v>92</v>
      </c>
      <c r="L151" s="23" t="n">
        <f aca="false">F151*INDEX($F$35:$BX$35,1,A151)</f>
        <v>92</v>
      </c>
      <c r="M151" s="23" t="n">
        <f aca="false">F151*INDEX($F$36:$BX$36,1,A151)</f>
        <v>0</v>
      </c>
      <c r="N151" s="23" t="str">
        <f aca="false">IF(J151&gt;=0.5,COUNTIF(J$112:J151,"&gt;=0.5"),"")</f>
        <v/>
      </c>
      <c r="O151" s="23" t="n">
        <f aca="false">IF(K151&gt;=0.5,COUNTIF(K$112:K151,"&gt;=0.5"),"")</f>
        <v>3</v>
      </c>
      <c r="P151" s="23" t="n">
        <f aca="false">IF(L151&gt;=0.5,COUNTIF(L$112:L151,"&gt;=0.5"),"")</f>
        <v>3</v>
      </c>
      <c r="Q151" s="23" t="str">
        <f aca="false">IF(M151&gt;=0.5,COUNTIF(M$112:M151,"&gt;=0.5"),"")</f>
        <v/>
      </c>
    </row>
    <row r="152" customFormat="false" ht="15" hidden="false" customHeight="false" outlineLevel="0" collapsed="false">
      <c r="A152" s="4" t="n">
        <v>41</v>
      </c>
      <c r="B152" s="79" t="str">
        <f aca="false">AT$13</f>
        <v>Whole-wheat bread</v>
      </c>
      <c r="C152" s="80" t="n">
        <v>0</v>
      </c>
      <c r="D152" s="71" t="n">
        <f aca="false">INDEX($F$15:$BX$15,1,A152)</f>
        <v>1.28</v>
      </c>
      <c r="E152" s="71" t="n">
        <f aca="false">INDEX($F$16:$BX$16,1,A152)</f>
        <v>0</v>
      </c>
      <c r="F152" s="23" t="n">
        <f aca="false">C152*100</f>
        <v>0</v>
      </c>
      <c r="G152" s="25" t="n">
        <f aca="false">F152/'Food Data'!N46</f>
        <v>0</v>
      </c>
      <c r="H152" s="81" t="n">
        <f aca="false">C152*INDEX($F$14:$BX$14,1,A152)</f>
        <v>0</v>
      </c>
      <c r="I152" s="75" t="str">
        <f aca="false">IF(AND(D152&gt;0,C152&gt;=D152-0.00001),"at cap","")</f>
        <v/>
      </c>
      <c r="J152" s="23" t="n">
        <f aca="false">F152*INDEX($F$33:$BX$33,1,A152)</f>
        <v>0</v>
      </c>
      <c r="K152" s="23" t="n">
        <f aca="false">F152*INDEX($F$34:$BX$34,1,A152)</f>
        <v>0</v>
      </c>
      <c r="L152" s="23" t="n">
        <f aca="false">F152*INDEX($F$35:$BX$35,1,A152)</f>
        <v>0</v>
      </c>
      <c r="M152" s="23" t="n">
        <f aca="false">F152*INDEX($F$36:$BX$36,1,A152)</f>
        <v>0</v>
      </c>
      <c r="N152" s="23" t="str">
        <f aca="false">IF(J152&gt;=0.5,COUNTIF(J$112:J152,"&gt;=0.5"),"")</f>
        <v/>
      </c>
      <c r="O152" s="23" t="str">
        <f aca="false">IF(K152&gt;=0.5,COUNTIF(K$112:K152,"&gt;=0.5"),"")</f>
        <v/>
      </c>
      <c r="P152" s="23" t="str">
        <f aca="false">IF(L152&gt;=0.5,COUNTIF(L$112:L152,"&gt;=0.5"),"")</f>
        <v/>
      </c>
      <c r="Q152" s="23" t="str">
        <f aca="false">IF(M152&gt;=0.5,COUNTIF(M$112:M152,"&gt;=0.5"),"")</f>
        <v/>
      </c>
    </row>
    <row r="153" customFormat="false" ht="15" hidden="false" customHeight="false" outlineLevel="0" collapsed="false">
      <c r="A153" s="4" t="n">
        <v>42</v>
      </c>
      <c r="B153" s="79" t="str">
        <f aca="false">AU$13</f>
        <v>Whole-wheat spaghetti (dry)</v>
      </c>
      <c r="C153" s="80" t="n">
        <v>0</v>
      </c>
      <c r="D153" s="71" t="n">
        <f aca="false">INDEX($F$15:$BX$15,1,A153)</f>
        <v>1.71</v>
      </c>
      <c r="E153" s="71" t="n">
        <f aca="false">INDEX($F$16:$BX$16,1,A153)</f>
        <v>0</v>
      </c>
      <c r="F153" s="23" t="n">
        <f aca="false">C153*100</f>
        <v>0</v>
      </c>
      <c r="G153" s="25" t="n">
        <f aca="false">F153/'Food Data'!N47</f>
        <v>0</v>
      </c>
      <c r="H153" s="81" t="n">
        <f aca="false">C153*INDEX($F$14:$BX$14,1,A153)</f>
        <v>0</v>
      </c>
      <c r="I153" s="75" t="str">
        <f aca="false">IF(AND(D153&gt;0,C153&gt;=D153-0.00001),"at cap","")</f>
        <v/>
      </c>
      <c r="J153" s="23" t="n">
        <f aca="false">F153*INDEX($F$33:$BX$33,1,A153)</f>
        <v>0</v>
      </c>
      <c r="K153" s="23" t="n">
        <f aca="false">F153*INDEX($F$34:$BX$34,1,A153)</f>
        <v>0</v>
      </c>
      <c r="L153" s="23" t="n">
        <f aca="false">F153*INDEX($F$35:$BX$35,1,A153)</f>
        <v>0</v>
      </c>
      <c r="M153" s="23" t="n">
        <f aca="false">F153*INDEX($F$36:$BX$36,1,A153)</f>
        <v>0</v>
      </c>
      <c r="N153" s="23" t="str">
        <f aca="false">IF(J153&gt;=0.5,COUNTIF(J$112:J153,"&gt;=0.5"),"")</f>
        <v/>
      </c>
      <c r="O153" s="23" t="str">
        <f aca="false">IF(K153&gt;=0.5,COUNTIF(K$112:K153,"&gt;=0.5"),"")</f>
        <v/>
      </c>
      <c r="P153" s="23" t="str">
        <f aca="false">IF(L153&gt;=0.5,COUNTIF(L$112:L153,"&gt;=0.5"),"")</f>
        <v/>
      </c>
      <c r="Q153" s="23" t="str">
        <f aca="false">IF(M153&gt;=0.5,COUNTIF(M$112:M153,"&gt;=0.5"),"")</f>
        <v/>
      </c>
    </row>
    <row r="154" customFormat="false" ht="15" hidden="false" customHeight="false" outlineLevel="0" collapsed="false">
      <c r="A154" s="4" t="n">
        <v>43</v>
      </c>
      <c r="B154" s="79" t="str">
        <f aca="false">AV$13</f>
        <v>Corn (frozen)</v>
      </c>
      <c r="C154" s="80" t="n">
        <v>0</v>
      </c>
      <c r="D154" s="71" t="n">
        <f aca="false">INDEX($F$15:$BX$15,1,A154)</f>
        <v>2.04</v>
      </c>
      <c r="E154" s="71" t="n">
        <f aca="false">INDEX($F$16:$BX$16,1,A154)</f>
        <v>0</v>
      </c>
      <c r="F154" s="23" t="n">
        <f aca="false">C154*100</f>
        <v>0</v>
      </c>
      <c r="G154" s="25" t="n">
        <f aca="false">F154/'Food Data'!N48</f>
        <v>0</v>
      </c>
      <c r="H154" s="81" t="n">
        <f aca="false">C154*INDEX($F$14:$BX$14,1,A154)</f>
        <v>0</v>
      </c>
      <c r="I154" s="75" t="str">
        <f aca="false">IF(AND(D154&gt;0,C154&gt;=D154-0.00001),"at cap","")</f>
        <v/>
      </c>
      <c r="J154" s="23" t="n">
        <f aca="false">F154*INDEX($F$33:$BX$33,1,A154)</f>
        <v>0</v>
      </c>
      <c r="K154" s="23" t="n">
        <f aca="false">F154*INDEX($F$34:$BX$34,1,A154)</f>
        <v>0</v>
      </c>
      <c r="L154" s="23" t="n">
        <f aca="false">F154*INDEX($F$35:$BX$35,1,A154)</f>
        <v>0</v>
      </c>
      <c r="M154" s="23" t="n">
        <f aca="false">F154*INDEX($F$36:$BX$36,1,A154)</f>
        <v>0</v>
      </c>
      <c r="N154" s="23" t="str">
        <f aca="false">IF(J154&gt;=0.5,COUNTIF(J$112:J154,"&gt;=0.5"),"")</f>
        <v/>
      </c>
      <c r="O154" s="23" t="str">
        <f aca="false">IF(K154&gt;=0.5,COUNTIF(K$112:K154,"&gt;=0.5"),"")</f>
        <v/>
      </c>
      <c r="P154" s="23" t="str">
        <f aca="false">IF(L154&gt;=0.5,COUNTIF(L$112:L154,"&gt;=0.5"),"")</f>
        <v/>
      </c>
      <c r="Q154" s="23" t="str">
        <f aca="false">IF(M154&gt;=0.5,COUNTIF(M$112:M154,"&gt;=0.5"),"")</f>
        <v/>
      </c>
    </row>
    <row r="155" customFormat="false" ht="15" hidden="false" customHeight="false" outlineLevel="0" collapsed="false">
      <c r="A155" s="4" t="n">
        <v>44</v>
      </c>
      <c r="B155" s="79" t="str">
        <f aca="false">AW$13</f>
        <v>Potatoes (russet)</v>
      </c>
      <c r="C155" s="80" t="n">
        <v>0</v>
      </c>
      <c r="D155" s="71" t="n">
        <f aca="false">INDEX($F$15:$BX$15,1,A155)</f>
        <v>3</v>
      </c>
      <c r="E155" s="71" t="n">
        <f aca="false">INDEX($F$16:$BX$16,1,A155)</f>
        <v>0</v>
      </c>
      <c r="F155" s="23" t="n">
        <f aca="false">C155*100</f>
        <v>0</v>
      </c>
      <c r="G155" s="25" t="n">
        <f aca="false">F155/'Food Data'!N49</f>
        <v>0</v>
      </c>
      <c r="H155" s="81" t="n">
        <f aca="false">C155*INDEX($F$14:$BX$14,1,A155)</f>
        <v>0</v>
      </c>
      <c r="I155" s="75" t="str">
        <f aca="false">IF(AND(D155&gt;0,C155&gt;=D155-0.00001),"at cap","")</f>
        <v/>
      </c>
      <c r="J155" s="23" t="n">
        <f aca="false">F155*INDEX($F$33:$BX$33,1,A155)</f>
        <v>0</v>
      </c>
      <c r="K155" s="23" t="n">
        <f aca="false">F155*INDEX($F$34:$BX$34,1,A155)</f>
        <v>0</v>
      </c>
      <c r="L155" s="23" t="n">
        <f aca="false">F155*INDEX($F$35:$BX$35,1,A155)</f>
        <v>0</v>
      </c>
      <c r="M155" s="23" t="n">
        <f aca="false">F155*INDEX($F$36:$BX$36,1,A155)</f>
        <v>0</v>
      </c>
      <c r="N155" s="23" t="str">
        <f aca="false">IF(J155&gt;=0.5,COUNTIF(J$112:J155,"&gt;=0.5"),"")</f>
        <v/>
      </c>
      <c r="O155" s="23" t="str">
        <f aca="false">IF(K155&gt;=0.5,COUNTIF(K$112:K155,"&gt;=0.5"),"")</f>
        <v/>
      </c>
      <c r="P155" s="23" t="str">
        <f aca="false">IF(L155&gt;=0.5,COUNTIF(L$112:L155,"&gt;=0.5"),"")</f>
        <v/>
      </c>
      <c r="Q155" s="23" t="str">
        <f aca="false">IF(M155&gt;=0.5,COUNTIF(M$112:M155,"&gt;=0.5"),"")</f>
        <v/>
      </c>
    </row>
    <row r="156" customFormat="false" ht="15" hidden="false" customHeight="false" outlineLevel="0" collapsed="false">
      <c r="A156" s="4" t="n">
        <v>45</v>
      </c>
      <c r="B156" s="79" t="str">
        <f aca="false">AX$13</f>
        <v>Sweet potatoes</v>
      </c>
      <c r="C156" s="80" t="n">
        <v>0</v>
      </c>
      <c r="D156" s="71" t="n">
        <f aca="false">INDEX($F$15:$BX$15,1,A156)</f>
        <v>2.66</v>
      </c>
      <c r="E156" s="71" t="n">
        <f aca="false">INDEX($F$16:$BX$16,1,A156)</f>
        <v>0</v>
      </c>
      <c r="F156" s="23" t="n">
        <f aca="false">C156*100</f>
        <v>0</v>
      </c>
      <c r="G156" s="25" t="n">
        <f aca="false">F156/'Food Data'!N50</f>
        <v>0</v>
      </c>
      <c r="H156" s="81" t="n">
        <f aca="false">C156*INDEX($F$14:$BX$14,1,A156)</f>
        <v>0</v>
      </c>
      <c r="I156" s="75" t="str">
        <f aca="false">IF(AND(D156&gt;0,C156&gt;=D156-0.00001),"at cap","")</f>
        <v/>
      </c>
      <c r="J156" s="23" t="n">
        <f aca="false">F156*INDEX($F$33:$BX$33,1,A156)</f>
        <v>0</v>
      </c>
      <c r="K156" s="23" t="n">
        <f aca="false">F156*INDEX($F$34:$BX$34,1,A156)</f>
        <v>0</v>
      </c>
      <c r="L156" s="23" t="n">
        <f aca="false">F156*INDEX($F$35:$BX$35,1,A156)</f>
        <v>0</v>
      </c>
      <c r="M156" s="23" t="n">
        <f aca="false">F156*INDEX($F$36:$BX$36,1,A156)</f>
        <v>0</v>
      </c>
      <c r="N156" s="23" t="str">
        <f aca="false">IF(J156&gt;=0.5,COUNTIF(J$112:J156,"&gt;=0.5"),"")</f>
        <v/>
      </c>
      <c r="O156" s="23" t="str">
        <f aca="false">IF(K156&gt;=0.5,COUNTIF(K$112:K156,"&gt;=0.5"),"")</f>
        <v/>
      </c>
      <c r="P156" s="23" t="str">
        <f aca="false">IF(L156&gt;=0.5,COUNTIF(L$112:L156,"&gt;=0.5"),"")</f>
        <v/>
      </c>
      <c r="Q156" s="23" t="str">
        <f aca="false">IF(M156&gt;=0.5,COUNTIF(M$112:M156,"&gt;=0.5"),"")</f>
        <v/>
      </c>
    </row>
    <row r="157" customFormat="false" ht="15" hidden="false" customHeight="false" outlineLevel="0" collapsed="false">
      <c r="A157" s="4" t="n">
        <v>46</v>
      </c>
      <c r="B157" s="79" t="str">
        <f aca="false">AY$13</f>
        <v>Apples (Gala)</v>
      </c>
      <c r="C157" s="80" t="n">
        <v>0</v>
      </c>
      <c r="D157" s="71" t="n">
        <f aca="false">INDEX($F$15:$BX$15,1,A157)</f>
        <v>2.5</v>
      </c>
      <c r="E157" s="71" t="n">
        <f aca="false">INDEX($F$16:$BX$16,1,A157)</f>
        <v>0</v>
      </c>
      <c r="F157" s="23" t="n">
        <f aca="false">C157*100</f>
        <v>0</v>
      </c>
      <c r="G157" s="25" t="n">
        <f aca="false">F157/'Food Data'!N51</f>
        <v>0</v>
      </c>
      <c r="H157" s="81" t="n">
        <f aca="false">C157*INDEX($F$14:$BX$14,1,A157)</f>
        <v>0</v>
      </c>
      <c r="I157" s="75" t="str">
        <f aca="false">IF(AND(D157&gt;0,C157&gt;=D157-0.00001),"at cap","")</f>
        <v/>
      </c>
      <c r="J157" s="23" t="n">
        <f aca="false">F157*INDEX($F$33:$BX$33,1,A157)</f>
        <v>0</v>
      </c>
      <c r="K157" s="23" t="n">
        <f aca="false">F157*INDEX($F$34:$BX$34,1,A157)</f>
        <v>0</v>
      </c>
      <c r="L157" s="23" t="n">
        <f aca="false">F157*INDEX($F$35:$BX$35,1,A157)</f>
        <v>0</v>
      </c>
      <c r="M157" s="23" t="n">
        <f aca="false">F157*INDEX($F$36:$BX$36,1,A157)</f>
        <v>0</v>
      </c>
      <c r="N157" s="23" t="str">
        <f aca="false">IF(J157&gt;=0.5,COUNTIF(J$112:J157,"&gt;=0.5"),"")</f>
        <v/>
      </c>
      <c r="O157" s="23" t="str">
        <f aca="false">IF(K157&gt;=0.5,COUNTIF(K$112:K157,"&gt;=0.5"),"")</f>
        <v/>
      </c>
      <c r="P157" s="23" t="str">
        <f aca="false">IF(L157&gt;=0.5,COUNTIF(L$112:L157,"&gt;=0.5"),"")</f>
        <v/>
      </c>
      <c r="Q157" s="23" t="str">
        <f aca="false">IF(M157&gt;=0.5,COUNTIF(M$112:M157,"&gt;=0.5"),"")</f>
        <v/>
      </c>
    </row>
    <row r="158" customFormat="false" ht="15" hidden="false" customHeight="false" outlineLevel="0" collapsed="false">
      <c r="A158" s="4" t="n">
        <v>47</v>
      </c>
      <c r="B158" s="79" t="str">
        <f aca="false">AZ$13</f>
        <v>Bananas</v>
      </c>
      <c r="C158" s="80" t="n">
        <v>2.36</v>
      </c>
      <c r="D158" s="71" t="n">
        <f aca="false">INDEX($F$15:$BX$15,1,A158)</f>
        <v>2.36</v>
      </c>
      <c r="E158" s="71" t="n">
        <f aca="false">INDEX($F$16:$BX$16,1,A158)</f>
        <v>0</v>
      </c>
      <c r="F158" s="23" t="n">
        <f aca="false">C158*100</f>
        <v>236</v>
      </c>
      <c r="G158" s="25" t="n">
        <f aca="false">F158/'Food Data'!N52</f>
        <v>2</v>
      </c>
      <c r="H158" s="81" t="n">
        <f aca="false">C158*INDEX($F$14:$BX$14,1,A158)</f>
        <v>0.406470458553792</v>
      </c>
      <c r="I158" s="75" t="str">
        <f aca="false">IF(AND(D158&gt;0,C158&gt;=D158-0.00001),"at cap","")</f>
        <v>at cap</v>
      </c>
      <c r="J158" s="23" t="n">
        <f aca="false">F158*INDEX($F$33:$BX$33,1,A158)</f>
        <v>118</v>
      </c>
      <c r="K158" s="23" t="n">
        <f aca="false">F158*INDEX($F$34:$BX$34,1,A158)</f>
        <v>0</v>
      </c>
      <c r="L158" s="23" t="n">
        <f aca="false">F158*INDEX($F$35:$BX$35,1,A158)</f>
        <v>0</v>
      </c>
      <c r="M158" s="23" t="n">
        <f aca="false">F158*INDEX($F$36:$BX$36,1,A158)</f>
        <v>118</v>
      </c>
      <c r="N158" s="23" t="n">
        <f aca="false">IF(J158&gt;=0.5,COUNTIF(J$112:J158,"&gt;=0.5"),"")</f>
        <v>5</v>
      </c>
      <c r="O158" s="23" t="str">
        <f aca="false">IF(K158&gt;=0.5,COUNTIF(K$112:K158,"&gt;=0.5"),"")</f>
        <v/>
      </c>
      <c r="P158" s="23" t="str">
        <f aca="false">IF(L158&gt;=0.5,COUNTIF(L$112:L158,"&gt;=0.5"),"")</f>
        <v/>
      </c>
      <c r="Q158" s="23" t="n">
        <f aca="false">IF(M158&gt;=0.5,COUNTIF(M$112:M158,"&gt;=0.5"),"")</f>
        <v>3</v>
      </c>
    </row>
    <row r="159" customFormat="false" ht="15" hidden="false" customHeight="false" outlineLevel="0" collapsed="false">
      <c r="A159" s="4" t="n">
        <v>48</v>
      </c>
      <c r="B159" s="79" t="str">
        <f aca="false">BA$13</f>
        <v>Blueberries (frozen)</v>
      </c>
      <c r="C159" s="80" t="n">
        <v>0</v>
      </c>
      <c r="D159" s="71" t="n">
        <f aca="false">INDEX($F$15:$BX$15,1,A159)</f>
        <v>1.55</v>
      </c>
      <c r="E159" s="71" t="n">
        <f aca="false">INDEX($F$16:$BX$16,1,A159)</f>
        <v>0</v>
      </c>
      <c r="F159" s="23" t="n">
        <f aca="false">C159*100</f>
        <v>0</v>
      </c>
      <c r="G159" s="25" t="n">
        <f aca="false">F159/'Food Data'!N53</f>
        <v>0</v>
      </c>
      <c r="H159" s="81" t="n">
        <f aca="false">C159*INDEX($F$14:$BX$14,1,A159)</f>
        <v>0</v>
      </c>
      <c r="I159" s="75" t="str">
        <f aca="false">IF(AND(D159&gt;0,C159&gt;=D159-0.00001),"at cap","")</f>
        <v/>
      </c>
      <c r="J159" s="23" t="n">
        <f aca="false">F159*INDEX($F$33:$BX$33,1,A159)</f>
        <v>0</v>
      </c>
      <c r="K159" s="23" t="n">
        <f aca="false">F159*INDEX($F$34:$BX$34,1,A159)</f>
        <v>0</v>
      </c>
      <c r="L159" s="23" t="n">
        <f aca="false">F159*INDEX($F$35:$BX$35,1,A159)</f>
        <v>0</v>
      </c>
      <c r="M159" s="23" t="n">
        <f aca="false">F159*INDEX($F$36:$BX$36,1,A159)</f>
        <v>0</v>
      </c>
      <c r="N159" s="23" t="str">
        <f aca="false">IF(J159&gt;=0.5,COUNTIF(J$112:J159,"&gt;=0.5"),"")</f>
        <v/>
      </c>
      <c r="O159" s="23" t="str">
        <f aca="false">IF(K159&gt;=0.5,COUNTIF(K$112:K159,"&gt;=0.5"),"")</f>
        <v/>
      </c>
      <c r="P159" s="23" t="str">
        <f aca="false">IF(L159&gt;=0.5,COUNTIF(L$112:L159,"&gt;=0.5"),"")</f>
        <v/>
      </c>
      <c r="Q159" s="23" t="str">
        <f aca="false">IF(M159&gt;=0.5,COUNTIF(M$112:M159,"&gt;=0.5"),"")</f>
        <v/>
      </c>
    </row>
    <row r="160" customFormat="false" ht="15" hidden="false" customHeight="false" outlineLevel="0" collapsed="false">
      <c r="A160" s="4" t="n">
        <v>49</v>
      </c>
      <c r="B160" s="79" t="str">
        <f aca="false">BB$13</f>
        <v>Grapes (red seedless)</v>
      </c>
      <c r="C160" s="80" t="n">
        <v>0</v>
      </c>
      <c r="D160" s="71" t="n">
        <f aca="false">INDEX($F$15:$BX$15,1,A160)</f>
        <v>3.02</v>
      </c>
      <c r="E160" s="71" t="n">
        <f aca="false">INDEX($F$16:$BX$16,1,A160)</f>
        <v>0</v>
      </c>
      <c r="F160" s="23" t="n">
        <f aca="false">C160*100</f>
        <v>0</v>
      </c>
      <c r="G160" s="25" t="n">
        <f aca="false">F160/'Food Data'!N54</f>
        <v>0</v>
      </c>
      <c r="H160" s="81" t="n">
        <f aca="false">C160*INDEX($F$14:$BX$14,1,A160)</f>
        <v>0</v>
      </c>
      <c r="I160" s="75" t="str">
        <f aca="false">IF(AND(D160&gt;0,C160&gt;=D160-0.00001),"at cap","")</f>
        <v/>
      </c>
      <c r="J160" s="23" t="n">
        <f aca="false">F160*INDEX($F$33:$BX$33,1,A160)</f>
        <v>0</v>
      </c>
      <c r="K160" s="23" t="n">
        <f aca="false">F160*INDEX($F$34:$BX$34,1,A160)</f>
        <v>0</v>
      </c>
      <c r="L160" s="23" t="n">
        <f aca="false">F160*INDEX($F$35:$BX$35,1,A160)</f>
        <v>0</v>
      </c>
      <c r="M160" s="23" t="n">
        <f aca="false">F160*INDEX($F$36:$BX$36,1,A160)</f>
        <v>0</v>
      </c>
      <c r="N160" s="23" t="str">
        <f aca="false">IF(J160&gt;=0.5,COUNTIF(J$112:J160,"&gt;=0.5"),"")</f>
        <v/>
      </c>
      <c r="O160" s="23" t="str">
        <f aca="false">IF(K160&gt;=0.5,COUNTIF(K$112:K160,"&gt;=0.5"),"")</f>
        <v/>
      </c>
      <c r="P160" s="23" t="str">
        <f aca="false">IF(L160&gt;=0.5,COUNTIF(L$112:L160,"&gt;=0.5"),"")</f>
        <v/>
      </c>
      <c r="Q160" s="23" t="str">
        <f aca="false">IF(M160&gt;=0.5,COUNTIF(M$112:M160,"&gt;=0.5"),"")</f>
        <v/>
      </c>
    </row>
    <row r="161" customFormat="false" ht="15" hidden="false" customHeight="false" outlineLevel="0" collapsed="false">
      <c r="A161" s="4" t="n">
        <v>50</v>
      </c>
      <c r="B161" s="79" t="str">
        <f aca="false">BC$13</f>
        <v>Orange juice (100%)</v>
      </c>
      <c r="C161" s="80" t="n">
        <v>0</v>
      </c>
      <c r="D161" s="71" t="n">
        <f aca="false">INDEX($F$15:$BX$15,1,A161)</f>
        <v>2.49</v>
      </c>
      <c r="E161" s="71" t="n">
        <f aca="false">INDEX($F$16:$BX$16,1,A161)</f>
        <v>0</v>
      </c>
      <c r="F161" s="23" t="n">
        <f aca="false">C161*100</f>
        <v>0</v>
      </c>
      <c r="G161" s="25" t="n">
        <f aca="false">F161/'Food Data'!N55</f>
        <v>0</v>
      </c>
      <c r="H161" s="81" t="n">
        <f aca="false">C161*INDEX($F$14:$BX$14,1,A161)</f>
        <v>0</v>
      </c>
      <c r="I161" s="75" t="str">
        <f aca="false">IF(AND(D161&gt;0,C161&gt;=D161-0.00001),"at cap","")</f>
        <v/>
      </c>
      <c r="J161" s="23" t="n">
        <f aca="false">F161*INDEX($F$33:$BX$33,1,A161)</f>
        <v>0</v>
      </c>
      <c r="K161" s="23" t="n">
        <f aca="false">F161*INDEX($F$34:$BX$34,1,A161)</f>
        <v>0</v>
      </c>
      <c r="L161" s="23" t="n">
        <f aca="false">F161*INDEX($F$35:$BX$35,1,A161)</f>
        <v>0</v>
      </c>
      <c r="M161" s="23" t="n">
        <f aca="false">F161*INDEX($F$36:$BX$36,1,A161)</f>
        <v>0</v>
      </c>
      <c r="N161" s="23" t="str">
        <f aca="false">IF(J161&gt;=0.5,COUNTIF(J$112:J161,"&gt;=0.5"),"")</f>
        <v/>
      </c>
      <c r="O161" s="23" t="str">
        <f aca="false">IF(K161&gt;=0.5,COUNTIF(K$112:K161,"&gt;=0.5"),"")</f>
        <v/>
      </c>
      <c r="P161" s="23" t="str">
        <f aca="false">IF(L161&gt;=0.5,COUNTIF(L$112:L161,"&gt;=0.5"),"")</f>
        <v/>
      </c>
      <c r="Q161" s="23" t="str">
        <f aca="false">IF(M161&gt;=0.5,COUNTIF(M$112:M161,"&gt;=0.5"),"")</f>
        <v/>
      </c>
    </row>
    <row r="162" customFormat="false" ht="15" hidden="false" customHeight="false" outlineLevel="0" collapsed="false">
      <c r="A162" s="4" t="n">
        <v>51</v>
      </c>
      <c r="B162" s="79" t="str">
        <f aca="false">BD$13</f>
        <v>Oranges (navel)</v>
      </c>
      <c r="C162" s="80" t="n">
        <v>0</v>
      </c>
      <c r="D162" s="71" t="n">
        <f aca="false">INDEX($F$15:$BX$15,1,A162)</f>
        <v>2.8</v>
      </c>
      <c r="E162" s="71" t="n">
        <f aca="false">INDEX($F$16:$BX$16,1,A162)</f>
        <v>0</v>
      </c>
      <c r="F162" s="23" t="n">
        <f aca="false">C162*100</f>
        <v>0</v>
      </c>
      <c r="G162" s="25" t="n">
        <f aca="false">F162/'Food Data'!N56</f>
        <v>0</v>
      </c>
      <c r="H162" s="81" t="n">
        <f aca="false">C162*INDEX($F$14:$BX$14,1,A162)</f>
        <v>0</v>
      </c>
      <c r="I162" s="75" t="str">
        <f aca="false">IF(AND(D162&gt;0,C162&gt;=D162-0.00001),"at cap","")</f>
        <v/>
      </c>
      <c r="J162" s="23" t="n">
        <f aca="false">F162*INDEX($F$33:$BX$33,1,A162)</f>
        <v>0</v>
      </c>
      <c r="K162" s="23" t="n">
        <f aca="false">F162*INDEX($F$34:$BX$34,1,A162)</f>
        <v>0</v>
      </c>
      <c r="L162" s="23" t="n">
        <f aca="false">F162*INDEX($F$35:$BX$35,1,A162)</f>
        <v>0</v>
      </c>
      <c r="M162" s="23" t="n">
        <f aca="false">F162*INDEX($F$36:$BX$36,1,A162)</f>
        <v>0</v>
      </c>
      <c r="N162" s="23" t="str">
        <f aca="false">IF(J162&gt;=0.5,COUNTIF(J$112:J162,"&gt;=0.5"),"")</f>
        <v/>
      </c>
      <c r="O162" s="23" t="str">
        <f aca="false">IF(K162&gt;=0.5,COUNTIF(K$112:K162,"&gt;=0.5"),"")</f>
        <v/>
      </c>
      <c r="P162" s="23" t="str">
        <f aca="false">IF(L162&gt;=0.5,COUNTIF(L$112:L162,"&gt;=0.5"),"")</f>
        <v/>
      </c>
      <c r="Q162" s="23" t="str">
        <f aca="false">IF(M162&gt;=0.5,COUNTIF(M$112:M162,"&gt;=0.5"),"")</f>
        <v/>
      </c>
    </row>
    <row r="163" customFormat="false" ht="15" hidden="false" customHeight="false" outlineLevel="0" collapsed="false">
      <c r="A163" s="4" t="n">
        <v>52</v>
      </c>
      <c r="B163" s="79" t="str">
        <f aca="false">BE$13</f>
        <v>Raisins</v>
      </c>
      <c r="C163" s="80" t="n">
        <v>0</v>
      </c>
      <c r="D163" s="71" t="n">
        <f aca="false">INDEX($F$15:$BX$15,1,A163)</f>
        <v>0.41</v>
      </c>
      <c r="E163" s="71" t="n">
        <f aca="false">INDEX($F$16:$BX$16,1,A163)</f>
        <v>0</v>
      </c>
      <c r="F163" s="23" t="n">
        <f aca="false">C163*100</f>
        <v>0</v>
      </c>
      <c r="G163" s="25" t="n">
        <f aca="false">F163/'Food Data'!N57</f>
        <v>0</v>
      </c>
      <c r="H163" s="81" t="n">
        <f aca="false">C163*INDEX($F$14:$BX$14,1,A163)</f>
        <v>0</v>
      </c>
      <c r="I163" s="75" t="str">
        <f aca="false">IF(AND(D163&gt;0,C163&gt;=D163-0.00001),"at cap","")</f>
        <v/>
      </c>
      <c r="J163" s="23" t="n">
        <f aca="false">F163*INDEX($F$33:$BX$33,1,A163)</f>
        <v>0</v>
      </c>
      <c r="K163" s="23" t="n">
        <f aca="false">F163*INDEX($F$34:$BX$34,1,A163)</f>
        <v>0</v>
      </c>
      <c r="L163" s="23" t="n">
        <f aca="false">F163*INDEX($F$35:$BX$35,1,A163)</f>
        <v>0</v>
      </c>
      <c r="M163" s="23" t="n">
        <f aca="false">F163*INDEX($F$36:$BX$36,1,A163)</f>
        <v>0</v>
      </c>
      <c r="N163" s="23" t="str">
        <f aca="false">IF(J163&gt;=0.5,COUNTIF(J$112:J163,"&gt;=0.5"),"")</f>
        <v/>
      </c>
      <c r="O163" s="23" t="str">
        <f aca="false">IF(K163&gt;=0.5,COUNTIF(K$112:K163,"&gt;=0.5"),"")</f>
        <v/>
      </c>
      <c r="P163" s="23" t="str">
        <f aca="false">IF(L163&gt;=0.5,COUNTIF(L$112:L163,"&gt;=0.5"),"")</f>
        <v/>
      </c>
      <c r="Q163" s="23" t="str">
        <f aca="false">IF(M163&gt;=0.5,COUNTIF(M$112:M163,"&gt;=0.5"),"")</f>
        <v/>
      </c>
    </row>
    <row r="164" customFormat="false" ht="15" hidden="false" customHeight="false" outlineLevel="0" collapsed="false">
      <c r="A164" s="4" t="n">
        <v>53</v>
      </c>
      <c r="B164" s="79" t="str">
        <f aca="false">BF$13</f>
        <v>Strawberries</v>
      </c>
      <c r="C164" s="80" t="n">
        <v>0</v>
      </c>
      <c r="D164" s="71" t="n">
        <f aca="false">INDEX($F$15:$BX$15,1,A164)</f>
        <v>3.04</v>
      </c>
      <c r="E164" s="71" t="n">
        <f aca="false">INDEX($F$16:$BX$16,1,A164)</f>
        <v>0</v>
      </c>
      <c r="F164" s="23" t="n">
        <f aca="false">C164*100</f>
        <v>0</v>
      </c>
      <c r="G164" s="25" t="n">
        <f aca="false">F164/'Food Data'!N58</f>
        <v>0</v>
      </c>
      <c r="H164" s="81" t="n">
        <f aca="false">C164*INDEX($F$14:$BX$14,1,A164)</f>
        <v>0</v>
      </c>
      <c r="I164" s="75" t="str">
        <f aca="false">IF(AND(D164&gt;0,C164&gt;=D164-0.00001),"at cap","")</f>
        <v/>
      </c>
      <c r="J164" s="23" t="n">
        <f aca="false">F164*INDEX($F$33:$BX$33,1,A164)</f>
        <v>0</v>
      </c>
      <c r="K164" s="23" t="n">
        <f aca="false">F164*INDEX($F$34:$BX$34,1,A164)</f>
        <v>0</v>
      </c>
      <c r="L164" s="23" t="n">
        <f aca="false">F164*INDEX($F$35:$BX$35,1,A164)</f>
        <v>0</v>
      </c>
      <c r="M164" s="23" t="n">
        <f aca="false">F164*INDEX($F$36:$BX$36,1,A164)</f>
        <v>0</v>
      </c>
      <c r="N164" s="23" t="str">
        <f aca="false">IF(J164&gt;=0.5,COUNTIF(J$112:J164,"&gt;=0.5"),"")</f>
        <v/>
      </c>
      <c r="O164" s="23" t="str">
        <f aca="false">IF(K164&gt;=0.5,COUNTIF(K$112:K164,"&gt;=0.5"),"")</f>
        <v/>
      </c>
      <c r="P164" s="23" t="str">
        <f aca="false">IF(L164&gt;=0.5,COUNTIF(L$112:L164,"&gt;=0.5"),"")</f>
        <v/>
      </c>
      <c r="Q164" s="23" t="str">
        <f aca="false">IF(M164&gt;=0.5,COUNTIF(M$112:M164,"&gt;=0.5"),"")</f>
        <v/>
      </c>
    </row>
    <row r="165" customFormat="false" ht="15" hidden="false" customHeight="false" outlineLevel="0" collapsed="false">
      <c r="A165" s="4" t="n">
        <v>54</v>
      </c>
      <c r="B165" s="79" t="str">
        <f aca="false">BG$13</f>
        <v>Broccoli (frozen)</v>
      </c>
      <c r="C165" s="80" t="n">
        <v>1.9</v>
      </c>
      <c r="D165" s="71" t="n">
        <f aca="false">INDEX($F$15:$BX$15,1,A165)</f>
        <v>1.9</v>
      </c>
      <c r="E165" s="71" t="n">
        <f aca="false">INDEX($F$16:$BX$16,1,A165)</f>
        <v>0</v>
      </c>
      <c r="F165" s="23" t="n">
        <f aca="false">C165*100</f>
        <v>190</v>
      </c>
      <c r="G165" s="25" t="n">
        <f aca="false">F165/'Food Data'!N59</f>
        <v>2</v>
      </c>
      <c r="H165" s="81" t="n">
        <f aca="false">C165*INDEX($F$14:$BX$14,1,A165)</f>
        <v>0.647854203409759</v>
      </c>
      <c r="I165" s="75" t="str">
        <f aca="false">IF(AND(D165&gt;0,C165&gt;=D165-0.00001),"at cap","")</f>
        <v>at cap</v>
      </c>
      <c r="J165" s="23" t="n">
        <f aca="false">F165*INDEX($F$33:$BX$33,1,A165)</f>
        <v>0</v>
      </c>
      <c r="K165" s="23" t="n">
        <f aca="false">F165*INDEX($F$34:$BX$34,1,A165)</f>
        <v>95</v>
      </c>
      <c r="L165" s="23" t="n">
        <f aca="false">F165*INDEX($F$35:$BX$35,1,A165)</f>
        <v>95</v>
      </c>
      <c r="M165" s="23" t="n">
        <f aca="false">F165*INDEX($F$36:$BX$36,1,A165)</f>
        <v>0</v>
      </c>
      <c r="N165" s="23" t="str">
        <f aca="false">IF(J165&gt;=0.5,COUNTIF(J$112:J165,"&gt;=0.5"),"")</f>
        <v/>
      </c>
      <c r="O165" s="23" t="n">
        <f aca="false">IF(K165&gt;=0.5,COUNTIF(K$112:K165,"&gt;=0.5"),"")</f>
        <v>4</v>
      </c>
      <c r="P165" s="23" t="n">
        <f aca="false">IF(L165&gt;=0.5,COUNTIF(L$112:L165,"&gt;=0.5"),"")</f>
        <v>4</v>
      </c>
      <c r="Q165" s="23" t="str">
        <f aca="false">IF(M165&gt;=0.5,COUNTIF(M$112:M165,"&gt;=0.5"),"")</f>
        <v/>
      </c>
    </row>
    <row r="166" customFormat="false" ht="15" hidden="false" customHeight="false" outlineLevel="0" collapsed="false">
      <c r="A166" s="4" t="n">
        <v>55</v>
      </c>
      <c r="B166" s="79" t="str">
        <f aca="false">BH$13</f>
        <v>Carrots</v>
      </c>
      <c r="C166" s="80" t="n">
        <v>0</v>
      </c>
      <c r="D166" s="71" t="n">
        <f aca="false">INDEX($F$15:$BX$15,1,A166)</f>
        <v>2.56</v>
      </c>
      <c r="E166" s="71" t="n">
        <f aca="false">INDEX($F$16:$BX$16,1,A166)</f>
        <v>0</v>
      </c>
      <c r="F166" s="23" t="n">
        <f aca="false">C166*100</f>
        <v>0</v>
      </c>
      <c r="G166" s="25" t="n">
        <f aca="false">F166/'Food Data'!N60</f>
        <v>0</v>
      </c>
      <c r="H166" s="81" t="n">
        <f aca="false">C166*INDEX($F$14:$BX$14,1,A166)</f>
        <v>0</v>
      </c>
      <c r="I166" s="75" t="str">
        <f aca="false">IF(AND(D166&gt;0,C166&gt;=D166-0.00001),"at cap","")</f>
        <v/>
      </c>
      <c r="J166" s="23" t="n">
        <f aca="false">F166*INDEX($F$33:$BX$33,1,A166)</f>
        <v>0</v>
      </c>
      <c r="K166" s="23" t="n">
        <f aca="false">F166*INDEX($F$34:$BX$34,1,A166)</f>
        <v>0</v>
      </c>
      <c r="L166" s="23" t="n">
        <f aca="false">F166*INDEX($F$35:$BX$35,1,A166)</f>
        <v>0</v>
      </c>
      <c r="M166" s="23" t="n">
        <f aca="false">F166*INDEX($F$36:$BX$36,1,A166)</f>
        <v>0</v>
      </c>
      <c r="N166" s="23" t="str">
        <f aca="false">IF(J166&gt;=0.5,COUNTIF(J$112:J166,"&gt;=0.5"),"")</f>
        <v/>
      </c>
      <c r="O166" s="23" t="str">
        <f aca="false">IF(K166&gt;=0.5,COUNTIF(K$112:K166,"&gt;=0.5"),"")</f>
        <v/>
      </c>
      <c r="P166" s="23" t="str">
        <f aca="false">IF(L166&gt;=0.5,COUNTIF(L$112:L166,"&gt;=0.5"),"")</f>
        <v/>
      </c>
      <c r="Q166" s="23" t="str">
        <f aca="false">IF(M166&gt;=0.5,COUNTIF(M$112:M166,"&gt;=0.5"),"")</f>
        <v/>
      </c>
    </row>
    <row r="167" customFormat="false" ht="15" hidden="false" customHeight="false" outlineLevel="0" collapsed="false">
      <c r="A167" s="4" t="n">
        <v>56</v>
      </c>
      <c r="B167" s="79" t="str">
        <f aca="false">BI$13</f>
        <v>Green beans (canned)</v>
      </c>
      <c r="C167" s="80" t="n">
        <v>0</v>
      </c>
      <c r="D167" s="71" t="n">
        <f aca="false">INDEX($F$15:$BX$15,1,A167)</f>
        <v>3.6</v>
      </c>
      <c r="E167" s="71" t="n">
        <f aca="false">INDEX($F$16:$BX$16,1,A167)</f>
        <v>0</v>
      </c>
      <c r="F167" s="23" t="n">
        <f aca="false">C167*100</f>
        <v>0</v>
      </c>
      <c r="G167" s="25" t="n">
        <f aca="false">F167/'Food Data'!N61</f>
        <v>0</v>
      </c>
      <c r="H167" s="81" t="n">
        <f aca="false">C167*INDEX($F$14:$BX$14,1,A167)</f>
        <v>0</v>
      </c>
      <c r="I167" s="75" t="str">
        <f aca="false">IF(AND(D167&gt;0,C167&gt;=D167-0.00001),"at cap","")</f>
        <v/>
      </c>
      <c r="J167" s="23" t="n">
        <f aca="false">F167*INDEX($F$33:$BX$33,1,A167)</f>
        <v>0</v>
      </c>
      <c r="K167" s="23" t="n">
        <f aca="false">F167*INDEX($F$34:$BX$34,1,A167)</f>
        <v>0</v>
      </c>
      <c r="L167" s="23" t="n">
        <f aca="false">F167*INDEX($F$35:$BX$35,1,A167)</f>
        <v>0</v>
      </c>
      <c r="M167" s="23" t="n">
        <f aca="false">F167*INDEX($F$36:$BX$36,1,A167)</f>
        <v>0</v>
      </c>
      <c r="N167" s="23" t="str">
        <f aca="false">IF(J167&gt;=0.5,COUNTIF(J$112:J167,"&gt;=0.5"),"")</f>
        <v/>
      </c>
      <c r="O167" s="23" t="str">
        <f aca="false">IF(K167&gt;=0.5,COUNTIF(K$112:K167,"&gt;=0.5"),"")</f>
        <v/>
      </c>
      <c r="P167" s="23" t="str">
        <f aca="false">IF(L167&gt;=0.5,COUNTIF(L$112:L167,"&gt;=0.5"),"")</f>
        <v/>
      </c>
      <c r="Q167" s="23" t="str">
        <f aca="false">IF(M167&gt;=0.5,COUNTIF(M$112:M167,"&gt;=0.5"),"")</f>
        <v/>
      </c>
    </row>
    <row r="168" customFormat="false" ht="15" hidden="false" customHeight="false" outlineLevel="0" collapsed="false">
      <c r="A168" s="4" t="n">
        <v>57</v>
      </c>
      <c r="B168" s="79" t="str">
        <f aca="false">BJ$13</f>
        <v>Green bell pepper</v>
      </c>
      <c r="C168" s="80" t="n">
        <v>0</v>
      </c>
      <c r="D168" s="71" t="n">
        <f aca="false">INDEX($F$15:$BX$15,1,A168)</f>
        <v>1.49</v>
      </c>
      <c r="E168" s="71" t="n">
        <f aca="false">INDEX($F$16:$BX$16,1,A168)</f>
        <v>0</v>
      </c>
      <c r="F168" s="23" t="n">
        <f aca="false">C168*100</f>
        <v>0</v>
      </c>
      <c r="G168" s="25" t="n">
        <f aca="false">F168/'Food Data'!N62</f>
        <v>0</v>
      </c>
      <c r="H168" s="81" t="n">
        <f aca="false">C168*INDEX($F$14:$BX$14,1,A168)</f>
        <v>0</v>
      </c>
      <c r="I168" s="75" t="str">
        <f aca="false">IF(AND(D168&gt;0,C168&gt;=D168-0.00001),"at cap","")</f>
        <v/>
      </c>
      <c r="J168" s="23" t="n">
        <f aca="false">F168*INDEX($F$33:$BX$33,1,A168)</f>
        <v>0</v>
      </c>
      <c r="K168" s="23" t="n">
        <f aca="false">F168*INDEX($F$34:$BX$34,1,A168)</f>
        <v>0</v>
      </c>
      <c r="L168" s="23" t="n">
        <f aca="false">F168*INDEX($F$35:$BX$35,1,A168)</f>
        <v>0</v>
      </c>
      <c r="M168" s="23" t="n">
        <f aca="false">F168*INDEX($F$36:$BX$36,1,A168)</f>
        <v>0</v>
      </c>
      <c r="N168" s="23" t="str">
        <f aca="false">IF(J168&gt;=0.5,COUNTIF(J$112:J168,"&gt;=0.5"),"")</f>
        <v/>
      </c>
      <c r="O168" s="23" t="str">
        <f aca="false">IF(K168&gt;=0.5,COUNTIF(K$112:K168,"&gt;=0.5"),"")</f>
        <v/>
      </c>
      <c r="P168" s="23" t="str">
        <f aca="false">IF(L168&gt;=0.5,COUNTIF(L$112:L168,"&gt;=0.5"),"")</f>
        <v/>
      </c>
      <c r="Q168" s="23" t="str">
        <f aca="false">IF(M168&gt;=0.5,COUNTIF(M$112:M168,"&gt;=0.5"),"")</f>
        <v/>
      </c>
    </row>
    <row r="169" customFormat="false" ht="15" hidden="false" customHeight="false" outlineLevel="0" collapsed="false">
      <c r="A169" s="4" t="n">
        <v>58</v>
      </c>
      <c r="B169" s="79" t="str">
        <f aca="false">BK$13</f>
        <v>Mixed vegetables (frozen)</v>
      </c>
      <c r="C169" s="80" t="n">
        <v>0.56043956</v>
      </c>
      <c r="D169" s="71" t="n">
        <f aca="false">INDEX($F$15:$BX$15,1,A169)</f>
        <v>2.85</v>
      </c>
      <c r="E169" s="71" t="n">
        <f aca="false">INDEX($F$16:$BX$16,1,A169)</f>
        <v>0</v>
      </c>
      <c r="F169" s="23" t="n">
        <f aca="false">C169*100</f>
        <v>56.043956</v>
      </c>
      <c r="G169" s="25" t="n">
        <f aca="false">F169/'Food Data'!N63</f>
        <v>0.589936378947368</v>
      </c>
      <c r="H169" s="81" t="n">
        <f aca="false">C169*INDEX($F$14:$BX$14,1,A169)</f>
        <v>0.159384266402116</v>
      </c>
      <c r="I169" s="75" t="str">
        <f aca="false">IF(AND(D169&gt;0,C169&gt;=D169-0.00001),"at cap","")</f>
        <v/>
      </c>
      <c r="J169" s="23" t="n">
        <f aca="false">F169*INDEX($F$33:$BX$33,1,A169)</f>
        <v>0</v>
      </c>
      <c r="K169" s="23" t="n">
        <f aca="false">F169*INDEX($F$34:$BX$34,1,A169)</f>
        <v>28.021978</v>
      </c>
      <c r="L169" s="23" t="n">
        <f aca="false">F169*INDEX($F$35:$BX$35,1,A169)</f>
        <v>28.021978</v>
      </c>
      <c r="M169" s="23" t="n">
        <f aca="false">F169*INDEX($F$36:$BX$36,1,A169)</f>
        <v>0</v>
      </c>
      <c r="N169" s="23" t="str">
        <f aca="false">IF(J169&gt;=0.5,COUNTIF(J$112:J169,"&gt;=0.5"),"")</f>
        <v/>
      </c>
      <c r="O169" s="23" t="n">
        <f aca="false">IF(K169&gt;=0.5,COUNTIF(K$112:K169,"&gt;=0.5"),"")</f>
        <v>5</v>
      </c>
      <c r="P169" s="23" t="n">
        <f aca="false">IF(L169&gt;=0.5,COUNTIF(L$112:L169,"&gt;=0.5"),"")</f>
        <v>5</v>
      </c>
      <c r="Q169" s="23" t="str">
        <f aca="false">IF(M169&gt;=0.5,COUNTIF(M$112:M169,"&gt;=0.5"),"")</f>
        <v/>
      </c>
    </row>
    <row r="170" customFormat="false" ht="15" hidden="false" customHeight="false" outlineLevel="0" collapsed="false">
      <c r="A170" s="4" t="n">
        <v>59</v>
      </c>
      <c r="B170" s="79" t="str">
        <f aca="false">BL$13</f>
        <v>Onions (yellow)</v>
      </c>
      <c r="C170" s="80" t="n">
        <v>0</v>
      </c>
      <c r="D170" s="71" t="n">
        <f aca="false">INDEX($F$15:$BX$15,1,A170)</f>
        <v>1.6</v>
      </c>
      <c r="E170" s="71" t="n">
        <f aca="false">INDEX($F$16:$BX$16,1,A170)</f>
        <v>0</v>
      </c>
      <c r="F170" s="23" t="n">
        <f aca="false">C170*100</f>
        <v>0</v>
      </c>
      <c r="G170" s="25" t="n">
        <f aca="false">F170/'Food Data'!N64</f>
        <v>0</v>
      </c>
      <c r="H170" s="81" t="n">
        <f aca="false">C170*INDEX($F$14:$BX$14,1,A170)</f>
        <v>0</v>
      </c>
      <c r="I170" s="75" t="str">
        <f aca="false">IF(AND(D170&gt;0,C170&gt;=D170-0.00001),"at cap","")</f>
        <v/>
      </c>
      <c r="J170" s="23" t="n">
        <f aca="false">F170*INDEX($F$33:$BX$33,1,A170)</f>
        <v>0</v>
      </c>
      <c r="K170" s="23" t="n">
        <f aca="false">F170*INDEX($F$34:$BX$34,1,A170)</f>
        <v>0</v>
      </c>
      <c r="L170" s="23" t="n">
        <f aca="false">F170*INDEX($F$35:$BX$35,1,A170)</f>
        <v>0</v>
      </c>
      <c r="M170" s="23" t="n">
        <f aca="false">F170*INDEX($F$36:$BX$36,1,A170)</f>
        <v>0</v>
      </c>
      <c r="N170" s="23" t="str">
        <f aca="false">IF(J170&gt;=0.5,COUNTIF(J$112:J170,"&gt;=0.5"),"")</f>
        <v/>
      </c>
      <c r="O170" s="23" t="str">
        <f aca="false">IF(K170&gt;=0.5,COUNTIF(K$112:K170,"&gt;=0.5"),"")</f>
        <v/>
      </c>
      <c r="P170" s="23" t="str">
        <f aca="false">IF(L170&gt;=0.5,COUNTIF(L$112:L170,"&gt;=0.5"),"")</f>
        <v/>
      </c>
      <c r="Q170" s="23" t="str">
        <f aca="false">IF(M170&gt;=0.5,COUNTIF(M$112:M170,"&gt;=0.5"),"")</f>
        <v/>
      </c>
    </row>
    <row r="171" customFormat="false" ht="15" hidden="false" customHeight="false" outlineLevel="0" collapsed="false">
      <c r="A171" s="4" t="n">
        <v>60</v>
      </c>
      <c r="B171" s="79" t="str">
        <f aca="false">BM$13</f>
        <v>Romaine lettuce</v>
      </c>
      <c r="C171" s="80" t="n">
        <v>0</v>
      </c>
      <c r="D171" s="71" t="n">
        <f aca="false">INDEX($F$15:$BX$15,1,A171)</f>
        <v>1.88</v>
      </c>
      <c r="E171" s="71" t="n">
        <f aca="false">INDEX($F$16:$BX$16,1,A171)</f>
        <v>0</v>
      </c>
      <c r="F171" s="23" t="n">
        <f aca="false">C171*100</f>
        <v>0</v>
      </c>
      <c r="G171" s="25" t="n">
        <f aca="false">F171/'Food Data'!N65</f>
        <v>0</v>
      </c>
      <c r="H171" s="81" t="n">
        <f aca="false">C171*INDEX($F$14:$BX$14,1,A171)</f>
        <v>0</v>
      </c>
      <c r="I171" s="75" t="str">
        <f aca="false">IF(AND(D171&gt;0,C171&gt;=D171-0.00001),"at cap","")</f>
        <v/>
      </c>
      <c r="J171" s="23" t="n">
        <f aca="false">F171*INDEX($F$33:$BX$33,1,A171)</f>
        <v>0</v>
      </c>
      <c r="K171" s="23" t="n">
        <f aca="false">F171*INDEX($F$34:$BX$34,1,A171)</f>
        <v>0</v>
      </c>
      <c r="L171" s="23" t="n">
        <f aca="false">F171*INDEX($F$35:$BX$35,1,A171)</f>
        <v>0</v>
      </c>
      <c r="M171" s="23" t="n">
        <f aca="false">F171*INDEX($F$36:$BX$36,1,A171)</f>
        <v>0</v>
      </c>
      <c r="N171" s="23" t="str">
        <f aca="false">IF(J171&gt;=0.5,COUNTIF(J$112:J171,"&gt;=0.5"),"")</f>
        <v/>
      </c>
      <c r="O171" s="23" t="str">
        <f aca="false">IF(K171&gt;=0.5,COUNTIF(K$112:K171,"&gt;=0.5"),"")</f>
        <v/>
      </c>
      <c r="P171" s="23" t="str">
        <f aca="false">IF(L171&gt;=0.5,COUNTIF(L$112:L171,"&gt;=0.5"),"")</f>
        <v/>
      </c>
      <c r="Q171" s="23" t="str">
        <f aca="false">IF(M171&gt;=0.5,COUNTIF(M$112:M171,"&gt;=0.5"),"")</f>
        <v/>
      </c>
    </row>
    <row r="172" customFormat="false" ht="15" hidden="false" customHeight="false" outlineLevel="0" collapsed="false">
      <c r="A172" s="4" t="n">
        <v>61</v>
      </c>
      <c r="B172" s="79" t="str">
        <f aca="false">BN$13</f>
        <v>Spinach (fresh)</v>
      </c>
      <c r="C172" s="80" t="n">
        <v>0</v>
      </c>
      <c r="D172" s="71" t="n">
        <f aca="false">INDEX($F$15:$BX$15,1,A172)</f>
        <v>1.8</v>
      </c>
      <c r="E172" s="71" t="n">
        <f aca="false">INDEX($F$16:$BX$16,1,A172)</f>
        <v>0</v>
      </c>
      <c r="F172" s="23" t="n">
        <f aca="false">C172*100</f>
        <v>0</v>
      </c>
      <c r="G172" s="25" t="n">
        <f aca="false">F172/'Food Data'!N66</f>
        <v>0</v>
      </c>
      <c r="H172" s="81" t="n">
        <f aca="false">C172*INDEX($F$14:$BX$14,1,A172)</f>
        <v>0</v>
      </c>
      <c r="I172" s="75" t="str">
        <f aca="false">IF(AND(D172&gt;0,C172&gt;=D172-0.00001),"at cap","")</f>
        <v/>
      </c>
      <c r="J172" s="23" t="n">
        <f aca="false">F172*INDEX($F$33:$BX$33,1,A172)</f>
        <v>0</v>
      </c>
      <c r="K172" s="23" t="n">
        <f aca="false">F172*INDEX($F$34:$BX$34,1,A172)</f>
        <v>0</v>
      </c>
      <c r="L172" s="23" t="n">
        <f aca="false">F172*INDEX($F$35:$BX$35,1,A172)</f>
        <v>0</v>
      </c>
      <c r="M172" s="23" t="n">
        <f aca="false">F172*INDEX($F$36:$BX$36,1,A172)</f>
        <v>0</v>
      </c>
      <c r="N172" s="23" t="str">
        <f aca="false">IF(J172&gt;=0.5,COUNTIF(J$112:J172,"&gt;=0.5"),"")</f>
        <v/>
      </c>
      <c r="O172" s="23" t="str">
        <f aca="false">IF(K172&gt;=0.5,COUNTIF(K$112:K172,"&gt;=0.5"),"")</f>
        <v/>
      </c>
      <c r="P172" s="23" t="str">
        <f aca="false">IF(L172&gt;=0.5,COUNTIF(L$112:L172,"&gt;=0.5"),"")</f>
        <v/>
      </c>
      <c r="Q172" s="23" t="str">
        <f aca="false">IF(M172&gt;=0.5,COUNTIF(M$112:M172,"&gt;=0.5"),"")</f>
        <v/>
      </c>
    </row>
    <row r="173" customFormat="false" ht="15" hidden="false" customHeight="false" outlineLevel="0" collapsed="false">
      <c r="A173" s="4" t="n">
        <v>62</v>
      </c>
      <c r="B173" s="79" t="str">
        <f aca="false">BO$13</f>
        <v>Tomatoes (roma)</v>
      </c>
      <c r="C173" s="80" t="n">
        <v>0</v>
      </c>
      <c r="D173" s="71" t="n">
        <f aca="false">INDEX($F$15:$BX$15,1,A173)</f>
        <v>3.6</v>
      </c>
      <c r="E173" s="71" t="n">
        <f aca="false">INDEX($F$16:$BX$16,1,A173)</f>
        <v>0</v>
      </c>
      <c r="F173" s="23" t="n">
        <f aca="false">C173*100</f>
        <v>0</v>
      </c>
      <c r="G173" s="25" t="n">
        <f aca="false">F173/'Food Data'!N67</f>
        <v>0</v>
      </c>
      <c r="H173" s="81" t="n">
        <f aca="false">C173*INDEX($F$14:$BX$14,1,A173)</f>
        <v>0</v>
      </c>
      <c r="I173" s="75" t="str">
        <f aca="false">IF(AND(D173&gt;0,C173&gt;=D173-0.00001),"at cap","")</f>
        <v/>
      </c>
      <c r="J173" s="23" t="n">
        <f aca="false">F173*INDEX($F$33:$BX$33,1,A173)</f>
        <v>0</v>
      </c>
      <c r="K173" s="23" t="n">
        <f aca="false">F173*INDEX($F$34:$BX$34,1,A173)</f>
        <v>0</v>
      </c>
      <c r="L173" s="23" t="n">
        <f aca="false">F173*INDEX($F$35:$BX$35,1,A173)</f>
        <v>0</v>
      </c>
      <c r="M173" s="23" t="n">
        <f aca="false">F173*INDEX($F$36:$BX$36,1,A173)</f>
        <v>0</v>
      </c>
      <c r="N173" s="23" t="str">
        <f aca="false">IF(J173&gt;=0.5,COUNTIF(J$112:J173,"&gt;=0.5"),"")</f>
        <v/>
      </c>
      <c r="O173" s="23" t="str">
        <f aca="false">IF(K173&gt;=0.5,COUNTIF(K$112:K173,"&gt;=0.5"),"")</f>
        <v/>
      </c>
      <c r="P173" s="23" t="str">
        <f aca="false">IF(L173&gt;=0.5,COUNTIF(L$112:L173,"&gt;=0.5"),"")</f>
        <v/>
      </c>
      <c r="Q173" s="23" t="str">
        <f aca="false">IF(M173&gt;=0.5,COUNTIF(M$112:M173,"&gt;=0.5"),"")</f>
        <v/>
      </c>
    </row>
    <row r="174" customFormat="false" ht="15" hidden="false" customHeight="false" outlineLevel="0" collapsed="false">
      <c r="A174" s="4" t="n">
        <v>63</v>
      </c>
      <c r="B174" s="79" t="str">
        <f aca="false">BP$13</f>
        <v>Butter (salted)</v>
      </c>
      <c r="C174" s="80" t="n">
        <v>0</v>
      </c>
      <c r="D174" s="71" t="n">
        <f aca="false">INDEX($F$15:$BX$15,1,A174)</f>
        <v>0.284</v>
      </c>
      <c r="E174" s="71" t="n">
        <f aca="false">INDEX($F$16:$BX$16,1,A174)</f>
        <v>0</v>
      </c>
      <c r="F174" s="23" t="n">
        <f aca="false">C174*100</f>
        <v>0</v>
      </c>
      <c r="G174" s="25" t="n">
        <f aca="false">F174/'Food Data'!N68</f>
        <v>0</v>
      </c>
      <c r="H174" s="81" t="n">
        <f aca="false">C174*INDEX($F$14:$BX$14,1,A174)</f>
        <v>0</v>
      </c>
      <c r="I174" s="75" t="str">
        <f aca="false">IF(AND(D174&gt;0,C174&gt;=D174-0.00001),"at cap","")</f>
        <v/>
      </c>
      <c r="J174" s="23" t="n">
        <f aca="false">F174*INDEX($F$33:$BX$33,1,A174)</f>
        <v>0</v>
      </c>
      <c r="K174" s="23" t="n">
        <f aca="false">F174*INDEX($F$34:$BX$34,1,A174)</f>
        <v>0</v>
      </c>
      <c r="L174" s="23" t="n">
        <f aca="false">F174*INDEX($F$35:$BX$35,1,A174)</f>
        <v>0</v>
      </c>
      <c r="M174" s="23" t="n">
        <f aca="false">F174*INDEX($F$36:$BX$36,1,A174)</f>
        <v>0</v>
      </c>
      <c r="N174" s="23" t="str">
        <f aca="false">IF(J174&gt;=0.5,COUNTIF(J$112:J174,"&gt;=0.5"),"")</f>
        <v/>
      </c>
      <c r="O174" s="23" t="str">
        <f aca="false">IF(K174&gt;=0.5,COUNTIF(K$112:K174,"&gt;=0.5"),"")</f>
        <v/>
      </c>
      <c r="P174" s="23" t="str">
        <f aca="false">IF(L174&gt;=0.5,COUNTIF(L$112:L174,"&gt;=0.5"),"")</f>
        <v/>
      </c>
      <c r="Q174" s="23" t="str">
        <f aca="false">IF(M174&gt;=0.5,COUNTIF(M$112:M174,"&gt;=0.5"),"")</f>
        <v/>
      </c>
    </row>
    <row r="175" customFormat="false" ht="15" hidden="false" customHeight="false" outlineLevel="0" collapsed="false">
      <c r="A175" s="4" t="n">
        <v>64</v>
      </c>
      <c r="B175" s="79" t="str">
        <f aca="false">BQ$13</f>
        <v>Canola oil</v>
      </c>
      <c r="C175" s="80" t="n">
        <v>0.020622091</v>
      </c>
      <c r="D175" s="71" t="n">
        <f aca="false">INDEX($F$15:$BX$15,1,A175)</f>
        <v>0.42</v>
      </c>
      <c r="E175" s="71" t="n">
        <f aca="false">INDEX($F$16:$BX$16,1,A175)</f>
        <v>0</v>
      </c>
      <c r="F175" s="23" t="n">
        <f aca="false">C175*100</f>
        <v>2.0622091</v>
      </c>
      <c r="G175" s="25" t="n">
        <f aca="false">F175/'Food Data'!N69</f>
        <v>0.14730065</v>
      </c>
      <c r="H175" s="81" t="n">
        <f aca="false">C175*INDEX($F$14:$BX$14,1,A175)</f>
        <v>0.0064325788440367</v>
      </c>
      <c r="I175" s="75" t="str">
        <f aca="false">IF(AND(D175&gt;0,C175&gt;=D175-0.00001),"at cap","")</f>
        <v/>
      </c>
      <c r="J175" s="23" t="n">
        <f aca="false">F175*INDEX($F$33:$BX$33,1,A175)</f>
        <v>0</v>
      </c>
      <c r="K175" s="23" t="n">
        <f aca="false">F175*INDEX($F$34:$BX$34,1,A175)</f>
        <v>1.03110455</v>
      </c>
      <c r="L175" s="23" t="n">
        <f aca="false">F175*INDEX($F$35:$BX$35,1,A175)</f>
        <v>1.03110455</v>
      </c>
      <c r="M175" s="23" t="n">
        <f aca="false">F175*INDEX($F$36:$BX$36,1,A175)</f>
        <v>0</v>
      </c>
      <c r="N175" s="23" t="str">
        <f aca="false">IF(J175&gt;=0.5,COUNTIF(J$112:J175,"&gt;=0.5"),"")</f>
        <v/>
      </c>
      <c r="O175" s="23" t="n">
        <f aca="false">IF(K175&gt;=0.5,COUNTIF(K$112:K175,"&gt;=0.5"),"")</f>
        <v>6</v>
      </c>
      <c r="P175" s="23" t="n">
        <f aca="false">IF(L175&gt;=0.5,COUNTIF(L$112:L175,"&gt;=0.5"),"")</f>
        <v>6</v>
      </c>
      <c r="Q175" s="23" t="str">
        <f aca="false">IF(M175&gt;=0.5,COUNTIF(M$112:M175,"&gt;=0.5"),"")</f>
        <v/>
      </c>
    </row>
    <row r="176" customFormat="false" ht="15" hidden="false" customHeight="false" outlineLevel="0" collapsed="false">
      <c r="A176" s="4" t="n">
        <v>65</v>
      </c>
      <c r="B176" s="79" t="str">
        <f aca="false">BR$13</f>
        <v>Olive oil (extra virgin)</v>
      </c>
      <c r="C176" s="80" t="n">
        <v>0</v>
      </c>
      <c r="D176" s="71" t="n">
        <f aca="false">INDEX($F$15:$BX$15,1,A176)</f>
        <v>0.405</v>
      </c>
      <c r="E176" s="71" t="n">
        <f aca="false">INDEX($F$16:$BX$16,1,A176)</f>
        <v>0</v>
      </c>
      <c r="F176" s="23" t="n">
        <f aca="false">C176*100</f>
        <v>0</v>
      </c>
      <c r="G176" s="25" t="n">
        <f aca="false">F176/'Food Data'!N70</f>
        <v>0</v>
      </c>
      <c r="H176" s="81" t="n">
        <f aca="false">C176*INDEX($F$14:$BX$14,1,A176)</f>
        <v>0</v>
      </c>
      <c r="I176" s="75" t="str">
        <f aca="false">IF(AND(D176&gt;0,C176&gt;=D176-0.00001),"at cap","")</f>
        <v/>
      </c>
      <c r="J176" s="23" t="n">
        <f aca="false">F176*INDEX($F$33:$BX$33,1,A176)</f>
        <v>0</v>
      </c>
      <c r="K176" s="23" t="n">
        <f aca="false">F176*INDEX($F$34:$BX$34,1,A176)</f>
        <v>0</v>
      </c>
      <c r="L176" s="23" t="n">
        <f aca="false">F176*INDEX($F$35:$BX$35,1,A176)</f>
        <v>0</v>
      </c>
      <c r="M176" s="23" t="n">
        <f aca="false">F176*INDEX($F$36:$BX$36,1,A176)</f>
        <v>0</v>
      </c>
      <c r="N176" s="23" t="str">
        <f aca="false">IF(J176&gt;=0.5,COUNTIF(J$112:J176,"&gt;=0.5"),"")</f>
        <v/>
      </c>
      <c r="O176" s="23" t="str">
        <f aca="false">IF(K176&gt;=0.5,COUNTIF(K$112:K176,"&gt;=0.5"),"")</f>
        <v/>
      </c>
      <c r="P176" s="23" t="str">
        <f aca="false">IF(L176&gt;=0.5,COUNTIF(L$112:L176,"&gt;=0.5"),"")</f>
        <v/>
      </c>
      <c r="Q176" s="23" t="str">
        <f aca="false">IF(M176&gt;=0.5,COUNTIF(M$112:M176,"&gt;=0.5"),"")</f>
        <v/>
      </c>
    </row>
    <row r="177" customFormat="false" ht="15" hidden="false" customHeight="false" outlineLevel="0" collapsed="false">
      <c r="A177" s="4" t="n">
        <v>66</v>
      </c>
      <c r="B177" s="79" t="str">
        <f aca="false">BS$13</f>
        <v>Almonds</v>
      </c>
      <c r="C177" s="80" t="n">
        <v>0</v>
      </c>
      <c r="D177" s="71" t="n">
        <f aca="false">INDEX($F$15:$BX$15,1,A177)</f>
        <v>0.56</v>
      </c>
      <c r="E177" s="71" t="n">
        <f aca="false">INDEX($F$16:$BX$16,1,A177)</f>
        <v>0</v>
      </c>
      <c r="F177" s="23" t="n">
        <f aca="false">C177*100</f>
        <v>0</v>
      </c>
      <c r="G177" s="25" t="n">
        <f aca="false">F177/'Food Data'!N71</f>
        <v>0</v>
      </c>
      <c r="H177" s="81" t="n">
        <f aca="false">C177*INDEX($F$14:$BX$14,1,A177)</f>
        <v>0</v>
      </c>
      <c r="I177" s="75" t="str">
        <f aca="false">IF(AND(D177&gt;0,C177&gt;=D177-0.00001),"at cap","")</f>
        <v/>
      </c>
      <c r="J177" s="23" t="n">
        <f aca="false">F177*INDEX($F$33:$BX$33,1,A177)</f>
        <v>0</v>
      </c>
      <c r="K177" s="23" t="n">
        <f aca="false">F177*INDEX($F$34:$BX$34,1,A177)</f>
        <v>0</v>
      </c>
      <c r="L177" s="23" t="n">
        <f aca="false">F177*INDEX($F$35:$BX$35,1,A177)</f>
        <v>0</v>
      </c>
      <c r="M177" s="23" t="n">
        <f aca="false">F177*INDEX($F$36:$BX$36,1,A177)</f>
        <v>0</v>
      </c>
      <c r="N177" s="23" t="str">
        <f aca="false">IF(J177&gt;=0.5,COUNTIF(J$112:J177,"&gt;=0.5"),"")</f>
        <v/>
      </c>
      <c r="O177" s="23" t="str">
        <f aca="false">IF(K177&gt;=0.5,COUNTIF(K$112:K177,"&gt;=0.5"),"")</f>
        <v/>
      </c>
      <c r="P177" s="23" t="str">
        <f aca="false">IF(L177&gt;=0.5,COUNTIF(L$112:L177,"&gt;=0.5"),"")</f>
        <v/>
      </c>
      <c r="Q177" s="23" t="str">
        <f aca="false">IF(M177&gt;=0.5,COUNTIF(M$112:M177,"&gt;=0.5"),"")</f>
        <v/>
      </c>
    </row>
    <row r="178" customFormat="false" ht="15" hidden="false" customHeight="false" outlineLevel="0" collapsed="false">
      <c r="A178" s="4" t="n">
        <v>67</v>
      </c>
      <c r="B178" s="79" t="str">
        <f aca="false">BT$13</f>
        <v>Avocado (Hass)</v>
      </c>
      <c r="C178" s="80" t="n">
        <v>0</v>
      </c>
      <c r="D178" s="71" t="n">
        <f aca="false">INDEX($F$15:$BX$15,1,A178)</f>
        <v>1.36</v>
      </c>
      <c r="E178" s="71" t="n">
        <f aca="false">INDEX($F$16:$BX$16,1,A178)</f>
        <v>0</v>
      </c>
      <c r="F178" s="23" t="n">
        <f aca="false">C178*100</f>
        <v>0</v>
      </c>
      <c r="G178" s="25" t="n">
        <f aca="false">F178/'Food Data'!N72</f>
        <v>0</v>
      </c>
      <c r="H178" s="81" t="n">
        <f aca="false">C178*INDEX($F$14:$BX$14,1,A178)</f>
        <v>0</v>
      </c>
      <c r="I178" s="75" t="str">
        <f aca="false">IF(AND(D178&gt;0,C178&gt;=D178-0.00001),"at cap","")</f>
        <v/>
      </c>
      <c r="J178" s="23" t="n">
        <f aca="false">F178*INDEX($F$33:$BX$33,1,A178)</f>
        <v>0</v>
      </c>
      <c r="K178" s="23" t="n">
        <f aca="false">F178*INDEX($F$34:$BX$34,1,A178)</f>
        <v>0</v>
      </c>
      <c r="L178" s="23" t="n">
        <f aca="false">F178*INDEX($F$35:$BX$35,1,A178)</f>
        <v>0</v>
      </c>
      <c r="M178" s="23" t="n">
        <f aca="false">F178*INDEX($F$36:$BX$36,1,A178)</f>
        <v>0</v>
      </c>
      <c r="N178" s="23" t="str">
        <f aca="false">IF(J178&gt;=0.5,COUNTIF(J$112:J178,"&gt;=0.5"),"")</f>
        <v/>
      </c>
      <c r="O178" s="23" t="str">
        <f aca="false">IF(K178&gt;=0.5,COUNTIF(K$112:K178,"&gt;=0.5"),"")</f>
        <v/>
      </c>
      <c r="P178" s="23" t="str">
        <f aca="false">IF(L178&gt;=0.5,COUNTIF(L$112:L178,"&gt;=0.5"),"")</f>
        <v/>
      </c>
      <c r="Q178" s="23" t="str">
        <f aca="false">IF(M178&gt;=0.5,COUNTIF(M$112:M178,"&gt;=0.5"),"")</f>
        <v/>
      </c>
    </row>
    <row r="179" customFormat="false" ht="15" hidden="false" customHeight="false" outlineLevel="0" collapsed="false">
      <c r="A179" s="4" t="n">
        <v>68</v>
      </c>
      <c r="B179" s="79" t="str">
        <f aca="false">BU$13</f>
        <v>Chocolate chip cookies</v>
      </c>
      <c r="C179" s="80" t="n">
        <v>0</v>
      </c>
      <c r="D179" s="71" t="n">
        <f aca="false">INDEX($F$15:$BX$15,1,A179)</f>
        <v>0.26</v>
      </c>
      <c r="E179" s="71" t="n">
        <f aca="false">INDEX($F$16:$BX$16,1,A179)</f>
        <v>0</v>
      </c>
      <c r="F179" s="23" t="n">
        <f aca="false">C179*100</f>
        <v>0</v>
      </c>
      <c r="G179" s="25" t="n">
        <f aca="false">F179/'Food Data'!N73</f>
        <v>0</v>
      </c>
      <c r="H179" s="81" t="n">
        <f aca="false">C179*INDEX($F$14:$BX$14,1,A179)</f>
        <v>0</v>
      </c>
      <c r="I179" s="75" t="str">
        <f aca="false">IF(AND(D179&gt;0,C179&gt;=D179-0.00001),"at cap","")</f>
        <v/>
      </c>
      <c r="J179" s="23" t="n">
        <f aca="false">F179*INDEX($F$33:$BX$33,1,A179)</f>
        <v>0</v>
      </c>
      <c r="K179" s="23" t="n">
        <f aca="false">F179*INDEX($F$34:$BX$34,1,A179)</f>
        <v>0</v>
      </c>
      <c r="L179" s="23" t="n">
        <f aca="false">F179*INDEX($F$35:$BX$35,1,A179)</f>
        <v>0</v>
      </c>
      <c r="M179" s="23" t="n">
        <f aca="false">F179*INDEX($F$36:$BX$36,1,A179)</f>
        <v>0</v>
      </c>
      <c r="N179" s="23" t="str">
        <f aca="false">IF(J179&gt;=0.5,COUNTIF(J$112:J179,"&gt;=0.5"),"")</f>
        <v/>
      </c>
      <c r="O179" s="23" t="str">
        <f aca="false">IF(K179&gt;=0.5,COUNTIF(K$112:K179,"&gt;=0.5"),"")</f>
        <v/>
      </c>
      <c r="P179" s="23" t="str">
        <f aca="false">IF(L179&gt;=0.5,COUNTIF(L$112:L179,"&gt;=0.5"),"")</f>
        <v/>
      </c>
      <c r="Q179" s="23" t="str">
        <f aca="false">IF(M179&gt;=0.5,COUNTIF(M$112:M179,"&gt;=0.5"),"")</f>
        <v/>
      </c>
    </row>
    <row r="180" customFormat="false" ht="15" hidden="false" customHeight="false" outlineLevel="0" collapsed="false">
      <c r="A180" s="4" t="n">
        <v>69</v>
      </c>
      <c r="B180" s="79" t="str">
        <f aca="false">BV$13</f>
        <v>Granola bars (chocolate chip)</v>
      </c>
      <c r="C180" s="80" t="n">
        <v>0</v>
      </c>
      <c r="D180" s="71" t="n">
        <f aca="false">INDEX($F$15:$BX$15,1,A180)</f>
        <v>0.48</v>
      </c>
      <c r="E180" s="71" t="n">
        <f aca="false">INDEX($F$16:$BX$16,1,A180)</f>
        <v>0</v>
      </c>
      <c r="F180" s="23" t="n">
        <f aca="false">C180*100</f>
        <v>0</v>
      </c>
      <c r="G180" s="25" t="n">
        <f aca="false">F180/'Food Data'!N74</f>
        <v>0</v>
      </c>
      <c r="H180" s="81" t="n">
        <f aca="false">C180*INDEX($F$14:$BX$14,1,A180)</f>
        <v>0</v>
      </c>
      <c r="I180" s="75" t="str">
        <f aca="false">IF(AND(D180&gt;0,C180&gt;=D180-0.00001),"at cap","")</f>
        <v/>
      </c>
      <c r="J180" s="23" t="n">
        <f aca="false">F180*INDEX($F$33:$BX$33,1,A180)</f>
        <v>0</v>
      </c>
      <c r="K180" s="23" t="n">
        <f aca="false">F180*INDEX($F$34:$BX$34,1,A180)</f>
        <v>0</v>
      </c>
      <c r="L180" s="23" t="n">
        <f aca="false">F180*INDEX($F$35:$BX$35,1,A180)</f>
        <v>0</v>
      </c>
      <c r="M180" s="23" t="n">
        <f aca="false">F180*INDEX($F$36:$BX$36,1,A180)</f>
        <v>0</v>
      </c>
      <c r="N180" s="23" t="str">
        <f aca="false">IF(J180&gt;=0.5,COUNTIF(J$112:J180,"&gt;=0.5"),"")</f>
        <v/>
      </c>
      <c r="O180" s="23" t="str">
        <f aca="false">IF(K180&gt;=0.5,COUNTIF(K$112:K180,"&gt;=0.5"),"")</f>
        <v/>
      </c>
      <c r="P180" s="23" t="str">
        <f aca="false">IF(L180&gt;=0.5,COUNTIF(L$112:L180,"&gt;=0.5"),"")</f>
        <v/>
      </c>
      <c r="Q180" s="23" t="str">
        <f aca="false">IF(M180&gt;=0.5,COUNTIF(M$112:M180,"&gt;=0.5"),"")</f>
        <v/>
      </c>
    </row>
    <row r="181" customFormat="false" ht="15" hidden="false" customHeight="false" outlineLevel="0" collapsed="false">
      <c r="A181" s="4" t="n">
        <v>70</v>
      </c>
      <c r="B181" s="79" t="str">
        <f aca="false">BW$13</f>
        <v>Potato chips</v>
      </c>
      <c r="C181" s="80" t="n">
        <v>0</v>
      </c>
      <c r="D181" s="71" t="n">
        <f aca="false">INDEX($F$15:$BX$15,1,A181)</f>
        <v>0.28</v>
      </c>
      <c r="E181" s="71" t="n">
        <f aca="false">INDEX($F$16:$BX$16,1,A181)</f>
        <v>0</v>
      </c>
      <c r="F181" s="23" t="n">
        <f aca="false">C181*100</f>
        <v>0</v>
      </c>
      <c r="G181" s="25" t="n">
        <f aca="false">F181/'Food Data'!N75</f>
        <v>0</v>
      </c>
      <c r="H181" s="81" t="n">
        <f aca="false">C181*INDEX($F$14:$BX$14,1,A181)</f>
        <v>0</v>
      </c>
      <c r="I181" s="75" t="str">
        <f aca="false">IF(AND(D181&gt;0,C181&gt;=D181-0.00001),"at cap","")</f>
        <v/>
      </c>
      <c r="J181" s="23" t="n">
        <f aca="false">F181*INDEX($F$33:$BX$33,1,A181)</f>
        <v>0</v>
      </c>
      <c r="K181" s="23" t="n">
        <f aca="false">F181*INDEX($F$34:$BX$34,1,A181)</f>
        <v>0</v>
      </c>
      <c r="L181" s="23" t="n">
        <f aca="false">F181*INDEX($F$35:$BX$35,1,A181)</f>
        <v>0</v>
      </c>
      <c r="M181" s="23" t="n">
        <f aca="false">F181*INDEX($F$36:$BX$36,1,A181)</f>
        <v>0</v>
      </c>
      <c r="N181" s="23" t="str">
        <f aca="false">IF(J181&gt;=0.5,COUNTIF(J$112:J181,"&gt;=0.5"),"")</f>
        <v/>
      </c>
      <c r="O181" s="23" t="str">
        <f aca="false">IF(K181&gt;=0.5,COUNTIF(K$112:K181,"&gt;=0.5"),"")</f>
        <v/>
      </c>
      <c r="P181" s="23" t="str">
        <f aca="false">IF(L181&gt;=0.5,COUNTIF(L$112:L181,"&gt;=0.5"),"")</f>
        <v/>
      </c>
      <c r="Q181" s="23" t="str">
        <f aca="false">IF(M181&gt;=0.5,COUNTIF(M$112:M181,"&gt;=0.5"),"")</f>
        <v/>
      </c>
    </row>
    <row r="182" customFormat="false" ht="15" hidden="false" customHeight="false" outlineLevel="0" collapsed="false">
      <c r="A182" s="4" t="n">
        <v>71</v>
      </c>
      <c r="B182" s="79" t="str">
        <f aca="false">BX$13</f>
        <v>Vanilla ice cream</v>
      </c>
      <c r="C182" s="80" t="n">
        <v>0</v>
      </c>
      <c r="D182" s="71" t="n">
        <f aca="false">INDEX($F$15:$BX$15,1,A182)</f>
        <v>0.66</v>
      </c>
      <c r="E182" s="71" t="n">
        <f aca="false">INDEX($F$16:$BX$16,1,A182)</f>
        <v>0</v>
      </c>
      <c r="F182" s="23" t="n">
        <f aca="false">C182*100</f>
        <v>0</v>
      </c>
      <c r="G182" s="25" t="n">
        <f aca="false">F182/'Food Data'!N76</f>
        <v>0</v>
      </c>
      <c r="H182" s="81" t="n">
        <f aca="false">C182*INDEX($F$14:$BX$14,1,A182)</f>
        <v>0</v>
      </c>
      <c r="I182" s="75" t="str">
        <f aca="false">IF(AND(D182&gt;0,C182&gt;=D182-0.00001),"at cap","")</f>
        <v/>
      </c>
      <c r="J182" s="23" t="n">
        <f aca="false">F182*INDEX($F$33:$BX$33,1,A182)</f>
        <v>0</v>
      </c>
      <c r="K182" s="23" t="n">
        <f aca="false">F182*INDEX($F$34:$BX$34,1,A182)</f>
        <v>0</v>
      </c>
      <c r="L182" s="23" t="n">
        <f aca="false">F182*INDEX($F$35:$BX$35,1,A182)</f>
        <v>0</v>
      </c>
      <c r="M182" s="23" t="n">
        <f aca="false">F182*INDEX($F$36:$BX$36,1,A182)</f>
        <v>0</v>
      </c>
      <c r="N182" s="23" t="str">
        <f aca="false">IF(J182&gt;=0.5,COUNTIF(J$112:J182,"&gt;=0.5"),"")</f>
        <v/>
      </c>
      <c r="O182" s="23" t="str">
        <f aca="false">IF(K182&gt;=0.5,COUNTIF(K$112:K182,"&gt;=0.5"),"")</f>
        <v/>
      </c>
      <c r="P182" s="23" t="str">
        <f aca="false">IF(L182&gt;=0.5,COUNTIF(L$112:L182,"&gt;=0.5"),"")</f>
        <v/>
      </c>
      <c r="Q182" s="23" t="str">
        <f aca="false">IF(M182&gt;=0.5,COUNTIF(M$112:M182,"&gt;=0.5"),"")</f>
        <v/>
      </c>
    </row>
    <row r="184" customFormat="false" ht="15" hidden="false" customHeight="false" outlineLevel="0" collapsed="false">
      <c r="B184" s="62" t="s">
        <v>714</v>
      </c>
      <c r="C184" s="82" t="n">
        <f aca="false" t="array" ref="C184:C184">MMULT(F14:BX14,C112:C182)</f>
        <v>3.01803102279446</v>
      </c>
    </row>
    <row r="185" customFormat="false" ht="15" hidden="false" customHeight="false" outlineLevel="0" collapsed="false">
      <c r="B185" s="62" t="s">
        <v>13</v>
      </c>
      <c r="C185" s="62" t="n">
        <f aca="false">COUNTIF(E40:E107,"VIOLATED")+SUMPRODUCT((C112:C182&gt;D112:D182+0.00001)*1)+SUMPRODUCT((C112:C182&lt;E112:E182-0.00001)*1)</f>
        <v>0</v>
      </c>
    </row>
    <row r="187" customFormat="false" ht="15" hidden="false" customHeight="false" outlineLevel="0" collapsed="false">
      <c r="A187" s="3" t="s">
        <v>715</v>
      </c>
    </row>
    <row r="188" customFormat="false" ht="15" hidden="false" customHeight="false" outlineLevel="0" collapsed="false">
      <c r="B188" s="16" t="s">
        <v>28</v>
      </c>
      <c r="C188" s="16" t="s">
        <v>716</v>
      </c>
      <c r="D188" s="16" t="s">
        <v>66</v>
      </c>
      <c r="E188" s="16" t="s">
        <v>84</v>
      </c>
      <c r="F188" s="16" t="s">
        <v>100</v>
      </c>
      <c r="G188" s="16" t="s">
        <v>113</v>
      </c>
    </row>
    <row r="189" customFormat="false" ht="15" hidden="false" customHeight="false" outlineLevel="0" collapsed="false">
      <c r="B189" s="4" t="s">
        <v>34</v>
      </c>
      <c r="C189" s="83" t="n">
        <f aca="false" t="array" ref="C189:C199">MMULT(F20:BX30,C112:C182)</f>
        <v>2878.500000161</v>
      </c>
      <c r="D189" s="84" t="n">
        <f aca="false" t="array" ref="D189:G199">MMULT(F20:BX30,J112:M182)/100</f>
        <v>606.000000082</v>
      </c>
      <c r="E189" s="84" t="n">
        <v>929.2791397645</v>
      </c>
      <c r="F189" s="84" t="n">
        <v>929.2791397645</v>
      </c>
      <c r="G189" s="84" t="n">
        <v>413.94172055</v>
      </c>
    </row>
    <row r="190" customFormat="false" ht="15" hidden="false" customHeight="false" outlineLevel="0" collapsed="false">
      <c r="B190" s="4" t="s">
        <v>36</v>
      </c>
      <c r="C190" s="83" t="n">
        <v>111.99999999498</v>
      </c>
      <c r="D190" s="84" t="n">
        <v>32.41874188958</v>
      </c>
      <c r="E190" s="84" t="n">
        <v>31.71439227455</v>
      </c>
      <c r="F190" s="84" t="n">
        <v>31.71439227455</v>
      </c>
      <c r="G190" s="84" t="n">
        <v>16.1524735563</v>
      </c>
    </row>
    <row r="191" customFormat="false" ht="15" hidden="false" customHeight="false" outlineLevel="0" collapsed="false">
      <c r="B191" s="4" t="s">
        <v>39</v>
      </c>
      <c r="C191" s="83" t="n">
        <v>467.75624997971</v>
      </c>
      <c r="D191" s="84" t="n">
        <v>48.31210206496</v>
      </c>
      <c r="E191" s="84" t="n">
        <v>187.033911370975</v>
      </c>
      <c r="F191" s="84" t="n">
        <v>187.033911370975</v>
      </c>
      <c r="G191" s="84" t="n">
        <v>45.3763251728</v>
      </c>
    </row>
    <row r="192" customFormat="false" ht="15" hidden="false" customHeight="false" outlineLevel="0" collapsed="false">
      <c r="B192" s="4" t="s">
        <v>45</v>
      </c>
      <c r="C192" s="83" t="n">
        <v>66.16013141328</v>
      </c>
      <c r="D192" s="84" t="n">
        <v>33.6934614643</v>
      </c>
      <c r="E192" s="84" t="n">
        <v>5.4933129076</v>
      </c>
      <c r="F192" s="84" t="n">
        <v>5.4933129076</v>
      </c>
      <c r="G192" s="84" t="n">
        <v>21.48004413378</v>
      </c>
    </row>
    <row r="193" customFormat="false" ht="15" hidden="false" customHeight="false" outlineLevel="0" collapsed="false">
      <c r="B193" s="4" t="s">
        <v>48</v>
      </c>
      <c r="C193" s="83" t="n">
        <v>47.9185550492</v>
      </c>
      <c r="D193" s="84" t="n">
        <v>4.9702351472</v>
      </c>
      <c r="E193" s="84" t="n">
        <v>19.140159951</v>
      </c>
      <c r="F193" s="84" t="n">
        <v>19.140159951</v>
      </c>
      <c r="G193" s="84" t="n">
        <v>4.668</v>
      </c>
    </row>
    <row r="194" customFormat="false" ht="15" hidden="false" customHeight="false" outlineLevel="0" collapsed="false">
      <c r="B194" s="4" t="s">
        <v>51</v>
      </c>
      <c r="C194" s="83" t="n">
        <v>66.95184296326</v>
      </c>
      <c r="D194" s="84" t="n">
        <v>30.1826605389</v>
      </c>
      <c r="E194" s="84" t="n">
        <v>3.54186815235</v>
      </c>
      <c r="F194" s="84" t="n">
        <v>3.54186815235</v>
      </c>
      <c r="G194" s="84" t="n">
        <v>29.68544611966</v>
      </c>
    </row>
    <row r="195" customFormat="false" ht="15" hidden="false" customHeight="false" outlineLevel="0" collapsed="false">
      <c r="B195" s="4" t="s">
        <v>53</v>
      </c>
      <c r="C195" s="83" t="n">
        <v>999.999999987</v>
      </c>
      <c r="D195" s="84" t="n">
        <v>376.054477512</v>
      </c>
      <c r="E195" s="84" t="n">
        <v>160.1086965775</v>
      </c>
      <c r="F195" s="84" t="n">
        <v>160.1086965775</v>
      </c>
      <c r="G195" s="84" t="n">
        <v>303.72812932</v>
      </c>
    </row>
    <row r="196" customFormat="false" ht="15" hidden="false" customHeight="false" outlineLevel="0" collapsed="false">
      <c r="B196" s="4" t="s">
        <v>55</v>
      </c>
      <c r="C196" s="83" t="n">
        <v>23.30780114899</v>
      </c>
      <c r="D196" s="84" t="n">
        <v>3.24937428322</v>
      </c>
      <c r="E196" s="84" t="n">
        <v>9.573901088775</v>
      </c>
      <c r="F196" s="84" t="n">
        <v>9.573901088775</v>
      </c>
      <c r="G196" s="84" t="n">
        <v>0.91062468822</v>
      </c>
    </row>
    <row r="197" customFormat="false" ht="15" hidden="false" customHeight="false" outlineLevel="0" collapsed="false">
      <c r="B197" s="4" t="s">
        <v>57</v>
      </c>
      <c r="C197" s="83" t="n">
        <v>5247.643061918</v>
      </c>
      <c r="D197" s="84" t="n">
        <v>1115.403608908</v>
      </c>
      <c r="E197" s="84" t="n">
        <v>1601.033317735</v>
      </c>
      <c r="F197" s="84" t="n">
        <v>1601.033317735</v>
      </c>
      <c r="G197" s="84" t="n">
        <v>930.17281754</v>
      </c>
    </row>
    <row r="198" customFormat="false" ht="15" hidden="false" customHeight="false" outlineLevel="0" collapsed="false">
      <c r="B198" s="4" t="s">
        <v>59</v>
      </c>
      <c r="C198" s="83" t="n">
        <v>768.584133897</v>
      </c>
      <c r="D198" s="84" t="n">
        <v>427.640788285</v>
      </c>
      <c r="E198" s="84" t="n">
        <v>46.4676641475</v>
      </c>
      <c r="F198" s="84" t="n">
        <v>46.4676641475</v>
      </c>
      <c r="G198" s="84" t="n">
        <v>248.008017317</v>
      </c>
    </row>
    <row r="199" customFormat="false" ht="15" hidden="false" customHeight="false" outlineLevel="0" collapsed="false">
      <c r="B199" s="4" t="s">
        <v>61</v>
      </c>
      <c r="C199" s="83" t="n">
        <v>166.1430651884</v>
      </c>
      <c r="D199" s="84" t="n">
        <v>10.7362468822</v>
      </c>
      <c r="E199" s="84" t="n">
        <v>72.335285712</v>
      </c>
      <c r="F199" s="84" t="n">
        <v>72.335285712</v>
      </c>
      <c r="G199" s="84" t="n">
        <v>10.7362468822</v>
      </c>
    </row>
  </sheetData>
  <conditionalFormatting sqref="E40:E107">
    <cfRule type="expression" priority="2" aboveAverage="0" equalAverage="0" bottom="0" percent="0" rank="0" text="" dxfId="16">
      <formula>E40="VIOLATED"</formula>
    </cfRule>
    <cfRule type="expression" priority="3" aboveAverage="0" equalAverage="0" bottom="0" percent="0" rank="0" text="" dxfId="0">
      <formula>E40="tight"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11" min="3" style="0" width="13"/>
  </cols>
  <sheetData>
    <row r="1" customFormat="false" ht="17.35" hidden="false" customHeight="false" outlineLevel="0" collapsed="false">
      <c r="A1" s="1" t="s">
        <v>717</v>
      </c>
    </row>
    <row r="2" customFormat="false" ht="15" hidden="false" customHeight="false" outlineLevel="0" collapsed="false">
      <c r="A2" s="2" t="s">
        <v>718</v>
      </c>
    </row>
    <row r="5" customFormat="false" ht="43.5" hidden="false" customHeight="true" outlineLevel="0" collapsed="false">
      <c r="A5" s="16" t="s">
        <v>155</v>
      </c>
      <c r="B5" s="16" t="s">
        <v>157</v>
      </c>
      <c r="C5" s="16" t="s">
        <v>80</v>
      </c>
      <c r="D5" s="16" t="s">
        <v>585</v>
      </c>
      <c r="E5" s="16" t="s">
        <v>587</v>
      </c>
      <c r="F5" s="16" t="s">
        <v>589</v>
      </c>
      <c r="G5" s="16" t="s">
        <v>591</v>
      </c>
      <c r="H5" s="16" t="s">
        <v>593</v>
      </c>
      <c r="I5" s="16" t="s">
        <v>595</v>
      </c>
      <c r="J5" s="16" t="s">
        <v>597</v>
      </c>
      <c r="K5" s="16" t="s">
        <v>719</v>
      </c>
    </row>
    <row r="6" customFormat="false" ht="15" hidden="false" customHeight="false" outlineLevel="0" collapsed="false">
      <c r="A6" s="4" t="n">
        <v>1</v>
      </c>
      <c r="B6" s="79" t="str">
        <f aca="false">'Food Data'!D6</f>
        <v>Chicken breast (boneless, skinless)</v>
      </c>
      <c r="C6" s="85" t="n">
        <v>0</v>
      </c>
      <c r="D6" s="85" t="n">
        <v>0.999092789</v>
      </c>
      <c r="E6" s="85" t="n">
        <v>0</v>
      </c>
      <c r="F6" s="85" t="n">
        <v>0</v>
      </c>
      <c r="G6" s="85" t="n">
        <v>0</v>
      </c>
      <c r="H6" s="85" t="n">
        <v>0</v>
      </c>
      <c r="I6" s="85" t="n">
        <v>0</v>
      </c>
      <c r="J6" s="85" t="n">
        <v>0</v>
      </c>
      <c r="K6" s="85" t="n">
        <v>0</v>
      </c>
    </row>
    <row r="7" customFormat="false" ht="15" hidden="false" customHeight="false" outlineLevel="0" collapsed="false">
      <c r="A7" s="4" t="n">
        <v>2</v>
      </c>
      <c r="B7" s="79" t="str">
        <f aca="false">'Food Data'!D7</f>
        <v>Chicken drumsticks (bone-in)</v>
      </c>
      <c r="C7" s="85" t="n">
        <v>0</v>
      </c>
      <c r="D7" s="85" t="n">
        <v>2</v>
      </c>
      <c r="E7" s="85" t="n">
        <v>2</v>
      </c>
      <c r="F7" s="85" t="n">
        <v>0</v>
      </c>
      <c r="G7" s="85" t="n">
        <v>0</v>
      </c>
      <c r="H7" s="85" t="n">
        <v>0</v>
      </c>
      <c r="I7" s="85" t="n">
        <v>0</v>
      </c>
      <c r="J7" s="85" t="n">
        <v>0</v>
      </c>
      <c r="K7" s="85" t="n">
        <v>0</v>
      </c>
    </row>
    <row r="8" customFormat="false" ht="15" hidden="false" customHeight="false" outlineLevel="0" collapsed="false">
      <c r="A8" s="4" t="n">
        <v>3</v>
      </c>
      <c r="B8" s="79" t="str">
        <f aca="false">'Food Data'!D8</f>
        <v>Chicken thighs (boneless, skinless)</v>
      </c>
      <c r="C8" s="85" t="n">
        <v>0</v>
      </c>
      <c r="D8" s="85" t="n">
        <v>0</v>
      </c>
      <c r="E8" s="85" t="n">
        <v>0</v>
      </c>
      <c r="F8" s="85" t="n">
        <v>0</v>
      </c>
      <c r="G8" s="85" t="n">
        <v>0</v>
      </c>
      <c r="H8" s="85" t="n">
        <v>0</v>
      </c>
      <c r="I8" s="85" t="n">
        <v>0</v>
      </c>
      <c r="J8" s="85" t="n">
        <v>0</v>
      </c>
      <c r="K8" s="85" t="n">
        <v>0</v>
      </c>
    </row>
    <row r="9" customFormat="false" ht="15" hidden="false" customHeight="false" outlineLevel="0" collapsed="false">
      <c r="A9" s="4" t="n">
        <v>4</v>
      </c>
      <c r="B9" s="79" t="str">
        <f aca="false">'Food Data'!D9</f>
        <v>Deli turkey breast (sliced)</v>
      </c>
      <c r="C9" s="85" t="n">
        <v>0</v>
      </c>
      <c r="D9" s="85" t="n">
        <v>0</v>
      </c>
      <c r="E9" s="85" t="n">
        <v>0</v>
      </c>
      <c r="F9" s="85" t="n">
        <v>0</v>
      </c>
      <c r="G9" s="85" t="n">
        <v>0</v>
      </c>
      <c r="H9" s="85" t="n">
        <v>0</v>
      </c>
      <c r="I9" s="85" t="n">
        <v>0</v>
      </c>
      <c r="J9" s="85" t="n">
        <v>0</v>
      </c>
      <c r="K9" s="85" t="n">
        <v>1.12</v>
      </c>
    </row>
    <row r="10" customFormat="false" ht="15" hidden="false" customHeight="false" outlineLevel="0" collapsed="false">
      <c r="A10" s="4" t="n">
        <v>5</v>
      </c>
      <c r="B10" s="79" t="str">
        <f aca="false">'Food Data'!D10</f>
        <v>Ground turkey 93/7</v>
      </c>
      <c r="C10" s="85" t="n">
        <v>0</v>
      </c>
      <c r="D10" s="85" t="n">
        <v>0</v>
      </c>
      <c r="E10" s="85" t="n">
        <v>0</v>
      </c>
      <c r="F10" s="85" t="n">
        <v>0</v>
      </c>
      <c r="G10" s="85" t="n">
        <v>0</v>
      </c>
      <c r="H10" s="85" t="n">
        <v>0</v>
      </c>
      <c r="I10" s="85" t="n">
        <v>0</v>
      </c>
      <c r="J10" s="85" t="n">
        <v>0</v>
      </c>
      <c r="K10" s="85" t="n">
        <v>0</v>
      </c>
    </row>
    <row r="11" customFormat="false" ht="15" hidden="false" customHeight="false" outlineLevel="0" collapsed="false">
      <c r="A11" s="4" t="n">
        <v>6</v>
      </c>
      <c r="B11" s="79" t="str">
        <f aca="false">'Food Data'!D11</f>
        <v>Bacon</v>
      </c>
      <c r="C11" s="85" t="n">
        <v>0</v>
      </c>
      <c r="D11" s="85" t="n">
        <v>0</v>
      </c>
      <c r="E11" s="85" t="n">
        <v>0</v>
      </c>
      <c r="F11" s="85" t="n">
        <v>0</v>
      </c>
      <c r="G11" s="85" t="n">
        <v>0</v>
      </c>
      <c r="H11" s="85" t="n">
        <v>0</v>
      </c>
      <c r="I11" s="85" t="n">
        <v>0</v>
      </c>
      <c r="J11" s="85" t="n">
        <v>0</v>
      </c>
      <c r="K11" s="85" t="n">
        <v>0</v>
      </c>
    </row>
    <row r="12" customFormat="false" ht="15" hidden="false" customHeight="false" outlineLevel="0" collapsed="false">
      <c r="A12" s="4" t="n">
        <v>7</v>
      </c>
      <c r="B12" s="79" t="str">
        <f aca="false">'Food Data'!D12</f>
        <v>Ground beef 80/20</v>
      </c>
      <c r="C12" s="85" t="n">
        <v>0</v>
      </c>
      <c r="D12" s="85" t="n">
        <v>0</v>
      </c>
      <c r="E12" s="85" t="n">
        <v>0</v>
      </c>
      <c r="F12" s="85" t="n">
        <v>0</v>
      </c>
      <c r="G12" s="85" t="n">
        <v>0</v>
      </c>
      <c r="H12" s="85" t="n">
        <v>0</v>
      </c>
      <c r="I12" s="85" t="n">
        <v>0</v>
      </c>
      <c r="J12" s="85" t="n">
        <v>0</v>
      </c>
      <c r="K12" s="85" t="n">
        <v>1.13</v>
      </c>
    </row>
    <row r="13" customFormat="false" ht="15" hidden="false" customHeight="false" outlineLevel="0" collapsed="false">
      <c r="A13" s="4" t="n">
        <v>8</v>
      </c>
      <c r="B13" s="79" t="str">
        <f aca="false">'Food Data'!D13</f>
        <v>Ground beef 93/7 (lean)</v>
      </c>
      <c r="C13" s="85" t="n">
        <v>0</v>
      </c>
      <c r="D13" s="85" t="n">
        <v>0</v>
      </c>
      <c r="E13" s="85" t="n">
        <v>0</v>
      </c>
      <c r="F13" s="85" t="n">
        <v>0</v>
      </c>
      <c r="G13" s="85" t="n">
        <v>0</v>
      </c>
      <c r="H13" s="85" t="n">
        <v>0</v>
      </c>
      <c r="I13" s="85" t="n">
        <v>0</v>
      </c>
      <c r="J13" s="85" t="n">
        <v>0</v>
      </c>
      <c r="K13" s="85" t="n">
        <v>0</v>
      </c>
    </row>
    <row r="14" customFormat="false" ht="15" hidden="false" customHeight="false" outlineLevel="0" collapsed="false">
      <c r="A14" s="4" t="n">
        <v>9</v>
      </c>
      <c r="B14" s="79" t="str">
        <f aca="false">'Food Data'!D14</f>
        <v>Ham (sliced, cooked)</v>
      </c>
      <c r="C14" s="85" t="n">
        <v>0</v>
      </c>
      <c r="D14" s="85" t="n">
        <v>0</v>
      </c>
      <c r="E14" s="85" t="n">
        <v>0</v>
      </c>
      <c r="F14" s="85" t="n">
        <v>0</v>
      </c>
      <c r="G14" s="85" t="n">
        <v>0</v>
      </c>
      <c r="H14" s="85" t="n">
        <v>0</v>
      </c>
      <c r="I14" s="85" t="n">
        <v>0</v>
      </c>
      <c r="J14" s="85" t="n">
        <v>0</v>
      </c>
      <c r="K14" s="85" t="n">
        <v>0</v>
      </c>
    </row>
    <row r="15" customFormat="false" ht="15" hidden="false" customHeight="false" outlineLevel="0" collapsed="false">
      <c r="A15" s="4" t="n">
        <v>10</v>
      </c>
      <c r="B15" s="79" t="str">
        <f aca="false">'Food Data'!D15</f>
        <v>Pork loin chops (boneless)</v>
      </c>
      <c r="C15" s="85" t="n">
        <v>0</v>
      </c>
      <c r="D15" s="85" t="n">
        <v>0</v>
      </c>
      <c r="E15" s="85" t="n">
        <v>0</v>
      </c>
      <c r="F15" s="85" t="n">
        <v>0</v>
      </c>
      <c r="G15" s="85" t="n">
        <v>0</v>
      </c>
      <c r="H15" s="85" t="n">
        <v>0</v>
      </c>
      <c r="I15" s="85" t="n">
        <v>0</v>
      </c>
      <c r="J15" s="85" t="n">
        <v>0</v>
      </c>
      <c r="K15" s="85" t="n">
        <v>0</v>
      </c>
    </row>
    <row r="16" customFormat="false" ht="15" hidden="false" customHeight="false" outlineLevel="0" collapsed="false">
      <c r="A16" s="4" t="n">
        <v>11</v>
      </c>
      <c r="B16" s="79" t="str">
        <f aca="false">'Food Data'!D16</f>
        <v>Top sirloin steak</v>
      </c>
      <c r="C16" s="85" t="n">
        <v>0</v>
      </c>
      <c r="D16" s="85" t="n">
        <v>0</v>
      </c>
      <c r="E16" s="85" t="n">
        <v>0</v>
      </c>
      <c r="F16" s="85" t="n">
        <v>0</v>
      </c>
      <c r="G16" s="85" t="n">
        <v>0</v>
      </c>
      <c r="H16" s="85" t="n">
        <v>0</v>
      </c>
      <c r="I16" s="85" t="n">
        <v>0</v>
      </c>
      <c r="J16" s="85" t="n">
        <v>0</v>
      </c>
      <c r="K16" s="85" t="n">
        <v>0</v>
      </c>
    </row>
    <row r="17" customFormat="false" ht="15" hidden="false" customHeight="false" outlineLevel="0" collapsed="false">
      <c r="A17" s="4" t="n">
        <v>12</v>
      </c>
      <c r="B17" s="79" t="str">
        <f aca="false">'Food Data'!D17</f>
        <v>Canned light tuna (in water)</v>
      </c>
      <c r="C17" s="85" t="n">
        <v>0</v>
      </c>
      <c r="D17" s="85" t="n">
        <v>0</v>
      </c>
      <c r="E17" s="85" t="n">
        <v>0</v>
      </c>
      <c r="F17" s="85" t="n">
        <v>0</v>
      </c>
      <c r="G17" s="85" t="n">
        <v>0</v>
      </c>
      <c r="H17" s="85" t="n">
        <v>0</v>
      </c>
      <c r="I17" s="85" t="n">
        <v>0</v>
      </c>
      <c r="J17" s="85" t="n">
        <v>0</v>
      </c>
      <c r="K17" s="85" t="n">
        <v>0</v>
      </c>
    </row>
    <row r="18" customFormat="false" ht="15" hidden="false" customHeight="false" outlineLevel="0" collapsed="false">
      <c r="A18" s="4" t="n">
        <v>13</v>
      </c>
      <c r="B18" s="79" t="str">
        <f aca="false">'Food Data'!D18</f>
        <v>Salmon (Atlantic, fillet)</v>
      </c>
      <c r="C18" s="85" t="n">
        <v>0</v>
      </c>
      <c r="D18" s="85" t="n">
        <v>0</v>
      </c>
      <c r="E18" s="85" t="n">
        <v>0</v>
      </c>
      <c r="F18" s="85" t="n">
        <v>0</v>
      </c>
      <c r="G18" s="85" t="n">
        <v>0</v>
      </c>
      <c r="H18" s="85" t="n">
        <v>0</v>
      </c>
      <c r="I18" s="85" t="n">
        <v>0</v>
      </c>
      <c r="J18" s="85" t="n">
        <v>0</v>
      </c>
      <c r="K18" s="85" t="n">
        <v>0</v>
      </c>
    </row>
    <row r="19" customFormat="false" ht="15" hidden="false" customHeight="false" outlineLevel="0" collapsed="false">
      <c r="A19" s="4" t="n">
        <v>14</v>
      </c>
      <c r="B19" s="79" t="str">
        <f aca="false">'Food Data'!D19</f>
        <v>Shrimp (raw, peeled)</v>
      </c>
      <c r="C19" s="85" t="n">
        <v>0</v>
      </c>
      <c r="D19" s="85" t="n">
        <v>0</v>
      </c>
      <c r="E19" s="85" t="n">
        <v>0</v>
      </c>
      <c r="F19" s="85" t="n">
        <v>0</v>
      </c>
      <c r="G19" s="85" t="n">
        <v>0</v>
      </c>
      <c r="H19" s="85" t="n">
        <v>0</v>
      </c>
      <c r="I19" s="85" t="n">
        <v>0</v>
      </c>
      <c r="J19" s="85" t="n">
        <v>0</v>
      </c>
      <c r="K19" s="85" t="n">
        <v>0</v>
      </c>
    </row>
    <row r="20" customFormat="false" ht="15" hidden="false" customHeight="false" outlineLevel="0" collapsed="false">
      <c r="A20" s="4" t="n">
        <v>15</v>
      </c>
      <c r="B20" s="79" t="str">
        <f aca="false">'Food Data'!D20</f>
        <v>Tilapia (fillet)</v>
      </c>
      <c r="C20" s="85" t="n">
        <v>0</v>
      </c>
      <c r="D20" s="85" t="n">
        <v>0</v>
      </c>
      <c r="E20" s="85" t="n">
        <v>0</v>
      </c>
      <c r="F20" s="85" t="n">
        <v>0</v>
      </c>
      <c r="G20" s="85" t="n">
        <v>0</v>
      </c>
      <c r="H20" s="85" t="n">
        <v>0</v>
      </c>
      <c r="I20" s="85" t="n">
        <v>0</v>
      </c>
      <c r="J20" s="85" t="n">
        <v>0</v>
      </c>
      <c r="K20" s="85" t="n">
        <v>0</v>
      </c>
    </row>
    <row r="21" customFormat="false" ht="15" hidden="false" customHeight="false" outlineLevel="0" collapsed="false">
      <c r="A21" s="4" t="n">
        <v>16</v>
      </c>
      <c r="B21" s="79" t="str">
        <f aca="false">'Food Data'!D21</f>
        <v>Eggs (large)</v>
      </c>
      <c r="C21" s="85" t="n">
        <v>1.263755108</v>
      </c>
      <c r="D21" s="85" t="n">
        <v>1.5</v>
      </c>
      <c r="E21" s="85" t="n">
        <v>1.5</v>
      </c>
      <c r="F21" s="85" t="n">
        <v>1.263755108</v>
      </c>
      <c r="G21" s="85" t="n">
        <v>0</v>
      </c>
      <c r="H21" s="85" t="n">
        <v>1.263755108</v>
      </c>
      <c r="I21" s="85" t="n">
        <v>1.276378897</v>
      </c>
      <c r="J21" s="85" t="n">
        <v>1.263755108</v>
      </c>
      <c r="K21" s="85" t="n">
        <v>0</v>
      </c>
    </row>
    <row r="22" customFormat="false" ht="15" hidden="false" customHeight="false" outlineLevel="0" collapsed="false">
      <c r="A22" s="4" t="n">
        <v>17</v>
      </c>
      <c r="B22" s="79" t="str">
        <f aca="false">'Food Data'!D22</f>
        <v>Black beans (canned)</v>
      </c>
      <c r="C22" s="85" t="n">
        <v>0</v>
      </c>
      <c r="D22" s="85" t="n">
        <v>0</v>
      </c>
      <c r="E22" s="85" t="n">
        <v>0</v>
      </c>
      <c r="F22" s="85" t="n">
        <v>0</v>
      </c>
      <c r="G22" s="85" t="n">
        <v>0</v>
      </c>
      <c r="H22" s="85" t="n">
        <v>0</v>
      </c>
      <c r="I22" s="85" t="n">
        <v>0</v>
      </c>
      <c r="J22" s="85" t="n">
        <v>0</v>
      </c>
      <c r="K22" s="85" t="n">
        <v>0</v>
      </c>
    </row>
    <row r="23" customFormat="false" ht="15" hidden="false" customHeight="false" outlineLevel="0" collapsed="false">
      <c r="A23" s="4" t="n">
        <v>18</v>
      </c>
      <c r="B23" s="79" t="str">
        <f aca="false">'Food Data'!D23</f>
        <v>Chickpeas (canned)</v>
      </c>
      <c r="C23" s="85" t="n">
        <v>0</v>
      </c>
      <c r="D23" s="85" t="n">
        <v>0</v>
      </c>
      <c r="E23" s="85" t="n">
        <v>0</v>
      </c>
      <c r="F23" s="85" t="n">
        <v>0</v>
      </c>
      <c r="G23" s="85" t="n">
        <v>0</v>
      </c>
      <c r="H23" s="85" t="n">
        <v>0</v>
      </c>
      <c r="I23" s="85" t="n">
        <v>0</v>
      </c>
      <c r="J23" s="85" t="n">
        <v>0</v>
      </c>
      <c r="K23" s="85" t="n">
        <v>0</v>
      </c>
    </row>
    <row r="24" customFormat="false" ht="15" hidden="false" customHeight="false" outlineLevel="0" collapsed="false">
      <c r="A24" s="4" t="n">
        <v>19</v>
      </c>
      <c r="B24" s="79" t="str">
        <f aca="false">'Food Data'!D24</f>
        <v>Lentils (dry)</v>
      </c>
      <c r="C24" s="85" t="n">
        <v>0</v>
      </c>
      <c r="D24" s="85" t="n">
        <v>0</v>
      </c>
      <c r="E24" s="85" t="n">
        <v>0</v>
      </c>
      <c r="F24" s="85" t="n">
        <v>0</v>
      </c>
      <c r="G24" s="85" t="n">
        <v>0</v>
      </c>
      <c r="H24" s="85" t="n">
        <v>0</v>
      </c>
      <c r="I24" s="85" t="n">
        <v>0</v>
      </c>
      <c r="J24" s="85" t="n">
        <v>0</v>
      </c>
      <c r="K24" s="85" t="n">
        <v>0</v>
      </c>
    </row>
    <row r="25" customFormat="false" ht="15" hidden="false" customHeight="false" outlineLevel="0" collapsed="false">
      <c r="A25" s="4" t="n">
        <v>20</v>
      </c>
      <c r="B25" s="79" t="str">
        <f aca="false">'Food Data'!D25</f>
        <v>Peanut butter</v>
      </c>
      <c r="C25" s="85" t="n">
        <v>0.64</v>
      </c>
      <c r="D25" s="85" t="n">
        <v>0.64</v>
      </c>
      <c r="E25" s="85" t="n">
        <v>0.64</v>
      </c>
      <c r="F25" s="85" t="n">
        <v>0.64</v>
      </c>
      <c r="G25" s="85" t="n">
        <v>0.64</v>
      </c>
      <c r="H25" s="85" t="n">
        <v>0.64</v>
      </c>
      <c r="I25" s="85" t="n">
        <v>0.64</v>
      </c>
      <c r="J25" s="85" t="n">
        <v>0.64</v>
      </c>
      <c r="K25" s="85" t="n">
        <v>0</v>
      </c>
    </row>
    <row r="26" customFormat="false" ht="15" hidden="false" customHeight="false" outlineLevel="0" collapsed="false">
      <c r="A26" s="4" t="n">
        <v>21</v>
      </c>
      <c r="B26" s="79" t="str">
        <f aca="false">'Food Data'!D26</f>
        <v>Pinto beans (dry)</v>
      </c>
      <c r="C26" s="85" t="n">
        <v>1.44</v>
      </c>
      <c r="D26" s="85" t="n">
        <v>1.44</v>
      </c>
      <c r="E26" s="85" t="n">
        <v>1.44</v>
      </c>
      <c r="F26" s="85" t="n">
        <v>1.44</v>
      </c>
      <c r="G26" s="85" t="n">
        <v>1.44</v>
      </c>
      <c r="H26" s="85" t="n">
        <v>1.44</v>
      </c>
      <c r="I26" s="85" t="n">
        <v>1.44</v>
      </c>
      <c r="J26" s="85" t="n">
        <v>1.44</v>
      </c>
      <c r="K26" s="85" t="n">
        <v>0</v>
      </c>
    </row>
    <row r="27" customFormat="false" ht="15" hidden="false" customHeight="false" outlineLevel="0" collapsed="false">
      <c r="A27" s="4" t="n">
        <v>22</v>
      </c>
      <c r="B27" s="79" t="str">
        <f aca="false">'Food Data'!D27</f>
        <v>Tofu (extra firm)</v>
      </c>
      <c r="C27" s="85" t="n">
        <v>0</v>
      </c>
      <c r="D27" s="85" t="n">
        <v>0</v>
      </c>
      <c r="E27" s="85" t="n">
        <v>0</v>
      </c>
      <c r="F27" s="85" t="n">
        <v>0</v>
      </c>
      <c r="G27" s="85" t="n">
        <v>0</v>
      </c>
      <c r="H27" s="85" t="n">
        <v>0</v>
      </c>
      <c r="I27" s="85" t="n">
        <v>0</v>
      </c>
      <c r="J27" s="85" t="n">
        <v>0</v>
      </c>
      <c r="K27" s="85" t="n">
        <v>0</v>
      </c>
    </row>
    <row r="28" customFormat="false" ht="15" hidden="false" customHeight="false" outlineLevel="0" collapsed="false">
      <c r="A28" s="4" t="n">
        <v>23</v>
      </c>
      <c r="B28" s="79" t="str">
        <f aca="false">'Food Data'!D28</f>
        <v>2% milk</v>
      </c>
      <c r="C28" s="85" t="n">
        <v>4.702468822</v>
      </c>
      <c r="D28" s="85" t="n">
        <v>7.32</v>
      </c>
      <c r="E28" s="85" t="n">
        <v>0</v>
      </c>
      <c r="F28" s="85" t="n">
        <v>4.702468822</v>
      </c>
      <c r="G28" s="85" t="n">
        <v>0</v>
      </c>
      <c r="H28" s="85" t="n">
        <v>4.702468822</v>
      </c>
      <c r="I28" s="85" t="n">
        <v>3.436020282</v>
      </c>
      <c r="J28" s="85" t="n">
        <v>4.702468822</v>
      </c>
      <c r="K28" s="85" t="n">
        <v>0</v>
      </c>
    </row>
    <row r="29" customFormat="false" ht="15" hidden="false" customHeight="false" outlineLevel="0" collapsed="false">
      <c r="A29" s="4" t="n">
        <v>24</v>
      </c>
      <c r="B29" s="79" t="str">
        <f aca="false">'Food Data'!D29</f>
        <v>Greek yogurt (plain, nonfat)</v>
      </c>
      <c r="C29" s="85" t="n">
        <v>0</v>
      </c>
      <c r="D29" s="85" t="n">
        <v>0</v>
      </c>
      <c r="E29" s="85" t="n">
        <v>0</v>
      </c>
      <c r="F29" s="85" t="n">
        <v>0</v>
      </c>
      <c r="G29" s="85" t="n">
        <v>0</v>
      </c>
      <c r="H29" s="85" t="n">
        <v>0</v>
      </c>
      <c r="I29" s="85" t="n">
        <v>0</v>
      </c>
      <c r="J29" s="85" t="n">
        <v>0</v>
      </c>
      <c r="K29" s="85" t="n">
        <v>0</v>
      </c>
    </row>
    <row r="30" customFormat="false" ht="15" hidden="false" customHeight="false" outlineLevel="0" collapsed="false">
      <c r="A30" s="4" t="n">
        <v>25</v>
      </c>
      <c r="B30" s="79" t="str">
        <f aca="false">'Food Data'!D30</f>
        <v>Soy milk (calcium-fortified)</v>
      </c>
      <c r="C30" s="85" t="n">
        <v>0</v>
      </c>
      <c r="D30" s="85" t="n">
        <v>0</v>
      </c>
      <c r="E30" s="85" t="n">
        <v>0</v>
      </c>
      <c r="F30" s="85" t="n">
        <v>0</v>
      </c>
      <c r="G30" s="85" t="n">
        <v>2.136952725</v>
      </c>
      <c r="H30" s="85" t="n">
        <v>0</v>
      </c>
      <c r="I30" s="85" t="n">
        <v>0</v>
      </c>
      <c r="J30" s="85" t="n">
        <v>0</v>
      </c>
      <c r="K30" s="85" t="n">
        <v>0</v>
      </c>
    </row>
    <row r="31" customFormat="false" ht="15" hidden="false" customHeight="false" outlineLevel="0" collapsed="false">
      <c r="A31" s="4" t="n">
        <v>26</v>
      </c>
      <c r="B31" s="79" t="str">
        <f aca="false">'Food Data'!D31</f>
        <v>Whole milk</v>
      </c>
      <c r="C31" s="85" t="n">
        <v>0</v>
      </c>
      <c r="D31" s="85" t="n">
        <v>0</v>
      </c>
      <c r="E31" s="85" t="n">
        <v>5.630092283</v>
      </c>
      <c r="F31" s="85" t="n">
        <v>0</v>
      </c>
      <c r="G31" s="85" t="n">
        <v>0</v>
      </c>
      <c r="H31" s="85" t="n">
        <v>0</v>
      </c>
      <c r="I31" s="85" t="n">
        <v>1.350731498</v>
      </c>
      <c r="J31" s="85" t="n">
        <v>0</v>
      </c>
      <c r="K31" s="85" t="n">
        <v>0</v>
      </c>
    </row>
    <row r="32" customFormat="false" ht="15" hidden="false" customHeight="false" outlineLevel="0" collapsed="false">
      <c r="A32" s="4" t="n">
        <v>27</v>
      </c>
      <c r="B32" s="79" t="str">
        <f aca="false">'Food Data'!D32</f>
        <v>American cheese (singles)</v>
      </c>
      <c r="C32" s="85" t="n">
        <v>0</v>
      </c>
      <c r="D32" s="85" t="n">
        <v>0</v>
      </c>
      <c r="E32" s="85" t="n">
        <v>0.57</v>
      </c>
      <c r="F32" s="85" t="n">
        <v>0</v>
      </c>
      <c r="G32" s="85" t="n">
        <v>0</v>
      </c>
      <c r="H32" s="85" t="n">
        <v>0</v>
      </c>
      <c r="I32" s="85" t="n">
        <v>0</v>
      </c>
      <c r="J32" s="85" t="n">
        <v>0</v>
      </c>
      <c r="K32" s="85" t="n">
        <v>0.57</v>
      </c>
    </row>
    <row r="33" customFormat="false" ht="15" hidden="false" customHeight="false" outlineLevel="0" collapsed="false">
      <c r="A33" s="4" t="n">
        <v>28</v>
      </c>
      <c r="B33" s="79" t="str">
        <f aca="false">'Food Data'!D33</f>
        <v>Cheddar cheese</v>
      </c>
      <c r="C33" s="85" t="n">
        <v>0</v>
      </c>
      <c r="D33" s="85" t="n">
        <v>0</v>
      </c>
      <c r="E33" s="85" t="n">
        <v>0</v>
      </c>
      <c r="F33" s="85" t="n">
        <v>0</v>
      </c>
      <c r="G33" s="85" t="n">
        <v>0</v>
      </c>
      <c r="H33" s="85" t="n">
        <v>0</v>
      </c>
      <c r="I33" s="85" t="n">
        <v>0</v>
      </c>
      <c r="J33" s="85" t="n">
        <v>0</v>
      </c>
      <c r="K33" s="85" t="n">
        <v>0.28</v>
      </c>
    </row>
    <row r="34" customFormat="false" ht="15" hidden="false" customHeight="false" outlineLevel="0" collapsed="false">
      <c r="A34" s="4" t="n">
        <v>29</v>
      </c>
      <c r="B34" s="79" t="str">
        <f aca="false">'Food Data'!D34</f>
        <v>Cottage cheese (2%)</v>
      </c>
      <c r="C34" s="85" t="n">
        <v>0</v>
      </c>
      <c r="D34" s="85" t="n">
        <v>0</v>
      </c>
      <c r="E34" s="85" t="n">
        <v>0</v>
      </c>
      <c r="F34" s="85" t="n">
        <v>0</v>
      </c>
      <c r="G34" s="85" t="n">
        <v>0</v>
      </c>
      <c r="H34" s="85" t="n">
        <v>0</v>
      </c>
      <c r="I34" s="85" t="n">
        <v>0</v>
      </c>
      <c r="J34" s="85" t="n">
        <v>0</v>
      </c>
      <c r="K34" s="85" t="n">
        <v>0</v>
      </c>
    </row>
    <row r="35" customFormat="false" ht="15" hidden="false" customHeight="false" outlineLevel="0" collapsed="false">
      <c r="A35" s="4" t="n">
        <v>30</v>
      </c>
      <c r="B35" s="79" t="str">
        <f aca="false">'Food Data'!D35</f>
        <v>Mozzarella string cheese</v>
      </c>
      <c r="C35" s="85" t="n">
        <v>0</v>
      </c>
      <c r="D35" s="85" t="n">
        <v>0</v>
      </c>
      <c r="E35" s="85" t="n">
        <v>0</v>
      </c>
      <c r="F35" s="85" t="n">
        <v>0</v>
      </c>
      <c r="G35" s="85" t="n">
        <v>0</v>
      </c>
      <c r="H35" s="85" t="n">
        <v>0</v>
      </c>
      <c r="I35" s="85" t="n">
        <v>0</v>
      </c>
      <c r="J35" s="85" t="n">
        <v>0</v>
      </c>
      <c r="K35" s="85" t="n">
        <v>0</v>
      </c>
    </row>
    <row r="36" customFormat="false" ht="15" hidden="false" customHeight="false" outlineLevel="0" collapsed="false">
      <c r="A36" s="4" t="n">
        <v>31</v>
      </c>
      <c r="B36" s="79" t="str">
        <f aca="false">'Food Data'!D36</f>
        <v>Bagels (plain)</v>
      </c>
      <c r="C36" s="85" t="n">
        <v>0</v>
      </c>
      <c r="D36" s="85" t="n">
        <v>0</v>
      </c>
      <c r="E36" s="85" t="n">
        <v>0</v>
      </c>
      <c r="F36" s="85" t="n">
        <v>0</v>
      </c>
      <c r="G36" s="85" t="n">
        <v>0.94</v>
      </c>
      <c r="H36" s="85" t="n">
        <v>0</v>
      </c>
      <c r="I36" s="85" t="n">
        <v>0</v>
      </c>
      <c r="J36" s="85" t="n">
        <v>0</v>
      </c>
      <c r="K36" s="85" t="n">
        <v>0.94</v>
      </c>
    </row>
    <row r="37" customFormat="false" ht="15" hidden="false" customHeight="false" outlineLevel="0" collapsed="false">
      <c r="A37" s="4" t="n">
        <v>32</v>
      </c>
      <c r="B37" s="79" t="str">
        <f aca="false">'Food Data'!D37</f>
        <v>Brown rice (dry)</v>
      </c>
      <c r="C37" s="85" t="n">
        <v>1.562933795</v>
      </c>
      <c r="D37" s="85" t="n">
        <v>0</v>
      </c>
      <c r="E37" s="85" t="n">
        <v>0</v>
      </c>
      <c r="F37" s="85" t="n">
        <v>1.562933795</v>
      </c>
      <c r="G37" s="85" t="n">
        <v>0</v>
      </c>
      <c r="H37" s="85" t="n">
        <v>1.562933795</v>
      </c>
      <c r="I37" s="85" t="n">
        <v>1.584077741</v>
      </c>
      <c r="J37" s="85" t="n">
        <v>1.562933795</v>
      </c>
      <c r="K37" s="85" t="n">
        <v>0</v>
      </c>
    </row>
    <row r="38" customFormat="false" ht="15" hidden="false" customHeight="false" outlineLevel="0" collapsed="false">
      <c r="A38" s="4" t="n">
        <v>33</v>
      </c>
      <c r="B38" s="79" t="str">
        <f aca="false">'Food Data'!D38</f>
        <v>Cheerios</v>
      </c>
      <c r="C38" s="85" t="n">
        <v>0</v>
      </c>
      <c r="D38" s="85" t="n">
        <v>0</v>
      </c>
      <c r="E38" s="85" t="n">
        <v>0</v>
      </c>
      <c r="F38" s="85" t="n">
        <v>0</v>
      </c>
      <c r="G38" s="85" t="n">
        <v>0</v>
      </c>
      <c r="H38" s="85" t="n">
        <v>0</v>
      </c>
      <c r="I38" s="85" t="n">
        <v>0</v>
      </c>
      <c r="J38" s="85" t="n">
        <v>0</v>
      </c>
      <c r="K38" s="85" t="n">
        <v>0</v>
      </c>
    </row>
    <row r="39" customFormat="false" ht="15" hidden="false" customHeight="false" outlineLevel="0" collapsed="false">
      <c r="A39" s="4" t="n">
        <v>34</v>
      </c>
      <c r="B39" s="79" t="str">
        <f aca="false">'Food Data'!D39</f>
        <v>Corn tortillas</v>
      </c>
      <c r="C39" s="85" t="n">
        <v>0</v>
      </c>
      <c r="D39" s="85" t="n">
        <v>0</v>
      </c>
      <c r="E39" s="85" t="n">
        <v>0</v>
      </c>
      <c r="F39" s="85" t="n">
        <v>0</v>
      </c>
      <c r="G39" s="85" t="n">
        <v>0</v>
      </c>
      <c r="H39" s="85" t="n">
        <v>0</v>
      </c>
      <c r="I39" s="85" t="n">
        <v>0</v>
      </c>
      <c r="J39" s="85" t="n">
        <v>0</v>
      </c>
      <c r="K39" s="85" t="n">
        <v>0</v>
      </c>
    </row>
    <row r="40" customFormat="false" ht="15" hidden="false" customHeight="false" outlineLevel="0" collapsed="false">
      <c r="A40" s="4" t="n">
        <v>35</v>
      </c>
      <c r="B40" s="79" t="str">
        <f aca="false">'Food Data'!D40</f>
        <v>Flour tortillas</v>
      </c>
      <c r="C40" s="85" t="n">
        <v>0</v>
      </c>
      <c r="D40" s="85" t="n">
        <v>0</v>
      </c>
      <c r="E40" s="85" t="n">
        <v>0</v>
      </c>
      <c r="F40" s="85" t="n">
        <v>0</v>
      </c>
      <c r="G40" s="85" t="n">
        <v>0</v>
      </c>
      <c r="H40" s="85" t="n">
        <v>0</v>
      </c>
      <c r="I40" s="85" t="n">
        <v>0</v>
      </c>
      <c r="J40" s="85" t="n">
        <v>0</v>
      </c>
      <c r="K40" s="85" t="n">
        <v>0</v>
      </c>
    </row>
    <row r="41" customFormat="false" ht="15" hidden="false" customHeight="false" outlineLevel="0" collapsed="false">
      <c r="A41" s="4" t="n">
        <v>36</v>
      </c>
      <c r="B41" s="79" t="str">
        <f aca="false">'Food Data'!D41</f>
        <v>Quinoa (dry)</v>
      </c>
      <c r="C41" s="85" t="n">
        <v>0</v>
      </c>
      <c r="D41" s="85" t="n">
        <v>0</v>
      </c>
      <c r="E41" s="85" t="n">
        <v>0</v>
      </c>
      <c r="F41" s="85" t="n">
        <v>0</v>
      </c>
      <c r="G41" s="85" t="n">
        <v>0</v>
      </c>
      <c r="H41" s="85" t="n">
        <v>0</v>
      </c>
      <c r="I41" s="85" t="n">
        <v>0</v>
      </c>
      <c r="J41" s="85" t="n">
        <v>0</v>
      </c>
      <c r="K41" s="85" t="n">
        <v>0</v>
      </c>
    </row>
    <row r="42" customFormat="false" ht="15" hidden="false" customHeight="false" outlineLevel="0" collapsed="false">
      <c r="A42" s="4" t="n">
        <v>37</v>
      </c>
      <c r="B42" s="79" t="str">
        <f aca="false">'Food Data'!D42</f>
        <v>Rolled oats (dry)</v>
      </c>
      <c r="C42" s="85" t="n">
        <v>0.029924272</v>
      </c>
      <c r="D42" s="85" t="n">
        <v>0</v>
      </c>
      <c r="E42" s="85" t="n">
        <v>0.011040556</v>
      </c>
      <c r="F42" s="85" t="n">
        <v>0.029924272</v>
      </c>
      <c r="G42" s="85" t="n">
        <v>0</v>
      </c>
      <c r="H42" s="85" t="n">
        <v>0.029924272</v>
      </c>
      <c r="I42" s="85" t="n">
        <v>0</v>
      </c>
      <c r="J42" s="85" t="n">
        <v>0.029924272</v>
      </c>
      <c r="K42" s="85" t="n">
        <v>0</v>
      </c>
    </row>
    <row r="43" customFormat="false" ht="15" hidden="false" customHeight="false" outlineLevel="0" collapsed="false">
      <c r="A43" s="4" t="n">
        <v>38</v>
      </c>
      <c r="B43" s="79" t="str">
        <f aca="false">'Food Data'!D43</f>
        <v>Spaghetti (dry)</v>
      </c>
      <c r="C43" s="85" t="n">
        <v>0</v>
      </c>
      <c r="D43" s="85" t="n">
        <v>1.71</v>
      </c>
      <c r="E43" s="85" t="n">
        <v>0</v>
      </c>
      <c r="F43" s="85" t="n">
        <v>0</v>
      </c>
      <c r="G43" s="85" t="n">
        <v>1.71</v>
      </c>
      <c r="H43" s="85" t="n">
        <v>0</v>
      </c>
      <c r="I43" s="85" t="n">
        <v>0</v>
      </c>
      <c r="J43" s="85" t="n">
        <v>0</v>
      </c>
      <c r="K43" s="85" t="n">
        <v>1.7</v>
      </c>
    </row>
    <row r="44" customFormat="false" ht="15" hidden="false" customHeight="false" outlineLevel="0" collapsed="false">
      <c r="A44" s="4" t="n">
        <v>39</v>
      </c>
      <c r="B44" s="79" t="str">
        <f aca="false">'Food Data'!D44</f>
        <v>White bread</v>
      </c>
      <c r="C44" s="85" t="n">
        <v>0</v>
      </c>
      <c r="D44" s="85" t="n">
        <v>0</v>
      </c>
      <c r="E44" s="85" t="n">
        <v>0</v>
      </c>
      <c r="F44" s="85" t="n">
        <v>0</v>
      </c>
      <c r="G44" s="85" t="n">
        <v>0</v>
      </c>
      <c r="H44" s="85" t="n">
        <v>0</v>
      </c>
      <c r="I44" s="85" t="n">
        <v>0</v>
      </c>
      <c r="J44" s="85" t="n">
        <v>0</v>
      </c>
      <c r="K44" s="85" t="n">
        <v>1.12</v>
      </c>
    </row>
    <row r="45" customFormat="false" ht="15" hidden="false" customHeight="false" outlineLevel="0" collapsed="false">
      <c r="A45" s="4" t="n">
        <v>40</v>
      </c>
      <c r="B45" s="79" t="str">
        <f aca="false">'Food Data'!D45</f>
        <v>White rice (dry)</v>
      </c>
      <c r="C45" s="85" t="n">
        <v>1.84</v>
      </c>
      <c r="D45" s="85" t="n">
        <v>0.092622512</v>
      </c>
      <c r="E45" s="85" t="n">
        <v>0.371284731</v>
      </c>
      <c r="F45" s="85" t="n">
        <v>1.84</v>
      </c>
      <c r="G45" s="85" t="n">
        <v>0.706973041</v>
      </c>
      <c r="H45" s="85" t="n">
        <v>1.84</v>
      </c>
      <c r="I45" s="85" t="n">
        <v>1.84</v>
      </c>
      <c r="J45" s="85" t="n">
        <v>1.84</v>
      </c>
      <c r="K45" s="85" t="n">
        <v>0</v>
      </c>
    </row>
    <row r="46" customFormat="false" ht="15" hidden="false" customHeight="false" outlineLevel="0" collapsed="false">
      <c r="A46" s="4" t="n">
        <v>41</v>
      </c>
      <c r="B46" s="79" t="str">
        <f aca="false">'Food Data'!D46</f>
        <v>Whole-wheat bread</v>
      </c>
      <c r="C46" s="85" t="n">
        <v>0</v>
      </c>
      <c r="D46" s="85" t="n">
        <v>0</v>
      </c>
      <c r="E46" s="85" t="n">
        <v>0</v>
      </c>
      <c r="F46" s="85" t="n">
        <v>0</v>
      </c>
      <c r="G46" s="85" t="n">
        <v>1.102518463</v>
      </c>
      <c r="H46" s="85" t="n">
        <v>0</v>
      </c>
      <c r="I46" s="85" t="n">
        <v>0</v>
      </c>
      <c r="J46" s="85" t="n">
        <v>0</v>
      </c>
      <c r="K46" s="85" t="n">
        <v>0</v>
      </c>
    </row>
    <row r="47" customFormat="false" ht="15" hidden="false" customHeight="false" outlineLevel="0" collapsed="false">
      <c r="A47" s="4" t="n">
        <v>42</v>
      </c>
      <c r="B47" s="79" t="str">
        <f aca="false">'Food Data'!D47</f>
        <v>Whole-wheat spaghetti (dry)</v>
      </c>
      <c r="C47" s="85" t="n">
        <v>0</v>
      </c>
      <c r="D47" s="85" t="n">
        <v>0</v>
      </c>
      <c r="E47" s="85" t="n">
        <v>0.196528477</v>
      </c>
      <c r="F47" s="85" t="n">
        <v>0</v>
      </c>
      <c r="G47" s="85" t="n">
        <v>0.010107176</v>
      </c>
      <c r="H47" s="85" t="n">
        <v>0</v>
      </c>
      <c r="I47" s="85" t="n">
        <v>0</v>
      </c>
      <c r="J47" s="85" t="n">
        <v>0</v>
      </c>
      <c r="K47" s="85" t="n">
        <v>0</v>
      </c>
    </row>
    <row r="48" customFormat="false" ht="15" hidden="false" customHeight="false" outlineLevel="0" collapsed="false">
      <c r="A48" s="4" t="n">
        <v>43</v>
      </c>
      <c r="B48" s="79" t="str">
        <f aca="false">'Food Data'!D48</f>
        <v>Corn (frozen)</v>
      </c>
      <c r="C48" s="85" t="n">
        <v>0</v>
      </c>
      <c r="D48" s="85" t="n">
        <v>0</v>
      </c>
      <c r="E48" s="85" t="n">
        <v>0</v>
      </c>
      <c r="F48" s="85" t="n">
        <v>0</v>
      </c>
      <c r="G48" s="85" t="n">
        <v>0</v>
      </c>
      <c r="H48" s="85" t="n">
        <v>0</v>
      </c>
      <c r="I48" s="85" t="n">
        <v>0</v>
      </c>
      <c r="J48" s="85" t="n">
        <v>0</v>
      </c>
      <c r="K48" s="85" t="n">
        <v>0</v>
      </c>
    </row>
    <row r="49" customFormat="false" ht="15" hidden="false" customHeight="false" outlineLevel="0" collapsed="false">
      <c r="A49" s="4" t="n">
        <v>44</v>
      </c>
      <c r="B49" s="79" t="str">
        <f aca="false">'Food Data'!D49</f>
        <v>Potatoes (russet)</v>
      </c>
      <c r="C49" s="85" t="n">
        <v>0</v>
      </c>
      <c r="D49" s="85" t="n">
        <v>0</v>
      </c>
      <c r="E49" s="85" t="n">
        <v>0</v>
      </c>
      <c r="F49" s="85" t="n">
        <v>0</v>
      </c>
      <c r="G49" s="85" t="n">
        <v>0</v>
      </c>
      <c r="H49" s="85" t="n">
        <v>0</v>
      </c>
      <c r="I49" s="85" t="n">
        <v>0</v>
      </c>
      <c r="J49" s="85" t="n">
        <v>0</v>
      </c>
      <c r="K49" s="85" t="n">
        <v>0</v>
      </c>
    </row>
    <row r="50" customFormat="false" ht="15" hidden="false" customHeight="false" outlineLevel="0" collapsed="false">
      <c r="A50" s="4" t="n">
        <v>45</v>
      </c>
      <c r="B50" s="79" t="str">
        <f aca="false">'Food Data'!D50</f>
        <v>Sweet potatoes</v>
      </c>
      <c r="C50" s="85" t="n">
        <v>0</v>
      </c>
      <c r="D50" s="85" t="n">
        <v>0</v>
      </c>
      <c r="E50" s="85" t="n">
        <v>0</v>
      </c>
      <c r="F50" s="85" t="n">
        <v>0</v>
      </c>
      <c r="G50" s="85" t="n">
        <v>0</v>
      </c>
      <c r="H50" s="85" t="n">
        <v>0</v>
      </c>
      <c r="I50" s="85" t="n">
        <v>0</v>
      </c>
      <c r="J50" s="85" t="n">
        <v>0</v>
      </c>
      <c r="K50" s="85" t="n">
        <v>0</v>
      </c>
    </row>
    <row r="51" customFormat="false" ht="15" hidden="false" customHeight="false" outlineLevel="0" collapsed="false">
      <c r="A51" s="4" t="n">
        <v>46</v>
      </c>
      <c r="B51" s="79" t="str">
        <f aca="false">'Food Data'!D51</f>
        <v>Apples (Gala)</v>
      </c>
      <c r="C51" s="85" t="n">
        <v>0</v>
      </c>
      <c r="D51" s="85" t="n">
        <v>0</v>
      </c>
      <c r="E51" s="85" t="n">
        <v>0</v>
      </c>
      <c r="F51" s="85" t="n">
        <v>0</v>
      </c>
      <c r="G51" s="85" t="n">
        <v>0</v>
      </c>
      <c r="H51" s="85" t="n">
        <v>0</v>
      </c>
      <c r="I51" s="85" t="n">
        <v>0</v>
      </c>
      <c r="J51" s="85" t="n">
        <v>0</v>
      </c>
      <c r="K51" s="85" t="n">
        <v>0</v>
      </c>
    </row>
    <row r="52" customFormat="false" ht="15" hidden="false" customHeight="false" outlineLevel="0" collapsed="false">
      <c r="A52" s="4" t="n">
        <v>47</v>
      </c>
      <c r="B52" s="79" t="str">
        <f aca="false">'Food Data'!D52</f>
        <v>Bananas</v>
      </c>
      <c r="C52" s="85" t="n">
        <v>2.36</v>
      </c>
      <c r="D52" s="85" t="n">
        <v>2.36</v>
      </c>
      <c r="E52" s="85" t="n">
        <v>2.36</v>
      </c>
      <c r="F52" s="85" t="n">
        <v>2.36</v>
      </c>
      <c r="G52" s="85" t="n">
        <v>2.36</v>
      </c>
      <c r="H52" s="85" t="n">
        <v>2.36</v>
      </c>
      <c r="I52" s="85" t="n">
        <v>2.36</v>
      </c>
      <c r="J52" s="85" t="n">
        <v>2.36</v>
      </c>
      <c r="K52" s="85" t="n">
        <v>0</v>
      </c>
    </row>
    <row r="53" customFormat="false" ht="15" hidden="false" customHeight="false" outlineLevel="0" collapsed="false">
      <c r="A53" s="4" t="n">
        <v>48</v>
      </c>
      <c r="B53" s="79" t="str">
        <f aca="false">'Food Data'!D53</f>
        <v>Blueberries (frozen)</v>
      </c>
      <c r="C53" s="85" t="n">
        <v>0</v>
      </c>
      <c r="D53" s="85" t="n">
        <v>0</v>
      </c>
      <c r="E53" s="85" t="n">
        <v>0</v>
      </c>
      <c r="F53" s="85" t="n">
        <v>0</v>
      </c>
      <c r="G53" s="85" t="n">
        <v>0</v>
      </c>
      <c r="H53" s="85" t="n">
        <v>0</v>
      </c>
      <c r="I53" s="85" t="n">
        <v>0</v>
      </c>
      <c r="J53" s="85" t="n">
        <v>0</v>
      </c>
      <c r="K53" s="85" t="n">
        <v>0</v>
      </c>
    </row>
    <row r="54" customFormat="false" ht="15" hidden="false" customHeight="false" outlineLevel="0" collapsed="false">
      <c r="A54" s="4" t="n">
        <v>49</v>
      </c>
      <c r="B54" s="79" t="str">
        <f aca="false">'Food Data'!D54</f>
        <v>Grapes (red seedless)</v>
      </c>
      <c r="C54" s="85" t="n">
        <v>0</v>
      </c>
      <c r="D54" s="85" t="n">
        <v>0</v>
      </c>
      <c r="E54" s="85" t="n">
        <v>0</v>
      </c>
      <c r="F54" s="85" t="n">
        <v>0</v>
      </c>
      <c r="G54" s="85" t="n">
        <v>0</v>
      </c>
      <c r="H54" s="85" t="n">
        <v>0</v>
      </c>
      <c r="I54" s="85" t="n">
        <v>0</v>
      </c>
      <c r="J54" s="85" t="n">
        <v>0</v>
      </c>
      <c r="K54" s="85" t="n">
        <v>0</v>
      </c>
    </row>
    <row r="55" customFormat="false" ht="15" hidden="false" customHeight="false" outlineLevel="0" collapsed="false">
      <c r="A55" s="4" t="n">
        <v>50</v>
      </c>
      <c r="B55" s="79" t="str">
        <f aca="false">'Food Data'!D55</f>
        <v>Orange juice (100%)</v>
      </c>
      <c r="C55" s="85" t="n">
        <v>0</v>
      </c>
      <c r="D55" s="85" t="n">
        <v>0</v>
      </c>
      <c r="E55" s="85" t="n">
        <v>0</v>
      </c>
      <c r="F55" s="85" t="n">
        <v>0</v>
      </c>
      <c r="G55" s="85" t="n">
        <v>0</v>
      </c>
      <c r="H55" s="85" t="n">
        <v>0</v>
      </c>
      <c r="I55" s="85" t="n">
        <v>0</v>
      </c>
      <c r="J55" s="85" t="n">
        <v>0</v>
      </c>
      <c r="K55" s="85" t="n">
        <v>2.49</v>
      </c>
    </row>
    <row r="56" customFormat="false" ht="15" hidden="false" customHeight="false" outlineLevel="0" collapsed="false">
      <c r="A56" s="4" t="n">
        <v>51</v>
      </c>
      <c r="B56" s="79" t="str">
        <f aca="false">'Food Data'!D56</f>
        <v>Oranges (navel)</v>
      </c>
      <c r="C56" s="85" t="n">
        <v>0</v>
      </c>
      <c r="D56" s="85" t="n">
        <v>0</v>
      </c>
      <c r="E56" s="85" t="n">
        <v>0</v>
      </c>
      <c r="F56" s="85" t="n">
        <v>0</v>
      </c>
      <c r="G56" s="85" t="n">
        <v>0</v>
      </c>
      <c r="H56" s="85" t="n">
        <v>0</v>
      </c>
      <c r="I56" s="85" t="n">
        <v>0</v>
      </c>
      <c r="J56" s="85" t="n">
        <v>0</v>
      </c>
      <c r="K56" s="85" t="n">
        <v>0</v>
      </c>
    </row>
    <row r="57" customFormat="false" ht="15" hidden="false" customHeight="false" outlineLevel="0" collapsed="false">
      <c r="A57" s="4" t="n">
        <v>52</v>
      </c>
      <c r="B57" s="79" t="str">
        <f aca="false">'Food Data'!D57</f>
        <v>Raisins</v>
      </c>
      <c r="C57" s="85" t="n">
        <v>0</v>
      </c>
      <c r="D57" s="85" t="n">
        <v>0</v>
      </c>
      <c r="E57" s="85" t="n">
        <v>0</v>
      </c>
      <c r="F57" s="85" t="n">
        <v>0</v>
      </c>
      <c r="G57" s="85" t="n">
        <v>0</v>
      </c>
      <c r="H57" s="85" t="n">
        <v>0</v>
      </c>
      <c r="I57" s="85" t="n">
        <v>0</v>
      </c>
      <c r="J57" s="85" t="n">
        <v>0</v>
      </c>
      <c r="K57" s="85" t="n">
        <v>0</v>
      </c>
    </row>
    <row r="58" customFormat="false" ht="15" hidden="false" customHeight="false" outlineLevel="0" collapsed="false">
      <c r="A58" s="4" t="n">
        <v>53</v>
      </c>
      <c r="B58" s="79" t="str">
        <f aca="false">'Food Data'!D58</f>
        <v>Strawberries</v>
      </c>
      <c r="C58" s="85" t="n">
        <v>0</v>
      </c>
      <c r="D58" s="85" t="n">
        <v>0</v>
      </c>
      <c r="E58" s="85" t="n">
        <v>0</v>
      </c>
      <c r="F58" s="85" t="n">
        <v>0</v>
      </c>
      <c r="G58" s="85" t="n">
        <v>0</v>
      </c>
      <c r="H58" s="85" t="n">
        <v>0</v>
      </c>
      <c r="I58" s="85" t="n">
        <v>0</v>
      </c>
      <c r="J58" s="85" t="n">
        <v>0</v>
      </c>
      <c r="K58" s="85" t="n">
        <v>0</v>
      </c>
    </row>
    <row r="59" customFormat="false" ht="15" hidden="false" customHeight="false" outlineLevel="0" collapsed="false">
      <c r="A59" s="4" t="n">
        <v>54</v>
      </c>
      <c r="B59" s="79" t="str">
        <f aca="false">'Food Data'!D59</f>
        <v>Broccoli (frozen)</v>
      </c>
      <c r="C59" s="85" t="n">
        <v>1.9</v>
      </c>
      <c r="D59" s="85" t="n">
        <v>1.9</v>
      </c>
      <c r="E59" s="85" t="n">
        <v>1.9</v>
      </c>
      <c r="F59" s="85" t="n">
        <v>1.9</v>
      </c>
      <c r="G59" s="85" t="n">
        <v>1.9</v>
      </c>
      <c r="H59" s="85" t="n">
        <v>1.9</v>
      </c>
      <c r="I59" s="85" t="n">
        <v>1.9</v>
      </c>
      <c r="J59" s="85" t="n">
        <v>1.9</v>
      </c>
      <c r="K59" s="85" t="n">
        <v>0</v>
      </c>
    </row>
    <row r="60" customFormat="false" ht="15" hidden="false" customHeight="false" outlineLevel="0" collapsed="false">
      <c r="A60" s="4" t="n">
        <v>55</v>
      </c>
      <c r="B60" s="79" t="str">
        <f aca="false">'Food Data'!D60</f>
        <v>Carrots</v>
      </c>
      <c r="C60" s="85" t="n">
        <v>0</v>
      </c>
      <c r="D60" s="85" t="n">
        <v>0</v>
      </c>
      <c r="E60" s="85" t="n">
        <v>0</v>
      </c>
      <c r="F60" s="85" t="n">
        <v>0</v>
      </c>
      <c r="G60" s="85" t="n">
        <v>0</v>
      </c>
      <c r="H60" s="85" t="n">
        <v>0</v>
      </c>
      <c r="I60" s="85" t="n">
        <v>0</v>
      </c>
      <c r="J60" s="85" t="n">
        <v>0</v>
      </c>
      <c r="K60" s="85" t="n">
        <v>0</v>
      </c>
    </row>
    <row r="61" customFormat="false" ht="15" hidden="false" customHeight="false" outlineLevel="0" collapsed="false">
      <c r="A61" s="4" t="n">
        <v>56</v>
      </c>
      <c r="B61" s="79" t="str">
        <f aca="false">'Food Data'!D61</f>
        <v>Green beans (canned)</v>
      </c>
      <c r="C61" s="85" t="n">
        <v>0</v>
      </c>
      <c r="D61" s="85" t="n">
        <v>0</v>
      </c>
      <c r="E61" s="85" t="n">
        <v>0</v>
      </c>
      <c r="F61" s="85" t="n">
        <v>0</v>
      </c>
      <c r="G61" s="85" t="n">
        <v>0</v>
      </c>
      <c r="H61" s="85" t="n">
        <v>0</v>
      </c>
      <c r="I61" s="85" t="n">
        <v>0</v>
      </c>
      <c r="J61" s="85" t="n">
        <v>0</v>
      </c>
      <c r="K61" s="85" t="n">
        <v>0</v>
      </c>
    </row>
    <row r="62" customFormat="false" ht="15" hidden="false" customHeight="false" outlineLevel="0" collapsed="false">
      <c r="A62" s="4" t="n">
        <v>57</v>
      </c>
      <c r="B62" s="79" t="str">
        <f aca="false">'Food Data'!D62</f>
        <v>Green bell pepper</v>
      </c>
      <c r="C62" s="85" t="n">
        <v>0</v>
      </c>
      <c r="D62" s="85" t="n">
        <v>0</v>
      </c>
      <c r="E62" s="85" t="n">
        <v>0</v>
      </c>
      <c r="F62" s="85" t="n">
        <v>0</v>
      </c>
      <c r="G62" s="85" t="n">
        <v>0</v>
      </c>
      <c r="H62" s="85" t="n">
        <v>0</v>
      </c>
      <c r="I62" s="85" t="n">
        <v>0</v>
      </c>
      <c r="J62" s="85" t="n">
        <v>0</v>
      </c>
      <c r="K62" s="85" t="n">
        <v>0</v>
      </c>
    </row>
    <row r="63" customFormat="false" ht="15" hidden="false" customHeight="false" outlineLevel="0" collapsed="false">
      <c r="A63" s="4" t="n">
        <v>58</v>
      </c>
      <c r="B63" s="79" t="str">
        <f aca="false">'Food Data'!D63</f>
        <v>Mixed vegetables (frozen)</v>
      </c>
      <c r="C63" s="85" t="n">
        <v>0.56043956</v>
      </c>
      <c r="D63" s="85" t="n">
        <v>0.56043956</v>
      </c>
      <c r="E63" s="85" t="n">
        <v>0.56043956</v>
      </c>
      <c r="F63" s="85" t="n">
        <v>0.56043956</v>
      </c>
      <c r="G63" s="85" t="n">
        <v>0.56043956</v>
      </c>
      <c r="H63" s="85" t="n">
        <v>0.56043956</v>
      </c>
      <c r="I63" s="85" t="n">
        <v>0.56043956</v>
      </c>
      <c r="J63" s="85" t="n">
        <v>0.56043956</v>
      </c>
      <c r="K63" s="85" t="n">
        <v>0</v>
      </c>
    </row>
    <row r="64" customFormat="false" ht="15" hidden="false" customHeight="false" outlineLevel="0" collapsed="false">
      <c r="A64" s="4" t="n">
        <v>59</v>
      </c>
      <c r="B64" s="79" t="str">
        <f aca="false">'Food Data'!D64</f>
        <v>Onions (yellow)</v>
      </c>
      <c r="C64" s="85" t="n">
        <v>0</v>
      </c>
      <c r="D64" s="85" t="n">
        <v>0</v>
      </c>
      <c r="E64" s="85" t="n">
        <v>0</v>
      </c>
      <c r="F64" s="85" t="n">
        <v>0</v>
      </c>
      <c r="G64" s="85" t="n">
        <v>0</v>
      </c>
      <c r="H64" s="85" t="n">
        <v>0</v>
      </c>
      <c r="I64" s="85" t="n">
        <v>0</v>
      </c>
      <c r="J64" s="85" t="n">
        <v>0</v>
      </c>
      <c r="K64" s="85" t="n">
        <v>0</v>
      </c>
    </row>
    <row r="65" customFormat="false" ht="15" hidden="false" customHeight="false" outlineLevel="0" collapsed="false">
      <c r="A65" s="4" t="n">
        <v>60</v>
      </c>
      <c r="B65" s="79" t="str">
        <f aca="false">'Food Data'!D65</f>
        <v>Romaine lettuce</v>
      </c>
      <c r="C65" s="85" t="n">
        <v>0</v>
      </c>
      <c r="D65" s="85" t="n">
        <v>0</v>
      </c>
      <c r="E65" s="85" t="n">
        <v>0</v>
      </c>
      <c r="F65" s="85" t="n">
        <v>0</v>
      </c>
      <c r="G65" s="85" t="n">
        <v>0</v>
      </c>
      <c r="H65" s="85" t="n">
        <v>0</v>
      </c>
      <c r="I65" s="85" t="n">
        <v>0</v>
      </c>
      <c r="J65" s="85" t="n">
        <v>0</v>
      </c>
      <c r="K65" s="85" t="n">
        <v>0</v>
      </c>
    </row>
    <row r="66" customFormat="false" ht="15" hidden="false" customHeight="false" outlineLevel="0" collapsed="false">
      <c r="A66" s="4" t="n">
        <v>61</v>
      </c>
      <c r="B66" s="79" t="str">
        <f aca="false">'Food Data'!D66</f>
        <v>Spinach (fresh)</v>
      </c>
      <c r="C66" s="85" t="n">
        <v>0</v>
      </c>
      <c r="D66" s="85" t="n">
        <v>0</v>
      </c>
      <c r="E66" s="85" t="n">
        <v>0</v>
      </c>
      <c r="F66" s="85" t="n">
        <v>0</v>
      </c>
      <c r="G66" s="85" t="n">
        <v>0</v>
      </c>
      <c r="H66" s="85" t="n">
        <v>0</v>
      </c>
      <c r="I66" s="85" t="n">
        <v>0</v>
      </c>
      <c r="J66" s="85" t="n">
        <v>0</v>
      </c>
      <c r="K66" s="85" t="n">
        <v>0</v>
      </c>
    </row>
    <row r="67" customFormat="false" ht="15" hidden="false" customHeight="false" outlineLevel="0" collapsed="false">
      <c r="A67" s="4" t="n">
        <v>62</v>
      </c>
      <c r="B67" s="79" t="str">
        <f aca="false">'Food Data'!D67</f>
        <v>Tomatoes (roma)</v>
      </c>
      <c r="C67" s="85" t="n">
        <v>0</v>
      </c>
      <c r="D67" s="85" t="n">
        <v>0</v>
      </c>
      <c r="E67" s="85" t="n">
        <v>0</v>
      </c>
      <c r="F67" s="85" t="n">
        <v>0</v>
      </c>
      <c r="G67" s="85" t="n">
        <v>0</v>
      </c>
      <c r="H67" s="85" t="n">
        <v>0</v>
      </c>
      <c r="I67" s="85" t="n">
        <v>0</v>
      </c>
      <c r="J67" s="85" t="n">
        <v>0</v>
      </c>
      <c r="K67" s="85" t="n">
        <v>0</v>
      </c>
    </row>
    <row r="68" customFormat="false" ht="15" hidden="false" customHeight="false" outlineLevel="0" collapsed="false">
      <c r="A68" s="4" t="n">
        <v>63</v>
      </c>
      <c r="B68" s="79" t="str">
        <f aca="false">'Food Data'!D68</f>
        <v>Butter (salted)</v>
      </c>
      <c r="C68" s="85" t="n">
        <v>0</v>
      </c>
      <c r="D68" s="85" t="n">
        <v>0</v>
      </c>
      <c r="E68" s="85" t="n">
        <v>0.03053194</v>
      </c>
      <c r="F68" s="85" t="n">
        <v>0</v>
      </c>
      <c r="G68" s="85" t="n">
        <v>0</v>
      </c>
      <c r="H68" s="85" t="n">
        <v>0</v>
      </c>
      <c r="I68" s="85" t="n">
        <v>0</v>
      </c>
      <c r="J68" s="85" t="n">
        <v>0</v>
      </c>
      <c r="K68" s="85" t="n">
        <v>0.142</v>
      </c>
    </row>
    <row r="69" customFormat="false" ht="15" hidden="false" customHeight="false" outlineLevel="0" collapsed="false">
      <c r="A69" s="4" t="n">
        <v>64</v>
      </c>
      <c r="B69" s="79" t="str">
        <f aca="false">'Food Data'!D69</f>
        <v>Canola oil</v>
      </c>
      <c r="C69" s="85" t="n">
        <v>0.020622091</v>
      </c>
      <c r="D69" s="85" t="n">
        <v>0</v>
      </c>
      <c r="E69" s="85" t="n">
        <v>0.42</v>
      </c>
      <c r="F69" s="85" t="n">
        <v>0.020622091</v>
      </c>
      <c r="G69" s="85" t="n">
        <v>0.199900278</v>
      </c>
      <c r="H69" s="85" t="n">
        <v>0.020622091</v>
      </c>
      <c r="I69" s="85" t="n">
        <v>0.001056564</v>
      </c>
      <c r="J69" s="85" t="n">
        <v>0.020622091</v>
      </c>
      <c r="K69" s="85" t="n">
        <v>0</v>
      </c>
    </row>
    <row r="70" customFormat="false" ht="15" hidden="false" customHeight="false" outlineLevel="0" collapsed="false">
      <c r="A70" s="4" t="n">
        <v>65</v>
      </c>
      <c r="B70" s="79" t="str">
        <f aca="false">'Food Data'!D70</f>
        <v>Olive oil (extra virgin)</v>
      </c>
      <c r="C70" s="85" t="n">
        <v>0</v>
      </c>
      <c r="D70" s="85" t="n">
        <v>0</v>
      </c>
      <c r="E70" s="85" t="n">
        <v>0</v>
      </c>
      <c r="F70" s="85" t="n">
        <v>0</v>
      </c>
      <c r="G70" s="85" t="n">
        <v>0</v>
      </c>
      <c r="H70" s="85" t="n">
        <v>0</v>
      </c>
      <c r="I70" s="85" t="n">
        <v>0</v>
      </c>
      <c r="J70" s="85" t="n">
        <v>0</v>
      </c>
      <c r="K70" s="85" t="n">
        <v>0</v>
      </c>
    </row>
    <row r="71" customFormat="false" ht="15" hidden="false" customHeight="false" outlineLevel="0" collapsed="false">
      <c r="A71" s="4" t="n">
        <v>66</v>
      </c>
      <c r="B71" s="79" t="str">
        <f aca="false">'Food Data'!D71</f>
        <v>Almonds</v>
      </c>
      <c r="C71" s="85" t="n">
        <v>0</v>
      </c>
      <c r="D71" s="85" t="n">
        <v>0</v>
      </c>
      <c r="E71" s="85" t="n">
        <v>0</v>
      </c>
      <c r="F71" s="85" t="n">
        <v>0</v>
      </c>
      <c r="G71" s="85" t="n">
        <v>0</v>
      </c>
      <c r="H71" s="85" t="n">
        <v>0</v>
      </c>
      <c r="I71" s="85" t="n">
        <v>0</v>
      </c>
      <c r="J71" s="85" t="n">
        <v>0</v>
      </c>
      <c r="K71" s="85" t="n">
        <v>0</v>
      </c>
    </row>
    <row r="72" customFormat="false" ht="15" hidden="false" customHeight="false" outlineLevel="0" collapsed="false">
      <c r="A72" s="4" t="n">
        <v>67</v>
      </c>
      <c r="B72" s="79" t="str">
        <f aca="false">'Food Data'!D72</f>
        <v>Avocado (Hass)</v>
      </c>
      <c r="C72" s="85" t="n">
        <v>0</v>
      </c>
      <c r="D72" s="85" t="n">
        <v>0</v>
      </c>
      <c r="E72" s="85" t="n">
        <v>0</v>
      </c>
      <c r="F72" s="85" t="n">
        <v>0</v>
      </c>
      <c r="G72" s="85" t="n">
        <v>0</v>
      </c>
      <c r="H72" s="85" t="n">
        <v>0</v>
      </c>
      <c r="I72" s="85" t="n">
        <v>0</v>
      </c>
      <c r="J72" s="85" t="n">
        <v>0</v>
      </c>
      <c r="K72" s="85" t="n">
        <v>0</v>
      </c>
    </row>
    <row r="73" customFormat="false" ht="15" hidden="false" customHeight="false" outlineLevel="0" collapsed="false">
      <c r="A73" s="4" t="n">
        <v>68</v>
      </c>
      <c r="B73" s="79" t="str">
        <f aca="false">'Food Data'!D73</f>
        <v>Chocolate chip cookies</v>
      </c>
      <c r="C73" s="85" t="n">
        <v>0</v>
      </c>
      <c r="D73" s="85" t="n">
        <v>0</v>
      </c>
      <c r="E73" s="85" t="n">
        <v>0</v>
      </c>
      <c r="F73" s="85" t="n">
        <v>0</v>
      </c>
      <c r="G73" s="85" t="n">
        <v>0</v>
      </c>
      <c r="H73" s="85" t="n">
        <v>0</v>
      </c>
      <c r="I73" s="85" t="n">
        <v>0</v>
      </c>
      <c r="J73" s="85" t="n">
        <v>0</v>
      </c>
      <c r="K73" s="85" t="n">
        <v>0.52</v>
      </c>
    </row>
    <row r="74" customFormat="false" ht="15" hidden="false" customHeight="false" outlineLevel="0" collapsed="false">
      <c r="A74" s="4" t="n">
        <v>69</v>
      </c>
      <c r="B74" s="79" t="str">
        <f aca="false">'Food Data'!D74</f>
        <v>Granola bars (chocolate chip)</v>
      </c>
      <c r="C74" s="85" t="n">
        <v>0</v>
      </c>
      <c r="D74" s="85" t="n">
        <v>0</v>
      </c>
      <c r="E74" s="85" t="n">
        <v>0</v>
      </c>
      <c r="F74" s="85" t="n">
        <v>0</v>
      </c>
      <c r="G74" s="85" t="n">
        <v>0</v>
      </c>
      <c r="H74" s="85" t="n">
        <v>0</v>
      </c>
      <c r="I74" s="85" t="n">
        <v>0</v>
      </c>
      <c r="J74" s="85" t="n">
        <v>0</v>
      </c>
      <c r="K74" s="85" t="n">
        <v>0</v>
      </c>
    </row>
    <row r="75" customFormat="false" ht="15" hidden="false" customHeight="false" outlineLevel="0" collapsed="false">
      <c r="A75" s="4" t="n">
        <v>70</v>
      </c>
      <c r="B75" s="79" t="str">
        <f aca="false">'Food Data'!D75</f>
        <v>Potato chips</v>
      </c>
      <c r="C75" s="85" t="n">
        <v>0</v>
      </c>
      <c r="D75" s="85" t="n">
        <v>0</v>
      </c>
      <c r="E75" s="85" t="n">
        <v>0</v>
      </c>
      <c r="F75" s="85" t="n">
        <v>0</v>
      </c>
      <c r="G75" s="85" t="n">
        <v>0</v>
      </c>
      <c r="H75" s="85" t="n">
        <v>0</v>
      </c>
      <c r="I75" s="85" t="n">
        <v>0</v>
      </c>
      <c r="J75" s="85" t="n">
        <v>0</v>
      </c>
      <c r="K75" s="85" t="n">
        <v>0.56</v>
      </c>
    </row>
    <row r="76" customFormat="false" ht="15" hidden="false" customHeight="false" outlineLevel="0" collapsed="false">
      <c r="A76" s="4" t="n">
        <v>71</v>
      </c>
      <c r="B76" s="79" t="str">
        <f aca="false">'Food Data'!D76</f>
        <v>Vanilla ice cream</v>
      </c>
      <c r="C76" s="85" t="n">
        <v>0</v>
      </c>
      <c r="D76" s="85" t="n">
        <v>0</v>
      </c>
      <c r="E76" s="85" t="n">
        <v>0</v>
      </c>
      <c r="F76" s="85" t="n">
        <v>0</v>
      </c>
      <c r="G76" s="85" t="n">
        <v>0</v>
      </c>
      <c r="H76" s="85" t="n">
        <v>0</v>
      </c>
      <c r="I76" s="85" t="n">
        <v>0</v>
      </c>
      <c r="J76" s="85" t="n">
        <v>0</v>
      </c>
      <c r="K76" s="85" t="n">
        <v>1.32</v>
      </c>
    </row>
    <row r="78" customFormat="false" ht="15" hidden="false" customHeight="false" outlineLevel="0" collapsed="false">
      <c r="B78" s="62" t="s">
        <v>720</v>
      </c>
      <c r="C78" s="82" t="n">
        <f aca="false">SUMPRODUCT('Food Data'!$I$6:$I$76,C6:C76)</f>
        <v>3.01803102279446</v>
      </c>
      <c r="D78" s="82" t="n">
        <f aca="false">SUMPRODUCT('Food Data'!$I$6:$I$76,D6:D76)</f>
        <v>4.83066400507621</v>
      </c>
      <c r="E78" s="82" t="n">
        <f aca="false">SUMPRODUCT('Food Data'!$I$6:$I$76,E6:E76)</f>
        <v>4.04938331225996</v>
      </c>
      <c r="F78" s="82" t="n">
        <f aca="false">SUMPRODUCT('Food Data'!$I$6:$I$76,F6:F76)</f>
        <v>3.01803102279446</v>
      </c>
      <c r="G78" s="82" t="n">
        <f aca="false">SUMPRODUCT('Food Data'!$I$6:$I$76,G6:G76)</f>
        <v>3.65877453532256</v>
      </c>
      <c r="H78" s="82" t="n">
        <f aca="false">SUMPRODUCT('Food Data'!$I$6:$I$76,H6:H76)</f>
        <v>3.01803102279446</v>
      </c>
      <c r="I78" s="82" t="n">
        <f aca="false">SUMPRODUCT('Food Data'!$I$6:$I$76,I6:I76)</f>
        <v>3.0214705216181</v>
      </c>
      <c r="J78" s="82" t="n">
        <f aca="false">SUMPRODUCT('Food Data'!$I$6:$I$76,J6:J76)</f>
        <v>3.01803102279446</v>
      </c>
      <c r="K78" s="82" t="n">
        <f aca="false">SUMPRODUCT('Food Data'!$I$6:$I$76,K6:K76)</f>
        <v>6.89354343509816</v>
      </c>
    </row>
    <row r="79" customFormat="false" ht="15" hidden="false" customHeight="false" outlineLevel="0" collapsed="false">
      <c r="B79" s="62" t="s">
        <v>10</v>
      </c>
      <c r="C79" s="86" t="n">
        <f aca="false">C78*7</f>
        <v>21.1262171595612</v>
      </c>
      <c r="D79" s="86" t="n">
        <f aca="false">D78*7</f>
        <v>33.8146480355335</v>
      </c>
      <c r="E79" s="86" t="n">
        <f aca="false">E78*7</f>
        <v>28.3456831858198</v>
      </c>
      <c r="F79" s="86" t="n">
        <f aca="false">F78*7</f>
        <v>21.1262171595612</v>
      </c>
      <c r="G79" s="86" t="n">
        <f aca="false">G78*7</f>
        <v>25.6114217472579</v>
      </c>
      <c r="H79" s="86" t="n">
        <f aca="false">H78*7</f>
        <v>21.1262171595612</v>
      </c>
      <c r="I79" s="86" t="n">
        <f aca="false">I78*7</f>
        <v>21.1502936513267</v>
      </c>
      <c r="J79" s="86" t="n">
        <f aca="false">J78*7</f>
        <v>21.1262171595612</v>
      </c>
      <c r="K79" s="86" t="n">
        <f aca="false">K78*7</f>
        <v>48.2548040456871</v>
      </c>
    </row>
    <row r="81" customFormat="false" ht="15" hidden="false" customHeight="false" outlineLevel="0" collapsed="false">
      <c r="A81" s="3" t="s">
        <v>721</v>
      </c>
    </row>
    <row r="82" customFormat="false" ht="15" hidden="false" customHeight="false" outlineLevel="0" collapsed="false">
      <c r="B82" s="4" t="s">
        <v>34</v>
      </c>
      <c r="C82" s="87" t="n">
        <f aca="false" t="array" ref="C82:K92">MMULT('Matrix Model'!F20:BX30,C6:K76)</f>
        <v>2878.500000161</v>
      </c>
      <c r="D82" s="87" t="n">
        <v>2878.49999988</v>
      </c>
      <c r="E82" s="87" t="n">
        <v>2878.500000006</v>
      </c>
      <c r="F82" s="87" t="n">
        <v>2878.500000161</v>
      </c>
      <c r="G82" s="87" t="n">
        <v>2878.49999984</v>
      </c>
      <c r="H82" s="87" t="n">
        <v>2878.500000161</v>
      </c>
      <c r="I82" s="87" t="n">
        <v>2878.499999592</v>
      </c>
      <c r="J82" s="87" t="n">
        <v>2878.500000161</v>
      </c>
      <c r="K82" s="87" t="n">
        <v>2948.364</v>
      </c>
    </row>
    <row r="83" customFormat="false" ht="15" hidden="false" customHeight="false" outlineLevel="0" collapsed="false">
      <c r="B83" s="4" t="s">
        <v>36</v>
      </c>
      <c r="C83" s="87" t="n">
        <v>111.99999999498</v>
      </c>
      <c r="D83" s="87" t="n">
        <v>179.90624999786</v>
      </c>
      <c r="E83" s="87" t="n">
        <v>143.92499999467</v>
      </c>
      <c r="F83" s="87" t="n">
        <v>111.99999999498</v>
      </c>
      <c r="G83" s="87" t="n">
        <v>111.9999999976</v>
      </c>
      <c r="H83" s="87" t="n">
        <v>111.99999999498</v>
      </c>
      <c r="I83" s="87" t="n">
        <v>111.99999999756</v>
      </c>
      <c r="J83" s="87" t="n">
        <v>111.99999999498</v>
      </c>
      <c r="K83" s="87" t="n">
        <v>109.1001</v>
      </c>
    </row>
    <row r="84" customFormat="false" ht="15" hidden="false" customHeight="false" outlineLevel="0" collapsed="false">
      <c r="B84" s="4" t="s">
        <v>39</v>
      </c>
      <c r="C84" s="87" t="n">
        <v>467.75624997971</v>
      </c>
      <c r="D84" s="87" t="n">
        <v>347.4937907076</v>
      </c>
      <c r="E84" s="87" t="n">
        <v>251.86874999014</v>
      </c>
      <c r="F84" s="87" t="n">
        <v>467.75624997971</v>
      </c>
      <c r="G84" s="87" t="n">
        <v>467.756249966</v>
      </c>
      <c r="H84" s="87" t="n">
        <v>467.75624997971</v>
      </c>
      <c r="I84" s="87" t="n">
        <v>467.75624997429</v>
      </c>
      <c r="J84" s="87" t="n">
        <v>467.75624997971</v>
      </c>
      <c r="K84" s="87" t="n">
        <v>361.76432</v>
      </c>
    </row>
    <row r="85" customFormat="false" ht="15" hidden="false" customHeight="false" outlineLevel="0" collapsed="false">
      <c r="B85" s="4" t="s">
        <v>45</v>
      </c>
      <c r="C85" s="87" t="n">
        <v>66.16013141328</v>
      </c>
      <c r="D85" s="87" t="n">
        <v>88.7772825363</v>
      </c>
      <c r="E85" s="87" t="n">
        <v>150.19463492954</v>
      </c>
      <c r="F85" s="87" t="n">
        <v>66.16013141328</v>
      </c>
      <c r="G85" s="87" t="n">
        <v>67.66710773019</v>
      </c>
      <c r="H85" s="87" t="n">
        <v>66.16013141328</v>
      </c>
      <c r="I85" s="87" t="n">
        <v>66.07849457973</v>
      </c>
      <c r="J85" s="87" t="n">
        <v>66.16013141328</v>
      </c>
      <c r="K85" s="87" t="n">
        <v>117.84292</v>
      </c>
    </row>
    <row r="86" customFormat="false" ht="15" hidden="false" customHeight="false" outlineLevel="0" collapsed="false">
      <c r="B86" s="4" t="s">
        <v>48</v>
      </c>
      <c r="C86" s="87" t="n">
        <v>47.9185550492</v>
      </c>
      <c r="D86" s="87" t="n">
        <v>45.1901675056</v>
      </c>
      <c r="E86" s="87" t="n">
        <v>41.9999999943</v>
      </c>
      <c r="F86" s="87" t="n">
        <v>47.9185550492</v>
      </c>
      <c r="G86" s="87" t="n">
        <v>54.6283105355</v>
      </c>
      <c r="H86" s="87" t="n">
        <v>47.9185550492</v>
      </c>
      <c r="I86" s="87" t="n">
        <v>47.6924381076</v>
      </c>
      <c r="J86" s="87" t="n">
        <v>47.9185550492</v>
      </c>
      <c r="K86" s="87" t="n">
        <v>14.415</v>
      </c>
    </row>
    <row r="87" customFormat="false" ht="15" hidden="false" customHeight="false" outlineLevel="0" collapsed="false">
      <c r="B87" s="4" t="s">
        <v>51</v>
      </c>
      <c r="C87" s="87" t="n">
        <v>66.95184296326</v>
      </c>
      <c r="D87" s="87" t="n">
        <v>83.57881470144</v>
      </c>
      <c r="E87" s="87" t="n">
        <v>72.27877029069</v>
      </c>
      <c r="F87" s="87" t="n">
        <v>66.95184296326</v>
      </c>
      <c r="G87" s="87" t="n">
        <v>66.59503800283</v>
      </c>
      <c r="H87" s="87" t="n">
        <v>66.95184296326</v>
      </c>
      <c r="I87" s="87" t="n">
        <v>67.35380819277</v>
      </c>
      <c r="J87" s="87" t="n">
        <v>66.95184296326</v>
      </c>
      <c r="K87" s="87" t="n">
        <v>89.91342</v>
      </c>
    </row>
    <row r="88" customFormat="false" ht="15" hidden="false" customHeight="false" outlineLevel="0" collapsed="false">
      <c r="B88" s="4" t="s">
        <v>53</v>
      </c>
      <c r="C88" s="87" t="n">
        <v>999.999999987</v>
      </c>
      <c r="D88" s="87" t="n">
        <v>1319.689883281</v>
      </c>
      <c r="E88" s="87" t="n">
        <v>1647.043590752</v>
      </c>
      <c r="F88" s="87" t="n">
        <v>999.999999987</v>
      </c>
      <c r="G88" s="87" t="n">
        <v>999.99999997</v>
      </c>
      <c r="H88" s="87" t="n">
        <v>999.999999987</v>
      </c>
      <c r="I88" s="87" t="n">
        <v>1000.000000015</v>
      </c>
      <c r="J88" s="87" t="n">
        <v>999.999999987</v>
      </c>
      <c r="K88" s="87" t="n">
        <v>1447.908</v>
      </c>
    </row>
    <row r="89" customFormat="false" ht="15" hidden="false" customHeight="false" outlineLevel="0" collapsed="false">
      <c r="B89" s="4" t="s">
        <v>55</v>
      </c>
      <c r="C89" s="87" t="n">
        <v>23.30780114899</v>
      </c>
      <c r="D89" s="87" t="n">
        <v>21.53168494065</v>
      </c>
      <c r="E89" s="87" t="n">
        <v>17.86062362964</v>
      </c>
      <c r="F89" s="87" t="n">
        <v>23.30780114899</v>
      </c>
      <c r="G89" s="87" t="n">
        <v>26.63160011394</v>
      </c>
      <c r="H89" s="87" t="n">
        <v>23.30780114899</v>
      </c>
      <c r="I89" s="87" t="n">
        <v>23.24518328822</v>
      </c>
      <c r="J89" s="87" t="n">
        <v>23.30780114899</v>
      </c>
      <c r="K89" s="87" t="n">
        <v>20.04404</v>
      </c>
    </row>
    <row r="90" customFormat="false" ht="15" hidden="false" customHeight="false" outlineLevel="0" collapsed="false">
      <c r="B90" s="4" t="s">
        <v>57</v>
      </c>
      <c r="C90" s="87" t="n">
        <v>5247.643061918</v>
      </c>
      <c r="D90" s="87" t="n">
        <v>6181.211767126</v>
      </c>
      <c r="E90" s="87" t="n">
        <v>5381.865918991</v>
      </c>
      <c r="F90" s="87" t="n">
        <v>5247.643061918</v>
      </c>
      <c r="G90" s="87" t="n">
        <v>4910.079522871</v>
      </c>
      <c r="H90" s="87" t="n">
        <v>5247.643061918</v>
      </c>
      <c r="I90" s="87" t="n">
        <v>5244.832306972</v>
      </c>
      <c r="J90" s="87" t="n">
        <v>5247.643061918</v>
      </c>
      <c r="K90" s="87" t="n">
        <v>2939.528</v>
      </c>
    </row>
    <row r="91" customFormat="false" ht="15" hidden="false" customHeight="false" outlineLevel="0" collapsed="false">
      <c r="B91" s="4" t="s">
        <v>59</v>
      </c>
      <c r="C91" s="87" t="n">
        <v>768.584133897</v>
      </c>
      <c r="D91" s="87" t="n">
        <v>1175.642947385</v>
      </c>
      <c r="E91" s="87" t="n">
        <v>1993.218502762</v>
      </c>
      <c r="F91" s="87" t="n">
        <v>768.584133897</v>
      </c>
      <c r="G91" s="87" t="n">
        <v>1363.538846321</v>
      </c>
      <c r="H91" s="87" t="n">
        <v>768.584133897</v>
      </c>
      <c r="I91" s="87" t="n">
        <v>768.861259067</v>
      </c>
      <c r="J91" s="87" t="n">
        <v>768.584133897</v>
      </c>
      <c r="K91" s="87" t="n">
        <v>3856.936</v>
      </c>
    </row>
    <row r="92" customFormat="false" ht="15" hidden="false" customHeight="false" outlineLevel="0" collapsed="false">
      <c r="B92" s="4" t="s">
        <v>61</v>
      </c>
      <c r="C92" s="87" t="n">
        <v>166.1430651884</v>
      </c>
      <c r="D92" s="87" t="n">
        <v>166.666571424</v>
      </c>
      <c r="E92" s="87" t="n">
        <v>165.202571424</v>
      </c>
      <c r="F92" s="87" t="n">
        <v>166.1430651884</v>
      </c>
      <c r="G92" s="87" t="n">
        <v>165.202571424</v>
      </c>
      <c r="H92" s="87" t="n">
        <v>166.1430651884</v>
      </c>
      <c r="I92" s="87" t="n">
        <v>165.8897754804</v>
      </c>
      <c r="J92" s="87" t="n">
        <v>166.1430651884</v>
      </c>
      <c r="K92" s="87" t="n">
        <v>96.552</v>
      </c>
    </row>
    <row r="94" customFormat="false" ht="15" hidden="false" customHeight="false" outlineLevel="0" collapsed="false">
      <c r="A94" s="3" t="s">
        <v>722</v>
      </c>
    </row>
    <row r="95" customFormat="false" ht="15" hidden="false" customHeight="false" outlineLevel="0" collapsed="false">
      <c r="B95" s="4" t="s">
        <v>723</v>
      </c>
      <c r="C95" s="75" t="str">
        <f aca="false">IF(OR(C82&lt;3030*0.95-0.5,C82&gt;3030*1.05+0.5),"MISSED","ok")</f>
        <v>ok</v>
      </c>
      <c r="D95" s="75" t="str">
        <f aca="false">IF(OR(D82&lt;3030*0.95-0.5,D82&gt;3030*1.05+0.5),"MISSED","ok")</f>
        <v>ok</v>
      </c>
      <c r="E95" s="75" t="str">
        <f aca="false">IF(OR(E82&lt;3030*0.95-0.5,E82&gt;3030*1.05+0.5),"MISSED","ok")</f>
        <v>ok</v>
      </c>
      <c r="F95" s="75" t="str">
        <f aca="false">IF(OR(F82&lt;3030*0.95-0.5,F82&gt;3030*1.05+0.5),"MISSED","ok")</f>
        <v>ok</v>
      </c>
      <c r="G95" s="75" t="str">
        <f aca="false">IF(OR(G82&lt;3030*0.95-0.5,G82&gt;3030*1.05+0.5),"MISSED","ok")</f>
        <v>ok</v>
      </c>
      <c r="H95" s="75" t="str">
        <f aca="false">IF(OR(H82&lt;3030*0.95-0.5,H82&gt;3030*1.05+0.5),"MISSED","ok")</f>
        <v>ok</v>
      </c>
      <c r="I95" s="75" t="str">
        <f aca="false">IF(OR(I82&lt;3030*0.95-0.5,I82&gt;3030*1.05+0.5),"MISSED","ok")</f>
        <v>ok</v>
      </c>
      <c r="J95" s="75" t="str">
        <f aca="false">IF(OR(J82&lt;3030*0.95-0.5,J82&gt;3030*1.05+0.5),"MISSED","ok")</f>
        <v>ok</v>
      </c>
      <c r="K95" s="75" t="str">
        <f aca="false">IF(OR(K82&lt;3030*0.95-0.5,K82&gt;3030*1.05+0.5),"MISSED","ok")</f>
        <v>ok</v>
      </c>
    </row>
    <row r="96" customFormat="false" ht="15" hidden="false" customHeight="false" outlineLevel="0" collapsed="false">
      <c r="B96" s="4" t="s">
        <v>724</v>
      </c>
      <c r="C96" s="75" t="str">
        <f aca="false">IF(C83&lt;112-0.01,"MISSED","ok")</f>
        <v>ok</v>
      </c>
      <c r="D96" s="75" t="str">
        <f aca="false">IF(D83&lt;112-0.01,"MISSED","ok")</f>
        <v>ok</v>
      </c>
      <c r="E96" s="75" t="str">
        <f aca="false">IF(E83&lt;112-0.01,"MISSED","ok")</f>
        <v>ok</v>
      </c>
      <c r="F96" s="75" t="str">
        <f aca="false">IF(F83&lt;112-0.01,"MISSED","ok")</f>
        <v>ok</v>
      </c>
      <c r="G96" s="75" t="str">
        <f aca="false">IF(G83&lt;112-0.01,"MISSED","ok")</f>
        <v>ok</v>
      </c>
      <c r="H96" s="75" t="str">
        <f aca="false">IF(H83&lt;112-0.01,"MISSED","ok")</f>
        <v>ok</v>
      </c>
      <c r="I96" s="75" t="str">
        <f aca="false">IF(I83&lt;112-0.01,"MISSED","ok")</f>
        <v>ok</v>
      </c>
      <c r="J96" s="75" t="str">
        <f aca="false">IF(J83&lt;112-0.01,"MISSED","ok")</f>
        <v>ok</v>
      </c>
      <c r="K96" s="75" t="str">
        <f aca="false">IF(K83&lt;112-0.01,"MISSED","ok")</f>
        <v>MISSED</v>
      </c>
    </row>
    <row r="97" customFormat="false" ht="15" hidden="false" customHeight="false" outlineLevel="0" collapsed="false">
      <c r="B97" s="4" t="s">
        <v>725</v>
      </c>
      <c r="C97" s="75" t="str">
        <f aca="false">IF(C86&lt;42-0.01,"MISSED","ok")</f>
        <v>ok</v>
      </c>
      <c r="D97" s="75" t="str">
        <f aca="false">IF(D86&lt;42-0.01,"MISSED","ok")</f>
        <v>ok</v>
      </c>
      <c r="E97" s="75" t="str">
        <f aca="false">IF(E86&lt;42-0.01,"MISSED","ok")</f>
        <v>ok</v>
      </c>
      <c r="F97" s="75" t="str">
        <f aca="false">IF(F86&lt;42-0.01,"MISSED","ok")</f>
        <v>ok</v>
      </c>
      <c r="G97" s="75" t="str">
        <f aca="false">IF(G86&lt;42-0.01,"MISSED","ok")</f>
        <v>ok</v>
      </c>
      <c r="H97" s="75" t="str">
        <f aca="false">IF(H86&lt;42-0.01,"MISSED","ok")</f>
        <v>ok</v>
      </c>
      <c r="I97" s="75" t="str">
        <f aca="false">IF(I86&lt;42-0.01,"MISSED","ok")</f>
        <v>ok</v>
      </c>
      <c r="J97" s="75" t="str">
        <f aca="false">IF(J86&lt;42-0.01,"MISSED","ok")</f>
        <v>ok</v>
      </c>
      <c r="K97" s="75" t="str">
        <f aca="false">IF(K86&lt;42-0.01,"MISSED","ok")</f>
        <v>MISSED</v>
      </c>
    </row>
    <row r="98" customFormat="false" ht="15" hidden="false" customHeight="false" outlineLevel="0" collapsed="false">
      <c r="B98" s="4" t="s">
        <v>726</v>
      </c>
      <c r="C98" s="75" t="str">
        <f aca="false">IF(C88&lt;1000-0.01,"MISSED","ok")</f>
        <v>ok</v>
      </c>
      <c r="D98" s="75" t="str">
        <f aca="false">IF(D88&lt;1000-0.01,"MISSED","ok")</f>
        <v>ok</v>
      </c>
      <c r="E98" s="75" t="str">
        <f aca="false">IF(E88&lt;1000-0.01,"MISSED","ok")</f>
        <v>ok</v>
      </c>
      <c r="F98" s="75" t="str">
        <f aca="false">IF(F88&lt;1000-0.01,"MISSED","ok")</f>
        <v>ok</v>
      </c>
      <c r="G98" s="75" t="str">
        <f aca="false">IF(G88&lt;1000-0.01,"MISSED","ok")</f>
        <v>ok</v>
      </c>
      <c r="H98" s="75" t="str">
        <f aca="false">IF(H88&lt;1000-0.01,"MISSED","ok")</f>
        <v>ok</v>
      </c>
      <c r="I98" s="75" t="str">
        <f aca="false">IF(I88&lt;1000-0.01,"MISSED","ok")</f>
        <v>ok</v>
      </c>
      <c r="J98" s="75" t="str">
        <f aca="false">IF(J88&lt;1000-0.01,"MISSED","ok")</f>
        <v>ok</v>
      </c>
      <c r="K98" s="75" t="str">
        <f aca="false">IF(K88&lt;1000-0.01,"MISSED","ok")</f>
        <v>ok</v>
      </c>
    </row>
    <row r="99" customFormat="false" ht="15" hidden="false" customHeight="false" outlineLevel="0" collapsed="false">
      <c r="B99" s="4" t="s">
        <v>727</v>
      </c>
      <c r="C99" s="75" t="str">
        <f aca="false">IF(C90&lt;3400-0.01,"MISSED","ok")</f>
        <v>ok</v>
      </c>
      <c r="D99" s="75" t="str">
        <f aca="false">IF(D90&lt;3400-0.01,"MISSED","ok")</f>
        <v>ok</v>
      </c>
      <c r="E99" s="75" t="str">
        <f aca="false">IF(E90&lt;3400-0.01,"MISSED","ok")</f>
        <v>ok</v>
      </c>
      <c r="F99" s="75" t="str">
        <f aca="false">IF(F90&lt;3400-0.01,"MISSED","ok")</f>
        <v>ok</v>
      </c>
      <c r="G99" s="75" t="str">
        <f aca="false">IF(G90&lt;3400-0.01,"MISSED","ok")</f>
        <v>ok</v>
      </c>
      <c r="H99" s="75" t="str">
        <f aca="false">IF(H90&lt;3400-0.01,"MISSED","ok")</f>
        <v>ok</v>
      </c>
      <c r="I99" s="75" t="str">
        <f aca="false">IF(I90&lt;3400-0.01,"MISSED","ok")</f>
        <v>ok</v>
      </c>
      <c r="J99" s="75" t="str">
        <f aca="false">IF(J90&lt;3400-0.01,"MISSED","ok")</f>
        <v>ok</v>
      </c>
      <c r="K99" s="75" t="str">
        <f aca="false">IF(K90&lt;3400-0.01,"MISSED","ok")</f>
        <v>MISSED</v>
      </c>
    </row>
    <row r="100" customFormat="false" ht="15" hidden="false" customHeight="false" outlineLevel="0" collapsed="false">
      <c r="B100" s="4" t="s">
        <v>728</v>
      </c>
      <c r="C100" s="75" t="str">
        <f aca="false">IF(C92&lt;90-0.01,"MISSED","ok")</f>
        <v>ok</v>
      </c>
      <c r="D100" s="75" t="str">
        <f aca="false">IF(D92&lt;90-0.01,"MISSED","ok")</f>
        <v>ok</v>
      </c>
      <c r="E100" s="75" t="str">
        <f aca="false">IF(E92&lt;90-0.01,"MISSED","ok")</f>
        <v>ok</v>
      </c>
      <c r="F100" s="75" t="str">
        <f aca="false">IF(F92&lt;90-0.01,"MISSED","ok")</f>
        <v>ok</v>
      </c>
      <c r="G100" s="75" t="str">
        <f aca="false">IF(G92&lt;90-0.01,"MISSED","ok")</f>
        <v>ok</v>
      </c>
      <c r="H100" s="75" t="str">
        <f aca="false">IF(H92&lt;90-0.01,"MISSED","ok")</f>
        <v>ok</v>
      </c>
      <c r="I100" s="75" t="str">
        <f aca="false">IF(I92&lt;90-0.01,"MISSED","ok")</f>
        <v>ok</v>
      </c>
      <c r="J100" s="75" t="str">
        <f aca="false">IF(J92&lt;90-0.01,"MISSED","ok")</f>
        <v>ok</v>
      </c>
      <c r="K100" s="75" t="str">
        <f aca="false">IF(K92&lt;90-0.01,"MISSED","ok")</f>
        <v>ok</v>
      </c>
    </row>
    <row r="101" customFormat="false" ht="15" hidden="false" customHeight="false" outlineLevel="0" collapsed="false">
      <c r="B101" s="4" t="s">
        <v>729</v>
      </c>
      <c r="C101" s="75" t="str">
        <f aca="false">IF(C91&gt;2300+0.01,"MISSED","ok")</f>
        <v>ok</v>
      </c>
      <c r="D101" s="75" t="str">
        <f aca="false">IF(D91&gt;2300+0.01,"MISSED","ok")</f>
        <v>ok</v>
      </c>
      <c r="E101" s="75" t="str">
        <f aca="false">IF(E91&gt;2300+0.01,"MISSED","ok")</f>
        <v>ok</v>
      </c>
      <c r="F101" s="75" t="str">
        <f aca="false">IF(F91&gt;2300+0.01,"MISSED","ok")</f>
        <v>ok</v>
      </c>
      <c r="G101" s="75" t="str">
        <f aca="false">IF(G91&gt;2300+0.01,"MISSED","ok")</f>
        <v>ok</v>
      </c>
      <c r="H101" s="75" t="str">
        <f aca="false">IF(H91&gt;2300+0.01,"MISSED","ok")</f>
        <v>ok</v>
      </c>
      <c r="I101" s="75" t="str">
        <f aca="false">IF(I91&gt;2300+0.01,"MISSED","ok")</f>
        <v>ok</v>
      </c>
      <c r="J101" s="75" t="str">
        <f aca="false">IF(J91&gt;2300+0.01,"MISSED","ok")</f>
        <v>ok</v>
      </c>
      <c r="K101" s="75" t="str">
        <f aca="false">IF(K91&gt;2300+0.01,"MISSED","ok")</f>
        <v>MISSED</v>
      </c>
    </row>
    <row r="102" customFormat="false" ht="15" hidden="false" customHeight="false" outlineLevel="0" collapsed="false">
      <c r="B102" s="4" t="s">
        <v>730</v>
      </c>
      <c r="C102" s="75" t="str">
        <f aca="false">IF(C85*9&gt;C82*0.35+0.01,"MISSED","ok")</f>
        <v>ok</v>
      </c>
      <c r="D102" s="75" t="str">
        <f aca="false">IF(D85*9&gt;D82*0.35+0.01,"MISSED","ok")</f>
        <v>ok</v>
      </c>
      <c r="E102" s="75" t="str">
        <f aca="false">IF(E85*9&gt;E82*0.35+0.01,"MISSED","ok")</f>
        <v>MISSED</v>
      </c>
      <c r="F102" s="75" t="str">
        <f aca="false">IF(F85*9&gt;F82*0.35+0.01,"MISSED","ok")</f>
        <v>ok</v>
      </c>
      <c r="G102" s="75" t="str">
        <f aca="false">IF(G85*9&gt;G82*0.35+0.01,"MISSED","ok")</f>
        <v>ok</v>
      </c>
      <c r="H102" s="75" t="str">
        <f aca="false">IF(H85*9&gt;H82*0.35+0.01,"MISSED","ok")</f>
        <v>ok</v>
      </c>
      <c r="I102" s="75" t="str">
        <f aca="false">IF(I85*9&gt;I82*0.35+0.01,"MISSED","ok")</f>
        <v>ok</v>
      </c>
      <c r="J102" s="75" t="str">
        <f aca="false">IF(J85*9&gt;J82*0.35+0.01,"MISSED","ok")</f>
        <v>ok</v>
      </c>
      <c r="K102" s="75" t="str">
        <f aca="false">IF(K85*9&gt;K82*0.35+0.01,"MISSED","ok")</f>
        <v>MISSED</v>
      </c>
    </row>
    <row r="104" customFormat="false" ht="15" hidden="false" customHeight="false" outlineLevel="0" collapsed="false">
      <c r="A104" s="3" t="s">
        <v>731</v>
      </c>
    </row>
    <row r="105" customFormat="false" ht="15" hidden="false" customHeight="false" outlineLevel="0" collapsed="false">
      <c r="A105" s="7" t="s">
        <v>732</v>
      </c>
    </row>
    <row r="106" customFormat="false" ht="15" hidden="false" customHeight="false" outlineLevel="0" collapsed="false">
      <c r="A106" s="7" t="s">
        <v>733</v>
      </c>
    </row>
    <row r="107" customFormat="false" ht="15" hidden="false" customHeight="false" outlineLevel="0" collapsed="false">
      <c r="A107" s="7" t="s">
        <v>734</v>
      </c>
    </row>
    <row r="108" customFormat="false" ht="15" hidden="false" customHeight="false" outlineLevel="0" collapsed="false">
      <c r="A108" s="7" t="s">
        <v>735</v>
      </c>
    </row>
    <row r="109" customFormat="false" ht="15" hidden="false" customHeight="false" outlineLevel="0" collapsed="false">
      <c r="A109" s="7" t="s">
        <v>736</v>
      </c>
    </row>
  </sheetData>
  <conditionalFormatting sqref="C95:K102">
    <cfRule type="expression" priority="2" aboveAverage="0" equalAverage="0" bottom="0" percent="0" rank="0" text="" dxfId="16">
      <formula>C95="MISSED"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737</v>
      </c>
    </row>
    <row r="2" customFormat="false" ht="15" hidden="false" customHeight="false" outlineLevel="0" collapsed="false">
      <c r="A2" s="2" t="s">
        <v>738</v>
      </c>
    </row>
    <row r="3" customFormat="false" ht="15" hidden="false" customHeight="false" outlineLevel="0" collapsed="false">
      <c r="A3" s="2" t="s">
        <v>739</v>
      </c>
    </row>
    <row r="4" customFormat="false" ht="15" hidden="false" customHeight="false" outlineLevel="0" collapsed="false">
      <c r="A4" s="2" t="s">
        <v>740</v>
      </c>
    </row>
    <row r="6" customFormat="false" ht="15" hidden="false" customHeight="false" outlineLevel="0" collapsed="false">
      <c r="A6" s="15" t="s">
        <v>741</v>
      </c>
    </row>
    <row r="7" customFormat="false" ht="57.75" hidden="false" customHeight="true" outlineLevel="0" collapsed="false">
      <c r="A7" s="16" t="s">
        <v>742</v>
      </c>
      <c r="B7" s="16" t="s">
        <v>743</v>
      </c>
      <c r="C7" s="16" t="s">
        <v>744</v>
      </c>
      <c r="F7" s="74" t="str">
        <f aca="false">'Matrix Model'!F13</f>
        <v>Chicken breast (boneless, skinless)</v>
      </c>
      <c r="G7" s="74" t="str">
        <f aca="false">'Matrix Model'!G13</f>
        <v>Chicken drumsticks (bone-in)</v>
      </c>
      <c r="H7" s="74" t="str">
        <f aca="false">'Matrix Model'!H13</f>
        <v>Chicken thighs (boneless, skinless)</v>
      </c>
      <c r="I7" s="74" t="str">
        <f aca="false">'Matrix Model'!I13</f>
        <v>Deli turkey breast (sliced)</v>
      </c>
      <c r="J7" s="74" t="str">
        <f aca="false">'Matrix Model'!J13</f>
        <v>Ground turkey 93/7</v>
      </c>
      <c r="K7" s="74" t="str">
        <f aca="false">'Matrix Model'!K13</f>
        <v>Bacon</v>
      </c>
      <c r="L7" s="74" t="str">
        <f aca="false">'Matrix Model'!L13</f>
        <v>Ground beef 80/20</v>
      </c>
      <c r="M7" s="74" t="str">
        <f aca="false">'Matrix Model'!M13</f>
        <v>Ground beef 93/7 (lean)</v>
      </c>
      <c r="N7" s="74" t="str">
        <f aca="false">'Matrix Model'!N13</f>
        <v>Ham (sliced, cooked)</v>
      </c>
      <c r="O7" s="74" t="str">
        <f aca="false">'Matrix Model'!O13</f>
        <v>Pork loin chops (boneless)</v>
      </c>
      <c r="P7" s="74" t="str">
        <f aca="false">'Matrix Model'!P13</f>
        <v>Top sirloin steak</v>
      </c>
      <c r="Q7" s="74" t="str">
        <f aca="false">'Matrix Model'!Q13</f>
        <v>Canned light tuna (in water)</v>
      </c>
      <c r="R7" s="74" t="str">
        <f aca="false">'Matrix Model'!R13</f>
        <v>Salmon (Atlantic, fillet)</v>
      </c>
      <c r="S7" s="74" t="str">
        <f aca="false">'Matrix Model'!S13</f>
        <v>Shrimp (raw, peeled)</v>
      </c>
      <c r="T7" s="74" t="str">
        <f aca="false">'Matrix Model'!T13</f>
        <v>Tilapia (fillet)</v>
      </c>
      <c r="U7" s="74" t="str">
        <f aca="false">'Matrix Model'!U13</f>
        <v>Eggs (large)</v>
      </c>
      <c r="V7" s="74" t="str">
        <f aca="false">'Matrix Model'!V13</f>
        <v>Black beans (canned)</v>
      </c>
      <c r="W7" s="74" t="str">
        <f aca="false">'Matrix Model'!W13</f>
        <v>Chickpeas (canned)</v>
      </c>
      <c r="X7" s="74" t="str">
        <f aca="false">'Matrix Model'!X13</f>
        <v>Lentils (dry)</v>
      </c>
      <c r="Y7" s="74" t="str">
        <f aca="false">'Matrix Model'!Y13</f>
        <v>Peanut butter</v>
      </c>
      <c r="Z7" s="74" t="str">
        <f aca="false">'Matrix Model'!Z13</f>
        <v>Pinto beans (dry)</v>
      </c>
      <c r="AA7" s="74" t="str">
        <f aca="false">'Matrix Model'!AA13</f>
        <v>Tofu (extra firm)</v>
      </c>
      <c r="AB7" s="74" t="str">
        <f aca="false">'Matrix Model'!AB13</f>
        <v>2% milk</v>
      </c>
      <c r="AC7" s="74" t="str">
        <f aca="false">'Matrix Model'!AC13</f>
        <v>Greek yogurt (plain, nonfat)</v>
      </c>
      <c r="AD7" s="74" t="str">
        <f aca="false">'Matrix Model'!AD13</f>
        <v>Soy milk (calcium-fortified)</v>
      </c>
      <c r="AE7" s="74" t="str">
        <f aca="false">'Matrix Model'!AE13</f>
        <v>Whole milk</v>
      </c>
      <c r="AF7" s="74" t="str">
        <f aca="false">'Matrix Model'!AF13</f>
        <v>American cheese (singles)</v>
      </c>
      <c r="AG7" s="74" t="str">
        <f aca="false">'Matrix Model'!AG13</f>
        <v>Cheddar cheese</v>
      </c>
      <c r="AH7" s="74" t="str">
        <f aca="false">'Matrix Model'!AH13</f>
        <v>Cottage cheese (2%)</v>
      </c>
      <c r="AI7" s="74" t="str">
        <f aca="false">'Matrix Model'!AI13</f>
        <v>Mozzarella string cheese</v>
      </c>
      <c r="AJ7" s="74" t="str">
        <f aca="false">'Matrix Model'!AJ13</f>
        <v>Bagels (plain)</v>
      </c>
      <c r="AK7" s="74" t="str">
        <f aca="false">'Matrix Model'!AK13</f>
        <v>Brown rice (dry)</v>
      </c>
      <c r="AL7" s="74" t="str">
        <f aca="false">'Matrix Model'!AL13</f>
        <v>Cheerios</v>
      </c>
      <c r="AM7" s="74" t="str">
        <f aca="false">'Matrix Model'!AM13</f>
        <v>Corn tortillas</v>
      </c>
      <c r="AN7" s="74" t="str">
        <f aca="false">'Matrix Model'!AN13</f>
        <v>Flour tortillas</v>
      </c>
      <c r="AO7" s="74" t="str">
        <f aca="false">'Matrix Model'!AO13</f>
        <v>Quinoa (dry)</v>
      </c>
      <c r="AP7" s="74" t="str">
        <f aca="false">'Matrix Model'!AP13</f>
        <v>Rolled oats (dry)</v>
      </c>
      <c r="AQ7" s="74" t="str">
        <f aca="false">'Matrix Model'!AQ13</f>
        <v>Spaghetti (dry)</v>
      </c>
      <c r="AR7" s="74" t="str">
        <f aca="false">'Matrix Model'!AR13</f>
        <v>White bread</v>
      </c>
      <c r="AS7" s="74" t="str">
        <f aca="false">'Matrix Model'!AS13</f>
        <v>White rice (dry)</v>
      </c>
      <c r="AT7" s="74" t="str">
        <f aca="false">'Matrix Model'!AT13</f>
        <v>Whole-wheat bread</v>
      </c>
      <c r="AU7" s="74" t="str">
        <f aca="false">'Matrix Model'!AU13</f>
        <v>Whole-wheat spaghetti (dry)</v>
      </c>
      <c r="AV7" s="74" t="str">
        <f aca="false">'Matrix Model'!AV13</f>
        <v>Corn (frozen)</v>
      </c>
      <c r="AW7" s="74" t="str">
        <f aca="false">'Matrix Model'!AW13</f>
        <v>Potatoes (russet)</v>
      </c>
      <c r="AX7" s="74" t="str">
        <f aca="false">'Matrix Model'!AX13</f>
        <v>Sweet potatoes</v>
      </c>
      <c r="AY7" s="74" t="str">
        <f aca="false">'Matrix Model'!AY13</f>
        <v>Apples (Gala)</v>
      </c>
      <c r="AZ7" s="74" t="str">
        <f aca="false">'Matrix Model'!AZ13</f>
        <v>Bananas</v>
      </c>
      <c r="BA7" s="74" t="str">
        <f aca="false">'Matrix Model'!BA13</f>
        <v>Blueberries (frozen)</v>
      </c>
      <c r="BB7" s="74" t="str">
        <f aca="false">'Matrix Model'!BB13</f>
        <v>Grapes (red seedless)</v>
      </c>
      <c r="BC7" s="74" t="str">
        <f aca="false">'Matrix Model'!BC13</f>
        <v>Orange juice (100%)</v>
      </c>
      <c r="BD7" s="74" t="str">
        <f aca="false">'Matrix Model'!BD13</f>
        <v>Oranges (navel)</v>
      </c>
      <c r="BE7" s="74" t="str">
        <f aca="false">'Matrix Model'!BE13</f>
        <v>Raisins</v>
      </c>
      <c r="BF7" s="74" t="str">
        <f aca="false">'Matrix Model'!BF13</f>
        <v>Strawberries</v>
      </c>
      <c r="BG7" s="74" t="str">
        <f aca="false">'Matrix Model'!BG13</f>
        <v>Broccoli (frozen)</v>
      </c>
      <c r="BH7" s="74" t="str">
        <f aca="false">'Matrix Model'!BH13</f>
        <v>Carrots</v>
      </c>
      <c r="BI7" s="74" t="str">
        <f aca="false">'Matrix Model'!BI13</f>
        <v>Green beans (canned)</v>
      </c>
      <c r="BJ7" s="74" t="str">
        <f aca="false">'Matrix Model'!BJ13</f>
        <v>Green bell pepper</v>
      </c>
      <c r="BK7" s="74" t="str">
        <f aca="false">'Matrix Model'!BK13</f>
        <v>Mixed vegetables (frozen)</v>
      </c>
      <c r="BL7" s="74" t="str">
        <f aca="false">'Matrix Model'!BL13</f>
        <v>Onions (yellow)</v>
      </c>
      <c r="BM7" s="74" t="str">
        <f aca="false">'Matrix Model'!BM13</f>
        <v>Romaine lettuce</v>
      </c>
      <c r="BN7" s="74" t="str">
        <f aca="false">'Matrix Model'!BN13</f>
        <v>Spinach (fresh)</v>
      </c>
      <c r="BO7" s="74" t="str">
        <f aca="false">'Matrix Model'!BO13</f>
        <v>Tomatoes (roma)</v>
      </c>
      <c r="BP7" s="74" t="str">
        <f aca="false">'Matrix Model'!BP13</f>
        <v>Butter (salted)</v>
      </c>
      <c r="BQ7" s="74" t="str">
        <f aca="false">'Matrix Model'!BQ13</f>
        <v>Canola oil</v>
      </c>
      <c r="BR7" s="74" t="str">
        <f aca="false">'Matrix Model'!BR13</f>
        <v>Olive oil (extra virgin)</v>
      </c>
      <c r="BS7" s="74" t="str">
        <f aca="false">'Matrix Model'!BS13</f>
        <v>Almonds</v>
      </c>
      <c r="BT7" s="74" t="str">
        <f aca="false">'Matrix Model'!BT13</f>
        <v>Avocado (Hass)</v>
      </c>
      <c r="BU7" s="74" t="str">
        <f aca="false">'Matrix Model'!BU13</f>
        <v>Chocolate chip cookies</v>
      </c>
      <c r="BV7" s="74" t="str">
        <f aca="false">'Matrix Model'!BV13</f>
        <v>Granola bars (chocolate chip)</v>
      </c>
      <c r="BW7" s="74" t="str">
        <f aca="false">'Matrix Model'!BW13</f>
        <v>Potato chips</v>
      </c>
      <c r="BX7" s="74" t="str">
        <f aca="false">'Matrix Model'!BX13</f>
        <v>Vanilla ice cream</v>
      </c>
    </row>
    <row r="8" customFormat="false" ht="15" hidden="false" customHeight="false" outlineLevel="0" collapsed="false">
      <c r="A8" s="4" t="s">
        <v>745</v>
      </c>
      <c r="B8" s="75" t="s">
        <v>746</v>
      </c>
      <c r="C8" s="78" t="n">
        <v>2878.5</v>
      </c>
      <c r="F8" s="25" t="n">
        <f aca="false">'Food Data'!$AH$6</f>
        <v>120</v>
      </c>
      <c r="G8" s="25" t="n">
        <f aca="false">'Food Data'!$AH$7</f>
        <v>161</v>
      </c>
      <c r="H8" s="25" t="n">
        <f aca="false">'Food Data'!$AH$8</f>
        <v>121</v>
      </c>
      <c r="I8" s="25" t="n">
        <f aca="false">'Food Data'!$AH$9</f>
        <v>100</v>
      </c>
      <c r="J8" s="25" t="n">
        <f aca="false">'Food Data'!$AH$10</f>
        <v>150</v>
      </c>
      <c r="K8" s="25" t="n">
        <f aca="false">'Food Data'!$AH$11</f>
        <v>417</v>
      </c>
      <c r="L8" s="25" t="n">
        <f aca="false">'Food Data'!$AH$12</f>
        <v>254</v>
      </c>
      <c r="M8" s="25" t="n">
        <f aca="false">'Food Data'!$AH$13</f>
        <v>152</v>
      </c>
      <c r="N8" s="25" t="n">
        <f aca="false">'Food Data'!$AH$14</f>
        <v>163</v>
      </c>
      <c r="O8" s="25" t="n">
        <f aca="false">'Food Data'!$AH$15</f>
        <v>201</v>
      </c>
      <c r="P8" s="25" t="n">
        <f aca="false">'Food Data'!$AH$16</f>
        <v>214</v>
      </c>
      <c r="Q8" s="25" t="n">
        <f aca="false">'Food Data'!$AH$17</f>
        <v>86</v>
      </c>
      <c r="R8" s="25" t="n">
        <f aca="false">'Food Data'!$AH$18</f>
        <v>208</v>
      </c>
      <c r="S8" s="25" t="n">
        <f aca="false">'Food Data'!$AH$19</f>
        <v>71</v>
      </c>
      <c r="T8" s="25" t="n">
        <f aca="false">'Food Data'!$AH$20</f>
        <v>96</v>
      </c>
      <c r="U8" s="25" t="n">
        <f aca="false">'Food Data'!$AH$21</f>
        <v>143</v>
      </c>
      <c r="V8" s="25" t="n">
        <f aca="false">'Food Data'!$AH$22</f>
        <v>91</v>
      </c>
      <c r="W8" s="25" t="n">
        <f aca="false">'Food Data'!$AH$23</f>
        <v>88</v>
      </c>
      <c r="X8" s="25" t="n">
        <f aca="false">'Food Data'!$AH$24</f>
        <v>352</v>
      </c>
      <c r="Y8" s="25" t="n">
        <f aca="false">'Food Data'!$AH$25</f>
        <v>598</v>
      </c>
      <c r="Z8" s="25" t="n">
        <f aca="false">'Food Data'!$AH$26</f>
        <v>347</v>
      </c>
      <c r="AA8" s="25" t="n">
        <f aca="false">'Food Data'!$AH$27</f>
        <v>98</v>
      </c>
      <c r="AB8" s="25" t="n">
        <f aca="false">'Food Data'!$AH$28</f>
        <v>50</v>
      </c>
      <c r="AC8" s="25" t="n">
        <f aca="false">'Food Data'!$AH$29</f>
        <v>59</v>
      </c>
      <c r="AD8" s="25" t="n">
        <f aca="false">'Food Data'!$AH$30</f>
        <v>43</v>
      </c>
      <c r="AE8" s="25" t="n">
        <f aca="false">'Food Data'!$AH$31</f>
        <v>61</v>
      </c>
      <c r="AF8" s="25" t="n">
        <f aca="false">'Food Data'!$AH$32</f>
        <v>366</v>
      </c>
      <c r="AG8" s="25" t="n">
        <f aca="false">'Food Data'!$AH$33</f>
        <v>404</v>
      </c>
      <c r="AH8" s="25" t="n">
        <f aca="false">'Food Data'!$AH$34</f>
        <v>81</v>
      </c>
      <c r="AI8" s="25" t="n">
        <f aca="false">'Food Data'!$AH$35</f>
        <v>295</v>
      </c>
      <c r="AJ8" s="25" t="n">
        <f aca="false">'Food Data'!$AH$36</f>
        <v>264</v>
      </c>
      <c r="AK8" s="25" t="n">
        <f aca="false">'Food Data'!$AH$37</f>
        <v>367</v>
      </c>
      <c r="AL8" s="25" t="n">
        <f aca="false">'Food Data'!$AH$38</f>
        <v>376</v>
      </c>
      <c r="AM8" s="25" t="n">
        <f aca="false">'Food Data'!$AH$39</f>
        <v>218</v>
      </c>
      <c r="AN8" s="25" t="n">
        <f aca="false">'Food Data'!$AH$40</f>
        <v>297</v>
      </c>
      <c r="AO8" s="25" t="n">
        <f aca="false">'Food Data'!$AH$41</f>
        <v>368</v>
      </c>
      <c r="AP8" s="25" t="n">
        <f aca="false">'Food Data'!$AH$42</f>
        <v>379</v>
      </c>
      <c r="AQ8" s="25" t="n">
        <f aca="false">'Food Data'!$AH$43</f>
        <v>371</v>
      </c>
      <c r="AR8" s="25" t="n">
        <f aca="false">'Food Data'!$AH$44</f>
        <v>266</v>
      </c>
      <c r="AS8" s="25" t="n">
        <f aca="false">'Food Data'!$AH$45</f>
        <v>365</v>
      </c>
      <c r="AT8" s="25" t="n">
        <f aca="false">'Food Data'!$AH$46</f>
        <v>252</v>
      </c>
      <c r="AU8" s="25" t="n">
        <f aca="false">'Food Data'!$AH$47</f>
        <v>352</v>
      </c>
      <c r="AV8" s="25" t="n">
        <f aca="false">'Food Data'!$AH$48</f>
        <v>88</v>
      </c>
      <c r="AW8" s="25" t="n">
        <f aca="false">'Food Data'!$AH$49</f>
        <v>77</v>
      </c>
      <c r="AX8" s="25" t="n">
        <f aca="false">'Food Data'!$AH$50</f>
        <v>86</v>
      </c>
      <c r="AY8" s="25" t="n">
        <f aca="false">'Food Data'!$AH$51</f>
        <v>52</v>
      </c>
      <c r="AZ8" s="25" t="n">
        <f aca="false">'Food Data'!$AH$52</f>
        <v>89</v>
      </c>
      <c r="BA8" s="25" t="n">
        <f aca="false">'Food Data'!$AH$53</f>
        <v>51</v>
      </c>
      <c r="BB8" s="25" t="n">
        <f aca="false">'Food Data'!$AH$54</f>
        <v>69</v>
      </c>
      <c r="BC8" s="25" t="n">
        <f aca="false">'Food Data'!$AH$55</f>
        <v>49</v>
      </c>
      <c r="BD8" s="25" t="n">
        <f aca="false">'Food Data'!$AH$56</f>
        <v>49</v>
      </c>
      <c r="BE8" s="25" t="n">
        <f aca="false">'Food Data'!$AH$57</f>
        <v>299</v>
      </c>
      <c r="BF8" s="25" t="n">
        <f aca="false">'Food Data'!$AH$58</f>
        <v>32</v>
      </c>
      <c r="BG8" s="25" t="n">
        <f aca="false">'Food Data'!$AH$59</f>
        <v>29</v>
      </c>
      <c r="BH8" s="25" t="n">
        <f aca="false">'Food Data'!$AH$60</f>
        <v>41</v>
      </c>
      <c r="BI8" s="25" t="n">
        <f aca="false">'Food Data'!$AH$61</f>
        <v>15</v>
      </c>
      <c r="BJ8" s="25" t="n">
        <f aca="false">'Food Data'!$AH$62</f>
        <v>20</v>
      </c>
      <c r="BK8" s="25" t="n">
        <f aca="false">'Food Data'!$AH$63</f>
        <v>72</v>
      </c>
      <c r="BL8" s="25" t="n">
        <f aca="false">'Food Data'!$AH$64</f>
        <v>40</v>
      </c>
      <c r="BM8" s="25" t="n">
        <f aca="false">'Food Data'!$AH$65</f>
        <v>17</v>
      </c>
      <c r="BN8" s="25" t="n">
        <f aca="false">'Food Data'!$AH$66</f>
        <v>23</v>
      </c>
      <c r="BO8" s="25" t="n">
        <f aca="false">'Food Data'!$AH$67</f>
        <v>18</v>
      </c>
      <c r="BP8" s="25" t="n">
        <f aca="false">'Food Data'!$AH$68</f>
        <v>717</v>
      </c>
      <c r="BQ8" s="25" t="n">
        <f aca="false">'Food Data'!$AH$69</f>
        <v>884</v>
      </c>
      <c r="BR8" s="25" t="n">
        <f aca="false">'Food Data'!$AH$70</f>
        <v>884</v>
      </c>
      <c r="BS8" s="25" t="n">
        <f aca="false">'Food Data'!$AH$71</f>
        <v>579</v>
      </c>
      <c r="BT8" s="25" t="n">
        <f aca="false">'Food Data'!$AH$72</f>
        <v>167</v>
      </c>
      <c r="BU8" s="25" t="n">
        <f aca="false">'Food Data'!$AH$73</f>
        <v>492</v>
      </c>
      <c r="BV8" s="25" t="n">
        <f aca="false">'Food Data'!$AH$74</f>
        <v>418</v>
      </c>
      <c r="BW8" s="25" t="n">
        <f aca="false">'Food Data'!$AH$75</f>
        <v>532</v>
      </c>
      <c r="BX8" s="25" t="n">
        <f aca="false">'Food Data'!$AH$76</f>
        <v>207</v>
      </c>
    </row>
    <row r="9" customFormat="false" ht="15" hidden="false" customHeight="false" outlineLevel="0" collapsed="false">
      <c r="A9" s="4" t="s">
        <v>747</v>
      </c>
      <c r="B9" s="75" t="s">
        <v>746</v>
      </c>
      <c r="C9" s="78" t="n">
        <v>112</v>
      </c>
      <c r="F9" s="25" t="n">
        <f aca="false">'Food Data'!$AI$6</f>
        <v>22.5</v>
      </c>
      <c r="G9" s="25" t="n">
        <f aca="false">'Food Data'!$AI$7</f>
        <v>18.08</v>
      </c>
      <c r="H9" s="25" t="n">
        <f aca="false">'Food Data'!$AI$8</f>
        <v>19.66</v>
      </c>
      <c r="I9" s="25" t="n">
        <f aca="false">'Food Data'!$AI$9</f>
        <v>16.33</v>
      </c>
      <c r="J9" s="25" t="n">
        <f aca="false">'Food Data'!$AI$10</f>
        <v>18.73</v>
      </c>
      <c r="K9" s="25" t="n">
        <f aca="false">'Food Data'!$AI$11</f>
        <v>12.62</v>
      </c>
      <c r="L9" s="25" t="n">
        <f aca="false">'Food Data'!$AI$12</f>
        <v>17.17</v>
      </c>
      <c r="M9" s="25" t="n">
        <f aca="false">'Food Data'!$AI$13</f>
        <v>20.85</v>
      </c>
      <c r="N9" s="25" t="n">
        <f aca="false">'Food Data'!$AI$14</f>
        <v>16.6</v>
      </c>
      <c r="O9" s="25" t="n">
        <f aca="false">'Food Data'!$AI$15</f>
        <v>21.14</v>
      </c>
      <c r="P9" s="25" t="n">
        <f aca="false">'Food Data'!$AI$16</f>
        <v>19.92</v>
      </c>
      <c r="Q9" s="25" t="n">
        <f aca="false">'Food Data'!$AI$17</f>
        <v>19.44</v>
      </c>
      <c r="R9" s="25" t="n">
        <f aca="false">'Food Data'!$AI$18</f>
        <v>20.42</v>
      </c>
      <c r="S9" s="25" t="n">
        <f aca="false">'Food Data'!$AI$19</f>
        <v>13.61</v>
      </c>
      <c r="T9" s="25" t="n">
        <f aca="false">'Food Data'!$AI$20</f>
        <v>20.08</v>
      </c>
      <c r="U9" s="25" t="n">
        <f aca="false">'Food Data'!$AI$21</f>
        <v>12.56</v>
      </c>
      <c r="V9" s="25" t="n">
        <f aca="false">'Food Data'!$AI$22</f>
        <v>6.03</v>
      </c>
      <c r="W9" s="25" t="n">
        <f aca="false">'Food Data'!$AI$23</f>
        <v>4.92</v>
      </c>
      <c r="X9" s="25" t="n">
        <f aca="false">'Food Data'!$AI$24</f>
        <v>24.63</v>
      </c>
      <c r="Y9" s="25" t="n">
        <f aca="false">'Food Data'!$AI$25</f>
        <v>22.21</v>
      </c>
      <c r="Z9" s="25" t="n">
        <f aca="false">'Food Data'!$AI$26</f>
        <v>21.42</v>
      </c>
      <c r="AA9" s="25" t="n">
        <f aca="false">'Food Data'!$AI$27</f>
        <v>10.1</v>
      </c>
      <c r="AB9" s="25" t="n">
        <f aca="false">'Food Data'!$AI$28</f>
        <v>3.3</v>
      </c>
      <c r="AC9" s="25" t="n">
        <f aca="false">'Food Data'!$AI$29</f>
        <v>10.19</v>
      </c>
      <c r="AD9" s="25" t="n">
        <f aca="false">'Food Data'!$AI$30</f>
        <v>2.6</v>
      </c>
      <c r="AE9" s="25" t="n">
        <f aca="false">'Food Data'!$AI$31</f>
        <v>3.15</v>
      </c>
      <c r="AF9" s="25" t="n">
        <f aca="false">'Food Data'!$AI$32</f>
        <v>18.13</v>
      </c>
      <c r="AG9" s="25" t="n">
        <f aca="false">'Food Data'!$AI$33</f>
        <v>22.87</v>
      </c>
      <c r="AH9" s="25" t="n">
        <f aca="false">'Food Data'!$AI$34</f>
        <v>10.45</v>
      </c>
      <c r="AI9" s="25" t="n">
        <f aca="false">'Food Data'!$AI$35</f>
        <v>23.75</v>
      </c>
      <c r="AJ9" s="25" t="n">
        <f aca="false">'Food Data'!$AI$36</f>
        <v>10.56</v>
      </c>
      <c r="AK9" s="25" t="n">
        <f aca="false">'Food Data'!$AI$37</f>
        <v>7.54</v>
      </c>
      <c r="AL9" s="25" t="n">
        <f aca="false">'Food Data'!$AI$38</f>
        <v>12.09</v>
      </c>
      <c r="AM9" s="25" t="n">
        <f aca="false">'Food Data'!$AI$39</f>
        <v>5.7</v>
      </c>
      <c r="AN9" s="25" t="n">
        <f aca="false">'Food Data'!$AI$40</f>
        <v>8.01</v>
      </c>
      <c r="AO9" s="25" t="n">
        <f aca="false">'Food Data'!$AI$41</f>
        <v>14.12</v>
      </c>
      <c r="AP9" s="25" t="n">
        <f aca="false">'Food Data'!$AI$42</f>
        <v>13.15</v>
      </c>
      <c r="AQ9" s="25" t="n">
        <f aca="false">'Food Data'!$AI$43</f>
        <v>13.04</v>
      </c>
      <c r="AR9" s="25" t="n">
        <f aca="false">'Food Data'!$AI$44</f>
        <v>8.85</v>
      </c>
      <c r="AS9" s="25" t="n">
        <f aca="false">'Food Data'!$AI$45</f>
        <v>7.13</v>
      </c>
      <c r="AT9" s="25" t="n">
        <f aca="false">'Food Data'!$AI$46</f>
        <v>12.45</v>
      </c>
      <c r="AU9" s="25" t="n">
        <f aca="false">'Food Data'!$AI$47</f>
        <v>13.87</v>
      </c>
      <c r="AV9" s="25" t="n">
        <f aca="false">'Food Data'!$AI$48</f>
        <v>3.02</v>
      </c>
      <c r="AW9" s="25" t="n">
        <f aca="false">'Food Data'!$AI$49</f>
        <v>2.05</v>
      </c>
      <c r="AX9" s="25" t="n">
        <f aca="false">'Food Data'!$AI$50</f>
        <v>1.57</v>
      </c>
      <c r="AY9" s="25" t="n">
        <f aca="false">'Food Data'!$AI$51</f>
        <v>0.26</v>
      </c>
      <c r="AZ9" s="25" t="n">
        <f aca="false">'Food Data'!$AI$52</f>
        <v>1.09</v>
      </c>
      <c r="BA9" s="25" t="n">
        <f aca="false">'Food Data'!$AI$53</f>
        <v>0.42</v>
      </c>
      <c r="BB9" s="25" t="n">
        <f aca="false">'Food Data'!$AI$54</f>
        <v>0.72</v>
      </c>
      <c r="BC9" s="25" t="n">
        <f aca="false">'Food Data'!$AI$55</f>
        <v>0.68</v>
      </c>
      <c r="BD9" s="25" t="n">
        <f aca="false">'Food Data'!$AI$56</f>
        <v>0.91</v>
      </c>
      <c r="BE9" s="25" t="n">
        <f aca="false">'Food Data'!$AI$57</f>
        <v>3.07</v>
      </c>
      <c r="BF9" s="25" t="n">
        <f aca="false">'Food Data'!$AI$58</f>
        <v>0.67</v>
      </c>
      <c r="BG9" s="25" t="n">
        <f aca="false">'Food Data'!$AI$59</f>
        <v>3.06</v>
      </c>
      <c r="BH9" s="25" t="n">
        <f aca="false">'Food Data'!$AI$60</f>
        <v>0.93</v>
      </c>
      <c r="BI9" s="25" t="n">
        <f aca="false">'Food Data'!$AI$61</f>
        <v>0.72</v>
      </c>
      <c r="BJ9" s="25" t="n">
        <f aca="false">'Food Data'!$AI$62</f>
        <v>0.86</v>
      </c>
      <c r="BK9" s="25" t="n">
        <f aca="false">'Food Data'!$AI$63</f>
        <v>3.33</v>
      </c>
      <c r="BL9" s="25" t="n">
        <f aca="false">'Food Data'!$AI$64</f>
        <v>1.1</v>
      </c>
      <c r="BM9" s="25" t="n">
        <f aca="false">'Food Data'!$AI$65</f>
        <v>1.23</v>
      </c>
      <c r="BN9" s="25" t="n">
        <f aca="false">'Food Data'!$AI$66</f>
        <v>2.86</v>
      </c>
      <c r="BO9" s="25" t="n">
        <f aca="false">'Food Data'!$AI$67</f>
        <v>0.88</v>
      </c>
      <c r="BP9" s="25" t="n">
        <f aca="false">'Food Data'!$AI$68</f>
        <v>0.85</v>
      </c>
      <c r="BQ9" s="25" t="n">
        <f aca="false">'Food Data'!$AI$69</f>
        <v>0</v>
      </c>
      <c r="BR9" s="25" t="n">
        <f aca="false">'Food Data'!$AI$70</f>
        <v>0</v>
      </c>
      <c r="BS9" s="25" t="n">
        <f aca="false">'Food Data'!$AI$71</f>
        <v>21.15</v>
      </c>
      <c r="BT9" s="25" t="n">
        <f aca="false">'Food Data'!$AI$72</f>
        <v>1.96</v>
      </c>
      <c r="BU9" s="25" t="n">
        <f aca="false">'Food Data'!$AI$73</f>
        <v>5.1</v>
      </c>
      <c r="BV9" s="25" t="n">
        <f aca="false">'Food Data'!$AI$74</f>
        <v>5.65</v>
      </c>
      <c r="BW9" s="25" t="n">
        <f aca="false">'Food Data'!$AI$75</f>
        <v>6.39</v>
      </c>
      <c r="BX9" s="25" t="n">
        <f aca="false">'Food Data'!$AI$76</f>
        <v>3.5</v>
      </c>
    </row>
    <row r="10" customFormat="false" ht="15" hidden="false" customHeight="false" outlineLevel="0" collapsed="false">
      <c r="A10" s="4" t="s">
        <v>748</v>
      </c>
      <c r="B10" s="75" t="s">
        <v>746</v>
      </c>
      <c r="C10" s="78" t="n">
        <v>1000</v>
      </c>
      <c r="F10" s="25" t="n">
        <f aca="false">'Food Data'!$AN$6</f>
        <v>5</v>
      </c>
      <c r="G10" s="25" t="n">
        <f aca="false">'Food Data'!$AN$7</f>
        <v>8</v>
      </c>
      <c r="H10" s="25" t="n">
        <f aca="false">'Food Data'!$AN$8</f>
        <v>7</v>
      </c>
      <c r="I10" s="25" t="n">
        <f aca="false">'Food Data'!$AN$9</f>
        <v>7</v>
      </c>
      <c r="J10" s="25" t="n">
        <f aca="false">'Food Data'!$AN$10</f>
        <v>21</v>
      </c>
      <c r="K10" s="25" t="n">
        <f aca="false">'Food Data'!$AN$11</f>
        <v>5</v>
      </c>
      <c r="L10" s="25" t="n">
        <f aca="false">'Food Data'!$AN$12</f>
        <v>18</v>
      </c>
      <c r="M10" s="25" t="n">
        <f aca="false">'Food Data'!$AN$13</f>
        <v>10</v>
      </c>
      <c r="N10" s="25" t="n">
        <f aca="false">'Food Data'!$AN$14</f>
        <v>24</v>
      </c>
      <c r="O10" s="25" t="n">
        <f aca="false">'Food Data'!$AN$15</f>
        <v>9</v>
      </c>
      <c r="P10" s="25" t="n">
        <f aca="false">'Food Data'!$AN$16</f>
        <v>25</v>
      </c>
      <c r="Q10" s="25" t="n">
        <f aca="false">'Food Data'!$AN$17</f>
        <v>17</v>
      </c>
      <c r="R10" s="25" t="n">
        <f aca="false">'Food Data'!$AN$18</f>
        <v>9</v>
      </c>
      <c r="S10" s="25" t="n">
        <f aca="false">'Food Data'!$AN$19</f>
        <v>54</v>
      </c>
      <c r="T10" s="25" t="n">
        <f aca="false">'Food Data'!$AN$20</f>
        <v>10</v>
      </c>
      <c r="U10" s="25" t="n">
        <f aca="false">'Food Data'!$AN$21</f>
        <v>56</v>
      </c>
      <c r="V10" s="25" t="n">
        <f aca="false">'Food Data'!$AN$22</f>
        <v>35</v>
      </c>
      <c r="W10" s="25" t="n">
        <f aca="false">'Food Data'!$AN$23</f>
        <v>35</v>
      </c>
      <c r="X10" s="25" t="n">
        <f aca="false">'Food Data'!$AN$24</f>
        <v>35</v>
      </c>
      <c r="Y10" s="25" t="n">
        <f aca="false">'Food Data'!$AN$25</f>
        <v>49</v>
      </c>
      <c r="Z10" s="25" t="n">
        <f aca="false">'Food Data'!$AN$26</f>
        <v>113</v>
      </c>
      <c r="AA10" s="25" t="n">
        <f aca="false">'Food Data'!$AN$27</f>
        <v>77</v>
      </c>
      <c r="AB10" s="25" t="n">
        <f aca="false">'Food Data'!$AN$28</f>
        <v>120</v>
      </c>
      <c r="AC10" s="25" t="n">
        <f aca="false">'Food Data'!$AN$29</f>
        <v>110</v>
      </c>
      <c r="AD10" s="25" t="n">
        <f aca="false">'Food Data'!$AN$30</f>
        <v>123</v>
      </c>
      <c r="AE10" s="25" t="n">
        <f aca="false">'Food Data'!$AN$31</f>
        <v>113</v>
      </c>
      <c r="AF10" s="25" t="n">
        <f aca="false">'Food Data'!$AN$32</f>
        <v>1045</v>
      </c>
      <c r="AG10" s="25" t="n">
        <f aca="false">'Food Data'!$AN$33</f>
        <v>710</v>
      </c>
      <c r="AH10" s="25" t="n">
        <f aca="false">'Food Data'!$AN$34</f>
        <v>111</v>
      </c>
      <c r="AI10" s="25" t="n">
        <f aca="false">'Food Data'!$AN$35</f>
        <v>697</v>
      </c>
      <c r="AJ10" s="25" t="n">
        <f aca="false">'Food Data'!$AN$36</f>
        <v>219</v>
      </c>
      <c r="AK10" s="25" t="n">
        <f aca="false">'Food Data'!$AN$37</f>
        <v>9</v>
      </c>
      <c r="AL10" s="25" t="n">
        <f aca="false">'Food Data'!$AN$38</f>
        <v>401</v>
      </c>
      <c r="AM10" s="25" t="n">
        <f aca="false">'Food Data'!$AN$39</f>
        <v>81</v>
      </c>
      <c r="AN10" s="25" t="n">
        <f aca="false">'Food Data'!$AN$40</f>
        <v>163</v>
      </c>
      <c r="AO10" s="25" t="n">
        <f aca="false">'Food Data'!$AN$41</f>
        <v>47</v>
      </c>
      <c r="AP10" s="25" t="n">
        <f aca="false">'Food Data'!$AN$42</f>
        <v>52</v>
      </c>
      <c r="AQ10" s="25" t="n">
        <f aca="false">'Food Data'!$AN$43</f>
        <v>21</v>
      </c>
      <c r="AR10" s="25" t="n">
        <f aca="false">'Food Data'!$AN$44</f>
        <v>144</v>
      </c>
      <c r="AS10" s="25" t="n">
        <f aca="false">'Food Data'!$AN$45</f>
        <v>28</v>
      </c>
      <c r="AT10" s="25" t="n">
        <f aca="false">'Food Data'!$AN$46</f>
        <v>161</v>
      </c>
      <c r="AU10" s="25" t="n">
        <f aca="false">'Food Data'!$AN$47</f>
        <v>29</v>
      </c>
      <c r="AV10" s="25" t="n">
        <f aca="false">'Food Data'!$AN$48</f>
        <v>4</v>
      </c>
      <c r="AW10" s="25" t="n">
        <f aca="false">'Food Data'!$AN$49</f>
        <v>12</v>
      </c>
      <c r="AX10" s="25" t="n">
        <f aca="false">'Food Data'!$AN$50</f>
        <v>30</v>
      </c>
      <c r="AY10" s="25" t="n">
        <f aca="false">'Food Data'!$AN$51</f>
        <v>6</v>
      </c>
      <c r="AZ10" s="25" t="n">
        <f aca="false">'Food Data'!$AN$52</f>
        <v>5</v>
      </c>
      <c r="BA10" s="25" t="n">
        <f aca="false">'Food Data'!$AN$53</f>
        <v>8</v>
      </c>
      <c r="BB10" s="25" t="n">
        <f aca="false">'Food Data'!$AN$54</f>
        <v>10</v>
      </c>
      <c r="BC10" s="25" t="n">
        <f aca="false">'Food Data'!$AN$55</f>
        <v>11</v>
      </c>
      <c r="BD10" s="25" t="n">
        <f aca="false">'Food Data'!$AN$56</f>
        <v>43</v>
      </c>
      <c r="BE10" s="25" t="n">
        <f aca="false">'Food Data'!$AN$57</f>
        <v>50</v>
      </c>
      <c r="BF10" s="25" t="n">
        <f aca="false">'Food Data'!$AN$58</f>
        <v>16</v>
      </c>
      <c r="BG10" s="25" t="n">
        <f aca="false">'Food Data'!$AN$59</f>
        <v>41</v>
      </c>
      <c r="BH10" s="25" t="n">
        <f aca="false">'Food Data'!$AN$60</f>
        <v>33</v>
      </c>
      <c r="BI10" s="25" t="n">
        <f aca="false">'Food Data'!$AN$61</f>
        <v>29</v>
      </c>
      <c r="BJ10" s="25" t="n">
        <f aca="false">'Food Data'!$AN$62</f>
        <v>10</v>
      </c>
      <c r="BK10" s="25" t="n">
        <f aca="false">'Food Data'!$AN$63</f>
        <v>25</v>
      </c>
      <c r="BL10" s="25" t="n">
        <f aca="false">'Food Data'!$AN$64</f>
        <v>23</v>
      </c>
      <c r="BM10" s="25" t="n">
        <f aca="false">'Food Data'!$AN$65</f>
        <v>33</v>
      </c>
      <c r="BN10" s="25" t="n">
        <f aca="false">'Food Data'!$AN$66</f>
        <v>99</v>
      </c>
      <c r="BO10" s="25" t="n">
        <f aca="false">'Food Data'!$AN$67</f>
        <v>10</v>
      </c>
      <c r="BP10" s="25" t="n">
        <f aca="false">'Food Data'!$AN$68</f>
        <v>24</v>
      </c>
      <c r="BQ10" s="25" t="n">
        <f aca="false">'Food Data'!$AN$69</f>
        <v>0</v>
      </c>
      <c r="BR10" s="25" t="n">
        <f aca="false">'Food Data'!$AN$70</f>
        <v>1</v>
      </c>
      <c r="BS10" s="25" t="n">
        <f aca="false">'Food Data'!$AN$71</f>
        <v>269</v>
      </c>
      <c r="BT10" s="25" t="n">
        <f aca="false">'Food Data'!$AN$72</f>
        <v>13</v>
      </c>
      <c r="BU10" s="25" t="n">
        <f aca="false">'Food Data'!$AN$73</f>
        <v>21</v>
      </c>
      <c r="BV10" s="25" t="n">
        <f aca="false">'Food Data'!$AN$74</f>
        <v>41</v>
      </c>
      <c r="BW10" s="25" t="n">
        <f aca="false">'Food Data'!$AN$75</f>
        <v>21</v>
      </c>
      <c r="BX10" s="25" t="n">
        <f aca="false">'Food Data'!$AN$76</f>
        <v>128</v>
      </c>
    </row>
    <row r="11" customFormat="false" ht="15" hidden="false" customHeight="false" outlineLevel="0" collapsed="false">
      <c r="A11" s="4" t="s">
        <v>749</v>
      </c>
      <c r="B11" s="75" t="s">
        <v>750</v>
      </c>
      <c r="C11" s="78" t="n">
        <v>0</v>
      </c>
      <c r="F11" s="25" t="n">
        <f aca="false">4*'Food Data'!$AJ$6-0.65*'Food Data'!$AH$6</f>
        <v>-78</v>
      </c>
      <c r="G11" s="25" t="n">
        <f aca="false">4*'Food Data'!$AJ$7-0.65*'Food Data'!$AH$7</f>
        <v>-104.21</v>
      </c>
      <c r="H11" s="25" t="n">
        <f aca="false">4*'Food Data'!$AJ$8-0.65*'Food Data'!$AH$8</f>
        <v>-78.65</v>
      </c>
      <c r="I11" s="25" t="n">
        <f aca="false">4*'Food Data'!$AJ$9-0.65*'Food Data'!$AH$9</f>
        <v>-55.64</v>
      </c>
      <c r="J11" s="25" t="n">
        <f aca="false">4*'Food Data'!$AJ$10-0.65*'Food Data'!$AH$10</f>
        <v>-97.5</v>
      </c>
      <c r="K11" s="25" t="n">
        <f aca="false">4*'Food Data'!$AJ$11-0.65*'Food Data'!$AH$11</f>
        <v>-265.93</v>
      </c>
      <c r="L11" s="25" t="n">
        <f aca="false">4*'Food Data'!$AJ$12-0.65*'Food Data'!$AH$12</f>
        <v>-165.1</v>
      </c>
      <c r="M11" s="25" t="n">
        <f aca="false">4*'Food Data'!$AJ$13-0.65*'Food Data'!$AH$13</f>
        <v>-98.8</v>
      </c>
      <c r="N11" s="25" t="n">
        <f aca="false">4*'Food Data'!$AJ$14-0.65*'Food Data'!$AH$14</f>
        <v>-90.63</v>
      </c>
      <c r="O11" s="25" t="n">
        <f aca="false">4*'Food Data'!$AJ$15-0.65*'Food Data'!$AH$15</f>
        <v>-130.65</v>
      </c>
      <c r="P11" s="25" t="n">
        <f aca="false">4*'Food Data'!$AJ$16-0.65*'Food Data'!$AH$16</f>
        <v>-139.1</v>
      </c>
      <c r="Q11" s="25" t="n">
        <f aca="false">4*'Food Data'!$AJ$17-0.65*'Food Data'!$AH$17</f>
        <v>-55.9</v>
      </c>
      <c r="R11" s="25" t="n">
        <f aca="false">4*'Food Data'!$AJ$18-0.65*'Food Data'!$AH$18</f>
        <v>-135.2</v>
      </c>
      <c r="S11" s="25" t="n">
        <f aca="false">4*'Food Data'!$AJ$19-0.65*'Food Data'!$AH$19</f>
        <v>-42.51</v>
      </c>
      <c r="T11" s="25" t="n">
        <f aca="false">4*'Food Data'!$AJ$20-0.65*'Food Data'!$AH$20</f>
        <v>-62.4</v>
      </c>
      <c r="U11" s="25" t="n">
        <f aca="false">4*'Food Data'!$AJ$21-0.65*'Food Data'!$AH$21</f>
        <v>-90.07</v>
      </c>
      <c r="V11" s="25" t="n">
        <f aca="false">4*'Food Data'!$AJ$22-0.65*'Food Data'!$AH$22</f>
        <v>7.05</v>
      </c>
      <c r="W11" s="25" t="n">
        <f aca="false">4*'Food Data'!$AJ$23-0.65*'Food Data'!$AH$23</f>
        <v>-3.24</v>
      </c>
      <c r="X11" s="25" t="n">
        <f aca="false">4*'Food Data'!$AJ$24-0.65*'Food Data'!$AH$24</f>
        <v>24.6</v>
      </c>
      <c r="Y11" s="25" t="n">
        <f aca="false">4*'Food Data'!$AJ$25-0.65*'Food Data'!$AH$25</f>
        <v>-299.46</v>
      </c>
      <c r="Z11" s="25" t="n">
        <f aca="false">4*'Food Data'!$AJ$26-0.65*'Food Data'!$AH$26</f>
        <v>24.65</v>
      </c>
      <c r="AA11" s="25" t="n">
        <f aca="false">4*'Food Data'!$AJ$27-0.65*'Food Data'!$AH$27</f>
        <v>-53.3</v>
      </c>
      <c r="AB11" s="25" t="n">
        <f aca="false">4*'Food Data'!$AJ$28-0.65*'Food Data'!$AH$28</f>
        <v>-13.3</v>
      </c>
      <c r="AC11" s="25" t="n">
        <f aca="false">4*'Food Data'!$AJ$29-0.65*'Food Data'!$AH$29</f>
        <v>-23.95</v>
      </c>
      <c r="AD11" s="25" t="n">
        <f aca="false">4*'Food Data'!$AJ$30-0.65*'Food Data'!$AH$30</f>
        <v>-8.27</v>
      </c>
      <c r="AE11" s="25" t="n">
        <f aca="false">4*'Food Data'!$AJ$31-0.65*'Food Data'!$AH$31</f>
        <v>-20.45</v>
      </c>
      <c r="AF11" s="25" t="n">
        <f aca="false">4*'Food Data'!$AJ$32-0.65*'Food Data'!$AH$32</f>
        <v>-218.78</v>
      </c>
      <c r="AG11" s="25" t="n">
        <f aca="false">4*'Food Data'!$AJ$33-0.65*'Food Data'!$AH$33</f>
        <v>-250.24</v>
      </c>
      <c r="AH11" s="25" t="n">
        <f aca="false">4*'Food Data'!$AJ$34-0.65*'Food Data'!$AH$34</f>
        <v>-33.61</v>
      </c>
      <c r="AI11" s="25" t="n">
        <f aca="false">4*'Food Data'!$AJ$35-0.65*'Food Data'!$AH$35</f>
        <v>-169.43</v>
      </c>
      <c r="AJ11" s="25" t="n">
        <f aca="false">4*'Food Data'!$AJ$36-0.65*'Food Data'!$AH$36</f>
        <v>37.92</v>
      </c>
      <c r="AK11" s="25" t="n">
        <f aca="false">4*'Food Data'!$AJ$37-0.65*'Food Data'!$AH$37</f>
        <v>66.45</v>
      </c>
      <c r="AL11" s="25" t="n">
        <f aca="false">4*'Food Data'!$AJ$38-0.65*'Food Data'!$AH$38</f>
        <v>48.52</v>
      </c>
      <c r="AM11" s="25" t="n">
        <f aca="false">4*'Food Data'!$AJ$39-0.65*'Food Data'!$AH$39</f>
        <v>36.86</v>
      </c>
      <c r="AN11" s="25" t="n">
        <f aca="false">4*'Food Data'!$AJ$40-0.65*'Food Data'!$AH$40</f>
        <v>4.03</v>
      </c>
      <c r="AO11" s="25" t="n">
        <f aca="false">4*'Food Data'!$AJ$41-0.65*'Food Data'!$AH$41</f>
        <v>17.44</v>
      </c>
      <c r="AP11" s="25" t="n">
        <f aca="false">4*'Food Data'!$AJ$42-0.65*'Food Data'!$AH$42</f>
        <v>24.45</v>
      </c>
      <c r="AQ11" s="25" t="n">
        <f aca="false">4*'Food Data'!$AJ$43-0.65*'Food Data'!$AH$43</f>
        <v>57.53</v>
      </c>
      <c r="AR11" s="25" t="n">
        <f aca="false">4*'Food Data'!$AJ$44-0.65*'Food Data'!$AH$44</f>
        <v>24.78</v>
      </c>
      <c r="AS11" s="25" t="n">
        <f aca="false">4*'Food Data'!$AJ$45-0.65*'Food Data'!$AH$45</f>
        <v>82.55</v>
      </c>
      <c r="AT11" s="25" t="n">
        <f aca="false">4*'Food Data'!$AJ$46-0.65*'Food Data'!$AH$46</f>
        <v>7.03999999999999</v>
      </c>
      <c r="AU11" s="25" t="n">
        <f aca="false">4*'Food Data'!$AJ$47-0.65*'Food Data'!$AH$47</f>
        <v>64.68</v>
      </c>
      <c r="AV11" s="25" t="n">
        <f aca="false">4*'Food Data'!$AJ$48-0.65*'Food Data'!$AH$48</f>
        <v>25.64</v>
      </c>
      <c r="AW11" s="25" t="n">
        <f aca="false">4*'Food Data'!$AJ$49-0.65*'Food Data'!$AH$49</f>
        <v>19.91</v>
      </c>
      <c r="AX11" s="25" t="n">
        <f aca="false">4*'Food Data'!$AJ$50-0.65*'Food Data'!$AH$50</f>
        <v>24.58</v>
      </c>
      <c r="AY11" s="25" t="n">
        <f aca="false">4*'Food Data'!$AJ$51-0.65*'Food Data'!$AH$51</f>
        <v>21.44</v>
      </c>
      <c r="AZ11" s="25" t="n">
        <f aca="false">4*'Food Data'!$AJ$52-0.65*'Food Data'!$AH$52</f>
        <v>33.51</v>
      </c>
      <c r="BA11" s="25" t="n">
        <f aca="false">4*'Food Data'!$AJ$53-0.65*'Food Data'!$AH$53</f>
        <v>15.53</v>
      </c>
      <c r="BB11" s="25" t="n">
        <f aca="false">4*'Food Data'!$AJ$54-0.65*'Food Data'!$AH$54</f>
        <v>27.55</v>
      </c>
      <c r="BC11" s="25" t="n">
        <f aca="false">4*'Food Data'!$AJ$55-0.65*'Food Data'!$AH$55</f>
        <v>14.31</v>
      </c>
      <c r="BD11" s="25" t="n">
        <f aca="false">4*'Food Data'!$AJ$56-0.65*'Food Data'!$AH$56</f>
        <v>18.31</v>
      </c>
      <c r="BE11" s="25" t="n">
        <f aca="false">4*'Food Data'!$AJ$57-0.65*'Food Data'!$AH$57</f>
        <v>122.37</v>
      </c>
      <c r="BF11" s="25" t="n">
        <f aca="false">4*'Food Data'!$AJ$58-0.65*'Food Data'!$AH$58</f>
        <v>9.92</v>
      </c>
      <c r="BG11" s="25" t="n">
        <f aca="false">4*'Food Data'!$AJ$59-0.65*'Food Data'!$AH$59</f>
        <v>2.55</v>
      </c>
      <c r="BH11" s="25" t="n">
        <f aca="false">4*'Food Data'!$AJ$60-0.65*'Food Data'!$AH$60</f>
        <v>11.67</v>
      </c>
      <c r="BI11" s="25" t="n">
        <f aca="false">4*'Food Data'!$AJ$61-0.65*'Food Data'!$AH$61</f>
        <v>3.33</v>
      </c>
      <c r="BJ11" s="25" t="n">
        <f aca="false">4*'Food Data'!$AJ$62-0.65*'Food Data'!$AH$62</f>
        <v>5.56</v>
      </c>
      <c r="BK11" s="25" t="n">
        <f aca="false">4*'Food Data'!$AJ$63-0.65*'Food Data'!$AH$63</f>
        <v>7.08</v>
      </c>
      <c r="BL11" s="25" t="n">
        <f aca="false">4*'Food Data'!$AJ$64-0.65*'Food Data'!$AH$64</f>
        <v>11.36</v>
      </c>
      <c r="BM11" s="25" t="n">
        <f aca="false">4*'Food Data'!$AJ$65-0.65*'Food Data'!$AH$65</f>
        <v>2.11</v>
      </c>
      <c r="BN11" s="25" t="n">
        <f aca="false">4*'Food Data'!$AJ$66-0.65*'Food Data'!$AH$66</f>
        <v>-0.430000000000002</v>
      </c>
      <c r="BO11" s="25" t="n">
        <f aca="false">4*'Food Data'!$AJ$67-0.65*'Food Data'!$AH$67</f>
        <v>3.86</v>
      </c>
      <c r="BP11" s="25" t="n">
        <f aca="false">4*'Food Data'!$AJ$68-0.65*'Food Data'!$AH$68</f>
        <v>-465.81</v>
      </c>
      <c r="BQ11" s="25" t="n">
        <f aca="false">4*'Food Data'!$AJ$69-0.65*'Food Data'!$AH$69</f>
        <v>-574.6</v>
      </c>
      <c r="BR11" s="25" t="n">
        <f aca="false">4*'Food Data'!$AJ$70-0.65*'Food Data'!$AH$70</f>
        <v>-574.6</v>
      </c>
      <c r="BS11" s="25" t="n">
        <f aca="false">4*'Food Data'!$AJ$71-0.65*'Food Data'!$AH$71</f>
        <v>-290.15</v>
      </c>
      <c r="BT11" s="25" t="n">
        <f aca="false">4*'Food Data'!$AJ$72-0.65*'Food Data'!$AH$72</f>
        <v>-73.99</v>
      </c>
      <c r="BU11" s="25" t="n">
        <f aca="false">4*'Food Data'!$AJ$73-0.65*'Food Data'!$AH$73</f>
        <v>-58.36</v>
      </c>
      <c r="BV11" s="25" t="n">
        <f aca="false">4*'Food Data'!$AJ$74-0.65*'Food Data'!$AH$74</f>
        <v>9.10000000000002</v>
      </c>
      <c r="BW11" s="25" t="n">
        <f aca="false">4*'Food Data'!$AJ$75-0.65*'Food Data'!$AH$75</f>
        <v>-130.48</v>
      </c>
      <c r="BX11" s="25" t="n">
        <f aca="false">4*'Food Data'!$AJ$76-0.65*'Food Data'!$AH$76</f>
        <v>-40.15</v>
      </c>
    </row>
    <row r="12" customFormat="false" ht="15" hidden="false" customHeight="false" outlineLevel="0" collapsed="false">
      <c r="A12" s="4" t="s">
        <v>751</v>
      </c>
      <c r="B12" s="75" t="s">
        <v>746</v>
      </c>
      <c r="C12" s="78" t="n">
        <v>606</v>
      </c>
      <c r="F12" s="25" t="n">
        <f aca="false">'Food Data'!$AH$6*'Food Data'!$AB$6</f>
        <v>0</v>
      </c>
      <c r="G12" s="25" t="n">
        <f aca="false">'Food Data'!$AH$7*'Food Data'!$AB$7</f>
        <v>0</v>
      </c>
      <c r="H12" s="25" t="n">
        <f aca="false">'Food Data'!$AH$8*'Food Data'!$AB$8</f>
        <v>0</v>
      </c>
      <c r="I12" s="25" t="n">
        <f aca="false">'Food Data'!$AH$9*'Food Data'!$AB$9</f>
        <v>0</v>
      </c>
      <c r="J12" s="25" t="n">
        <f aca="false">'Food Data'!$AH$10*'Food Data'!$AB$10</f>
        <v>0</v>
      </c>
      <c r="K12" s="25" t="n">
        <f aca="false">'Food Data'!$AH$11*'Food Data'!$AB$11</f>
        <v>417</v>
      </c>
      <c r="L12" s="25" t="n">
        <f aca="false">'Food Data'!$AH$12*'Food Data'!$AB$12</f>
        <v>0</v>
      </c>
      <c r="M12" s="25" t="n">
        <f aca="false">'Food Data'!$AH$13*'Food Data'!$AB$13</f>
        <v>0</v>
      </c>
      <c r="N12" s="25" t="n">
        <f aca="false">'Food Data'!$AH$14*'Food Data'!$AB$14</f>
        <v>0</v>
      </c>
      <c r="O12" s="25" t="n">
        <f aca="false">'Food Data'!$AH$15*'Food Data'!$AB$15</f>
        <v>0</v>
      </c>
      <c r="P12" s="25" t="n">
        <f aca="false">'Food Data'!$AH$16*'Food Data'!$AB$16</f>
        <v>0</v>
      </c>
      <c r="Q12" s="25" t="n">
        <f aca="false">'Food Data'!$AH$17*'Food Data'!$AB$17</f>
        <v>0</v>
      </c>
      <c r="R12" s="25" t="n">
        <f aca="false">'Food Data'!$AH$18*'Food Data'!$AB$18</f>
        <v>0</v>
      </c>
      <c r="S12" s="25" t="n">
        <f aca="false">'Food Data'!$AH$19*'Food Data'!$AB$19</f>
        <v>0</v>
      </c>
      <c r="T12" s="25" t="n">
        <f aca="false">'Food Data'!$AH$20*'Food Data'!$AB$20</f>
        <v>0</v>
      </c>
      <c r="U12" s="25" t="n">
        <f aca="false">'Food Data'!$AH$21*'Food Data'!$AB$21</f>
        <v>143</v>
      </c>
      <c r="V12" s="25" t="n">
        <f aca="false">'Food Data'!$AH$22*'Food Data'!$AB$22</f>
        <v>0</v>
      </c>
      <c r="W12" s="25" t="n">
        <f aca="false">'Food Data'!$AH$23*'Food Data'!$AB$23</f>
        <v>0</v>
      </c>
      <c r="X12" s="25" t="n">
        <f aca="false">'Food Data'!$AH$24*'Food Data'!$AB$24</f>
        <v>0</v>
      </c>
      <c r="Y12" s="25" t="n">
        <f aca="false">'Food Data'!$AH$25*'Food Data'!$AB$25</f>
        <v>299</v>
      </c>
      <c r="Z12" s="25" t="n">
        <f aca="false">'Food Data'!$AH$26*'Food Data'!$AB$26</f>
        <v>0</v>
      </c>
      <c r="AA12" s="25" t="n">
        <f aca="false">'Food Data'!$AH$27*'Food Data'!$AB$27</f>
        <v>0</v>
      </c>
      <c r="AB12" s="25" t="n">
        <f aca="false">'Food Data'!$AH$28*'Food Data'!$AB$28</f>
        <v>25</v>
      </c>
      <c r="AC12" s="25" t="n">
        <f aca="false">'Food Data'!$AH$29*'Food Data'!$AB$29</f>
        <v>29.5</v>
      </c>
      <c r="AD12" s="25" t="n">
        <f aca="false">'Food Data'!$AH$30*'Food Data'!$AB$30</f>
        <v>21.5</v>
      </c>
      <c r="AE12" s="25" t="n">
        <f aca="false">'Food Data'!$AH$31*'Food Data'!$AB$31</f>
        <v>30.5</v>
      </c>
      <c r="AF12" s="25" t="n">
        <f aca="false">'Food Data'!$AH$32*'Food Data'!$AB$32</f>
        <v>0</v>
      </c>
      <c r="AG12" s="25" t="n">
        <f aca="false">'Food Data'!$AH$33*'Food Data'!$AB$33</f>
        <v>0</v>
      </c>
      <c r="AH12" s="25" t="n">
        <f aca="false">'Food Data'!$AH$34*'Food Data'!$AB$34</f>
        <v>0</v>
      </c>
      <c r="AI12" s="25" t="n">
        <f aca="false">'Food Data'!$AH$35*'Food Data'!$AB$35</f>
        <v>0</v>
      </c>
      <c r="AJ12" s="25" t="n">
        <f aca="false">'Food Data'!$AH$36*'Food Data'!$AB$36</f>
        <v>264</v>
      </c>
      <c r="AK12" s="25" t="n">
        <f aca="false">'Food Data'!$AH$37*'Food Data'!$AB$37</f>
        <v>0</v>
      </c>
      <c r="AL12" s="25" t="n">
        <f aca="false">'Food Data'!$AH$38*'Food Data'!$AB$38</f>
        <v>376</v>
      </c>
      <c r="AM12" s="25" t="n">
        <f aca="false">'Food Data'!$AH$39*'Food Data'!$AB$39</f>
        <v>0</v>
      </c>
      <c r="AN12" s="25" t="n">
        <f aca="false">'Food Data'!$AH$40*'Food Data'!$AB$40</f>
        <v>0</v>
      </c>
      <c r="AO12" s="25" t="n">
        <f aca="false">'Food Data'!$AH$41*'Food Data'!$AB$41</f>
        <v>0</v>
      </c>
      <c r="AP12" s="25" t="n">
        <f aca="false">'Food Data'!$AH$42*'Food Data'!$AB$42</f>
        <v>379</v>
      </c>
      <c r="AQ12" s="25" t="n">
        <f aca="false">'Food Data'!$AH$43*'Food Data'!$AB$43</f>
        <v>0</v>
      </c>
      <c r="AR12" s="25" t="n">
        <f aca="false">'Food Data'!$AH$44*'Food Data'!$AB$44</f>
        <v>133</v>
      </c>
      <c r="AS12" s="25" t="n">
        <f aca="false">'Food Data'!$AH$45*'Food Data'!$AB$45</f>
        <v>0</v>
      </c>
      <c r="AT12" s="25" t="n">
        <f aca="false">'Food Data'!$AH$46*'Food Data'!$AB$46</f>
        <v>126</v>
      </c>
      <c r="AU12" s="25" t="n">
        <f aca="false">'Food Data'!$AH$47*'Food Data'!$AB$47</f>
        <v>0</v>
      </c>
      <c r="AV12" s="25" t="n">
        <f aca="false">'Food Data'!$AH$48*'Food Data'!$AB$48</f>
        <v>0</v>
      </c>
      <c r="AW12" s="25" t="n">
        <f aca="false">'Food Data'!$AH$49*'Food Data'!$AB$49</f>
        <v>0</v>
      </c>
      <c r="AX12" s="25" t="n">
        <f aca="false">'Food Data'!$AH$50*'Food Data'!$AB$50</f>
        <v>0</v>
      </c>
      <c r="AY12" s="25" t="n">
        <f aca="false">'Food Data'!$AH$51*'Food Data'!$AB$51</f>
        <v>0</v>
      </c>
      <c r="AZ12" s="25" t="n">
        <f aca="false">'Food Data'!$AH$52*'Food Data'!$AB$52</f>
        <v>44.5</v>
      </c>
      <c r="BA12" s="25" t="n">
        <f aca="false">'Food Data'!$AH$53*'Food Data'!$AB$53</f>
        <v>51</v>
      </c>
      <c r="BB12" s="25" t="n">
        <f aca="false">'Food Data'!$AH$54*'Food Data'!$AB$54</f>
        <v>0</v>
      </c>
      <c r="BC12" s="25" t="n">
        <f aca="false">'Food Data'!$AH$55*'Food Data'!$AB$55</f>
        <v>49</v>
      </c>
      <c r="BD12" s="25" t="n">
        <f aca="false">'Food Data'!$AH$56*'Food Data'!$AB$56</f>
        <v>0</v>
      </c>
      <c r="BE12" s="25" t="n">
        <f aca="false">'Food Data'!$AH$57*'Food Data'!$AB$57</f>
        <v>0</v>
      </c>
      <c r="BF12" s="25" t="n">
        <f aca="false">'Food Data'!$AH$58*'Food Data'!$AB$58</f>
        <v>16</v>
      </c>
      <c r="BG12" s="25" t="n">
        <f aca="false">'Food Data'!$AH$59*'Food Data'!$AB$59</f>
        <v>0</v>
      </c>
      <c r="BH12" s="25" t="n">
        <f aca="false">'Food Data'!$AH$60*'Food Data'!$AB$60</f>
        <v>0</v>
      </c>
      <c r="BI12" s="25" t="n">
        <f aca="false">'Food Data'!$AH$61*'Food Data'!$AB$61</f>
        <v>0</v>
      </c>
      <c r="BJ12" s="25" t="n">
        <f aca="false">'Food Data'!$AH$62*'Food Data'!$AB$62</f>
        <v>0</v>
      </c>
      <c r="BK12" s="25" t="n">
        <f aca="false">'Food Data'!$AH$63*'Food Data'!$AB$63</f>
        <v>0</v>
      </c>
      <c r="BL12" s="25" t="n">
        <f aca="false">'Food Data'!$AH$64*'Food Data'!$AB$64</f>
        <v>0</v>
      </c>
      <c r="BM12" s="25" t="n">
        <f aca="false">'Food Data'!$AH$65*'Food Data'!$AB$65</f>
        <v>0</v>
      </c>
      <c r="BN12" s="25" t="n">
        <f aca="false">'Food Data'!$AH$66*'Food Data'!$AB$66</f>
        <v>0</v>
      </c>
      <c r="BO12" s="25" t="n">
        <f aca="false">'Food Data'!$AH$67*'Food Data'!$AB$67</f>
        <v>0</v>
      </c>
      <c r="BP12" s="25" t="n">
        <f aca="false">'Food Data'!$AH$68*'Food Data'!$AB$68</f>
        <v>358.5</v>
      </c>
      <c r="BQ12" s="25" t="n">
        <f aca="false">'Food Data'!$AH$69*'Food Data'!$AB$69</f>
        <v>0</v>
      </c>
      <c r="BR12" s="25" t="n">
        <f aca="false">'Food Data'!$AH$70*'Food Data'!$AB$70</f>
        <v>0</v>
      </c>
      <c r="BS12" s="25" t="n">
        <f aca="false">'Food Data'!$AH$71*'Food Data'!$AB$71</f>
        <v>0</v>
      </c>
      <c r="BT12" s="25" t="n">
        <f aca="false">'Food Data'!$AH$72*'Food Data'!$AB$72</f>
        <v>0</v>
      </c>
      <c r="BU12" s="25" t="n">
        <f aca="false">'Food Data'!$AH$73*'Food Data'!$AB$73</f>
        <v>0</v>
      </c>
      <c r="BV12" s="25" t="n">
        <f aca="false">'Food Data'!$AH$74*'Food Data'!$AB$74</f>
        <v>0</v>
      </c>
      <c r="BW12" s="25" t="n">
        <f aca="false">'Food Data'!$AH$75*'Food Data'!$AB$75</f>
        <v>0</v>
      </c>
      <c r="BX12" s="25" t="n">
        <f aca="false">'Food Data'!$AH$76*'Food Data'!$AB$76</f>
        <v>0</v>
      </c>
    </row>
    <row r="13" customFormat="false" ht="15" hidden="false" customHeight="false" outlineLevel="0" collapsed="false">
      <c r="A13" s="4" t="s">
        <v>752</v>
      </c>
      <c r="B13" s="75" t="s">
        <v>746</v>
      </c>
      <c r="C13" s="78" t="n">
        <v>2.5</v>
      </c>
      <c r="F13" s="25" t="n">
        <f aca="false">IF('Food Data'!$C$6="Vegetables",100/'Food Data'!$AF$6,0)</f>
        <v>0</v>
      </c>
      <c r="G13" s="25" t="n">
        <f aca="false">IF('Food Data'!$C$7="Vegetables",100/'Food Data'!$AF$7,0)</f>
        <v>0</v>
      </c>
      <c r="H13" s="25" t="n">
        <f aca="false">IF('Food Data'!$C$8="Vegetables",100/'Food Data'!$AF$8,0)</f>
        <v>0</v>
      </c>
      <c r="I13" s="25" t="n">
        <f aca="false">IF('Food Data'!$C$9="Vegetables",100/'Food Data'!$AF$9,0)</f>
        <v>0</v>
      </c>
      <c r="J13" s="25" t="n">
        <f aca="false">IF('Food Data'!$C$10="Vegetables",100/'Food Data'!$AF$10,0)</f>
        <v>0</v>
      </c>
      <c r="K13" s="25" t="n">
        <f aca="false">IF('Food Data'!$C$11="Vegetables",100/'Food Data'!$AF$11,0)</f>
        <v>0</v>
      </c>
      <c r="L13" s="25" t="n">
        <f aca="false">IF('Food Data'!$C$12="Vegetables",100/'Food Data'!$AF$12,0)</f>
        <v>0</v>
      </c>
      <c r="M13" s="25" t="n">
        <f aca="false">IF('Food Data'!$C$13="Vegetables",100/'Food Data'!$AF$13,0)</f>
        <v>0</v>
      </c>
      <c r="N13" s="25" t="n">
        <f aca="false">IF('Food Data'!$C$14="Vegetables",100/'Food Data'!$AF$14,0)</f>
        <v>0</v>
      </c>
      <c r="O13" s="25" t="n">
        <f aca="false">IF('Food Data'!$C$15="Vegetables",100/'Food Data'!$AF$15,0)</f>
        <v>0</v>
      </c>
      <c r="P13" s="25" t="n">
        <f aca="false">IF('Food Data'!$C$16="Vegetables",100/'Food Data'!$AF$16,0)</f>
        <v>0</v>
      </c>
      <c r="Q13" s="25" t="n">
        <f aca="false">IF('Food Data'!$C$17="Vegetables",100/'Food Data'!$AF$17,0)</f>
        <v>0</v>
      </c>
      <c r="R13" s="25" t="n">
        <f aca="false">IF('Food Data'!$C$18="Vegetables",100/'Food Data'!$AF$18,0)</f>
        <v>0</v>
      </c>
      <c r="S13" s="25" t="n">
        <f aca="false">IF('Food Data'!$C$19="Vegetables",100/'Food Data'!$AF$19,0)</f>
        <v>0</v>
      </c>
      <c r="T13" s="25" t="n">
        <f aca="false">IF('Food Data'!$C$20="Vegetables",100/'Food Data'!$AF$20,0)</f>
        <v>0</v>
      </c>
      <c r="U13" s="25" t="n">
        <f aca="false">IF('Food Data'!$C$21="Vegetables",100/'Food Data'!$AF$21,0)</f>
        <v>0</v>
      </c>
      <c r="V13" s="25" t="n">
        <f aca="false">IF('Food Data'!$C$22="Vegetables",100/'Food Data'!$AF$22,0)</f>
        <v>0</v>
      </c>
      <c r="W13" s="25" t="n">
        <f aca="false">IF('Food Data'!$C$23="Vegetables",100/'Food Data'!$AF$23,0)</f>
        <v>0</v>
      </c>
      <c r="X13" s="25" t="n">
        <f aca="false">IF('Food Data'!$C$24="Vegetables",100/'Food Data'!$AF$24,0)</f>
        <v>0</v>
      </c>
      <c r="Y13" s="25" t="n">
        <f aca="false">IF('Food Data'!$C$25="Vegetables",100/'Food Data'!$AF$25,0)</f>
        <v>0</v>
      </c>
      <c r="Z13" s="25" t="n">
        <f aca="false">IF('Food Data'!$C$26="Vegetables",100/'Food Data'!$AF$26,0)</f>
        <v>0</v>
      </c>
      <c r="AA13" s="25" t="n">
        <f aca="false">IF('Food Data'!$C$27="Vegetables",100/'Food Data'!$AF$27,0)</f>
        <v>0</v>
      </c>
      <c r="AB13" s="25" t="n">
        <f aca="false">IF('Food Data'!$C$28="Vegetables",100/'Food Data'!$AF$28,0)</f>
        <v>0</v>
      </c>
      <c r="AC13" s="25" t="n">
        <f aca="false">IF('Food Data'!$C$29="Vegetables",100/'Food Data'!$AF$29,0)</f>
        <v>0</v>
      </c>
      <c r="AD13" s="25" t="n">
        <f aca="false">IF('Food Data'!$C$30="Vegetables",100/'Food Data'!$AF$30,0)</f>
        <v>0</v>
      </c>
      <c r="AE13" s="25" t="n">
        <f aca="false">IF('Food Data'!$C$31="Vegetables",100/'Food Data'!$AF$31,0)</f>
        <v>0</v>
      </c>
      <c r="AF13" s="25" t="n">
        <f aca="false">IF('Food Data'!$C$32="Vegetables",100/'Food Data'!$AF$32,0)</f>
        <v>0</v>
      </c>
      <c r="AG13" s="25" t="n">
        <f aca="false">IF('Food Data'!$C$33="Vegetables",100/'Food Data'!$AF$33,0)</f>
        <v>0</v>
      </c>
      <c r="AH13" s="25" t="n">
        <f aca="false">IF('Food Data'!$C$34="Vegetables",100/'Food Data'!$AF$34,0)</f>
        <v>0</v>
      </c>
      <c r="AI13" s="25" t="n">
        <f aca="false">IF('Food Data'!$C$35="Vegetables",100/'Food Data'!$AF$35,0)</f>
        <v>0</v>
      </c>
      <c r="AJ13" s="25" t="n">
        <f aca="false">IF('Food Data'!$C$36="Vegetables",100/'Food Data'!$AF$36,0)</f>
        <v>0</v>
      </c>
      <c r="AK13" s="25" t="n">
        <f aca="false">IF('Food Data'!$C$37="Vegetables",100/'Food Data'!$AF$37,0)</f>
        <v>0</v>
      </c>
      <c r="AL13" s="25" t="n">
        <f aca="false">IF('Food Data'!$C$38="Vegetables",100/'Food Data'!$AF$38,0)</f>
        <v>0</v>
      </c>
      <c r="AM13" s="25" t="n">
        <f aca="false">IF('Food Data'!$C$39="Vegetables",100/'Food Data'!$AF$39,0)</f>
        <v>0</v>
      </c>
      <c r="AN13" s="25" t="n">
        <f aca="false">IF('Food Data'!$C$40="Vegetables",100/'Food Data'!$AF$40,0)</f>
        <v>0</v>
      </c>
      <c r="AO13" s="25" t="n">
        <f aca="false">IF('Food Data'!$C$41="Vegetables",100/'Food Data'!$AF$41,0)</f>
        <v>0</v>
      </c>
      <c r="AP13" s="25" t="n">
        <f aca="false">IF('Food Data'!$C$42="Vegetables",100/'Food Data'!$AF$42,0)</f>
        <v>0</v>
      </c>
      <c r="AQ13" s="25" t="n">
        <f aca="false">IF('Food Data'!$C$43="Vegetables",100/'Food Data'!$AF$43,0)</f>
        <v>0</v>
      </c>
      <c r="AR13" s="25" t="n">
        <f aca="false">IF('Food Data'!$C$44="Vegetables",100/'Food Data'!$AF$44,0)</f>
        <v>0</v>
      </c>
      <c r="AS13" s="25" t="n">
        <f aca="false">IF('Food Data'!$C$45="Vegetables",100/'Food Data'!$AF$45,0)</f>
        <v>0</v>
      </c>
      <c r="AT13" s="25" t="n">
        <f aca="false">IF('Food Data'!$C$46="Vegetables",100/'Food Data'!$AF$46,0)</f>
        <v>0</v>
      </c>
      <c r="AU13" s="25" t="n">
        <f aca="false">IF('Food Data'!$C$47="Vegetables",100/'Food Data'!$AF$47,0)</f>
        <v>0</v>
      </c>
      <c r="AV13" s="25" t="n">
        <f aca="false">IF('Food Data'!$C$48="Vegetables",100/'Food Data'!$AF$48,0)</f>
        <v>0</v>
      </c>
      <c r="AW13" s="25" t="n">
        <f aca="false">IF('Food Data'!$C$49="Vegetables",100/'Food Data'!$AF$49,0)</f>
        <v>0</v>
      </c>
      <c r="AX13" s="25" t="n">
        <f aca="false">IF('Food Data'!$C$50="Vegetables",100/'Food Data'!$AF$50,0)</f>
        <v>0</v>
      </c>
      <c r="AY13" s="25" t="n">
        <f aca="false">IF('Food Data'!$C$51="Vegetables",100/'Food Data'!$AF$51,0)</f>
        <v>0</v>
      </c>
      <c r="AZ13" s="25" t="n">
        <f aca="false">IF('Food Data'!$C$52="Vegetables",100/'Food Data'!$AF$52,0)</f>
        <v>0</v>
      </c>
      <c r="BA13" s="25" t="n">
        <f aca="false">IF('Food Data'!$C$53="Vegetables",100/'Food Data'!$AF$53,0)</f>
        <v>0</v>
      </c>
      <c r="BB13" s="25" t="n">
        <f aca="false">IF('Food Data'!$C$54="Vegetables",100/'Food Data'!$AF$54,0)</f>
        <v>0</v>
      </c>
      <c r="BC13" s="25" t="n">
        <f aca="false">IF('Food Data'!$C$55="Vegetables",100/'Food Data'!$AF$55,0)</f>
        <v>0</v>
      </c>
      <c r="BD13" s="25" t="n">
        <f aca="false">IF('Food Data'!$C$56="Vegetables",100/'Food Data'!$AF$56,0)</f>
        <v>0</v>
      </c>
      <c r="BE13" s="25" t="n">
        <f aca="false">IF('Food Data'!$C$57="Vegetables",100/'Food Data'!$AF$57,0)</f>
        <v>0</v>
      </c>
      <c r="BF13" s="25" t="n">
        <f aca="false">IF('Food Data'!$C$58="Vegetables",100/'Food Data'!$AF$58,0)</f>
        <v>0</v>
      </c>
      <c r="BG13" s="25" t="n">
        <f aca="false">IF('Food Data'!$C$59="Vegetables",100/'Food Data'!$AF$59,0)</f>
        <v>1.0989010989011</v>
      </c>
      <c r="BH13" s="25" t="n">
        <f aca="false">IF('Food Data'!$C$60="Vegetables",100/'Food Data'!$AF$60,0)</f>
        <v>0.78125</v>
      </c>
      <c r="BI13" s="25" t="n">
        <f aca="false">IF('Food Data'!$C$61="Vegetables",100/'Food Data'!$AF$61,0)</f>
        <v>0.425531914893617</v>
      </c>
      <c r="BJ13" s="25" t="n">
        <f aca="false">IF('Food Data'!$C$62="Vegetables",100/'Food Data'!$AF$62,0)</f>
        <v>0.671140939597316</v>
      </c>
      <c r="BK13" s="25" t="n">
        <f aca="false">IF('Food Data'!$C$63="Vegetables",100/'Food Data'!$AF$63,0)</f>
        <v>0.735294117647059</v>
      </c>
      <c r="BL13" s="25" t="n">
        <f aca="false">IF('Food Data'!$C$64="Vegetables",100/'Food Data'!$AF$64,0)</f>
        <v>0.625</v>
      </c>
      <c r="BM13" s="25" t="n">
        <f aca="false">IF('Food Data'!$C$65="Vegetables",100/'Food Data'!$AF$65,0)</f>
        <v>1.06382978723404</v>
      </c>
      <c r="BN13" s="25" t="n">
        <f aca="false">IF('Food Data'!$C$66="Vegetables",100/'Food Data'!$AF$66,0)</f>
        <v>1.66666666666667</v>
      </c>
      <c r="BO13" s="25" t="n">
        <f aca="false">IF('Food Data'!$C$67="Vegetables",100/'Food Data'!$AF$67,0)</f>
        <v>0.555555555555556</v>
      </c>
      <c r="BP13" s="25" t="n">
        <f aca="false">IF('Food Data'!$C$68="Vegetables",100/'Food Data'!$AF$68,0)</f>
        <v>0</v>
      </c>
      <c r="BQ13" s="25" t="n">
        <f aca="false">IF('Food Data'!$C$69="Vegetables",100/'Food Data'!$AF$69,0)</f>
        <v>0</v>
      </c>
      <c r="BR13" s="25" t="n">
        <f aca="false">IF('Food Data'!$C$70="Vegetables",100/'Food Data'!$AF$70,0)</f>
        <v>0</v>
      </c>
      <c r="BS13" s="25" t="n">
        <f aca="false">IF('Food Data'!$C$71="Vegetables",100/'Food Data'!$AF$71,0)</f>
        <v>0</v>
      </c>
      <c r="BT13" s="25" t="n">
        <f aca="false">IF('Food Data'!$C$72="Vegetables",100/'Food Data'!$AF$72,0)</f>
        <v>0</v>
      </c>
      <c r="BU13" s="25" t="n">
        <f aca="false">IF('Food Data'!$C$73="Vegetables",100/'Food Data'!$AF$73,0)</f>
        <v>0</v>
      </c>
      <c r="BV13" s="25" t="n">
        <f aca="false">IF('Food Data'!$C$74="Vegetables",100/'Food Data'!$AF$74,0)</f>
        <v>0</v>
      </c>
      <c r="BW13" s="25" t="n">
        <f aca="false">IF('Food Data'!$C$75="Vegetables",100/'Food Data'!$AF$75,0)</f>
        <v>0</v>
      </c>
      <c r="BX13" s="25" t="n">
        <f aca="false">IF('Food Data'!$C$76="Vegetables",100/'Food Data'!$AF$76,0)</f>
        <v>0</v>
      </c>
    </row>
    <row r="14" customFormat="false" ht="15" hidden="false" customHeight="false" outlineLevel="0" collapsed="false">
      <c r="A14" s="4" t="s">
        <v>753</v>
      </c>
      <c r="B14" s="75" t="s">
        <v>746</v>
      </c>
      <c r="C14" s="78" t="n">
        <v>2</v>
      </c>
      <c r="F14" s="25" t="n">
        <f aca="false">IF('Food Data'!$C$6="Fruit",100/'Food Data'!$AF$6,0)</f>
        <v>0</v>
      </c>
      <c r="G14" s="25" t="n">
        <f aca="false">IF('Food Data'!$C$7="Fruit",100/'Food Data'!$AF$7,0)</f>
        <v>0</v>
      </c>
      <c r="H14" s="25" t="n">
        <f aca="false">IF('Food Data'!$C$8="Fruit",100/'Food Data'!$AF$8,0)</f>
        <v>0</v>
      </c>
      <c r="I14" s="25" t="n">
        <f aca="false">IF('Food Data'!$C$9="Fruit",100/'Food Data'!$AF$9,0)</f>
        <v>0</v>
      </c>
      <c r="J14" s="25" t="n">
        <f aca="false">IF('Food Data'!$C$10="Fruit",100/'Food Data'!$AF$10,0)</f>
        <v>0</v>
      </c>
      <c r="K14" s="25" t="n">
        <f aca="false">IF('Food Data'!$C$11="Fruit",100/'Food Data'!$AF$11,0)</f>
        <v>0</v>
      </c>
      <c r="L14" s="25" t="n">
        <f aca="false">IF('Food Data'!$C$12="Fruit",100/'Food Data'!$AF$12,0)</f>
        <v>0</v>
      </c>
      <c r="M14" s="25" t="n">
        <f aca="false">IF('Food Data'!$C$13="Fruit",100/'Food Data'!$AF$13,0)</f>
        <v>0</v>
      </c>
      <c r="N14" s="25" t="n">
        <f aca="false">IF('Food Data'!$C$14="Fruit",100/'Food Data'!$AF$14,0)</f>
        <v>0</v>
      </c>
      <c r="O14" s="25" t="n">
        <f aca="false">IF('Food Data'!$C$15="Fruit",100/'Food Data'!$AF$15,0)</f>
        <v>0</v>
      </c>
      <c r="P14" s="25" t="n">
        <f aca="false">IF('Food Data'!$C$16="Fruit",100/'Food Data'!$AF$16,0)</f>
        <v>0</v>
      </c>
      <c r="Q14" s="25" t="n">
        <f aca="false">IF('Food Data'!$C$17="Fruit",100/'Food Data'!$AF$17,0)</f>
        <v>0</v>
      </c>
      <c r="R14" s="25" t="n">
        <f aca="false">IF('Food Data'!$C$18="Fruit",100/'Food Data'!$AF$18,0)</f>
        <v>0</v>
      </c>
      <c r="S14" s="25" t="n">
        <f aca="false">IF('Food Data'!$C$19="Fruit",100/'Food Data'!$AF$19,0)</f>
        <v>0</v>
      </c>
      <c r="T14" s="25" t="n">
        <f aca="false">IF('Food Data'!$C$20="Fruit",100/'Food Data'!$AF$20,0)</f>
        <v>0</v>
      </c>
      <c r="U14" s="25" t="n">
        <f aca="false">IF('Food Data'!$C$21="Fruit",100/'Food Data'!$AF$21,0)</f>
        <v>0</v>
      </c>
      <c r="V14" s="25" t="n">
        <f aca="false">IF('Food Data'!$C$22="Fruit",100/'Food Data'!$AF$22,0)</f>
        <v>0</v>
      </c>
      <c r="W14" s="25" t="n">
        <f aca="false">IF('Food Data'!$C$23="Fruit",100/'Food Data'!$AF$23,0)</f>
        <v>0</v>
      </c>
      <c r="X14" s="25" t="n">
        <f aca="false">IF('Food Data'!$C$24="Fruit",100/'Food Data'!$AF$24,0)</f>
        <v>0</v>
      </c>
      <c r="Y14" s="25" t="n">
        <f aca="false">IF('Food Data'!$C$25="Fruit",100/'Food Data'!$AF$25,0)</f>
        <v>0</v>
      </c>
      <c r="Z14" s="25" t="n">
        <f aca="false">IF('Food Data'!$C$26="Fruit",100/'Food Data'!$AF$26,0)</f>
        <v>0</v>
      </c>
      <c r="AA14" s="25" t="n">
        <f aca="false">IF('Food Data'!$C$27="Fruit",100/'Food Data'!$AF$27,0)</f>
        <v>0</v>
      </c>
      <c r="AB14" s="25" t="n">
        <f aca="false">IF('Food Data'!$C$28="Fruit",100/'Food Data'!$AF$28,0)</f>
        <v>0</v>
      </c>
      <c r="AC14" s="25" t="n">
        <f aca="false">IF('Food Data'!$C$29="Fruit",100/'Food Data'!$AF$29,0)</f>
        <v>0</v>
      </c>
      <c r="AD14" s="25" t="n">
        <f aca="false">IF('Food Data'!$C$30="Fruit",100/'Food Data'!$AF$30,0)</f>
        <v>0</v>
      </c>
      <c r="AE14" s="25" t="n">
        <f aca="false">IF('Food Data'!$C$31="Fruit",100/'Food Data'!$AF$31,0)</f>
        <v>0</v>
      </c>
      <c r="AF14" s="25" t="n">
        <f aca="false">IF('Food Data'!$C$32="Fruit",100/'Food Data'!$AF$32,0)</f>
        <v>0</v>
      </c>
      <c r="AG14" s="25" t="n">
        <f aca="false">IF('Food Data'!$C$33="Fruit",100/'Food Data'!$AF$33,0)</f>
        <v>0</v>
      </c>
      <c r="AH14" s="25" t="n">
        <f aca="false">IF('Food Data'!$C$34="Fruit",100/'Food Data'!$AF$34,0)</f>
        <v>0</v>
      </c>
      <c r="AI14" s="25" t="n">
        <f aca="false">IF('Food Data'!$C$35="Fruit",100/'Food Data'!$AF$35,0)</f>
        <v>0</v>
      </c>
      <c r="AJ14" s="25" t="n">
        <f aca="false">IF('Food Data'!$C$36="Fruit",100/'Food Data'!$AF$36,0)</f>
        <v>0</v>
      </c>
      <c r="AK14" s="25" t="n">
        <f aca="false">IF('Food Data'!$C$37="Fruit",100/'Food Data'!$AF$37,0)</f>
        <v>0</v>
      </c>
      <c r="AL14" s="25" t="n">
        <f aca="false">IF('Food Data'!$C$38="Fruit",100/'Food Data'!$AF$38,0)</f>
        <v>0</v>
      </c>
      <c r="AM14" s="25" t="n">
        <f aca="false">IF('Food Data'!$C$39="Fruit",100/'Food Data'!$AF$39,0)</f>
        <v>0</v>
      </c>
      <c r="AN14" s="25" t="n">
        <f aca="false">IF('Food Data'!$C$40="Fruit",100/'Food Data'!$AF$40,0)</f>
        <v>0</v>
      </c>
      <c r="AO14" s="25" t="n">
        <f aca="false">IF('Food Data'!$C$41="Fruit",100/'Food Data'!$AF$41,0)</f>
        <v>0</v>
      </c>
      <c r="AP14" s="25" t="n">
        <f aca="false">IF('Food Data'!$C$42="Fruit",100/'Food Data'!$AF$42,0)</f>
        <v>0</v>
      </c>
      <c r="AQ14" s="25" t="n">
        <f aca="false">IF('Food Data'!$C$43="Fruit",100/'Food Data'!$AF$43,0)</f>
        <v>0</v>
      </c>
      <c r="AR14" s="25" t="n">
        <f aca="false">IF('Food Data'!$C$44="Fruit",100/'Food Data'!$AF$44,0)</f>
        <v>0</v>
      </c>
      <c r="AS14" s="25" t="n">
        <f aca="false">IF('Food Data'!$C$45="Fruit",100/'Food Data'!$AF$45,0)</f>
        <v>0</v>
      </c>
      <c r="AT14" s="25" t="n">
        <f aca="false">IF('Food Data'!$C$46="Fruit",100/'Food Data'!$AF$46,0)</f>
        <v>0</v>
      </c>
      <c r="AU14" s="25" t="n">
        <f aca="false">IF('Food Data'!$C$47="Fruit",100/'Food Data'!$AF$47,0)</f>
        <v>0</v>
      </c>
      <c r="AV14" s="25" t="n">
        <f aca="false">IF('Food Data'!$C$48="Fruit",100/'Food Data'!$AF$48,0)</f>
        <v>0</v>
      </c>
      <c r="AW14" s="25" t="n">
        <f aca="false">IF('Food Data'!$C$49="Fruit",100/'Food Data'!$AF$49,0)</f>
        <v>0</v>
      </c>
      <c r="AX14" s="25" t="n">
        <f aca="false">IF('Food Data'!$C$50="Fruit",100/'Food Data'!$AF$50,0)</f>
        <v>0</v>
      </c>
      <c r="AY14" s="25" t="n">
        <f aca="false">IF('Food Data'!$C$51="Fruit",100/'Food Data'!$AF$51,0)</f>
        <v>0.8</v>
      </c>
      <c r="AZ14" s="25" t="n">
        <f aca="false">IF('Food Data'!$C$52="Fruit",100/'Food Data'!$AF$52,0)</f>
        <v>0.847457627118644</v>
      </c>
      <c r="BA14" s="25" t="n">
        <f aca="false">IF('Food Data'!$C$53="Fruit",100/'Food Data'!$AF$53,0)</f>
        <v>0.645161290322581</v>
      </c>
      <c r="BB14" s="25" t="n">
        <f aca="false">IF('Food Data'!$C$54="Fruit",100/'Food Data'!$AF$54,0)</f>
        <v>0.662251655629139</v>
      </c>
      <c r="BC14" s="25" t="n">
        <f aca="false">IF('Food Data'!$C$55="Fruit",100/'Food Data'!$AF$55,0)</f>
        <v>0.401606425702811</v>
      </c>
      <c r="BD14" s="25" t="n">
        <f aca="false">IF('Food Data'!$C$56="Fruit",100/'Food Data'!$AF$56,0)</f>
        <v>0.714285714285714</v>
      </c>
      <c r="BE14" s="25" t="n">
        <f aca="false">IF('Food Data'!$C$57="Fruit",100/'Food Data'!$AF$57,0)</f>
        <v>1.21951219512195</v>
      </c>
      <c r="BF14" s="25" t="n">
        <f aca="false">IF('Food Data'!$C$58="Fruit",100/'Food Data'!$AF$58,0)</f>
        <v>0.657894736842105</v>
      </c>
      <c r="BG14" s="25" t="n">
        <f aca="false">IF('Food Data'!$C$59="Fruit",100/'Food Data'!$AF$59,0)</f>
        <v>0</v>
      </c>
      <c r="BH14" s="25" t="n">
        <f aca="false">IF('Food Data'!$C$60="Fruit",100/'Food Data'!$AF$60,0)</f>
        <v>0</v>
      </c>
      <c r="BI14" s="25" t="n">
        <f aca="false">IF('Food Data'!$C$61="Fruit",100/'Food Data'!$AF$61,0)</f>
        <v>0</v>
      </c>
      <c r="BJ14" s="25" t="n">
        <f aca="false">IF('Food Data'!$C$62="Fruit",100/'Food Data'!$AF$62,0)</f>
        <v>0</v>
      </c>
      <c r="BK14" s="25" t="n">
        <f aca="false">IF('Food Data'!$C$63="Fruit",100/'Food Data'!$AF$63,0)</f>
        <v>0</v>
      </c>
      <c r="BL14" s="25" t="n">
        <f aca="false">IF('Food Data'!$C$64="Fruit",100/'Food Data'!$AF$64,0)</f>
        <v>0</v>
      </c>
      <c r="BM14" s="25" t="n">
        <f aca="false">IF('Food Data'!$C$65="Fruit",100/'Food Data'!$AF$65,0)</f>
        <v>0</v>
      </c>
      <c r="BN14" s="25" t="n">
        <f aca="false">IF('Food Data'!$C$66="Fruit",100/'Food Data'!$AF$66,0)</f>
        <v>0</v>
      </c>
      <c r="BO14" s="25" t="n">
        <f aca="false">IF('Food Data'!$C$67="Fruit",100/'Food Data'!$AF$67,0)</f>
        <v>0</v>
      </c>
      <c r="BP14" s="25" t="n">
        <f aca="false">IF('Food Data'!$C$68="Fruit",100/'Food Data'!$AF$68,0)</f>
        <v>0</v>
      </c>
      <c r="BQ14" s="25" t="n">
        <f aca="false">IF('Food Data'!$C$69="Fruit",100/'Food Data'!$AF$69,0)</f>
        <v>0</v>
      </c>
      <c r="BR14" s="25" t="n">
        <f aca="false">IF('Food Data'!$C$70="Fruit",100/'Food Data'!$AF$70,0)</f>
        <v>0</v>
      </c>
      <c r="BS14" s="25" t="n">
        <f aca="false">IF('Food Data'!$C$71="Fruit",100/'Food Data'!$AF$71,0)</f>
        <v>0</v>
      </c>
      <c r="BT14" s="25" t="n">
        <f aca="false">IF('Food Data'!$C$72="Fruit",100/'Food Data'!$AF$72,0)</f>
        <v>0</v>
      </c>
      <c r="BU14" s="25" t="n">
        <f aca="false">IF('Food Data'!$C$73="Fruit",100/'Food Data'!$AF$73,0)</f>
        <v>0</v>
      </c>
      <c r="BV14" s="25" t="n">
        <f aca="false">IF('Food Data'!$C$74="Fruit",100/'Food Data'!$AF$74,0)</f>
        <v>0</v>
      </c>
      <c r="BW14" s="25" t="n">
        <f aca="false">IF('Food Data'!$C$75="Fruit",100/'Food Data'!$AF$75,0)</f>
        <v>0</v>
      </c>
      <c r="BX14" s="25" t="n">
        <f aca="false">IF('Food Data'!$C$76="Fruit",100/'Food Data'!$AF$76,0)</f>
        <v>0</v>
      </c>
    </row>
    <row r="15" customFormat="false" ht="15" hidden="false" customHeight="false" outlineLevel="0" collapsed="false">
      <c r="A15" s="4" t="s">
        <v>754</v>
      </c>
      <c r="B15" s="75" t="s">
        <v>750</v>
      </c>
      <c r="C15" s="78" t="n">
        <v>3</v>
      </c>
      <c r="F15" s="25" t="n">
        <f aca="false">IF('Food Data'!$AG$6="Beans &amp; lentils",100/'Food Data'!$N$6,0)</f>
        <v>0</v>
      </c>
      <c r="G15" s="25" t="n">
        <f aca="false">IF('Food Data'!$AG$7="Beans &amp; lentils",100/'Food Data'!$N$7,0)</f>
        <v>0</v>
      </c>
      <c r="H15" s="25" t="n">
        <f aca="false">IF('Food Data'!$AG$8="Beans &amp; lentils",100/'Food Data'!$N$8,0)</f>
        <v>0</v>
      </c>
      <c r="I15" s="25" t="n">
        <f aca="false">IF('Food Data'!$AG$9="Beans &amp; lentils",100/'Food Data'!$N$9,0)</f>
        <v>0</v>
      </c>
      <c r="J15" s="25" t="n">
        <f aca="false">IF('Food Data'!$AG$10="Beans &amp; lentils",100/'Food Data'!$N$10,0)</f>
        <v>0</v>
      </c>
      <c r="K15" s="25" t="n">
        <f aca="false">IF('Food Data'!$AG$11="Beans &amp; lentils",100/'Food Data'!$N$11,0)</f>
        <v>0</v>
      </c>
      <c r="L15" s="25" t="n">
        <f aca="false">IF('Food Data'!$AG$12="Beans &amp; lentils",100/'Food Data'!$N$12,0)</f>
        <v>0</v>
      </c>
      <c r="M15" s="25" t="n">
        <f aca="false">IF('Food Data'!$AG$13="Beans &amp; lentils",100/'Food Data'!$N$13,0)</f>
        <v>0</v>
      </c>
      <c r="N15" s="25" t="n">
        <f aca="false">IF('Food Data'!$AG$14="Beans &amp; lentils",100/'Food Data'!$N$14,0)</f>
        <v>0</v>
      </c>
      <c r="O15" s="25" t="n">
        <f aca="false">IF('Food Data'!$AG$15="Beans &amp; lentils",100/'Food Data'!$N$15,0)</f>
        <v>0</v>
      </c>
      <c r="P15" s="25" t="n">
        <f aca="false">IF('Food Data'!$AG$16="Beans &amp; lentils",100/'Food Data'!$N$16,0)</f>
        <v>0</v>
      </c>
      <c r="Q15" s="25" t="n">
        <f aca="false">IF('Food Data'!$AG$17="Beans &amp; lentils",100/'Food Data'!$N$17,0)</f>
        <v>0</v>
      </c>
      <c r="R15" s="25" t="n">
        <f aca="false">IF('Food Data'!$AG$18="Beans &amp; lentils",100/'Food Data'!$N$18,0)</f>
        <v>0</v>
      </c>
      <c r="S15" s="25" t="n">
        <f aca="false">IF('Food Data'!$AG$19="Beans &amp; lentils",100/'Food Data'!$N$19,0)</f>
        <v>0</v>
      </c>
      <c r="T15" s="25" t="n">
        <f aca="false">IF('Food Data'!$AG$20="Beans &amp; lentils",100/'Food Data'!$N$20,0)</f>
        <v>0</v>
      </c>
      <c r="U15" s="25" t="n">
        <f aca="false">IF('Food Data'!$AG$21="Beans &amp; lentils",100/'Food Data'!$N$21,0)</f>
        <v>0</v>
      </c>
      <c r="V15" s="25" t="n">
        <f aca="false">IF('Food Data'!$AG$22="Beans &amp; lentils",100/'Food Data'!$N$22,0)</f>
        <v>0.833333333333333</v>
      </c>
      <c r="W15" s="25" t="n">
        <f aca="false">IF('Food Data'!$AG$23="Beans &amp; lentils",100/'Food Data'!$N$23,0)</f>
        <v>0.833333333333333</v>
      </c>
      <c r="X15" s="25" t="n">
        <f aca="false">IF('Food Data'!$AG$24="Beans &amp; lentils",100/'Food Data'!$N$24,0)</f>
        <v>2.08333333333333</v>
      </c>
      <c r="Y15" s="25" t="n">
        <f aca="false">IF('Food Data'!$AG$25="Beans &amp; lentils",100/'Food Data'!$N$25,0)</f>
        <v>0</v>
      </c>
      <c r="Z15" s="25" t="n">
        <f aca="false">IF('Food Data'!$AG$26="Beans &amp; lentils",100/'Food Data'!$N$26,0)</f>
        <v>2.08333333333333</v>
      </c>
      <c r="AA15" s="25" t="n">
        <f aca="false">IF('Food Data'!$AG$27="Beans &amp; lentils",100/'Food Data'!$N$27,0)</f>
        <v>0</v>
      </c>
      <c r="AB15" s="25" t="n">
        <f aca="false">IF('Food Data'!$AG$28="Beans &amp; lentils",100/'Food Data'!$N$28,0)</f>
        <v>0</v>
      </c>
      <c r="AC15" s="25" t="n">
        <f aca="false">IF('Food Data'!$AG$29="Beans &amp; lentils",100/'Food Data'!$N$29,0)</f>
        <v>0</v>
      </c>
      <c r="AD15" s="25" t="n">
        <f aca="false">IF('Food Data'!$AG$30="Beans &amp; lentils",100/'Food Data'!$N$30,0)</f>
        <v>0</v>
      </c>
      <c r="AE15" s="25" t="n">
        <f aca="false">IF('Food Data'!$AG$31="Beans &amp; lentils",100/'Food Data'!$N$31,0)</f>
        <v>0</v>
      </c>
      <c r="AF15" s="25" t="n">
        <f aca="false">IF('Food Data'!$AG$32="Beans &amp; lentils",100/'Food Data'!$N$32,0)</f>
        <v>0</v>
      </c>
      <c r="AG15" s="25" t="n">
        <f aca="false">IF('Food Data'!$AG$33="Beans &amp; lentils",100/'Food Data'!$N$33,0)</f>
        <v>0</v>
      </c>
      <c r="AH15" s="25" t="n">
        <f aca="false">IF('Food Data'!$AG$34="Beans &amp; lentils",100/'Food Data'!$N$34,0)</f>
        <v>0</v>
      </c>
      <c r="AI15" s="25" t="n">
        <f aca="false">IF('Food Data'!$AG$35="Beans &amp; lentils",100/'Food Data'!$N$35,0)</f>
        <v>0</v>
      </c>
      <c r="AJ15" s="25" t="n">
        <f aca="false">IF('Food Data'!$AG$36="Beans &amp; lentils",100/'Food Data'!$N$36,0)</f>
        <v>0</v>
      </c>
      <c r="AK15" s="25" t="n">
        <f aca="false">IF('Food Data'!$AG$37="Beans &amp; lentils",100/'Food Data'!$N$37,0)</f>
        <v>0</v>
      </c>
      <c r="AL15" s="25" t="n">
        <f aca="false">IF('Food Data'!$AG$38="Beans &amp; lentils",100/'Food Data'!$N$38,0)</f>
        <v>0</v>
      </c>
      <c r="AM15" s="25" t="n">
        <f aca="false">IF('Food Data'!$AG$39="Beans &amp; lentils",100/'Food Data'!$N$39,0)</f>
        <v>0</v>
      </c>
      <c r="AN15" s="25" t="n">
        <f aca="false">IF('Food Data'!$AG$40="Beans &amp; lentils",100/'Food Data'!$N$40,0)</f>
        <v>0</v>
      </c>
      <c r="AO15" s="25" t="n">
        <f aca="false">IF('Food Data'!$AG$41="Beans &amp; lentils",100/'Food Data'!$N$41,0)</f>
        <v>0</v>
      </c>
      <c r="AP15" s="25" t="n">
        <f aca="false">IF('Food Data'!$AG$42="Beans &amp; lentils",100/'Food Data'!$N$42,0)</f>
        <v>0</v>
      </c>
      <c r="AQ15" s="25" t="n">
        <f aca="false">IF('Food Data'!$AG$43="Beans &amp; lentils",100/'Food Data'!$N$43,0)</f>
        <v>0</v>
      </c>
      <c r="AR15" s="25" t="n">
        <f aca="false">IF('Food Data'!$AG$44="Beans &amp; lentils",100/'Food Data'!$N$44,0)</f>
        <v>0</v>
      </c>
      <c r="AS15" s="25" t="n">
        <f aca="false">IF('Food Data'!$AG$45="Beans &amp; lentils",100/'Food Data'!$N$45,0)</f>
        <v>0</v>
      </c>
      <c r="AT15" s="25" t="n">
        <f aca="false">IF('Food Data'!$AG$46="Beans &amp; lentils",100/'Food Data'!$N$46,0)</f>
        <v>0</v>
      </c>
      <c r="AU15" s="25" t="n">
        <f aca="false">IF('Food Data'!$AG$47="Beans &amp; lentils",100/'Food Data'!$N$47,0)</f>
        <v>0</v>
      </c>
      <c r="AV15" s="25" t="n">
        <f aca="false">IF('Food Data'!$AG$48="Beans &amp; lentils",100/'Food Data'!$N$48,0)</f>
        <v>0</v>
      </c>
      <c r="AW15" s="25" t="n">
        <f aca="false">IF('Food Data'!$AG$49="Beans &amp; lentils",100/'Food Data'!$N$49,0)</f>
        <v>0</v>
      </c>
      <c r="AX15" s="25" t="n">
        <f aca="false">IF('Food Data'!$AG$50="Beans &amp; lentils",100/'Food Data'!$N$50,0)</f>
        <v>0</v>
      </c>
      <c r="AY15" s="25" t="n">
        <f aca="false">IF('Food Data'!$AG$51="Beans &amp; lentils",100/'Food Data'!$N$51,0)</f>
        <v>0</v>
      </c>
      <c r="AZ15" s="25" t="n">
        <f aca="false">IF('Food Data'!$AG$52="Beans &amp; lentils",100/'Food Data'!$N$52,0)</f>
        <v>0</v>
      </c>
      <c r="BA15" s="25" t="n">
        <f aca="false">IF('Food Data'!$AG$53="Beans &amp; lentils",100/'Food Data'!$N$53,0)</f>
        <v>0</v>
      </c>
      <c r="BB15" s="25" t="n">
        <f aca="false">IF('Food Data'!$AG$54="Beans &amp; lentils",100/'Food Data'!$N$54,0)</f>
        <v>0</v>
      </c>
      <c r="BC15" s="25" t="n">
        <f aca="false">IF('Food Data'!$AG$55="Beans &amp; lentils",100/'Food Data'!$N$55,0)</f>
        <v>0</v>
      </c>
      <c r="BD15" s="25" t="n">
        <f aca="false">IF('Food Data'!$AG$56="Beans &amp; lentils",100/'Food Data'!$N$56,0)</f>
        <v>0</v>
      </c>
      <c r="BE15" s="25" t="n">
        <f aca="false">IF('Food Data'!$AG$57="Beans &amp; lentils",100/'Food Data'!$N$57,0)</f>
        <v>0</v>
      </c>
      <c r="BF15" s="25" t="n">
        <f aca="false">IF('Food Data'!$AG$58="Beans &amp; lentils",100/'Food Data'!$N$58,0)</f>
        <v>0</v>
      </c>
      <c r="BG15" s="25" t="n">
        <f aca="false">IF('Food Data'!$AG$59="Beans &amp; lentils",100/'Food Data'!$N$59,0)</f>
        <v>0</v>
      </c>
      <c r="BH15" s="25" t="n">
        <f aca="false">IF('Food Data'!$AG$60="Beans &amp; lentils",100/'Food Data'!$N$60,0)</f>
        <v>0</v>
      </c>
      <c r="BI15" s="25" t="n">
        <f aca="false">IF('Food Data'!$AG$61="Beans &amp; lentils",100/'Food Data'!$N$61,0)</f>
        <v>0</v>
      </c>
      <c r="BJ15" s="25" t="n">
        <f aca="false">IF('Food Data'!$AG$62="Beans &amp; lentils",100/'Food Data'!$N$62,0)</f>
        <v>0</v>
      </c>
      <c r="BK15" s="25" t="n">
        <f aca="false">IF('Food Data'!$AG$63="Beans &amp; lentils",100/'Food Data'!$N$63,0)</f>
        <v>0</v>
      </c>
      <c r="BL15" s="25" t="n">
        <f aca="false">IF('Food Data'!$AG$64="Beans &amp; lentils",100/'Food Data'!$N$64,0)</f>
        <v>0</v>
      </c>
      <c r="BM15" s="25" t="n">
        <f aca="false">IF('Food Data'!$AG$65="Beans &amp; lentils",100/'Food Data'!$N$65,0)</f>
        <v>0</v>
      </c>
      <c r="BN15" s="25" t="n">
        <f aca="false">IF('Food Data'!$AG$66="Beans &amp; lentils",100/'Food Data'!$N$66,0)</f>
        <v>0</v>
      </c>
      <c r="BO15" s="25" t="n">
        <f aca="false">IF('Food Data'!$AG$67="Beans &amp; lentils",100/'Food Data'!$N$67,0)</f>
        <v>0</v>
      </c>
      <c r="BP15" s="25" t="n">
        <f aca="false">IF('Food Data'!$AG$68="Beans &amp; lentils",100/'Food Data'!$N$68,0)</f>
        <v>0</v>
      </c>
      <c r="BQ15" s="25" t="n">
        <f aca="false">IF('Food Data'!$AG$69="Beans &amp; lentils",100/'Food Data'!$N$69,0)</f>
        <v>0</v>
      </c>
      <c r="BR15" s="25" t="n">
        <f aca="false">IF('Food Data'!$AG$70="Beans &amp; lentils",100/'Food Data'!$N$70,0)</f>
        <v>0</v>
      </c>
      <c r="BS15" s="25" t="n">
        <f aca="false">IF('Food Data'!$AG$71="Beans &amp; lentils",100/'Food Data'!$N$71,0)</f>
        <v>0</v>
      </c>
      <c r="BT15" s="25" t="n">
        <f aca="false">IF('Food Data'!$AG$72="Beans &amp; lentils",100/'Food Data'!$N$72,0)</f>
        <v>0</v>
      </c>
      <c r="BU15" s="25" t="n">
        <f aca="false">IF('Food Data'!$AG$73="Beans &amp; lentils",100/'Food Data'!$N$73,0)</f>
        <v>0</v>
      </c>
      <c r="BV15" s="25" t="n">
        <f aca="false">IF('Food Data'!$AG$74="Beans &amp; lentils",100/'Food Data'!$N$74,0)</f>
        <v>0</v>
      </c>
      <c r="BW15" s="25" t="n">
        <f aca="false">IF('Food Data'!$AG$75="Beans &amp; lentils",100/'Food Data'!$N$75,0)</f>
        <v>0</v>
      </c>
      <c r="BX15" s="25" t="n">
        <f aca="false">IF('Food Data'!$AG$76="Beans &amp; lentils",100/'Food Data'!$N$76,0)</f>
        <v>0</v>
      </c>
    </row>
    <row r="17" customFormat="false" ht="15" hidden="false" customHeight="false" outlineLevel="0" collapsed="false">
      <c r="A17" s="62" t="s">
        <v>755</v>
      </c>
      <c r="F17" s="88" t="n">
        <f aca="false">'Food Data'!I6</f>
        <v>0.72310405643739</v>
      </c>
      <c r="G17" s="88" t="n">
        <f aca="false">'Food Data'!I7</f>
        <v>0.397318960751797</v>
      </c>
      <c r="H17" s="88" t="n">
        <f aca="false">'Food Data'!I8</f>
        <v>0.725308641975309</v>
      </c>
      <c r="I17" s="88" t="n">
        <f aca="false">'Food Data'!I9</f>
        <v>1.31613756613757</v>
      </c>
      <c r="J17" s="88" t="n">
        <f aca="false">'Food Data'!I10</f>
        <v>1.22574955908289</v>
      </c>
      <c r="K17" s="88" t="n">
        <f aca="false">'Food Data'!I11</f>
        <v>0.934744268077602</v>
      </c>
      <c r="L17" s="88" t="n">
        <f aca="false">'Food Data'!I12</f>
        <v>1.41754850088183</v>
      </c>
      <c r="M17" s="88" t="n">
        <f aca="false">'Food Data'!I13</f>
        <v>1.73500881834215</v>
      </c>
      <c r="N17" s="88" t="n">
        <f aca="false">'Food Data'!I14</f>
        <v>1.09567901234568</v>
      </c>
      <c r="O17" s="88" t="n">
        <f aca="false">'Food Data'!I15</f>
        <v>0.919312169312169</v>
      </c>
      <c r="P17" s="88" t="n">
        <f aca="false">'Food Data'!I16</f>
        <v>2.94096256295569</v>
      </c>
      <c r="Q17" s="88" t="n">
        <f aca="false">'Food Data'!I17</f>
        <v>0.857579303752803</v>
      </c>
      <c r="R17" s="88" t="n">
        <f aca="false">'Food Data'!I18</f>
        <v>2.418430335097</v>
      </c>
      <c r="S17" s="88" t="n">
        <f aca="false">'Food Data'!I19</f>
        <v>1.75925925925926</v>
      </c>
      <c r="T17" s="88" t="n">
        <f aca="false">'Food Data'!I20</f>
        <v>0.977733686067019</v>
      </c>
      <c r="U17" s="88" t="n">
        <f aca="false">'Food Data'!I21</f>
        <v>0.278340755753487</v>
      </c>
      <c r="V17" s="88" t="n">
        <f aca="false">'Food Data'!I22</f>
        <v>0.216368767638758</v>
      </c>
      <c r="W17" s="88" t="n">
        <f aca="false">'Food Data'!I23</f>
        <v>0.209376422394174</v>
      </c>
      <c r="X17" s="88" t="n">
        <f aca="false">'Food Data'!I24</f>
        <v>0.423280423280423</v>
      </c>
      <c r="Y17" s="88" t="n">
        <f aca="false">'Food Data'!I25</f>
        <v>0.350970017636684</v>
      </c>
      <c r="Z17" s="88" t="n">
        <f aca="false">'Food Data'!I26</f>
        <v>0.218253968253968</v>
      </c>
      <c r="AA17" s="88" t="n">
        <f aca="false">'Food Data'!I27</f>
        <v>0.748299319727891</v>
      </c>
      <c r="AB17" s="88" t="n">
        <f aca="false">'Food Data'!I28</f>
        <v>0.0847848360655738</v>
      </c>
      <c r="AC17" s="88" t="n">
        <f aca="false">'Food Data'!I29</f>
        <v>0.361552028218695</v>
      </c>
      <c r="AD17" s="88" t="n">
        <f aca="false">'Food Data'!I30</f>
        <v>0.235082304526749</v>
      </c>
      <c r="AE17" s="88" t="n">
        <f aca="false">'Food Data'!I31</f>
        <v>0.0891393442622951</v>
      </c>
      <c r="AF17" s="88" t="n">
        <f aca="false">'Food Data'!I32</f>
        <v>0.54673721340388</v>
      </c>
      <c r="AG17" s="88" t="n">
        <f aca="false">'Food Data'!I33</f>
        <v>0.824514991181658</v>
      </c>
      <c r="AH17" s="88" t="n">
        <f aca="false">'Food Data'!I34</f>
        <v>0.421810699588477</v>
      </c>
      <c r="AI17" s="88" t="n">
        <f aca="false">'Food Data'!I35</f>
        <v>0.96413874191652</v>
      </c>
      <c r="AJ17" s="88" t="n">
        <f aca="false">'Food Data'!I36</f>
        <v>0.377425044091711</v>
      </c>
      <c r="AK17" s="88" t="n">
        <f aca="false">'Food Data'!I37</f>
        <v>0.189594356261023</v>
      </c>
      <c r="AL17" s="88" t="n">
        <f aca="false">'Food Data'!I38</f>
        <v>0.973936899862826</v>
      </c>
      <c r="AM17" s="88" t="n">
        <f aca="false">'Food Data'!I39</f>
        <v>0.313527180783818</v>
      </c>
      <c r="AN17" s="88" t="n">
        <f aca="false">'Food Data'!I40</f>
        <v>0.436507936507937</v>
      </c>
      <c r="AO17" s="88" t="n">
        <f aca="false">'Food Data'!I41</f>
        <v>0.758377425044092</v>
      </c>
      <c r="AP17" s="88" t="n">
        <f aca="false">'Food Data'!I42</f>
        <v>0.36785084404132</v>
      </c>
      <c r="AQ17" s="88" t="n">
        <f aca="false">'Food Data'!I43</f>
        <v>0.299823633156967</v>
      </c>
      <c r="AR17" s="88" t="n">
        <f aca="false">'Food Data'!I44</f>
        <v>0.268077601410935</v>
      </c>
      <c r="AS17" s="88" t="n">
        <f aca="false">'Food Data'!I45</f>
        <v>0.109347442680776</v>
      </c>
      <c r="AT17" s="88" t="n">
        <f aca="false">'Food Data'!I46</f>
        <v>0.35626102292769</v>
      </c>
      <c r="AU17" s="88" t="n">
        <f aca="false">'Food Data'!I47</f>
        <v>0.383597883597884</v>
      </c>
      <c r="AV17" s="88" t="n">
        <f aca="false">'Food Data'!I48</f>
        <v>0.288065843621399</v>
      </c>
      <c r="AW17" s="88" t="n">
        <f aca="false">'Food Data'!I49</f>
        <v>0.285714285714286</v>
      </c>
      <c r="AX17" s="88" t="n">
        <f aca="false">'Food Data'!I50</f>
        <v>0.369472205891959</v>
      </c>
      <c r="AY17" s="88" t="n">
        <f aca="false">'Food Data'!I51</f>
        <v>0.320073159579332</v>
      </c>
      <c r="AZ17" s="88" t="n">
        <f aca="false">'Food Data'!I52</f>
        <v>0.172233245149912</v>
      </c>
      <c r="BA17" s="88" t="n">
        <f aca="false">'Food Data'!I53</f>
        <v>0.585684891240447</v>
      </c>
      <c r="BB17" s="88" t="n">
        <f aca="false">'Food Data'!I54</f>
        <v>0.429434891240447</v>
      </c>
      <c r="BC17" s="88" t="n">
        <f aca="false">'Food Data'!I55</f>
        <v>0.244670991658943</v>
      </c>
      <c r="BD17" s="88" t="n">
        <f aca="false">'Food Data'!I56</f>
        <v>0.483874105197635</v>
      </c>
      <c r="BE17" s="88" t="n">
        <f aca="false">'Food Data'!I57</f>
        <v>0.772486772486772</v>
      </c>
      <c r="BF17" s="88" t="n">
        <f aca="false">'Food Data'!I58</f>
        <v>0.696555217831814</v>
      </c>
      <c r="BG17" s="88" t="n">
        <f aca="false">'Food Data'!I59</f>
        <v>0.340975896531452</v>
      </c>
      <c r="BH17" s="88" t="n">
        <f aca="false">'Food Data'!I60</f>
        <v>0.279908051443632</v>
      </c>
      <c r="BI17" s="88" t="n">
        <f aca="false">'Food Data'!I61</f>
        <v>0.204329846752615</v>
      </c>
      <c r="BJ17" s="88" t="n">
        <f aca="false">'Food Data'!I62</f>
        <v>0.723296888141295</v>
      </c>
      <c r="BK17" s="88" t="n">
        <f aca="false">'Food Data'!I63</f>
        <v>0.284391534391534</v>
      </c>
      <c r="BL17" s="88" t="n">
        <f aca="false">'Food Data'!I64</f>
        <v>0.241687896008884</v>
      </c>
      <c r="BM17" s="88" t="n">
        <f aca="false">'Food Data'!I65</f>
        <v>0.776764606551841</v>
      </c>
      <c r="BN17" s="88" t="n">
        <f aca="false">'Food Data'!I66</f>
        <v>0.694885361552028</v>
      </c>
      <c r="BO17" s="88" t="n">
        <f aca="false">'Food Data'!I67</f>
        <v>0.205922824970444</v>
      </c>
      <c r="BP17" s="88" t="n">
        <f aca="false">'Food Data'!I68</f>
        <v>0.656966490299824</v>
      </c>
      <c r="BQ17" s="88" t="n">
        <f aca="false">'Food Data'!I69</f>
        <v>0.311926605504587</v>
      </c>
      <c r="BR17" s="88" t="n">
        <f aca="false">'Food Data'!I70</f>
        <v>1.29774872912128</v>
      </c>
      <c r="BS17" s="88" t="n">
        <f aca="false">'Food Data'!I71</f>
        <v>2.08994708994709</v>
      </c>
      <c r="BT17" s="88" t="n">
        <f aca="false">'Food Data'!I72</f>
        <v>0.639658848614072</v>
      </c>
      <c r="BU17" s="88" t="n">
        <f aca="false">'Food Data'!I73</f>
        <v>0.819538670284939</v>
      </c>
      <c r="BV17" s="88" t="n">
        <f aca="false">'Food Data'!I74</f>
        <v>0.957580848383032</v>
      </c>
      <c r="BW17" s="88" t="n">
        <f aca="false">'Food Data'!I75</f>
        <v>0.824514991181658</v>
      </c>
      <c r="BX17" s="88" t="n">
        <f aca="false">'Food Data'!I76</f>
        <v>0.393939393939394</v>
      </c>
    </row>
    <row r="18" customFormat="false" ht="15" hidden="false" customHeight="false" outlineLevel="0" collapsed="false">
      <c r="A18" s="62" t="s">
        <v>756</v>
      </c>
      <c r="F18" s="88" t="n">
        <f aca="false">'Diet Comparison'!C6</f>
        <v>0</v>
      </c>
      <c r="G18" s="88" t="n">
        <f aca="false">'Diet Comparison'!C7</f>
        <v>0</v>
      </c>
      <c r="H18" s="88" t="n">
        <f aca="false">'Diet Comparison'!C8</f>
        <v>0</v>
      </c>
      <c r="I18" s="88" t="n">
        <f aca="false">'Diet Comparison'!C9</f>
        <v>0</v>
      </c>
      <c r="J18" s="88" t="n">
        <f aca="false">'Diet Comparison'!C10</f>
        <v>0</v>
      </c>
      <c r="K18" s="88" t="n">
        <f aca="false">'Diet Comparison'!C11</f>
        <v>0</v>
      </c>
      <c r="L18" s="88" t="n">
        <f aca="false">'Diet Comparison'!C12</f>
        <v>0</v>
      </c>
      <c r="M18" s="88" t="n">
        <f aca="false">'Diet Comparison'!C13</f>
        <v>0</v>
      </c>
      <c r="N18" s="88" t="n">
        <f aca="false">'Diet Comparison'!C14</f>
        <v>0</v>
      </c>
      <c r="O18" s="88" t="n">
        <f aca="false">'Diet Comparison'!C15</f>
        <v>0</v>
      </c>
      <c r="P18" s="88" t="n">
        <f aca="false">'Diet Comparison'!C16</f>
        <v>0</v>
      </c>
      <c r="Q18" s="88" t="n">
        <f aca="false">'Diet Comparison'!C17</f>
        <v>0</v>
      </c>
      <c r="R18" s="88" t="n">
        <f aca="false">'Diet Comparison'!C18</f>
        <v>0</v>
      </c>
      <c r="S18" s="88" t="n">
        <f aca="false">'Diet Comparison'!C19</f>
        <v>0</v>
      </c>
      <c r="T18" s="88" t="n">
        <f aca="false">'Diet Comparison'!C20</f>
        <v>0</v>
      </c>
      <c r="U18" s="88" t="n">
        <f aca="false">'Diet Comparison'!C21</f>
        <v>1.263755108</v>
      </c>
      <c r="V18" s="88" t="n">
        <f aca="false">'Diet Comparison'!C22</f>
        <v>0</v>
      </c>
      <c r="W18" s="88" t="n">
        <f aca="false">'Diet Comparison'!C23</f>
        <v>0</v>
      </c>
      <c r="X18" s="88" t="n">
        <f aca="false">'Diet Comparison'!C24</f>
        <v>0</v>
      </c>
      <c r="Y18" s="88" t="n">
        <f aca="false">'Diet Comparison'!C25</f>
        <v>0.64</v>
      </c>
      <c r="Z18" s="88" t="n">
        <f aca="false">'Diet Comparison'!C26</f>
        <v>1.44</v>
      </c>
      <c r="AA18" s="88" t="n">
        <f aca="false">'Diet Comparison'!C27</f>
        <v>0</v>
      </c>
      <c r="AB18" s="88" t="n">
        <f aca="false">'Diet Comparison'!C28</f>
        <v>4.702468822</v>
      </c>
      <c r="AC18" s="88" t="n">
        <f aca="false">'Diet Comparison'!C29</f>
        <v>0</v>
      </c>
      <c r="AD18" s="88" t="n">
        <f aca="false">'Diet Comparison'!C30</f>
        <v>0</v>
      </c>
      <c r="AE18" s="88" t="n">
        <f aca="false">'Diet Comparison'!C31</f>
        <v>0</v>
      </c>
      <c r="AF18" s="88" t="n">
        <f aca="false">'Diet Comparison'!C32</f>
        <v>0</v>
      </c>
      <c r="AG18" s="88" t="n">
        <f aca="false">'Diet Comparison'!C33</f>
        <v>0</v>
      </c>
      <c r="AH18" s="88" t="n">
        <f aca="false">'Diet Comparison'!C34</f>
        <v>0</v>
      </c>
      <c r="AI18" s="88" t="n">
        <f aca="false">'Diet Comparison'!C35</f>
        <v>0</v>
      </c>
      <c r="AJ18" s="88" t="n">
        <f aca="false">'Diet Comparison'!C36</f>
        <v>0</v>
      </c>
      <c r="AK18" s="88" t="n">
        <f aca="false">'Diet Comparison'!C37</f>
        <v>1.562933795</v>
      </c>
      <c r="AL18" s="88" t="n">
        <f aca="false">'Diet Comparison'!C38</f>
        <v>0</v>
      </c>
      <c r="AM18" s="88" t="n">
        <f aca="false">'Diet Comparison'!C39</f>
        <v>0</v>
      </c>
      <c r="AN18" s="88" t="n">
        <f aca="false">'Diet Comparison'!C40</f>
        <v>0</v>
      </c>
      <c r="AO18" s="88" t="n">
        <f aca="false">'Diet Comparison'!C41</f>
        <v>0</v>
      </c>
      <c r="AP18" s="88" t="n">
        <f aca="false">'Diet Comparison'!C42</f>
        <v>0.029924272</v>
      </c>
      <c r="AQ18" s="88" t="n">
        <f aca="false">'Diet Comparison'!C43</f>
        <v>0</v>
      </c>
      <c r="AR18" s="88" t="n">
        <f aca="false">'Diet Comparison'!C44</f>
        <v>0</v>
      </c>
      <c r="AS18" s="88" t="n">
        <f aca="false">'Diet Comparison'!C45</f>
        <v>1.84</v>
      </c>
      <c r="AT18" s="88" t="n">
        <f aca="false">'Diet Comparison'!C46</f>
        <v>0</v>
      </c>
      <c r="AU18" s="88" t="n">
        <f aca="false">'Diet Comparison'!C47</f>
        <v>0</v>
      </c>
      <c r="AV18" s="88" t="n">
        <f aca="false">'Diet Comparison'!C48</f>
        <v>0</v>
      </c>
      <c r="AW18" s="88" t="n">
        <f aca="false">'Diet Comparison'!C49</f>
        <v>0</v>
      </c>
      <c r="AX18" s="88" t="n">
        <f aca="false">'Diet Comparison'!C50</f>
        <v>0</v>
      </c>
      <c r="AY18" s="88" t="n">
        <f aca="false">'Diet Comparison'!C51</f>
        <v>0</v>
      </c>
      <c r="AZ18" s="88" t="n">
        <f aca="false">'Diet Comparison'!C52</f>
        <v>2.36</v>
      </c>
      <c r="BA18" s="88" t="n">
        <f aca="false">'Diet Comparison'!C53</f>
        <v>0</v>
      </c>
      <c r="BB18" s="88" t="n">
        <f aca="false">'Diet Comparison'!C54</f>
        <v>0</v>
      </c>
      <c r="BC18" s="88" t="n">
        <f aca="false">'Diet Comparison'!C55</f>
        <v>0</v>
      </c>
      <c r="BD18" s="88" t="n">
        <f aca="false">'Diet Comparison'!C56</f>
        <v>0</v>
      </c>
      <c r="BE18" s="88" t="n">
        <f aca="false">'Diet Comparison'!C57</f>
        <v>0</v>
      </c>
      <c r="BF18" s="88" t="n">
        <f aca="false">'Diet Comparison'!C58</f>
        <v>0</v>
      </c>
      <c r="BG18" s="88" t="n">
        <f aca="false">'Diet Comparison'!C59</f>
        <v>1.9</v>
      </c>
      <c r="BH18" s="88" t="n">
        <f aca="false">'Diet Comparison'!C60</f>
        <v>0</v>
      </c>
      <c r="BI18" s="88" t="n">
        <f aca="false">'Diet Comparison'!C61</f>
        <v>0</v>
      </c>
      <c r="BJ18" s="88" t="n">
        <f aca="false">'Diet Comparison'!C62</f>
        <v>0</v>
      </c>
      <c r="BK18" s="88" t="n">
        <f aca="false">'Diet Comparison'!C63</f>
        <v>0.56043956</v>
      </c>
      <c r="BL18" s="88" t="n">
        <f aca="false">'Diet Comparison'!C64</f>
        <v>0</v>
      </c>
      <c r="BM18" s="88" t="n">
        <f aca="false">'Diet Comparison'!C65</f>
        <v>0</v>
      </c>
      <c r="BN18" s="88" t="n">
        <f aca="false">'Diet Comparison'!C66</f>
        <v>0</v>
      </c>
      <c r="BO18" s="88" t="n">
        <f aca="false">'Diet Comparison'!C67</f>
        <v>0</v>
      </c>
      <c r="BP18" s="88" t="n">
        <f aca="false">'Diet Comparison'!C68</f>
        <v>0</v>
      </c>
      <c r="BQ18" s="88" t="n">
        <f aca="false">'Diet Comparison'!C69</f>
        <v>0.020622091</v>
      </c>
      <c r="BR18" s="88" t="n">
        <f aca="false">'Diet Comparison'!C70</f>
        <v>0</v>
      </c>
      <c r="BS18" s="88" t="n">
        <f aca="false">'Diet Comparison'!C71</f>
        <v>0</v>
      </c>
      <c r="BT18" s="88" t="n">
        <f aca="false">'Diet Comparison'!C72</f>
        <v>0</v>
      </c>
      <c r="BU18" s="88" t="n">
        <f aca="false">'Diet Comparison'!C73</f>
        <v>0</v>
      </c>
      <c r="BV18" s="88" t="n">
        <f aca="false">'Diet Comparison'!C74</f>
        <v>0</v>
      </c>
      <c r="BW18" s="88" t="n">
        <f aca="false">'Diet Comparison'!C75</f>
        <v>0</v>
      </c>
      <c r="BX18" s="88" t="n">
        <f aca="false">'Diet Comparison'!C76</f>
        <v>0</v>
      </c>
    </row>
    <row r="19" customFormat="false" ht="15" hidden="false" customHeight="false" outlineLevel="0" collapsed="false">
      <c r="A19" s="62" t="s">
        <v>757</v>
      </c>
      <c r="F19" s="88" t="n">
        <f aca="false">'Food Data'!N6*'Food Data'!P6/100</f>
        <v>2.26</v>
      </c>
      <c r="G19" s="88" t="n">
        <f aca="false">'Food Data'!N7*'Food Data'!P7/100</f>
        <v>2</v>
      </c>
      <c r="H19" s="88" t="n">
        <f aca="false">'Food Data'!N8*'Food Data'!P8/100</f>
        <v>2.26</v>
      </c>
      <c r="I19" s="88" t="n">
        <f aca="false">'Food Data'!N9*'Food Data'!P9/100</f>
        <v>1.12</v>
      </c>
      <c r="J19" s="88" t="n">
        <f aca="false">'Food Data'!N10*'Food Data'!P10/100</f>
        <v>2.26</v>
      </c>
      <c r="K19" s="88" t="n">
        <f aca="false">'Food Data'!N11*'Food Data'!P11/100</f>
        <v>0.84</v>
      </c>
      <c r="L19" s="88" t="n">
        <f aca="false">'Food Data'!N12*'Food Data'!P12/100</f>
        <v>2.26</v>
      </c>
      <c r="M19" s="88" t="n">
        <f aca="false">'Food Data'!N13*'Food Data'!P13/100</f>
        <v>2.26</v>
      </c>
      <c r="N19" s="88" t="n">
        <f aca="false">'Food Data'!N14*'Food Data'!P14/100</f>
        <v>1.12</v>
      </c>
      <c r="O19" s="88" t="n">
        <f aca="false">'Food Data'!N15*'Food Data'!P15/100</f>
        <v>2.26</v>
      </c>
      <c r="P19" s="88" t="n">
        <f aca="false">'Food Data'!N16*'Food Data'!P16/100</f>
        <v>2.26</v>
      </c>
      <c r="Q19" s="88" t="n">
        <f aca="false">'Food Data'!N17*'Food Data'!P17/100</f>
        <v>1.7</v>
      </c>
      <c r="R19" s="88" t="n">
        <f aca="false">'Food Data'!N18*'Food Data'!P18/100</f>
        <v>2.26</v>
      </c>
      <c r="S19" s="88" t="n">
        <f aca="false">'Food Data'!N19*'Food Data'!P19/100</f>
        <v>2.26</v>
      </c>
      <c r="T19" s="88" t="n">
        <f aca="false">'Food Data'!N20*'Food Data'!P20/100</f>
        <v>2.26</v>
      </c>
      <c r="U19" s="88" t="n">
        <f aca="false">'Food Data'!N21*'Food Data'!P21/100</f>
        <v>1.5</v>
      </c>
      <c r="V19" s="88" t="n">
        <f aca="false">'Food Data'!N22*'Food Data'!P22/100</f>
        <v>3.6</v>
      </c>
      <c r="W19" s="88" t="n">
        <f aca="false">'Food Data'!N23*'Food Data'!P23/100</f>
        <v>3.6</v>
      </c>
      <c r="X19" s="88" t="n">
        <f aca="false">'Food Data'!N24*'Food Data'!P24/100</f>
        <v>1.44</v>
      </c>
      <c r="Y19" s="88" t="n">
        <f aca="false">'Food Data'!N25*'Food Data'!P25/100</f>
        <v>0.64</v>
      </c>
      <c r="Z19" s="88" t="n">
        <f aca="false">'Food Data'!N26*'Food Data'!P26/100</f>
        <v>1.44</v>
      </c>
      <c r="AA19" s="88" t="n">
        <f aca="false">'Food Data'!N27*'Food Data'!P27/100</f>
        <v>2.55</v>
      </c>
      <c r="AB19" s="88" t="n">
        <f aca="false">'Food Data'!N28*'Food Data'!P28/100</f>
        <v>7.32</v>
      </c>
      <c r="AC19" s="88" t="n">
        <f aca="false">'Food Data'!N29*'Food Data'!P29/100</f>
        <v>3.4</v>
      </c>
      <c r="AD19" s="88" t="n">
        <f aca="false">'Food Data'!N30*'Food Data'!P30/100</f>
        <v>7.29</v>
      </c>
      <c r="AE19" s="88" t="n">
        <f aca="false">'Food Data'!N31*'Food Data'!P31/100</f>
        <v>7.32</v>
      </c>
      <c r="AF19" s="88" t="n">
        <f aca="false">'Food Data'!N32*'Food Data'!P32/100</f>
        <v>0.57</v>
      </c>
      <c r="AG19" s="88" t="n">
        <f aca="false">'Food Data'!N33*'Food Data'!P33/100</f>
        <v>0.56</v>
      </c>
      <c r="AH19" s="88" t="n">
        <f aca="false">'Food Data'!N34*'Food Data'!P34/100</f>
        <v>2.26</v>
      </c>
      <c r="AI19" s="88" t="n">
        <f aca="false">'Food Data'!N35*'Food Data'!P35/100</f>
        <v>0.56</v>
      </c>
      <c r="AJ19" s="88" t="n">
        <f aca="false">'Food Data'!N36*'Food Data'!P36/100</f>
        <v>0.94</v>
      </c>
      <c r="AK19" s="88" t="n">
        <f aca="false">'Food Data'!N37*'Food Data'!P37/100</f>
        <v>1.84</v>
      </c>
      <c r="AL19" s="88" t="n">
        <f aca="false">'Food Data'!N38*'Food Data'!P38/100</f>
        <v>0.56</v>
      </c>
      <c r="AM19" s="88" t="n">
        <f aca="false">'Food Data'!N39*'Food Data'!P39/100</f>
        <v>1.56</v>
      </c>
      <c r="AN19" s="88" t="n">
        <f aca="false">'Food Data'!N40*'Food Data'!P40/100</f>
        <v>1.35</v>
      </c>
      <c r="AO19" s="88" t="n">
        <f aca="false">'Food Data'!N41*'Food Data'!P41/100</f>
        <v>1.29</v>
      </c>
      <c r="AP19" s="88" t="n">
        <f aca="false">'Food Data'!N42*'Food Data'!P42/100</f>
        <v>0.8</v>
      </c>
      <c r="AQ19" s="88" t="n">
        <f aca="false">'Food Data'!N43*'Food Data'!P43/100</f>
        <v>1.71</v>
      </c>
      <c r="AR19" s="88" t="n">
        <f aca="false">'Food Data'!N44*'Food Data'!P44/100</f>
        <v>1.12</v>
      </c>
      <c r="AS19" s="88" t="n">
        <f aca="false">'Food Data'!N45*'Food Data'!P45/100</f>
        <v>1.84</v>
      </c>
      <c r="AT19" s="88" t="n">
        <f aca="false">'Food Data'!N46*'Food Data'!P46/100</f>
        <v>1.28</v>
      </c>
      <c r="AU19" s="88" t="n">
        <f aca="false">'Food Data'!N47*'Food Data'!P47/100</f>
        <v>1.71</v>
      </c>
      <c r="AV19" s="88" t="n">
        <f aca="false">'Food Data'!N48*'Food Data'!P48/100</f>
        <v>2.04</v>
      </c>
      <c r="AW19" s="88" t="n">
        <f aca="false">'Food Data'!N49*'Food Data'!P49/100</f>
        <v>3</v>
      </c>
      <c r="AX19" s="88" t="n">
        <f aca="false">'Food Data'!N50*'Food Data'!P50/100</f>
        <v>2.66</v>
      </c>
      <c r="AY19" s="88" t="n">
        <f aca="false">'Food Data'!N51*'Food Data'!P51/100</f>
        <v>2.5</v>
      </c>
      <c r="AZ19" s="88" t="n">
        <f aca="false">'Food Data'!N52*'Food Data'!P52/100</f>
        <v>2.36</v>
      </c>
      <c r="BA19" s="88" t="n">
        <f aca="false">'Food Data'!N53*'Food Data'!P53/100</f>
        <v>1.55</v>
      </c>
      <c r="BB19" s="88" t="n">
        <f aca="false">'Food Data'!N54*'Food Data'!P54/100</f>
        <v>3.02</v>
      </c>
      <c r="BC19" s="88" t="n">
        <f aca="false">'Food Data'!N55*'Food Data'!P55/100</f>
        <v>2.49</v>
      </c>
      <c r="BD19" s="88" t="n">
        <f aca="false">'Food Data'!N56*'Food Data'!P56/100</f>
        <v>2.8</v>
      </c>
      <c r="BE19" s="88" t="n">
        <f aca="false">'Food Data'!N57*'Food Data'!P57/100</f>
        <v>0.41</v>
      </c>
      <c r="BF19" s="88" t="n">
        <f aca="false">'Food Data'!N58*'Food Data'!P58/100</f>
        <v>3.04</v>
      </c>
      <c r="BG19" s="88" t="n">
        <f aca="false">'Food Data'!N59*'Food Data'!P59/100</f>
        <v>1.9</v>
      </c>
      <c r="BH19" s="88" t="n">
        <f aca="false">'Food Data'!N60*'Food Data'!P60/100</f>
        <v>2.56</v>
      </c>
      <c r="BI19" s="88" t="n">
        <f aca="false">'Food Data'!N61*'Food Data'!P61/100</f>
        <v>3.6</v>
      </c>
      <c r="BJ19" s="88" t="n">
        <f aca="false">'Food Data'!N62*'Food Data'!P62/100</f>
        <v>1.49</v>
      </c>
      <c r="BK19" s="88" t="n">
        <f aca="false">'Food Data'!N63*'Food Data'!P63/100</f>
        <v>2.85</v>
      </c>
      <c r="BL19" s="88" t="n">
        <f aca="false">'Food Data'!N64*'Food Data'!P64/100</f>
        <v>1.6</v>
      </c>
      <c r="BM19" s="88" t="n">
        <f aca="false">'Food Data'!N65*'Food Data'!P65/100</f>
        <v>1.88</v>
      </c>
      <c r="BN19" s="88" t="n">
        <f aca="false">'Food Data'!N66*'Food Data'!P66/100</f>
        <v>1.8</v>
      </c>
      <c r="BO19" s="88" t="n">
        <f aca="false">'Food Data'!N67*'Food Data'!P67/100</f>
        <v>3.6</v>
      </c>
      <c r="BP19" s="88" t="n">
        <f aca="false">'Food Data'!N68*'Food Data'!P68/100</f>
        <v>0.284</v>
      </c>
      <c r="BQ19" s="88" t="n">
        <f aca="false">'Food Data'!N69*'Food Data'!P69/100</f>
        <v>0.42</v>
      </c>
      <c r="BR19" s="88" t="n">
        <f aca="false">'Food Data'!N70*'Food Data'!P70/100</f>
        <v>0.405</v>
      </c>
      <c r="BS19" s="88" t="n">
        <f aca="false">'Food Data'!N71*'Food Data'!P71/100</f>
        <v>0.56</v>
      </c>
      <c r="BT19" s="88" t="n">
        <f aca="false">'Food Data'!N72*'Food Data'!P72/100</f>
        <v>1.36</v>
      </c>
      <c r="BU19" s="88" t="n">
        <f aca="false">'Food Data'!N73*'Food Data'!P73/100</f>
        <v>0.26</v>
      </c>
      <c r="BV19" s="88" t="n">
        <f aca="false">'Food Data'!N74*'Food Data'!P74/100</f>
        <v>0.48</v>
      </c>
      <c r="BW19" s="88" t="n">
        <f aca="false">'Food Data'!N75*'Food Data'!P75/100</f>
        <v>0.28</v>
      </c>
      <c r="BX19" s="88" t="n">
        <f aca="false">'Food Data'!N76*'Food Data'!P76/100</f>
        <v>0.66</v>
      </c>
    </row>
    <row r="21" customFormat="false" ht="15" hidden="false" customHeight="false" outlineLevel="0" collapsed="false">
      <c r="A21" s="3" t="s">
        <v>758</v>
      </c>
    </row>
    <row r="22" customFormat="false" ht="57.75" hidden="false" customHeight="true" outlineLevel="0" collapsed="false">
      <c r="A22" s="16" t="s">
        <v>742</v>
      </c>
      <c r="B22" s="16" t="s">
        <v>759</v>
      </c>
      <c r="C22" s="16" t="s">
        <v>760</v>
      </c>
      <c r="D22" s="16" t="s">
        <v>761</v>
      </c>
      <c r="E22" s="16" t="s">
        <v>762</v>
      </c>
      <c r="F22" s="16" t="s">
        <v>763</v>
      </c>
      <c r="G22" s="16" t="s">
        <v>764</v>
      </c>
      <c r="H22" s="16" t="s">
        <v>765</v>
      </c>
      <c r="I22" s="16" t="s">
        <v>766</v>
      </c>
      <c r="K22" s="89" t="s">
        <v>767</v>
      </c>
      <c r="L22" s="89" t="s">
        <v>768</v>
      </c>
      <c r="M22" s="89" t="s">
        <v>769</v>
      </c>
      <c r="N22" s="89" t="s">
        <v>770</v>
      </c>
      <c r="P22" s="16" t="s">
        <v>744</v>
      </c>
      <c r="Q22" s="16" t="s">
        <v>771</v>
      </c>
    </row>
    <row r="23" customFormat="false" ht="15" hidden="false" customHeight="false" outlineLevel="0" collapsed="false">
      <c r="A23" s="4" t="str">
        <f aca="false">A8</f>
        <v>kcal &gt;= min</v>
      </c>
      <c r="B23" s="71" t="n">
        <f aca="false">U8</f>
        <v>143</v>
      </c>
      <c r="C23" s="71" t="n">
        <f aca="false">X8</f>
        <v>352</v>
      </c>
      <c r="D23" s="71" t="n">
        <f aca="false">AB8</f>
        <v>50</v>
      </c>
      <c r="E23" s="71" t="n">
        <f aca="false">AK8</f>
        <v>367</v>
      </c>
      <c r="F23" s="71" t="n">
        <f aca="false">AP8</f>
        <v>379</v>
      </c>
      <c r="G23" s="71" t="n">
        <f aca="false">AZ8</f>
        <v>89</v>
      </c>
      <c r="H23" s="71" t="n">
        <f aca="false">BK8</f>
        <v>72</v>
      </c>
      <c r="I23" s="71" t="n">
        <f aca="false">BQ8</f>
        <v>884</v>
      </c>
      <c r="K23" s="90" t="n">
        <f aca="false">Y8</f>
        <v>598</v>
      </c>
      <c r="L23" s="90" t="n">
        <f aca="false">Z8</f>
        <v>347</v>
      </c>
      <c r="M23" s="90" t="n">
        <f aca="false">AS8</f>
        <v>365</v>
      </c>
      <c r="N23" s="90" t="n">
        <f aca="false">BG8</f>
        <v>29</v>
      </c>
      <c r="P23" s="91" t="n">
        <f aca="false">C8</f>
        <v>2878.5</v>
      </c>
      <c r="Q23" s="92" t="n">
        <f aca="false" t="array" ref="Q23:Q30">P23:P30-MMULT(K23:N30,TRANSPOSE(K32:N32))</f>
        <v>1269.4</v>
      </c>
    </row>
    <row r="24" customFormat="false" ht="15" hidden="false" customHeight="false" outlineLevel="0" collapsed="false">
      <c r="A24" s="4" t="str">
        <f aca="false">A9</f>
        <v>protein &gt;= min</v>
      </c>
      <c r="B24" s="71" t="n">
        <f aca="false">U9</f>
        <v>12.56</v>
      </c>
      <c r="C24" s="71" t="n">
        <f aca="false">X9</f>
        <v>24.63</v>
      </c>
      <c r="D24" s="71" t="n">
        <f aca="false">AB9</f>
        <v>3.3</v>
      </c>
      <c r="E24" s="71" t="n">
        <f aca="false">AK9</f>
        <v>7.54</v>
      </c>
      <c r="F24" s="71" t="n">
        <f aca="false">AP9</f>
        <v>13.15</v>
      </c>
      <c r="G24" s="71" t="n">
        <f aca="false">AZ9</f>
        <v>1.09</v>
      </c>
      <c r="H24" s="71" t="n">
        <f aca="false">BK9</f>
        <v>3.33</v>
      </c>
      <c r="I24" s="71" t="n">
        <f aca="false">BQ9</f>
        <v>0</v>
      </c>
      <c r="K24" s="90" t="n">
        <f aca="false">Y9</f>
        <v>22.21</v>
      </c>
      <c r="L24" s="90" t="n">
        <f aca="false">Z9</f>
        <v>21.42</v>
      </c>
      <c r="M24" s="90" t="n">
        <f aca="false">AS9</f>
        <v>7.13</v>
      </c>
      <c r="N24" s="90" t="n">
        <f aca="false">BG9</f>
        <v>3.06</v>
      </c>
      <c r="P24" s="91" t="n">
        <f aca="false">C9</f>
        <v>112</v>
      </c>
      <c r="Q24" s="92" t="n">
        <v>48.0076</v>
      </c>
    </row>
    <row r="25" customFormat="false" ht="15" hidden="false" customHeight="false" outlineLevel="0" collapsed="false">
      <c r="A25" s="4" t="str">
        <f aca="false">A10</f>
        <v>calcium &gt;= min</v>
      </c>
      <c r="B25" s="71" t="n">
        <f aca="false">U10</f>
        <v>56</v>
      </c>
      <c r="C25" s="71" t="n">
        <f aca="false">X10</f>
        <v>35</v>
      </c>
      <c r="D25" s="71" t="n">
        <f aca="false">AB10</f>
        <v>120</v>
      </c>
      <c r="E25" s="71" t="n">
        <f aca="false">AK10</f>
        <v>9</v>
      </c>
      <c r="F25" s="71" t="n">
        <f aca="false">AP10</f>
        <v>52</v>
      </c>
      <c r="G25" s="71" t="n">
        <f aca="false">AZ10</f>
        <v>5</v>
      </c>
      <c r="H25" s="71" t="n">
        <f aca="false">BK10</f>
        <v>25</v>
      </c>
      <c r="I25" s="71" t="n">
        <f aca="false">BQ10</f>
        <v>0</v>
      </c>
      <c r="K25" s="90" t="n">
        <f aca="false">Y10</f>
        <v>49</v>
      </c>
      <c r="L25" s="90" t="n">
        <f aca="false">Z10</f>
        <v>113</v>
      </c>
      <c r="M25" s="90" t="n">
        <f aca="false">AS10</f>
        <v>28</v>
      </c>
      <c r="N25" s="90" t="n">
        <f aca="false">BG10</f>
        <v>41</v>
      </c>
      <c r="P25" s="91" t="n">
        <f aca="false">C10</f>
        <v>1000</v>
      </c>
      <c r="Q25" s="92" t="n">
        <v>676.5</v>
      </c>
    </row>
    <row r="26" customFormat="false" ht="15" hidden="false" customHeight="false" outlineLevel="0" collapsed="false">
      <c r="A26" s="4" t="str">
        <f aca="false">A11</f>
        <v>carb% &lt;= 65% of kcal</v>
      </c>
      <c r="B26" s="71" t="n">
        <f aca="false">U11</f>
        <v>-90.07</v>
      </c>
      <c r="C26" s="71" t="n">
        <f aca="false">X11</f>
        <v>24.6</v>
      </c>
      <c r="D26" s="71" t="n">
        <f aca="false">AB11</f>
        <v>-13.3</v>
      </c>
      <c r="E26" s="71" t="n">
        <f aca="false">AK11</f>
        <v>66.45</v>
      </c>
      <c r="F26" s="71" t="n">
        <f aca="false">AP11</f>
        <v>24.45</v>
      </c>
      <c r="G26" s="71" t="n">
        <f aca="false">AZ11</f>
        <v>33.51</v>
      </c>
      <c r="H26" s="71" t="n">
        <f aca="false">BK11</f>
        <v>7.08</v>
      </c>
      <c r="I26" s="71" t="n">
        <f aca="false">BQ11</f>
        <v>-574.6</v>
      </c>
      <c r="K26" s="90" t="n">
        <f aca="false">Y11</f>
        <v>-299.46</v>
      </c>
      <c r="L26" s="90" t="n">
        <f aca="false">Z11</f>
        <v>24.65</v>
      </c>
      <c r="M26" s="90" t="n">
        <f aca="false">AS11</f>
        <v>82.55</v>
      </c>
      <c r="N26" s="90" t="n">
        <f aca="false">BG11</f>
        <v>2.55</v>
      </c>
      <c r="P26" s="91" t="n">
        <f aca="false">C11</f>
        <v>0</v>
      </c>
      <c r="Q26" s="92" t="n">
        <v>-0.578600000000004</v>
      </c>
    </row>
    <row r="27" customFormat="false" ht="15" hidden="false" customHeight="false" outlineLevel="0" collapsed="false">
      <c r="A27" s="4" t="str">
        <f aca="false">A12</f>
        <v>Breakfast kcal &gt;= 20%</v>
      </c>
      <c r="B27" s="71" t="n">
        <f aca="false">U12</f>
        <v>143</v>
      </c>
      <c r="C27" s="71" t="n">
        <f aca="false">X12</f>
        <v>0</v>
      </c>
      <c r="D27" s="71" t="n">
        <f aca="false">AB12</f>
        <v>25</v>
      </c>
      <c r="E27" s="71" t="n">
        <f aca="false">AK12</f>
        <v>0</v>
      </c>
      <c r="F27" s="71" t="n">
        <f aca="false">AP12</f>
        <v>379</v>
      </c>
      <c r="G27" s="71" t="n">
        <f aca="false">AZ12</f>
        <v>44.5</v>
      </c>
      <c r="H27" s="71" t="n">
        <f aca="false">BK12</f>
        <v>0</v>
      </c>
      <c r="I27" s="71" t="n">
        <f aca="false">BQ12</f>
        <v>0</v>
      </c>
      <c r="K27" s="90" t="n">
        <f aca="false">Y12</f>
        <v>299</v>
      </c>
      <c r="L27" s="90" t="n">
        <f aca="false">Z12</f>
        <v>0</v>
      </c>
      <c r="M27" s="90" t="n">
        <f aca="false">AS12</f>
        <v>0</v>
      </c>
      <c r="N27" s="90" t="n">
        <f aca="false">BG12</f>
        <v>0</v>
      </c>
      <c r="P27" s="91" t="n">
        <f aca="false">C12</f>
        <v>606</v>
      </c>
      <c r="Q27" s="92" t="n">
        <v>414.64</v>
      </c>
    </row>
    <row r="28" customFormat="false" ht="15" hidden="false" customHeight="false" outlineLevel="0" collapsed="false">
      <c r="A28" s="4" t="str">
        <f aca="false">A13</f>
        <v>vegetables &gt;= 2.5 cup-eq</v>
      </c>
      <c r="B28" s="71" t="n">
        <f aca="false">U13</f>
        <v>0</v>
      </c>
      <c r="C28" s="71" t="n">
        <f aca="false">X13</f>
        <v>0</v>
      </c>
      <c r="D28" s="71" t="n">
        <f aca="false">AB13</f>
        <v>0</v>
      </c>
      <c r="E28" s="71" t="n">
        <f aca="false">AK13</f>
        <v>0</v>
      </c>
      <c r="F28" s="71" t="n">
        <f aca="false">AP13</f>
        <v>0</v>
      </c>
      <c r="G28" s="71" t="n">
        <f aca="false">AZ13</f>
        <v>0</v>
      </c>
      <c r="H28" s="71" t="n">
        <f aca="false">BK13</f>
        <v>0.735294117647059</v>
      </c>
      <c r="I28" s="71" t="n">
        <f aca="false">BQ13</f>
        <v>0</v>
      </c>
      <c r="K28" s="90" t="n">
        <f aca="false">Y13</f>
        <v>0</v>
      </c>
      <c r="L28" s="90" t="n">
        <f aca="false">Z13</f>
        <v>0</v>
      </c>
      <c r="M28" s="90" t="n">
        <f aca="false">AS13</f>
        <v>0</v>
      </c>
      <c r="N28" s="90" t="n">
        <f aca="false">BG13</f>
        <v>1.0989010989011</v>
      </c>
      <c r="P28" s="91" t="n">
        <f aca="false">C13</f>
        <v>2.5</v>
      </c>
      <c r="Q28" s="92" t="n">
        <v>0.412087912087912</v>
      </c>
    </row>
    <row r="29" customFormat="false" ht="15" hidden="false" customHeight="false" outlineLevel="0" collapsed="false">
      <c r="A29" s="4" t="str">
        <f aca="false">A14</f>
        <v>fruit &gt;= 2 cup-eq</v>
      </c>
      <c r="B29" s="71" t="n">
        <f aca="false">U14</f>
        <v>0</v>
      </c>
      <c r="C29" s="71" t="n">
        <f aca="false">X14</f>
        <v>0</v>
      </c>
      <c r="D29" s="71" t="n">
        <f aca="false">AB14</f>
        <v>0</v>
      </c>
      <c r="E29" s="71" t="n">
        <f aca="false">AK14</f>
        <v>0</v>
      </c>
      <c r="F29" s="71" t="n">
        <f aca="false">AP14</f>
        <v>0</v>
      </c>
      <c r="G29" s="71" t="n">
        <f aca="false">AZ14</f>
        <v>0.847457627118644</v>
      </c>
      <c r="H29" s="71" t="n">
        <f aca="false">BK14</f>
        <v>0</v>
      </c>
      <c r="I29" s="71" t="n">
        <f aca="false">BQ14</f>
        <v>0</v>
      </c>
      <c r="K29" s="90" t="n">
        <f aca="false">Y14</f>
        <v>0</v>
      </c>
      <c r="L29" s="90" t="n">
        <f aca="false">Z14</f>
        <v>0</v>
      </c>
      <c r="M29" s="90" t="n">
        <f aca="false">AS14</f>
        <v>0</v>
      </c>
      <c r="N29" s="90" t="n">
        <f aca="false">BG14</f>
        <v>0</v>
      </c>
      <c r="P29" s="91" t="n">
        <f aca="false">C14</f>
        <v>2</v>
      </c>
      <c r="Q29" s="92" t="n">
        <v>2</v>
      </c>
    </row>
    <row r="30" customFormat="false" ht="15" hidden="false" customHeight="false" outlineLevel="0" collapsed="false">
      <c r="A30" s="4" t="str">
        <f aca="false">A15</f>
        <v>legumes &lt;= 3 servings</v>
      </c>
      <c r="B30" s="71" t="n">
        <f aca="false">U15</f>
        <v>0</v>
      </c>
      <c r="C30" s="71" t="n">
        <f aca="false">X15</f>
        <v>2.08333333333333</v>
      </c>
      <c r="D30" s="71" t="n">
        <f aca="false">AB15</f>
        <v>0</v>
      </c>
      <c r="E30" s="71" t="n">
        <f aca="false">AK15</f>
        <v>0</v>
      </c>
      <c r="F30" s="71" t="n">
        <f aca="false">AP15</f>
        <v>0</v>
      </c>
      <c r="G30" s="71" t="n">
        <f aca="false">AZ15</f>
        <v>0</v>
      </c>
      <c r="H30" s="71" t="n">
        <f aca="false">BK15</f>
        <v>0</v>
      </c>
      <c r="I30" s="71" t="n">
        <f aca="false">BQ15</f>
        <v>0</v>
      </c>
      <c r="K30" s="90" t="n">
        <f aca="false">Y15</f>
        <v>0</v>
      </c>
      <c r="L30" s="90" t="n">
        <f aca="false">Z15</f>
        <v>2.08333333333333</v>
      </c>
      <c r="M30" s="90" t="n">
        <f aca="false">AS15</f>
        <v>0</v>
      </c>
      <c r="N30" s="90" t="n">
        <f aca="false">BG15</f>
        <v>0</v>
      </c>
      <c r="P30" s="91" t="n">
        <f aca="false">C15</f>
        <v>3</v>
      </c>
      <c r="Q30" s="92" t="n">
        <v>0</v>
      </c>
    </row>
    <row r="32" customFormat="false" ht="15" hidden="false" customHeight="false" outlineLevel="0" collapsed="false">
      <c r="A32" s="15" t="s">
        <v>772</v>
      </c>
      <c r="K32" s="90" t="n">
        <f aca="false">Y19</f>
        <v>0.64</v>
      </c>
      <c r="L32" s="90" t="n">
        <f aca="false">Z19</f>
        <v>1.44</v>
      </c>
      <c r="M32" s="90" t="n">
        <f aca="false">AS19</f>
        <v>1.84</v>
      </c>
      <c r="N32" s="90" t="n">
        <f aca="false">BG19</f>
        <v>1.9</v>
      </c>
    </row>
    <row r="34" customFormat="false" ht="15" hidden="false" customHeight="false" outlineLevel="0" collapsed="false">
      <c r="A34" s="3" t="s">
        <v>773</v>
      </c>
    </row>
    <row r="35" customFormat="false" ht="15" hidden="false" customHeight="false" outlineLevel="0" collapsed="false">
      <c r="A35" s="4" t="str">
        <f aca="false">A23</f>
        <v>kcal &gt;= min</v>
      </c>
      <c r="B35" s="93" t="n">
        <f aca="false" t="array" ref="B35:I42">MINVERSE(B23:I30)</f>
        <v>-0.0016956399972925</v>
      </c>
      <c r="C35" s="93" t="n">
        <v>0.10818237725913</v>
      </c>
      <c r="D35" s="93" t="n">
        <v>-0.00222762936286896</v>
      </c>
      <c r="E35" s="93" t="n">
        <v>-0.00260867691891154</v>
      </c>
      <c r="F35" s="93" t="n">
        <v>-0.00158398898271011</v>
      </c>
      <c r="G35" s="93" t="n">
        <v>-0.223041454941906</v>
      </c>
      <c r="H35" s="93" t="n">
        <v>0.238401994600215</v>
      </c>
      <c r="I35" s="93" t="n">
        <v>-0.924252572611091</v>
      </c>
    </row>
    <row r="36" customFormat="false" ht="15" hidden="false" customHeight="false" outlineLevel="0" collapsed="false">
      <c r="A36" s="4" t="str">
        <f aca="false">A24</f>
        <v>protein &gt;= min</v>
      </c>
      <c r="B36" s="93" t="n">
        <v>-0</v>
      </c>
      <c r="C36" s="93" t="n">
        <v>-0</v>
      </c>
      <c r="D36" s="93" t="n">
        <v>-0</v>
      </c>
      <c r="E36" s="93" t="n">
        <v>-0</v>
      </c>
      <c r="F36" s="93" t="n">
        <v>-1.86778465169094E-018</v>
      </c>
      <c r="G36" s="93" t="n">
        <v>-0</v>
      </c>
      <c r="H36" s="93" t="n">
        <v>4.1822605984459E-016</v>
      </c>
      <c r="I36" s="93" t="n">
        <v>0.48</v>
      </c>
    </row>
    <row r="37" customFormat="false" ht="15" hidden="false" customHeight="false" outlineLevel="0" collapsed="false">
      <c r="A37" s="4" t="str">
        <f aca="false">A25</f>
        <v>calcium &gt;= min</v>
      </c>
      <c r="B37" s="93" t="n">
        <v>0.000407406163762252</v>
      </c>
      <c r="C37" s="93" t="n">
        <v>-0.0364938562775034</v>
      </c>
      <c r="D37" s="93" t="n">
        <v>0.0093329076356508</v>
      </c>
      <c r="E37" s="93" t="n">
        <v>0.00062677871348039</v>
      </c>
      <c r="F37" s="93" t="n">
        <v>-0.000462133674446333</v>
      </c>
      <c r="G37" s="93" t="n">
        <v>-0.19797382173453</v>
      </c>
      <c r="H37" s="93" t="n">
        <v>-0.0514288717120483</v>
      </c>
      <c r="I37" s="93" t="n">
        <v>0.198415769698176</v>
      </c>
    </row>
    <row r="38" customFormat="false" ht="15" hidden="false" customHeight="false" outlineLevel="0" collapsed="false">
      <c r="A38" s="4" t="str">
        <f aca="false">A26</f>
        <v>carb% &lt;= 65% of kcal</v>
      </c>
      <c r="B38" s="93" t="n">
        <v>0.00157733215117346</v>
      </c>
      <c r="C38" s="93" t="n">
        <v>0.0353796401909166</v>
      </c>
      <c r="D38" s="93" t="n">
        <v>-0.000766140629673184</v>
      </c>
      <c r="E38" s="93" t="n">
        <v>0.00242666484795917</v>
      </c>
      <c r="F38" s="93" t="n">
        <v>-0.00285631608600235</v>
      </c>
      <c r="G38" s="93" t="n">
        <v>-0.31199676781867</v>
      </c>
      <c r="H38" s="93" t="n">
        <v>-0.152606024423771</v>
      </c>
      <c r="I38" s="93" t="n">
        <v>-0.700561194401552</v>
      </c>
    </row>
    <row r="39" customFormat="false" ht="15" hidden="false" customHeight="false" outlineLevel="0" collapsed="false">
      <c r="A39" s="4" t="str">
        <f aca="false">A27</f>
        <v>Breakfast kcal &gt;= 20%</v>
      </c>
      <c r="B39" s="93" t="n">
        <v>0.000612905977622087</v>
      </c>
      <c r="C39" s="93" t="n">
        <v>-0.0384109064409446</v>
      </c>
      <c r="D39" s="93" t="n">
        <v>0.000224876802108154</v>
      </c>
      <c r="E39" s="93" t="n">
        <v>0.000942932273264751</v>
      </c>
      <c r="F39" s="93" t="n">
        <v>0.00326665901421822</v>
      </c>
      <c r="G39" s="93" t="n">
        <v>0.0972144422165061</v>
      </c>
      <c r="H39" s="93" t="n">
        <v>-0.225107555237545</v>
      </c>
      <c r="I39" s="93" t="n">
        <v>0.335640431770268</v>
      </c>
    </row>
    <row r="40" customFormat="false" ht="15" hidden="false" customHeight="false" outlineLevel="0" collapsed="false">
      <c r="A40" s="4" t="str">
        <f aca="false">A28</f>
        <v>vegetables &gt;= 2.5 cup-eq</v>
      </c>
      <c r="B40" s="93" t="n">
        <v>0</v>
      </c>
      <c r="C40" s="93" t="n">
        <v>0</v>
      </c>
      <c r="D40" s="93" t="n">
        <v>0</v>
      </c>
      <c r="E40" s="93" t="n">
        <v>0</v>
      </c>
      <c r="F40" s="93" t="n">
        <v>0</v>
      </c>
      <c r="G40" s="93" t="n">
        <v>0</v>
      </c>
      <c r="H40" s="93" t="n">
        <v>1.18</v>
      </c>
      <c r="I40" s="93" t="n">
        <v>0</v>
      </c>
    </row>
    <row r="41" customFormat="false" ht="15" hidden="false" customHeight="false" outlineLevel="0" collapsed="false">
      <c r="A41" s="4" t="str">
        <f aca="false">A29</f>
        <v>fruit &gt;= 2 cup-eq</v>
      </c>
      <c r="B41" s="93" t="n">
        <v>0</v>
      </c>
      <c r="C41" s="93" t="n">
        <v>0</v>
      </c>
      <c r="D41" s="93" t="n">
        <v>0</v>
      </c>
      <c r="E41" s="93" t="n">
        <v>0</v>
      </c>
      <c r="F41" s="93" t="n">
        <v>0</v>
      </c>
      <c r="G41" s="93" t="n">
        <v>1.36</v>
      </c>
      <c r="H41" s="93" t="n">
        <v>0</v>
      </c>
      <c r="I41" s="93" t="n">
        <v>0</v>
      </c>
    </row>
    <row r="42" customFormat="false" ht="15" hidden="false" customHeight="false" outlineLevel="0" collapsed="false">
      <c r="A42" s="4" t="str">
        <f aca="false">A30</f>
        <v>legumes &lt;= 3 servings</v>
      </c>
      <c r="B42" s="93" t="n">
        <v>0.000464857405458465</v>
      </c>
      <c r="C42" s="93" t="n">
        <v>-0.0136560877184715</v>
      </c>
      <c r="D42" s="93" t="n">
        <v>5.41300002248737E-005</v>
      </c>
      <c r="E42" s="93" t="n">
        <v>-0.00102517586769007</v>
      </c>
      <c r="F42" s="93" t="n">
        <v>6.7671205230795E-005</v>
      </c>
      <c r="G42" s="93" t="n">
        <v>0.0243576463040893</v>
      </c>
      <c r="H42" s="93" t="n">
        <v>0.00540965243928168</v>
      </c>
      <c r="I42" s="93" t="n">
        <v>0.0941013168585017</v>
      </c>
    </row>
    <row r="44" customFormat="false" ht="15" hidden="false" customHeight="false" outlineLevel="0" collapsed="false">
      <c r="A44" s="14" t="s">
        <v>774</v>
      </c>
      <c r="B44" s="94" t="n">
        <f aca="false">MDETERM(B23:I30)</f>
        <v>-142893380399.011</v>
      </c>
      <c r="C44" s="2" t="str">
        <f aca="false">IF(ABS(B44)&gt;0.000000000001,"det ≠ 0 → B is invertible → the corner is unique","det = 0 → singular")</f>
        <v>det ≠ 0 → B is invertible → the corner is unique</v>
      </c>
    </row>
    <row r="46" customFormat="false" ht="15" hidden="false" customHeight="false" outlineLevel="0" collapsed="false">
      <c r="A46" s="16" t="s">
        <v>775</v>
      </c>
      <c r="B46" s="16" t="s">
        <v>776</v>
      </c>
      <c r="C46" s="16" t="s">
        <v>777</v>
      </c>
      <c r="D46" s="16" t="s">
        <v>778</v>
      </c>
    </row>
    <row r="47" customFormat="false" ht="15" hidden="false" customHeight="false" outlineLevel="0" collapsed="false">
      <c r="A47" s="4" t="s">
        <v>275</v>
      </c>
      <c r="B47" s="95" t="n">
        <f aca="false" t="array" ref="B47:B54">MMULT(B35:I42,Q23:Q30)</f>
        <v>1.26375510836019</v>
      </c>
      <c r="C47" s="96" t="n">
        <f aca="false">U18</f>
        <v>1.263755108</v>
      </c>
      <c r="D47" s="97" t="n">
        <f aca="false">B47-C47</f>
        <v>3.60193208592818E-010</v>
      </c>
    </row>
    <row r="48" customFormat="false" ht="15" hidden="false" customHeight="false" outlineLevel="0" collapsed="false">
      <c r="A48" s="4" t="s">
        <v>293</v>
      </c>
      <c r="B48" s="95" t="n">
        <v>6.19938917120503E-017</v>
      </c>
      <c r="C48" s="96" t="n">
        <f aca="false">X18</f>
        <v>0</v>
      </c>
      <c r="D48" s="97" t="n">
        <f aca="false">B48-C48</f>
        <v>6.19938917120503E-017</v>
      </c>
    </row>
    <row r="49" customFormat="false" ht="15" hidden="false" customHeight="false" outlineLevel="0" collapsed="false">
      <c r="A49" s="4" t="s">
        <v>315</v>
      </c>
      <c r="B49" s="95" t="n">
        <v>4.70246882196291</v>
      </c>
      <c r="C49" s="96" t="n">
        <f aca="false">AB18</f>
        <v>4.702468822</v>
      </c>
      <c r="D49" s="97" t="n">
        <f aca="false">B49-C49</f>
        <v>-3.70929953419363E-011</v>
      </c>
    </row>
    <row r="50" customFormat="false" ht="15" hidden="false" customHeight="false" outlineLevel="0" collapsed="false">
      <c r="A50" s="4" t="s">
        <v>363</v>
      </c>
      <c r="B50" s="95" t="n">
        <v>1.56293379549797</v>
      </c>
      <c r="C50" s="96" t="n">
        <f aca="false">AK18</f>
        <v>1.562933795</v>
      </c>
      <c r="D50" s="97" t="n">
        <f aca="false">B50-C50</f>
        <v>4.979718859488E-010</v>
      </c>
    </row>
    <row r="51" customFormat="false" ht="15" hidden="false" customHeight="false" outlineLevel="0" collapsed="false">
      <c r="A51" s="4" t="s">
        <v>386</v>
      </c>
      <c r="B51" s="95" t="n">
        <v>0.029924271650184</v>
      </c>
      <c r="C51" s="96" t="n">
        <f aca="false">AP18</f>
        <v>0.029924272</v>
      </c>
      <c r="D51" s="97" t="n">
        <f aca="false">B51-C51</f>
        <v>-3.49815964389988E-010</v>
      </c>
    </row>
    <row r="52" customFormat="false" ht="15" hidden="false" customHeight="false" outlineLevel="0" collapsed="false">
      <c r="A52" s="4" t="s">
        <v>436</v>
      </c>
      <c r="B52" s="95" t="n">
        <v>2.36</v>
      </c>
      <c r="C52" s="96" t="n">
        <f aca="false">AZ18</f>
        <v>2.36</v>
      </c>
      <c r="D52" s="97" t="n">
        <f aca="false">B52-C52</f>
        <v>0</v>
      </c>
    </row>
    <row r="53" customFormat="false" ht="15" hidden="false" customHeight="false" outlineLevel="0" collapsed="false">
      <c r="A53" s="4" t="s">
        <v>488</v>
      </c>
      <c r="B53" s="95" t="n">
        <v>0.56043956043956</v>
      </c>
      <c r="C53" s="96" t="n">
        <f aca="false">BK18</f>
        <v>0.56043956</v>
      </c>
      <c r="D53" s="97" t="n">
        <f aca="false">B53-C53</f>
        <v>4.39560166043407E-010</v>
      </c>
    </row>
    <row r="54" customFormat="false" ht="15" hidden="false" customHeight="false" outlineLevel="0" collapsed="false">
      <c r="A54" s="4" t="s">
        <v>521</v>
      </c>
      <c r="B54" s="95" t="n">
        <v>0.0206220906691436</v>
      </c>
      <c r="C54" s="96" t="n">
        <f aca="false">BQ18</f>
        <v>0.020622091</v>
      </c>
      <c r="D54" s="97" t="n">
        <f aca="false">B54-C54</f>
        <v>-3.30856383956579E-010</v>
      </c>
    </row>
    <row r="55" customFormat="false" ht="15" hidden="false" customHeight="false" outlineLevel="0" collapsed="false">
      <c r="A55" s="15" t="s">
        <v>779</v>
      </c>
      <c r="B55" s="15" t="str">
        <f aca="false">IF(MAX(D47:D54)-MIN(D47:D54)&lt;0.000001,"✓ B⁻¹r reproduces the Simplex answer","✗ mismatch")</f>
        <v>✓ B⁻¹r reproduces the Simplex answer</v>
      </c>
    </row>
    <row r="57" customFormat="false" ht="15" hidden="false" customHeight="false" outlineLevel="0" collapsed="false">
      <c r="A57" s="3" t="s">
        <v>780</v>
      </c>
    </row>
    <row r="58" customFormat="false" ht="15" hidden="false" customHeight="false" outlineLevel="0" collapsed="false">
      <c r="A58" s="16" t="s">
        <v>742</v>
      </c>
      <c r="B58" s="16" t="s">
        <v>743</v>
      </c>
      <c r="C58" s="16" t="s">
        <v>781</v>
      </c>
      <c r="D58" s="16" t="s">
        <v>782</v>
      </c>
      <c r="E58" s="16" t="s">
        <v>783</v>
      </c>
      <c r="G58" s="15" t="s">
        <v>784</v>
      </c>
      <c r="H58" s="98" t="n">
        <f aca="false">U17</f>
        <v>0.278340755753487</v>
      </c>
      <c r="I58" s="98" t="n">
        <f aca="false">X17</f>
        <v>0.423280423280423</v>
      </c>
      <c r="J58" s="98" t="n">
        <f aca="false">AB17</f>
        <v>0.0847848360655738</v>
      </c>
      <c r="K58" s="98" t="n">
        <f aca="false">AK17</f>
        <v>0.189594356261023</v>
      </c>
      <c r="L58" s="98" t="n">
        <f aca="false">AP17</f>
        <v>0.36785084404132</v>
      </c>
      <c r="M58" s="98" t="n">
        <f aca="false">AZ17</f>
        <v>0.172233245149912</v>
      </c>
      <c r="N58" s="98" t="n">
        <f aca="false">BK17</f>
        <v>0.284391534391534</v>
      </c>
      <c r="O58" s="98" t="n">
        <f aca="false">BQ17</f>
        <v>0.311926605504587</v>
      </c>
    </row>
    <row r="59" customFormat="false" ht="15" hidden="false" customHeight="false" outlineLevel="0" collapsed="false">
      <c r="A59" s="4" t="str">
        <f aca="false">A8</f>
        <v>kcal &gt;= min</v>
      </c>
      <c r="B59" s="75" t="str">
        <f aca="false">B8</f>
        <v>≥</v>
      </c>
      <c r="C59" s="99" t="n">
        <f aca="false">INDEX($H$59:$O$59,1,1)</f>
        <v>0.000232088794000584</v>
      </c>
      <c r="D59" s="75" t="str">
        <f aca="false">IF(B59="≥",IF(C59&gt;=-0.000000001,"✓","✗"),IF(C59&lt;=0.000000001,"✓","✗"))</f>
        <v>✓</v>
      </c>
      <c r="E59" s="4" t="str">
        <f aca="false">TEXT(C59*100,"$0.000")&amp;" per +100 kcal"</f>
        <v>$0.023 per +100 kcal</v>
      </c>
      <c r="G59" s="15" t="s">
        <v>785</v>
      </c>
      <c r="H59" s="93" t="n">
        <f aca="false" t="array" ref="H59:O59">MMULT(H58:O58,B35:I42)</f>
        <v>0.000232088794000584</v>
      </c>
      <c r="I59" s="93" t="n">
        <v>0.0153360376891804</v>
      </c>
      <c r="J59" s="93" t="n">
        <v>0.000125598772702795</v>
      </c>
      <c r="K59" s="93" t="n">
        <v>-0.000185799010804162</v>
      </c>
      <c r="L59" s="93" t="n">
        <v>0.00020113969692874</v>
      </c>
      <c r="M59" s="93" t="n">
        <v>0.292111167820526</v>
      </c>
      <c r="N59" s="93" t="n">
        <v>0.155180001535872</v>
      </c>
      <c r="O59" s="93" t="n">
        <v>-0.0172640360981335</v>
      </c>
    </row>
    <row r="60" customFormat="false" ht="15" hidden="false" customHeight="false" outlineLevel="0" collapsed="false">
      <c r="A60" s="4" t="str">
        <f aca="false">A9</f>
        <v>protein &gt;= min</v>
      </c>
      <c r="B60" s="75" t="str">
        <f aca="false">B9</f>
        <v>≥</v>
      </c>
      <c r="C60" s="99" t="n">
        <f aca="false">INDEX($H$59:$O$59,1,2)</f>
        <v>0.0153360376891804</v>
      </c>
      <c r="D60" s="75" t="str">
        <f aca="false">IF(B60="≥",IF(C60&gt;=-0.000000001,"✓","✗"),IF(C60&lt;=0.000000001,"✓","✗"))</f>
        <v>✓</v>
      </c>
      <c r="E60" s="4" t="str">
        <f aca="false">TEXT(C60*1,"$0.000")&amp;" per +1 g of protein"</f>
        <v>$0.015 per +1 g of protein</v>
      </c>
    </row>
    <row r="61" customFormat="false" ht="15" hidden="false" customHeight="false" outlineLevel="0" collapsed="false">
      <c r="A61" s="4" t="str">
        <f aca="false">A10</f>
        <v>calcium &gt;= min</v>
      </c>
      <c r="B61" s="75" t="str">
        <f aca="false">B10</f>
        <v>≥</v>
      </c>
      <c r="C61" s="99" t="n">
        <f aca="false">INDEX($H$59:$O$59,1,3)</f>
        <v>0.000125598772702795</v>
      </c>
      <c r="D61" s="75" t="str">
        <f aca="false">IF(B61="≥",IF(C61&gt;=-0.000000001,"✓","✗"),IF(C61&lt;=0.000000001,"✓","✗"))</f>
        <v>✓</v>
      </c>
      <c r="E61" s="4" t="str">
        <f aca="false">TEXT(C61*100,"$0.000")&amp;" per +100 mg calcium"</f>
        <v>$0.013 per +100 mg calcium</v>
      </c>
    </row>
    <row r="62" customFormat="false" ht="15" hidden="false" customHeight="false" outlineLevel="0" collapsed="false">
      <c r="A62" s="4" t="str">
        <f aca="false">A11</f>
        <v>carb% &lt;= 65% of kcal</v>
      </c>
      <c r="B62" s="75" t="str">
        <f aca="false">B11</f>
        <v>≤</v>
      </c>
      <c r="C62" s="99" t="n">
        <f aca="false">INDEX($H$59:$O$59,1,4)</f>
        <v>-0.000185799010804162</v>
      </c>
      <c r="D62" s="75" t="str">
        <f aca="false">IF(B62="≥",IF(C62&gt;=-0.000000001,"✓","✗"),IF(C62&lt;=0.000000001,"✓","✗"))</f>
        <v>✓</v>
      </c>
      <c r="E62" s="4" t="str">
        <f aca="false">TEXT(ABS(C62)*100,"$0.000")&amp;" per 100 kcal the carb limit is loosened"</f>
        <v>$0.019 per 100 kcal the carb limit is loosened</v>
      </c>
    </row>
    <row r="63" customFormat="false" ht="15" hidden="false" customHeight="false" outlineLevel="0" collapsed="false">
      <c r="A63" s="4" t="str">
        <f aca="false">A12</f>
        <v>Breakfast kcal &gt;= 20%</v>
      </c>
      <c r="B63" s="75" t="str">
        <f aca="false">B12</f>
        <v>≥</v>
      </c>
      <c r="C63" s="99" t="n">
        <f aca="false">INDEX($H$59:$O$59,1,5)</f>
        <v>0.00020113969692874</v>
      </c>
      <c r="D63" s="75" t="str">
        <f aca="false">IF(B63="≥",IF(C63&gt;=-0.000000001,"✓","✗"),IF(C63&lt;=0.000000001,"✓","✗"))</f>
        <v>✓</v>
      </c>
      <c r="E63" s="4" t="str">
        <f aca="false">TEXT(ABS(C63)*100,"$0.000")&amp;" per 100 kcal moved into/out of breakfast"</f>
        <v>$0.020 per 100 kcal moved into/out of breakfast</v>
      </c>
    </row>
    <row r="64" customFormat="false" ht="15" hidden="false" customHeight="false" outlineLevel="0" collapsed="false">
      <c r="A64" s="4" t="str">
        <f aca="false">A13</f>
        <v>vegetables &gt;= 2.5 cup-eq</v>
      </c>
      <c r="B64" s="75" t="str">
        <f aca="false">B13</f>
        <v>≥</v>
      </c>
      <c r="C64" s="99" t="n">
        <f aca="false">INDEX($H$59:$O$59,1,6)</f>
        <v>0.292111167820526</v>
      </c>
      <c r="D64" s="75" t="str">
        <f aca="false">IF(B64="≥",IF(C64&gt;=-0.000000001,"✓","✗"),IF(C64&lt;=0.000000001,"✓","✗"))</f>
        <v>✓</v>
      </c>
      <c r="E64" s="4" t="str">
        <f aca="false">TEXT(C64*1,"$0.000")&amp;" per +1 cup of vegetables"</f>
        <v>$0.292 per +1 cup of vegetables</v>
      </c>
    </row>
    <row r="65" customFormat="false" ht="15" hidden="false" customHeight="false" outlineLevel="0" collapsed="false">
      <c r="A65" s="4" t="str">
        <f aca="false">A14</f>
        <v>fruit &gt;= 2 cup-eq</v>
      </c>
      <c r="B65" s="75" t="str">
        <f aca="false">B14</f>
        <v>≥</v>
      </c>
      <c r="C65" s="99" t="n">
        <f aca="false">INDEX($H$59:$O$59,1,7)</f>
        <v>0.155180001535872</v>
      </c>
      <c r="D65" s="75" t="str">
        <f aca="false">IF(B65="≥",IF(C65&gt;=-0.000000001,"✓","✗"),IF(C65&lt;=0.000000001,"✓","✗"))</f>
        <v>✓</v>
      </c>
      <c r="E65" s="4" t="str">
        <f aca="false">TEXT(C65*1,"$0.000")&amp;" per +1 cup of fruit"</f>
        <v>$0.155 per +1 cup of fruit</v>
      </c>
    </row>
    <row r="66" customFormat="false" ht="15" hidden="false" customHeight="false" outlineLevel="0" collapsed="false">
      <c r="A66" s="4" t="str">
        <f aca="false">A15</f>
        <v>legumes &lt;= 3 servings</v>
      </c>
      <c r="B66" s="75" t="str">
        <f aca="false">B15</f>
        <v>≤</v>
      </c>
      <c r="C66" s="99" t="n">
        <f aca="false">INDEX($H$59:$O$59,1,8)</f>
        <v>-0.0172640360981335</v>
      </c>
      <c r="D66" s="75" t="str">
        <f aca="false">IF(B66="≥",IF(C66&gt;=-0.000000001,"✓","✗"),IF(C66&lt;=0.000000001,"✓","✗"))</f>
        <v>✓</v>
      </c>
      <c r="E66" s="4" t="str">
        <f aca="false">TEXT(ABS(C66),"$0.000")&amp;" saved per extra serving the legumes cap allows"</f>
        <v>$0.017 saved per extra serving the legumes cap allows</v>
      </c>
    </row>
    <row r="68" customFormat="false" ht="15" hidden="false" customHeight="false" outlineLevel="0" collapsed="false">
      <c r="A68" s="3" t="s">
        <v>786</v>
      </c>
    </row>
    <row r="69" customFormat="false" ht="15" hidden="false" customHeight="false" outlineLevel="0" collapsed="false">
      <c r="A69" s="62" t="s">
        <v>787</v>
      </c>
      <c r="F69" s="100" t="n">
        <f aca="false" t="array" ref="F69:BX69">F17:BX17-MMULT(H59:O59,F8:BX15)</f>
        <v>0.335072236444522</v>
      </c>
      <c r="G69" s="100" t="n">
        <v>0.0623101983997967</v>
      </c>
      <c r="H69" s="100" t="n">
        <v>0.380227113323284</v>
      </c>
      <c r="I69" s="100" t="n">
        <v>1.03127414290313</v>
      </c>
      <c r="J69" s="100" t="n">
        <v>0.882939276284291</v>
      </c>
      <c r="K69" s="100" t="n">
        <v>0.510509666915952</v>
      </c>
      <c r="L69" s="100" t="n">
        <v>1.06234198549004</v>
      </c>
      <c r="M69" s="100" t="n">
        <v>1.36036200584017</v>
      </c>
      <c r="N69" s="100" t="n">
        <v>0.783416978389141</v>
      </c>
      <c r="O69" s="100" t="n">
        <v>0.523053455252889</v>
      </c>
      <c r="P69" s="100" t="n">
        <v>2.55681707855066</v>
      </c>
      <c r="Q69" s="100" t="n">
        <v>0.526965750951185</v>
      </c>
      <c r="R69" s="100" t="n">
        <v>2.03074356111677</v>
      </c>
      <c r="S69" s="100" t="n">
        <v>1.51937683226024</v>
      </c>
      <c r="T69" s="100" t="n">
        <v>0.634655679043013</v>
      </c>
      <c r="U69" s="100" t="n">
        <v>0</v>
      </c>
      <c r="V69" s="100" t="n">
        <v>0.114073002848963</v>
      </c>
      <c r="W69" s="100" t="n">
        <v>0.122888054000196</v>
      </c>
      <c r="X69" s="100" t="n">
        <v>0</v>
      </c>
      <c r="Y69" s="100" t="n">
        <v>-0.250366959271906</v>
      </c>
      <c r="Z69" s="100" t="n">
        <v>-0.16442474439446</v>
      </c>
      <c r="AA69" s="100" t="n">
        <v>0.551086444481135</v>
      </c>
      <c r="AB69" s="100" t="n">
        <v>0</v>
      </c>
      <c r="AC69" s="100" t="n">
        <v>0.167385192954447</v>
      </c>
      <c r="AD69" s="100" t="n">
        <v>0.163919078047093</v>
      </c>
      <c r="AE69" s="100" t="n">
        <v>0.00254639726465372</v>
      </c>
      <c r="AF69" s="100" t="n">
        <v>0.0118505264366708</v>
      </c>
      <c r="AG69" s="100" t="n">
        <v>0.244346463371249</v>
      </c>
      <c r="AH69" s="100" t="n">
        <v>0.222563744899357</v>
      </c>
      <c r="AI69" s="100" t="n">
        <v>0.412419381593916</v>
      </c>
      <c r="AJ69" s="100" t="n">
        <v>0.0806435317564059</v>
      </c>
      <c r="AK69" s="100" t="n">
        <v>0</v>
      </c>
      <c r="AL69" s="100" t="n">
        <v>0.584280151761606</v>
      </c>
      <c r="AM69" s="100" t="n">
        <v>0.172191459812677</v>
      </c>
      <c r="AN69" s="100" t="n">
        <v>0.225012072862413</v>
      </c>
      <c r="AO69" s="100" t="n">
        <v>0.453761089112043</v>
      </c>
      <c r="AP69" s="100" t="n">
        <v>0</v>
      </c>
      <c r="AQ69" s="100" t="n">
        <v>0.0217882019806421</v>
      </c>
      <c r="AR69" s="100" t="n">
        <v>0.0303843451845351</v>
      </c>
      <c r="AS69" s="100" t="n">
        <v>-0.072889973147088</v>
      </c>
      <c r="AT69" s="100" t="n">
        <v>0.0625839984271365</v>
      </c>
      <c r="AU69" s="100" t="n">
        <v>0.097566900971178</v>
      </c>
      <c r="AV69" s="100" t="n">
        <v>0.225588687474231</v>
      </c>
      <c r="AW69" s="100" t="n">
        <v>0.238596644346098</v>
      </c>
      <c r="AX69" s="100" t="n">
        <v>0.326233966940378</v>
      </c>
      <c r="AY69" s="100" t="n">
        <v>0.183103109418842</v>
      </c>
      <c r="AZ69" s="100" t="n">
        <v>0</v>
      </c>
      <c r="BA69" s="100" t="n">
        <v>0.458913640806619</v>
      </c>
      <c r="BB69" s="100" t="n">
        <v>0.30347337940116</v>
      </c>
      <c r="BC69" s="100" t="n">
        <v>0.151970201562262</v>
      </c>
      <c r="BD69" s="100" t="n">
        <v>0.345704334416147</v>
      </c>
      <c r="BE69" s="100" t="n">
        <v>0.48322296937974</v>
      </c>
      <c r="BF69" s="100" t="n">
        <v>0.573376435571517</v>
      </c>
      <c r="BG69" s="100" t="n">
        <v>-0.0383599993459797</v>
      </c>
      <c r="BH69" s="100" t="n">
        <v>0.025941560935777</v>
      </c>
      <c r="BI69" s="100" t="n">
        <v>0.0624802893995142</v>
      </c>
      <c r="BJ69" s="100" t="n">
        <v>0.509195410983695</v>
      </c>
      <c r="BK69" s="100" t="n">
        <v>0</v>
      </c>
      <c r="BL69" s="100" t="n">
        <v>0.0321871278935044</v>
      </c>
      <c r="BM69" s="100" t="n">
        <v>0.439446485598546</v>
      </c>
      <c r="BN69" s="100" t="n">
        <v>0.146320133059194</v>
      </c>
      <c r="BO69" s="100" t="n">
        <v>0.0254267278441167</v>
      </c>
      <c r="BP69" s="100" t="n">
        <v>0.315853203849095</v>
      </c>
      <c r="BQ69" s="100" t="n">
        <v>0</v>
      </c>
      <c r="BR69" s="100" t="n">
        <v>0.985696524843988</v>
      </c>
      <c r="BS69" s="100" t="n">
        <v>1.54351482825271</v>
      </c>
      <c r="BT69" s="100" t="n">
        <v>0.555461333290645</v>
      </c>
      <c r="BU69" s="100" t="n">
        <v>0.613656386924542</v>
      </c>
      <c r="BV69" s="100" t="n">
        <v>0.770460340864422</v>
      </c>
      <c r="BW69" s="100" t="n">
        <v>0.576165842782999</v>
      </c>
      <c r="BX69" s="100" t="n">
        <v>0.268684408479397</v>
      </c>
    </row>
    <row r="70" customFormat="false" ht="15" hidden="false" customHeight="false" outlineLevel="0" collapsed="false">
      <c r="A70" s="62" t="s">
        <v>788</v>
      </c>
      <c r="F70" s="75" t="s">
        <v>789</v>
      </c>
      <c r="G70" s="75" t="s">
        <v>789</v>
      </c>
      <c r="H70" s="75" t="s">
        <v>789</v>
      </c>
      <c r="I70" s="75" t="s">
        <v>789</v>
      </c>
      <c r="J70" s="75" t="s">
        <v>789</v>
      </c>
      <c r="K70" s="75" t="s">
        <v>789</v>
      </c>
      <c r="L70" s="75" t="s">
        <v>789</v>
      </c>
      <c r="M70" s="75" t="s">
        <v>789</v>
      </c>
      <c r="N70" s="75" t="s">
        <v>789</v>
      </c>
      <c r="O70" s="75" t="s">
        <v>789</v>
      </c>
      <c r="P70" s="75" t="s">
        <v>789</v>
      </c>
      <c r="Q70" s="75" t="s">
        <v>789</v>
      </c>
      <c r="R70" s="75" t="s">
        <v>789</v>
      </c>
      <c r="S70" s="75" t="s">
        <v>789</v>
      </c>
      <c r="T70" s="75" t="s">
        <v>789</v>
      </c>
      <c r="U70" s="75" t="s">
        <v>790</v>
      </c>
      <c r="V70" s="75" t="s">
        <v>789</v>
      </c>
      <c r="W70" s="75" t="s">
        <v>789</v>
      </c>
      <c r="X70" s="75" t="s">
        <v>790</v>
      </c>
      <c r="Y70" s="75" t="s">
        <v>791</v>
      </c>
      <c r="Z70" s="75" t="s">
        <v>791</v>
      </c>
      <c r="AA70" s="75" t="s">
        <v>789</v>
      </c>
      <c r="AB70" s="75" t="s">
        <v>790</v>
      </c>
      <c r="AC70" s="75" t="s">
        <v>789</v>
      </c>
      <c r="AD70" s="75" t="s">
        <v>789</v>
      </c>
      <c r="AE70" s="75" t="s">
        <v>789</v>
      </c>
      <c r="AF70" s="75" t="s">
        <v>789</v>
      </c>
      <c r="AG70" s="75" t="s">
        <v>789</v>
      </c>
      <c r="AH70" s="75" t="s">
        <v>789</v>
      </c>
      <c r="AI70" s="75" t="s">
        <v>789</v>
      </c>
      <c r="AJ70" s="75" t="s">
        <v>789</v>
      </c>
      <c r="AK70" s="75" t="s">
        <v>790</v>
      </c>
      <c r="AL70" s="75" t="s">
        <v>789</v>
      </c>
      <c r="AM70" s="75" t="s">
        <v>789</v>
      </c>
      <c r="AN70" s="75" t="s">
        <v>789</v>
      </c>
      <c r="AO70" s="75" t="s">
        <v>789</v>
      </c>
      <c r="AP70" s="75" t="s">
        <v>790</v>
      </c>
      <c r="AQ70" s="75" t="s">
        <v>789</v>
      </c>
      <c r="AR70" s="75" t="s">
        <v>789</v>
      </c>
      <c r="AS70" s="75" t="s">
        <v>791</v>
      </c>
      <c r="AT70" s="75" t="s">
        <v>789</v>
      </c>
      <c r="AU70" s="75" t="s">
        <v>789</v>
      </c>
      <c r="AV70" s="75" t="s">
        <v>789</v>
      </c>
      <c r="AW70" s="75" t="s">
        <v>789</v>
      </c>
      <c r="AX70" s="75" t="s">
        <v>789</v>
      </c>
      <c r="AY70" s="75" t="s">
        <v>789</v>
      </c>
      <c r="AZ70" s="75" t="s">
        <v>790</v>
      </c>
      <c r="BA70" s="75" t="s">
        <v>789</v>
      </c>
      <c r="BB70" s="75" t="s">
        <v>789</v>
      </c>
      <c r="BC70" s="75" t="s">
        <v>789</v>
      </c>
      <c r="BD70" s="75" t="s">
        <v>789</v>
      </c>
      <c r="BE70" s="75" t="s">
        <v>789</v>
      </c>
      <c r="BF70" s="75" t="s">
        <v>789</v>
      </c>
      <c r="BG70" s="75" t="s">
        <v>791</v>
      </c>
      <c r="BH70" s="75" t="s">
        <v>789</v>
      </c>
      <c r="BI70" s="75" t="s">
        <v>789</v>
      </c>
      <c r="BJ70" s="75" t="s">
        <v>789</v>
      </c>
      <c r="BK70" s="75" t="s">
        <v>790</v>
      </c>
      <c r="BL70" s="75" t="s">
        <v>789</v>
      </c>
      <c r="BM70" s="75" t="s">
        <v>789</v>
      </c>
      <c r="BN70" s="75" t="s">
        <v>789</v>
      </c>
      <c r="BO70" s="75" t="s">
        <v>789</v>
      </c>
      <c r="BP70" s="75" t="s">
        <v>789</v>
      </c>
      <c r="BQ70" s="75" t="s">
        <v>790</v>
      </c>
      <c r="BR70" s="75" t="s">
        <v>789</v>
      </c>
      <c r="BS70" s="75" t="s">
        <v>789</v>
      </c>
      <c r="BT70" s="75" t="s">
        <v>789</v>
      </c>
      <c r="BU70" s="75" t="s">
        <v>789</v>
      </c>
      <c r="BV70" s="75" t="s">
        <v>789</v>
      </c>
      <c r="BW70" s="75" t="s">
        <v>789</v>
      </c>
      <c r="BX70" s="75" t="s">
        <v>789</v>
      </c>
    </row>
    <row r="71" customFormat="false" ht="15" hidden="false" customHeight="false" outlineLevel="0" collapsed="false">
      <c r="A71" s="62" t="s">
        <v>792</v>
      </c>
      <c r="F71" s="75" t="str">
        <f aca="false">IF(F69&gt;=-0.000000001,"OK","FAIL")</f>
        <v>OK</v>
      </c>
      <c r="G71" s="75" t="str">
        <f aca="false">IF(G69&gt;=-0.000000001,"OK","FAIL")</f>
        <v>OK</v>
      </c>
      <c r="H71" s="75" t="str">
        <f aca="false">IF(H69&gt;=-0.000000001,"OK","FAIL")</f>
        <v>OK</v>
      </c>
      <c r="I71" s="75" t="str">
        <f aca="false">IF(I69&gt;=-0.000000001,"OK","FAIL")</f>
        <v>OK</v>
      </c>
      <c r="J71" s="75" t="str">
        <f aca="false">IF(J69&gt;=-0.000000001,"OK","FAIL")</f>
        <v>OK</v>
      </c>
      <c r="K71" s="75" t="str">
        <f aca="false">IF(K69&gt;=-0.000000001,"OK","FAIL")</f>
        <v>OK</v>
      </c>
      <c r="L71" s="75" t="str">
        <f aca="false">IF(L69&gt;=-0.000000001,"OK","FAIL")</f>
        <v>OK</v>
      </c>
      <c r="M71" s="75" t="str">
        <f aca="false">IF(M69&gt;=-0.000000001,"OK","FAIL")</f>
        <v>OK</v>
      </c>
      <c r="N71" s="75" t="str">
        <f aca="false">IF(N69&gt;=-0.000000001,"OK","FAIL")</f>
        <v>OK</v>
      </c>
      <c r="O71" s="75" t="str">
        <f aca="false">IF(O69&gt;=-0.000000001,"OK","FAIL")</f>
        <v>OK</v>
      </c>
      <c r="P71" s="75" t="str">
        <f aca="false">IF(P69&gt;=-0.000000001,"OK","FAIL")</f>
        <v>OK</v>
      </c>
      <c r="Q71" s="75" t="str">
        <f aca="false">IF(Q69&gt;=-0.000000001,"OK","FAIL")</f>
        <v>OK</v>
      </c>
      <c r="R71" s="75" t="str">
        <f aca="false">IF(R69&gt;=-0.000000001,"OK","FAIL")</f>
        <v>OK</v>
      </c>
      <c r="S71" s="75" t="str">
        <f aca="false">IF(S69&gt;=-0.000000001,"OK","FAIL")</f>
        <v>OK</v>
      </c>
      <c r="T71" s="75" t="str">
        <f aca="false">IF(T69&gt;=-0.000000001,"OK","FAIL")</f>
        <v>OK</v>
      </c>
      <c r="U71" s="75" t="str">
        <f aca="false">IF(ABS(U69)&lt;0.0000001,"OK","FAIL")</f>
        <v>OK</v>
      </c>
      <c r="V71" s="75" t="str">
        <f aca="false">IF(V69&gt;=-0.000000001,"OK","FAIL")</f>
        <v>OK</v>
      </c>
      <c r="W71" s="75" t="str">
        <f aca="false">IF(W69&gt;=-0.000000001,"OK","FAIL")</f>
        <v>OK</v>
      </c>
      <c r="X71" s="75" t="str">
        <f aca="false">IF(ABS(X69)&lt;0.0000001,"OK","FAIL")</f>
        <v>OK</v>
      </c>
      <c r="Y71" s="75" t="str">
        <f aca="false">IF(Y69&lt;=0.000000001,"OK","FAIL")</f>
        <v>OK</v>
      </c>
      <c r="Z71" s="75" t="str">
        <f aca="false">IF(Z69&lt;=0.000000001,"OK","FAIL")</f>
        <v>OK</v>
      </c>
      <c r="AA71" s="75" t="str">
        <f aca="false">IF(AA69&gt;=-0.000000001,"OK","FAIL")</f>
        <v>OK</v>
      </c>
      <c r="AB71" s="75" t="str">
        <f aca="false">IF(ABS(AB69)&lt;0.0000001,"OK","FAIL")</f>
        <v>OK</v>
      </c>
      <c r="AC71" s="75" t="str">
        <f aca="false">IF(AC69&gt;=-0.000000001,"OK","FAIL")</f>
        <v>OK</v>
      </c>
      <c r="AD71" s="75" t="str">
        <f aca="false">IF(AD69&gt;=-0.000000001,"OK","FAIL")</f>
        <v>OK</v>
      </c>
      <c r="AE71" s="75" t="str">
        <f aca="false">IF(AE69&gt;=-0.000000001,"OK","FAIL")</f>
        <v>OK</v>
      </c>
      <c r="AF71" s="75" t="str">
        <f aca="false">IF(AF69&gt;=-0.000000001,"OK","FAIL")</f>
        <v>OK</v>
      </c>
      <c r="AG71" s="75" t="str">
        <f aca="false">IF(AG69&gt;=-0.000000001,"OK","FAIL")</f>
        <v>OK</v>
      </c>
      <c r="AH71" s="75" t="str">
        <f aca="false">IF(AH69&gt;=-0.000000001,"OK","FAIL")</f>
        <v>OK</v>
      </c>
      <c r="AI71" s="75" t="str">
        <f aca="false">IF(AI69&gt;=-0.000000001,"OK","FAIL")</f>
        <v>OK</v>
      </c>
      <c r="AJ71" s="75" t="str">
        <f aca="false">IF(AJ69&gt;=-0.000000001,"OK","FAIL")</f>
        <v>OK</v>
      </c>
      <c r="AK71" s="75" t="str">
        <f aca="false">IF(ABS(AK69)&lt;0.0000001,"OK","FAIL")</f>
        <v>OK</v>
      </c>
      <c r="AL71" s="75" t="str">
        <f aca="false">IF(AL69&gt;=-0.000000001,"OK","FAIL")</f>
        <v>OK</v>
      </c>
      <c r="AM71" s="75" t="str">
        <f aca="false">IF(AM69&gt;=-0.000000001,"OK","FAIL")</f>
        <v>OK</v>
      </c>
      <c r="AN71" s="75" t="str">
        <f aca="false">IF(AN69&gt;=-0.000000001,"OK","FAIL")</f>
        <v>OK</v>
      </c>
      <c r="AO71" s="75" t="str">
        <f aca="false">IF(AO69&gt;=-0.000000001,"OK","FAIL")</f>
        <v>OK</v>
      </c>
      <c r="AP71" s="75" t="str">
        <f aca="false">IF(ABS(AP69)&lt;0.0000001,"OK","FAIL")</f>
        <v>OK</v>
      </c>
      <c r="AQ71" s="75" t="str">
        <f aca="false">IF(AQ69&gt;=-0.000000001,"OK","FAIL")</f>
        <v>OK</v>
      </c>
      <c r="AR71" s="75" t="str">
        <f aca="false">IF(AR69&gt;=-0.000000001,"OK","FAIL")</f>
        <v>OK</v>
      </c>
      <c r="AS71" s="75" t="str">
        <f aca="false">IF(AS69&lt;=0.000000001,"OK","FAIL")</f>
        <v>OK</v>
      </c>
      <c r="AT71" s="75" t="str">
        <f aca="false">IF(AT69&gt;=-0.000000001,"OK","FAIL")</f>
        <v>OK</v>
      </c>
      <c r="AU71" s="75" t="str">
        <f aca="false">IF(AU69&gt;=-0.000000001,"OK","FAIL")</f>
        <v>OK</v>
      </c>
      <c r="AV71" s="75" t="str">
        <f aca="false">IF(AV69&gt;=-0.000000001,"OK","FAIL")</f>
        <v>OK</v>
      </c>
      <c r="AW71" s="75" t="str">
        <f aca="false">IF(AW69&gt;=-0.000000001,"OK","FAIL")</f>
        <v>OK</v>
      </c>
      <c r="AX71" s="75" t="str">
        <f aca="false">IF(AX69&gt;=-0.000000001,"OK","FAIL")</f>
        <v>OK</v>
      </c>
      <c r="AY71" s="75" t="str">
        <f aca="false">IF(AY69&gt;=-0.000000001,"OK","FAIL")</f>
        <v>OK</v>
      </c>
      <c r="AZ71" s="75" t="str">
        <f aca="false">IF(ABS(AZ69)&lt;0.0000001,"OK","FAIL")</f>
        <v>OK</v>
      </c>
      <c r="BA71" s="75" t="str">
        <f aca="false">IF(BA69&gt;=-0.000000001,"OK","FAIL")</f>
        <v>OK</v>
      </c>
      <c r="BB71" s="75" t="str">
        <f aca="false">IF(BB69&gt;=-0.000000001,"OK","FAIL")</f>
        <v>OK</v>
      </c>
      <c r="BC71" s="75" t="str">
        <f aca="false">IF(BC69&gt;=-0.000000001,"OK","FAIL")</f>
        <v>OK</v>
      </c>
      <c r="BD71" s="75" t="str">
        <f aca="false">IF(BD69&gt;=-0.000000001,"OK","FAIL")</f>
        <v>OK</v>
      </c>
      <c r="BE71" s="75" t="str">
        <f aca="false">IF(BE69&gt;=-0.000000001,"OK","FAIL")</f>
        <v>OK</v>
      </c>
      <c r="BF71" s="75" t="str">
        <f aca="false">IF(BF69&gt;=-0.000000001,"OK","FAIL")</f>
        <v>OK</v>
      </c>
      <c r="BG71" s="75" t="str">
        <f aca="false">IF(BG69&lt;=0.000000001,"OK","FAIL")</f>
        <v>OK</v>
      </c>
      <c r="BH71" s="75" t="str">
        <f aca="false">IF(BH69&gt;=-0.000000001,"OK","FAIL")</f>
        <v>OK</v>
      </c>
      <c r="BI71" s="75" t="str">
        <f aca="false">IF(BI69&gt;=-0.000000001,"OK","FAIL")</f>
        <v>OK</v>
      </c>
      <c r="BJ71" s="75" t="str">
        <f aca="false">IF(BJ69&gt;=-0.000000001,"OK","FAIL")</f>
        <v>OK</v>
      </c>
      <c r="BK71" s="75" t="str">
        <f aca="false">IF(ABS(BK69)&lt;0.0000001,"OK","FAIL")</f>
        <v>OK</v>
      </c>
      <c r="BL71" s="75" t="str">
        <f aca="false">IF(BL69&gt;=-0.000000001,"OK","FAIL")</f>
        <v>OK</v>
      </c>
      <c r="BM71" s="75" t="str">
        <f aca="false">IF(BM69&gt;=-0.000000001,"OK","FAIL")</f>
        <v>OK</v>
      </c>
      <c r="BN71" s="75" t="str">
        <f aca="false">IF(BN69&gt;=-0.000000001,"OK","FAIL")</f>
        <v>OK</v>
      </c>
      <c r="BO71" s="75" t="str">
        <f aca="false">IF(BO69&gt;=-0.000000001,"OK","FAIL")</f>
        <v>OK</v>
      </c>
      <c r="BP71" s="75" t="str">
        <f aca="false">IF(BP69&gt;=-0.000000001,"OK","FAIL")</f>
        <v>OK</v>
      </c>
      <c r="BQ71" s="75" t="str">
        <f aca="false">IF(ABS(BQ69)&lt;0.0000001,"OK","FAIL")</f>
        <v>OK</v>
      </c>
      <c r="BR71" s="75" t="str">
        <f aca="false">IF(BR69&gt;=-0.000000001,"OK","FAIL")</f>
        <v>OK</v>
      </c>
      <c r="BS71" s="75" t="str">
        <f aca="false">IF(BS69&gt;=-0.000000001,"OK","FAIL")</f>
        <v>OK</v>
      </c>
      <c r="BT71" s="75" t="str">
        <f aca="false">IF(BT69&gt;=-0.000000001,"OK","FAIL")</f>
        <v>OK</v>
      </c>
      <c r="BU71" s="75" t="str">
        <f aca="false">IF(BU69&gt;=-0.000000001,"OK","FAIL")</f>
        <v>OK</v>
      </c>
      <c r="BV71" s="75" t="str">
        <f aca="false">IF(BV69&gt;=-0.000000001,"OK","FAIL")</f>
        <v>OK</v>
      </c>
      <c r="BW71" s="75" t="str">
        <f aca="false">IF(BW69&gt;=-0.000000001,"OK","FAIL")</f>
        <v>OK</v>
      </c>
      <c r="BX71" s="75" t="str">
        <f aca="false">IF(BX69&gt;=-0.000000001,"OK","FAIL")</f>
        <v>OK</v>
      </c>
    </row>
    <row r="73" customFormat="false" ht="15" hidden="false" customHeight="false" outlineLevel="0" collapsed="false">
      <c r="A73" s="2" t="s">
        <v>793</v>
      </c>
    </row>
    <row r="74" customFormat="false" ht="15" hidden="false" customHeight="false" outlineLevel="0" collapsed="false">
      <c r="A74" s="101" t="s">
        <v>794</v>
      </c>
      <c r="B74" s="101" t="str">
        <f aca="false">IF(AND(COUNTIF(F71:BX71,"FAIL")=0,COUNTIF(D59:D66,"✗")=0),"✓ PROVEN OPTIMAL: no food can be added, removed or swapped to lower the cost","✗ Not optimal for the current data — re-solve")</f>
        <v>✓ PROVEN OPTIMAL: no food can be added, removed or swapped to lower the cost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02" t="s">
        <v>795</v>
      </c>
    </row>
    <row r="2" customFormat="false" ht="23.85" hidden="false" customHeight="false" outlineLevel="0" collapsed="false">
      <c r="A2" s="103" t="s">
        <v>796</v>
      </c>
    </row>
    <row r="3" customFormat="false" ht="15" hidden="false" customHeight="false" outlineLevel="0" collapsed="false">
      <c r="A3" s="103" t="s">
        <v>797</v>
      </c>
    </row>
    <row r="4" customFormat="false" ht="15" hidden="false" customHeight="false" outlineLevel="0" collapsed="false">
      <c r="A4" s="103"/>
    </row>
    <row r="5" customFormat="false" ht="15" hidden="false" customHeight="false" outlineLevel="0" collapsed="false">
      <c r="A5" s="102" t="s">
        <v>798</v>
      </c>
    </row>
    <row r="6" customFormat="false" ht="15" hidden="false" customHeight="false" outlineLevel="0" collapsed="false">
      <c r="A6" s="103" t="s">
        <v>799</v>
      </c>
    </row>
    <row r="7" customFormat="false" ht="15" hidden="false" customHeight="false" outlineLevel="0" collapsed="false">
      <c r="A7" s="103" t="s">
        <v>800</v>
      </c>
    </row>
    <row r="8" customFormat="false" ht="15" hidden="false" customHeight="false" outlineLevel="0" collapsed="false">
      <c r="A8" s="103" t="s">
        <v>801</v>
      </c>
    </row>
    <row r="9" customFormat="false" ht="15" hidden="false" customHeight="false" outlineLevel="0" collapsed="false">
      <c r="A9" s="103" t="s">
        <v>802</v>
      </c>
    </row>
    <row r="10" customFormat="false" ht="15" hidden="false" customHeight="false" outlineLevel="0" collapsed="false">
      <c r="A10" s="103" t="s">
        <v>803</v>
      </c>
    </row>
    <row r="11" customFormat="false" ht="15" hidden="false" customHeight="false" outlineLevel="0" collapsed="false">
      <c r="A11" s="103"/>
    </row>
    <row r="12" customFormat="false" ht="15" hidden="false" customHeight="false" outlineLevel="0" collapsed="false">
      <c r="A12" s="102" t="s">
        <v>804</v>
      </c>
    </row>
    <row r="13" customFormat="false" ht="15" hidden="false" customHeight="false" outlineLevel="0" collapsed="false">
      <c r="A13" s="103" t="s">
        <v>805</v>
      </c>
    </row>
    <row r="14" customFormat="false" ht="15" hidden="false" customHeight="false" outlineLevel="0" collapsed="false">
      <c r="A14" s="103" t="s">
        <v>806</v>
      </c>
    </row>
    <row r="15" customFormat="false" ht="15" hidden="false" customHeight="false" outlineLevel="0" collapsed="false">
      <c r="A15" s="103" t="s">
        <v>807</v>
      </c>
    </row>
    <row r="16" customFormat="false" ht="15" hidden="false" customHeight="false" outlineLevel="0" collapsed="false">
      <c r="A16" s="103" t="s">
        <v>808</v>
      </c>
    </row>
    <row r="17" customFormat="false" ht="15" hidden="false" customHeight="false" outlineLevel="0" collapsed="false">
      <c r="A17" s="103" t="s">
        <v>809</v>
      </c>
    </row>
    <row r="18" customFormat="false" ht="15" hidden="false" customHeight="false" outlineLevel="0" collapsed="false">
      <c r="A18" s="103" t="s">
        <v>810</v>
      </c>
    </row>
    <row r="19" customFormat="false" ht="15" hidden="false" customHeight="false" outlineLevel="0" collapsed="false">
      <c r="A19" s="103" t="s">
        <v>811</v>
      </c>
    </row>
    <row r="20" customFormat="false" ht="15" hidden="false" customHeight="false" outlineLevel="0" collapsed="false">
      <c r="A20" s="103" t="s">
        <v>812</v>
      </c>
    </row>
    <row r="21" customFormat="false" ht="15" hidden="false" customHeight="false" outlineLevel="0" collapsed="false">
      <c r="A21" s="103"/>
    </row>
    <row r="22" customFormat="false" ht="15" hidden="false" customHeight="false" outlineLevel="0" collapsed="false">
      <c r="A22" s="102" t="s">
        <v>813</v>
      </c>
    </row>
    <row r="23" customFormat="false" ht="23.85" hidden="false" customHeight="false" outlineLevel="0" collapsed="false">
      <c r="A23" s="103" t="s">
        <v>814</v>
      </c>
    </row>
    <row r="24" customFormat="false" ht="15" hidden="false" customHeight="false" outlineLevel="0" collapsed="false">
      <c r="A24" s="103" t="s">
        <v>815</v>
      </c>
    </row>
    <row r="25" customFormat="false" ht="23.85" hidden="false" customHeight="false" outlineLevel="0" collapsed="false">
      <c r="A25" s="103" t="s">
        <v>816</v>
      </c>
    </row>
    <row r="26" customFormat="false" ht="15" hidden="false" customHeight="false" outlineLevel="0" collapsed="false">
      <c r="A26" s="103" t="s">
        <v>817</v>
      </c>
    </row>
    <row r="27" customFormat="false" ht="15" hidden="false" customHeight="false" outlineLevel="0" collapsed="false">
      <c r="A27" s="103" t="s">
        <v>818</v>
      </c>
    </row>
    <row r="28" customFormat="false" ht="23.85" hidden="false" customHeight="false" outlineLevel="0" collapsed="false">
      <c r="A28" s="103" t="s">
        <v>819</v>
      </c>
    </row>
    <row r="29" customFormat="false" ht="15" hidden="false" customHeight="false" outlineLevel="0" collapsed="false">
      <c r="A29" s="103" t="s">
        <v>820</v>
      </c>
    </row>
    <row r="30" customFormat="false" ht="15" hidden="false" customHeight="false" outlineLevel="0" collapsed="false">
      <c r="A30" s="103" t="s">
        <v>821</v>
      </c>
    </row>
    <row r="31" customFormat="false" ht="15" hidden="false" customHeight="false" outlineLevel="0" collapsed="false">
      <c r="A31" s="103" t="s">
        <v>822</v>
      </c>
    </row>
    <row r="32" customFormat="false" ht="15" hidden="false" customHeight="false" outlineLevel="0" collapsed="false">
      <c r="A32" s="103"/>
    </row>
    <row r="33" customFormat="false" ht="15" hidden="false" customHeight="false" outlineLevel="0" collapsed="false">
      <c r="A33" s="102" t="s">
        <v>823</v>
      </c>
    </row>
    <row r="34" customFormat="false" ht="15" hidden="false" customHeight="false" outlineLevel="0" collapsed="false">
      <c r="A34" s="103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2026-10-27T21:44:13Z</dcterms:created>
  <dc:creator>openpyxl</dc:creator>
  <dc:description/>
  <dc:language>en-US</dc:language>
  <cp:lastModifiedBy/>
  <dcterms:modified xsi:type="dcterms:W3CDTF">2026-10-27T21:44:14Z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