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ood Data" sheetId="1" state="visible" r:id="rId3"/>
    <sheet name="Matrix Model" sheetId="2" state="visible" r:id="rId4"/>
    <sheet name="Notes &amp; Sources" sheetId="3" state="visible" r:id="rId5"/>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G20" authorId="0">
      <text>
        <r>
          <rPr>
            <sz val="10"/>
            <rFont val="Arial"/>
            <family val="2"/>
          </rPr>
          <t xml:space="preserve">12 large eggs x 50 g edible each (USDA), divided by 0.88 because shell is 12% of purchase weight.</t>
        </r>
      </text>
    </comment>
    <comment ref="G21" authorId="0">
      <text>
        <r>
          <rPr>
            <sz val="10"/>
            <rFont val="Arial"/>
            <family val="2"/>
          </rPr>
          <t xml:space="preserve">1 gallon = 16 cups x 244 g per cup (USDA SR28 portion weight).</t>
        </r>
      </text>
    </comment>
    <comment ref="G24" authorId="0">
      <text>
        <r>
          <rPr>
            <sz val="10"/>
            <rFont val="Arial"/>
            <family val="2"/>
          </rPr>
          <t xml:space="preserve">1/2 gallon = 8 cups x 132 g per cup (USDA: 1/2 cup = 66 g).</t>
        </r>
      </text>
    </comment>
    <comment ref="N5" authorId="0">
      <text>
        <r>
          <rPr>
            <sz val="10"/>
            <rFont val="Arial"/>
            <family val="2"/>
          </rPr>
          <t xml:space="preserve">Palatability cap used as the upper bound u in the model (u = serving x max servings). These are team assumptions, not USDA data.</t>
        </r>
      </text>
    </comment>
  </commentList>
</comments>
</file>

<file path=xl/sharedStrings.xml><?xml version="1.0" encoding="utf-8"?>
<sst xmlns="http://schemas.openxmlformats.org/spreadsheetml/2006/main" count="503" uniqueCount="373">
  <si>
    <t xml:space="preserve">Food Data — prices, edible yields, and nutrients per 100 g edible portion</t>
  </si>
  <si>
    <t xml:space="preserve">Prices: BLS Average Price Data, U.S. city average, September 2026.  Nutrients: USDA National Nutrient Database for Standard Reference, Release 28 (SR28).  See "Notes &amp; Sources".</t>
  </si>
  <si>
    <t xml:space="preserve">Legend:  blue = input data (edit freely)   black = formula   yellow = price still needed (BLS no longer publishes it) — enter a local price and the food joins the model.</t>
  </si>
  <si>
    <t xml:space="preserve">#</t>
  </si>
  <si>
    <t xml:space="preserve">Food</t>
  </si>
  <si>
    <t xml:space="preserve">Category</t>
  </si>
  <si>
    <t xml:space="preserve">BLS item (exact name)</t>
  </si>
  <si>
    <t xml:space="preserve">Price ($)</t>
  </si>
  <si>
    <t xml:space="preserve">Price unit</t>
  </si>
  <si>
    <t xml:space="preserve">Grams per price unit (as bought)</t>
  </si>
  <si>
    <t xml:space="preserve">Edible yield</t>
  </si>
  <si>
    <t xml:space="preserve">Edible grams per unit</t>
  </si>
  <si>
    <t xml:space="preserve">Cost per 100 g edible ($)</t>
  </si>
  <si>
    <t xml:space="preserve">Serving (g)</t>
  </si>
  <si>
    <t xml:space="preserve">Serving</t>
  </si>
  <si>
    <t xml:space="preserve">Cost per serving ($)</t>
  </si>
  <si>
    <t xml:space="preserve">Max servings / day</t>
  </si>
  <si>
    <t xml:space="preserve">Calories (kcal)</t>
  </si>
  <si>
    <t xml:space="preserve">Protein (g)</t>
  </si>
  <si>
    <t xml:space="preserve">Carbohydrate (g)</t>
  </si>
  <si>
    <t xml:space="preserve">Fat (g)</t>
  </si>
  <si>
    <t xml:space="preserve">Fiber (g)</t>
  </si>
  <si>
    <t xml:space="preserve">Total sugars (g)</t>
  </si>
  <si>
    <t xml:space="preserve">Calcium (mg)</t>
  </si>
  <si>
    <t xml:space="preserve">Iron (mg)</t>
  </si>
  <si>
    <t xml:space="preserve">Potassium (mg)</t>
  </si>
  <si>
    <t xml:space="preserve">Sodium (mg)</t>
  </si>
  <si>
    <t xml:space="preserve">Vitamin C (mg)</t>
  </si>
  <si>
    <t xml:space="preserve">Protein per $ (g)</t>
  </si>
  <si>
    <t xml:space="preserve">Calories per $ (kcal)</t>
  </si>
  <si>
    <t xml:space="preserve">USDA NDB No.</t>
  </si>
  <si>
    <t xml:space="preserve">USDA food description</t>
  </si>
  <si>
    <t xml:space="preserve">USDA refuse</t>
  </si>
  <si>
    <t xml:space="preserve">Notes</t>
  </si>
  <si>
    <t xml:space="preserve">White rice (dry)</t>
  </si>
  <si>
    <t xml:space="preserve">Grains</t>
  </si>
  <si>
    <t xml:space="preserve">Rice, white, long grain, uncooked</t>
  </si>
  <si>
    <t xml:space="preserve">per lb</t>
  </si>
  <si>
    <t xml:space="preserve">1/4 cup dry (~3/4 cup cooked)</t>
  </si>
  <si>
    <t xml:space="preserve">20044</t>
  </si>
  <si>
    <t xml:space="preserve">Rice, white, long-grain, regular, raw, enriched</t>
  </si>
  <si>
    <t xml:space="preserve">0%</t>
  </si>
  <si>
    <t xml:space="preserve">Spaghetti / macaroni (dry)</t>
  </si>
  <si>
    <t xml:space="preserve">Spaghetti and macaroni</t>
  </si>
  <si>
    <t xml:space="preserve">2 oz dry</t>
  </si>
  <si>
    <t xml:space="preserve">20120</t>
  </si>
  <si>
    <t xml:space="preserve">Pasta, dry, enriched</t>
  </si>
  <si>
    <t xml:space="preserve">White bread</t>
  </si>
  <si>
    <t xml:space="preserve">Bread, white, pan</t>
  </si>
  <si>
    <t xml:space="preserve">1 slice</t>
  </si>
  <si>
    <t xml:space="preserve">18069</t>
  </si>
  <si>
    <t xml:space="preserve">Bread, white, commercially prepared (includes soft bread crumbs)</t>
  </si>
  <si>
    <t xml:space="preserve">All-purpose flour</t>
  </si>
  <si>
    <t xml:space="preserve">Flour, white, all purpose</t>
  </si>
  <si>
    <t xml:space="preserve">1/4 cup</t>
  </si>
  <si>
    <t xml:space="preserve">20081</t>
  </si>
  <si>
    <t xml:space="preserve">Wheat flour, white, all-purpose, enriched, bleached</t>
  </si>
  <si>
    <t xml:space="preserve">Ingredient (pancakes, tortillas)</t>
  </si>
  <si>
    <t xml:space="preserve">Dried pinto beans</t>
  </si>
  <si>
    <t xml:space="preserve">Legumes</t>
  </si>
  <si>
    <t xml:space="preserve">Beans, dried, any type, all sizes</t>
  </si>
  <si>
    <t xml:space="preserve">16042</t>
  </si>
  <si>
    <t xml:space="preserve">Beans, pinto, mature seeds, raw</t>
  </si>
  <si>
    <t xml:space="preserve">BLS item covers any dried bean; pinto used as the representative type</t>
  </si>
  <si>
    <t xml:space="preserve">Ground beef (regular)</t>
  </si>
  <si>
    <t xml:space="preserve">Meat</t>
  </si>
  <si>
    <t xml:space="preserve">Ground beef, 100% beef</t>
  </si>
  <si>
    <t xml:space="preserve">4 oz raw</t>
  </si>
  <si>
    <t xml:space="preserve">23572</t>
  </si>
  <si>
    <t xml:space="preserve">Beef, ground, 80% lean meat / 20% fat, raw</t>
  </si>
  <si>
    <t xml:space="preserve">Assumed 80/20 lean/fat; BLS does not state fat %</t>
  </si>
  <si>
    <t xml:space="preserve">Ground beef (lean)</t>
  </si>
  <si>
    <t xml:space="preserve">Ground beef, lean and extra lean</t>
  </si>
  <si>
    <t xml:space="preserve">23562</t>
  </si>
  <si>
    <t xml:space="preserve">Beef, ground, 90% lean meat / 10% fat, raw</t>
  </si>
  <si>
    <t xml:space="preserve">Assumed 90/10 lean/fat</t>
  </si>
  <si>
    <t xml:space="preserve">Sirloin steak</t>
  </si>
  <si>
    <t xml:space="preserve">Steak, sirloin, USDA Choice, boneless</t>
  </si>
  <si>
    <t xml:space="preserve">13931</t>
  </si>
  <si>
    <t xml:space="preserve">Beef, top sirloin, steak, separable lean and fat, trimmed to 1/8" fat, choice, raw</t>
  </si>
  <si>
    <t xml:space="preserve">3% Bone and connective tissue</t>
  </si>
  <si>
    <t xml:space="preserve">Bacon</t>
  </si>
  <si>
    <t xml:space="preserve">Bacon, sliced</t>
  </si>
  <si>
    <t xml:space="preserve">1 slice raw</t>
  </si>
  <si>
    <t xml:space="preserve">10123</t>
  </si>
  <si>
    <t xml:space="preserve">Pork, cured, bacon, unprepared</t>
  </si>
  <si>
    <t xml:space="preserve">Pork chops (boneless)</t>
  </si>
  <si>
    <t xml:space="preserve">Chops, boneless</t>
  </si>
  <si>
    <t xml:space="preserve">10164</t>
  </si>
  <si>
    <t xml:space="preserve">Pork, fresh, loin, center loin (chops), boneless, separable lean and fat, raw</t>
  </si>
  <si>
    <t xml:space="preserve">Ham (boneless)</t>
  </si>
  <si>
    <t xml:space="preserve">Ham, boneless, excluding canned</t>
  </si>
  <si>
    <t xml:space="preserve">2 slices</t>
  </si>
  <si>
    <t xml:space="preserve">07029</t>
  </si>
  <si>
    <t xml:space="preserve">Ham, sliced, regular (approximately 11% fat)</t>
  </si>
  <si>
    <t xml:space="preserve">Nutrients for sliced regular ham (~11% fat)</t>
  </si>
  <si>
    <t xml:space="preserve">Whole chicken</t>
  </si>
  <si>
    <t xml:space="preserve">Poultry</t>
  </si>
  <si>
    <t xml:space="preserve">Chicken, fresh, whole</t>
  </si>
  <si>
    <t xml:space="preserve">4 oz raw meat &amp; skin</t>
  </si>
  <si>
    <t xml:space="preserve">05006</t>
  </si>
  <si>
    <t xml:space="preserve">Chicken, broilers or fryers, meat and skin, raw</t>
  </si>
  <si>
    <t xml:space="preserve">32% Bone</t>
  </si>
  <si>
    <t xml:space="preserve">Price includes bone; edible yield applied</t>
  </si>
  <si>
    <t xml:space="preserve">Chicken breast (boneless)</t>
  </si>
  <si>
    <t xml:space="preserve">Chicken breast, boneless</t>
  </si>
  <si>
    <t xml:space="preserve">05062</t>
  </si>
  <si>
    <t xml:space="preserve">Chicken, broiler or fryers, breast, skinless, boneless, meat only, raw</t>
  </si>
  <si>
    <t xml:space="preserve">Chicken legs (bone-in)</t>
  </si>
  <si>
    <t xml:space="preserve">Chicken legs, bone-in</t>
  </si>
  <si>
    <t xml:space="preserve">05075</t>
  </si>
  <si>
    <t xml:space="preserve">Chicken, broilers or fryers, leg, meat and skin, raw</t>
  </si>
  <si>
    <t xml:space="preserve">27% Bone</t>
  </si>
  <si>
    <t xml:space="preserve">Eggs (large)</t>
  </si>
  <si>
    <t xml:space="preserve">Eggs &amp; Dairy</t>
  </si>
  <si>
    <t xml:space="preserve">Eggs, grade A, large</t>
  </si>
  <si>
    <t xml:space="preserve">per dozen</t>
  </si>
  <si>
    <t xml:space="preserve">1 large egg</t>
  </si>
  <si>
    <t xml:space="preserve">01123</t>
  </si>
  <si>
    <t xml:space="preserve">Egg, whole, raw, fresh</t>
  </si>
  <si>
    <t xml:space="preserve">12% Shell</t>
  </si>
  <si>
    <t xml:space="preserve">Dozen = 12 x 50 g edible egg; shell is 12% of purchase weight</t>
  </si>
  <si>
    <t xml:space="preserve">Whole milk</t>
  </si>
  <si>
    <t xml:space="preserve">Milk, fresh, whole, fortified</t>
  </si>
  <si>
    <t xml:space="preserve">per gallon</t>
  </si>
  <si>
    <t xml:space="preserve">1 cup</t>
  </si>
  <si>
    <t xml:space="preserve">01077</t>
  </si>
  <si>
    <t xml:space="preserve">Milk, whole, 3.25% milkfat, with added vitamin D</t>
  </si>
  <si>
    <t xml:space="preserve">Gallon = 16 cups x 244 g</t>
  </si>
  <si>
    <t xml:space="preserve">Cheddar cheese</t>
  </si>
  <si>
    <t xml:space="preserve">Cheddar cheese, natural</t>
  </si>
  <si>
    <t xml:space="preserve">1 oz</t>
  </si>
  <si>
    <t xml:space="preserve">01009</t>
  </si>
  <si>
    <t xml:space="preserve">Cheese, cheddar</t>
  </si>
  <si>
    <t xml:space="preserve">American cheese</t>
  </si>
  <si>
    <t xml:space="preserve">American processed cheese</t>
  </si>
  <si>
    <t xml:space="preserve">01042</t>
  </si>
  <si>
    <t xml:space="preserve">Cheese, pasteurized process, American, fortified with vitamin D</t>
  </si>
  <si>
    <t xml:space="preserve">Vanilla ice cream</t>
  </si>
  <si>
    <t xml:space="preserve">Snacks &amp; Sweets</t>
  </si>
  <si>
    <t xml:space="preserve">Ice cream, prepackaged, bulk, regular</t>
  </si>
  <si>
    <t xml:space="preserve">per 1/2 gallon</t>
  </si>
  <si>
    <t xml:space="preserve">1/2 cup</t>
  </si>
  <si>
    <t xml:space="preserve">19095</t>
  </si>
  <si>
    <t xml:space="preserve">Ice creams, vanilla</t>
  </si>
  <si>
    <t xml:space="preserve">1/2 gallon = 8 cups x 132 g</t>
  </si>
  <si>
    <t xml:space="preserve">Bananas</t>
  </si>
  <si>
    <t xml:space="preserve">Fruit</t>
  </si>
  <si>
    <t xml:space="preserve">1 medium</t>
  </si>
  <si>
    <t xml:space="preserve">09040</t>
  </si>
  <si>
    <t xml:space="preserve">Bananas, raw</t>
  </si>
  <si>
    <t xml:space="preserve">36% Skin</t>
  </si>
  <si>
    <t xml:space="preserve">Price includes peel; edible yield applied</t>
  </si>
  <si>
    <t xml:space="preserve">Navel oranges</t>
  </si>
  <si>
    <t xml:space="preserve">Oranges, Navel</t>
  </si>
  <si>
    <t xml:space="preserve">1 orange</t>
  </si>
  <si>
    <t xml:space="preserve">09202</t>
  </si>
  <si>
    <t xml:space="preserve">Oranges, raw, navels</t>
  </si>
  <si>
    <t xml:space="preserve">32% Peel and navel</t>
  </si>
  <si>
    <t xml:space="preserve">Strawberries</t>
  </si>
  <si>
    <t xml:space="preserve">Strawberries, dry pint</t>
  </si>
  <si>
    <t xml:space="preserve">per 12 oz</t>
  </si>
  <si>
    <t xml:space="preserve">1 cup halves</t>
  </si>
  <si>
    <t xml:space="preserve">09316</t>
  </si>
  <si>
    <t xml:space="preserve">Strawberries, raw</t>
  </si>
  <si>
    <t xml:space="preserve">6% Caps and stems</t>
  </si>
  <si>
    <t xml:space="preserve">White potatoes</t>
  </si>
  <si>
    <t xml:space="preserve">Vegetables</t>
  </si>
  <si>
    <t xml:space="preserve">Potatoes, white</t>
  </si>
  <si>
    <t xml:space="preserve">1 cup diced</t>
  </si>
  <si>
    <t xml:space="preserve">11352</t>
  </si>
  <si>
    <t xml:space="preserve">Potatoes, flesh and skin, raw</t>
  </si>
  <si>
    <t xml:space="preserve">25% Parings and trimmings</t>
  </si>
  <si>
    <t xml:space="preserve">USDA refuse assumes peeled; eating the skin raises the yield</t>
  </si>
  <si>
    <t xml:space="preserve">Iceberg lettuce</t>
  </si>
  <si>
    <t xml:space="preserve">Lettuce, iceberg</t>
  </si>
  <si>
    <t xml:space="preserve">1 cup shredded</t>
  </si>
  <si>
    <t xml:space="preserve">11252</t>
  </si>
  <si>
    <t xml:space="preserve">Lettuce, iceberg (includes crisphead types), raw</t>
  </si>
  <si>
    <t xml:space="preserve">5% Core</t>
  </si>
  <si>
    <t xml:space="preserve">Romaine lettuce</t>
  </si>
  <si>
    <t xml:space="preserve">Lettuce, romaine</t>
  </si>
  <si>
    <t xml:space="preserve">11251</t>
  </si>
  <si>
    <t xml:space="preserve">Lettuce, cos or romaine, raw</t>
  </si>
  <si>
    <t xml:space="preserve">6% Core</t>
  </si>
  <si>
    <t xml:space="preserve">Tomatoes</t>
  </si>
  <si>
    <t xml:space="preserve">Tomatoes, field grown</t>
  </si>
  <si>
    <t xml:space="preserve">1 cup chopped</t>
  </si>
  <si>
    <t xml:space="preserve">11529</t>
  </si>
  <si>
    <t xml:space="preserve">Tomatoes, red, ripe, raw, year round average</t>
  </si>
  <si>
    <t xml:space="preserve">9% Core and stem ends</t>
  </si>
  <si>
    <t xml:space="preserve">White sugar</t>
  </si>
  <si>
    <t xml:space="preserve">Sugar, white, all sizes</t>
  </si>
  <si>
    <t xml:space="preserve">1 tsp</t>
  </si>
  <si>
    <t xml:space="preserve">19335</t>
  </si>
  <si>
    <t xml:space="preserve">Sugars, granulated</t>
  </si>
  <si>
    <t xml:space="preserve">Chocolate chip cookies</t>
  </si>
  <si>
    <t xml:space="preserve">Cookies, chocolate chip</t>
  </si>
  <si>
    <t xml:space="preserve">2 cookies</t>
  </si>
  <si>
    <t xml:space="preserve">18159</t>
  </si>
  <si>
    <t xml:space="preserve">Cookies, chocolate chip, commercially prepared, regular, higher fat, enriched</t>
  </si>
  <si>
    <t xml:space="preserve">Potato chips</t>
  </si>
  <si>
    <t xml:space="preserve">per 16 oz</t>
  </si>
  <si>
    <t xml:space="preserve">19411</t>
  </si>
  <si>
    <t xml:space="preserve">Snacks, potato chips, plain, salted</t>
  </si>
  <si>
    <t xml:space="preserve">Peanut butter</t>
  </si>
  <si>
    <t xml:space="preserve">(BLS series discontinued Dec 2017)</t>
  </si>
  <si>
    <t xml:space="preserve">2 tbsp</t>
  </si>
  <si>
    <t xml:space="preserve">16098</t>
  </si>
  <si>
    <t xml:space="preserve">Peanut butter, smooth style, with salt</t>
  </si>
  <si>
    <t xml:space="preserve">Enter a local price</t>
  </si>
  <si>
    <t xml:space="preserve">Rolled oats (dry)</t>
  </si>
  <si>
    <t xml:space="preserve">(not priced by BLS)</t>
  </si>
  <si>
    <t xml:space="preserve">1/2 cup dry</t>
  </si>
  <si>
    <t xml:space="preserve">08120</t>
  </si>
  <si>
    <t xml:space="preserve">Cereals, oats, regular and quick, not fortified, dry</t>
  </si>
  <si>
    <t xml:space="preserve">Broccoli</t>
  </si>
  <si>
    <t xml:space="preserve">(BLS series discontinued Mar 2020)</t>
  </si>
  <si>
    <t xml:space="preserve">11090</t>
  </si>
  <si>
    <t xml:space="preserve">Broccoli, raw</t>
  </si>
  <si>
    <t xml:space="preserve">39% Leaves and tough stalks with trimmings</t>
  </si>
  <si>
    <t xml:space="preserve">Carrots</t>
  </si>
  <si>
    <t xml:space="preserve">(BLS series discontinued Mar 2014)</t>
  </si>
  <si>
    <t xml:space="preserve">11124</t>
  </si>
  <si>
    <t xml:space="preserve">Carrots, raw</t>
  </si>
  <si>
    <t xml:space="preserve">11% Crown, tops and scrapings</t>
  </si>
  <si>
    <t xml:space="preserve">Apples</t>
  </si>
  <si>
    <t xml:space="preserve">(BLS series discontinued Oct 2017)</t>
  </si>
  <si>
    <t xml:space="preserve">09003</t>
  </si>
  <si>
    <t xml:space="preserve">Apples, raw, with skin</t>
  </si>
  <si>
    <t xml:space="preserve">10% Core and stem</t>
  </si>
  <si>
    <t xml:space="preserve">Canned light tuna (drained)</t>
  </si>
  <si>
    <t xml:space="preserve">Fish</t>
  </si>
  <si>
    <t xml:space="preserve">per lb drained</t>
  </si>
  <si>
    <t xml:space="preserve">3 oz drained</t>
  </si>
  <si>
    <t xml:space="preserve">15121</t>
  </si>
  <si>
    <t xml:space="preserve">Fish, tuna, light, canned in water, drained solids</t>
  </si>
  <si>
    <t xml:space="preserve">Enter a local price per lb of drained tuna</t>
  </si>
  <si>
    <t xml:space="preserve">Butter (salted)</t>
  </si>
  <si>
    <t xml:space="preserve">(BLS series discontinued Apr 2012)</t>
  </si>
  <si>
    <t xml:space="preserve">1 tbsp</t>
  </si>
  <si>
    <t xml:space="preserve">01001</t>
  </si>
  <si>
    <t xml:space="preserve">Butter, salted</t>
  </si>
  <si>
    <t xml:space="preserve">Diet optimization as a linear program in matrix form</t>
  </si>
  <si>
    <t xml:space="preserve">minimize  cᵀx    subject to    b_min ≤ A·x ≤ b_max,    0 ≤ x ≤ u        (x_j = amount of food j per day, in 100 g units)</t>
  </si>
  <si>
    <t xml:space="preserve">A (11 nutrients × 36 foods) is pulled from Food Data.  A·x and cᵀx are matrix products (MMULT).  Change the blue targets, then re-solve (website optimizer or Excel Solver — see Notes &amp; Sources).</t>
  </si>
  <si>
    <t xml:space="preserve">1. TARGETS  (inputs — paste from the FeasaBULL calculator)</t>
  </si>
  <si>
    <t xml:space="preserve">Input</t>
  </si>
  <si>
    <t xml:space="preserve">Value / min</t>
  </si>
  <si>
    <t xml:space="preserve">Max</t>
  </si>
  <si>
    <t xml:space="preserve">Basis</t>
  </si>
  <si>
    <t xml:space="preserve">Calorie target (kcal/day)</t>
  </si>
  <si>
    <t xml:space="preserve">Estimated Energy Requirement from the calculator</t>
  </si>
  <si>
    <t xml:space="preserve">Calorie tolerance (±)</t>
  </si>
  <si>
    <t xml:space="preserve">Allowed band around the calorie target</t>
  </si>
  <si>
    <t xml:space="preserve">Protein (% of calories)</t>
  </si>
  <si>
    <t xml:space="preserve">AMDR, adults</t>
  </si>
  <si>
    <t xml:space="preserve">Carbohydrate (% of calories)</t>
  </si>
  <si>
    <t xml:space="preserve">Fat (% of calories)</t>
  </si>
  <si>
    <t xml:space="preserve">AI, men 19–50 (women: 25)</t>
  </si>
  <si>
    <t xml:space="preserve">RDA, adults 19–50</t>
  </si>
  <si>
    <t xml:space="preserve">RDA, men 19+ (women 19–50: 18)</t>
  </si>
  <si>
    <t xml:space="preserve">AI, men 19+ (women: 2,600)</t>
  </si>
  <si>
    <t xml:space="preserve">RDA, men (women: 75)</t>
  </si>
  <si>
    <t xml:space="preserve">Chronic Disease Risk Reduction intake (upper)</t>
  </si>
  <si>
    <t xml:space="preserve">Optional maximum — leave blank for none</t>
  </si>
  <si>
    <t xml:space="preserve">Example person: male, 19–30, active, maintain weight. Replace these with the calculator output for each user.</t>
  </si>
  <si>
    <t xml:space="preserve">2. CONSTRAINT SYSTEM   b_min ≤ A·x ≤ b_max   (A = nutrient matrix: rows = nutrients, columns = foods, per 100 g edible)</t>
  </si>
  <si>
    <t xml:space="preserve">i</t>
  </si>
  <si>
    <t xml:space="preserve">Nutrient</t>
  </si>
  <si>
    <t xml:space="preserve">Unit</t>
  </si>
  <si>
    <t xml:space="preserve">b_min</t>
  </si>
  <si>
    <t xml:space="preserve">b_max</t>
  </si>
  <si>
    <t xml:space="preserve">A·x*  (optimized)</t>
  </si>
  <si>
    <t xml:space="preserve">Status</t>
  </si>
  <si>
    <t xml:space="preserve">A·x  (typical day)</t>
  </si>
  <si>
    <t xml:space="preserve">Typical-day status</t>
  </si>
  <si>
    <t xml:space="preserve">Calories</t>
  </si>
  <si>
    <t xml:space="preserve">kcal</t>
  </si>
  <si>
    <t xml:space="preserve">Protein</t>
  </si>
  <si>
    <t xml:space="preserve">g</t>
  </si>
  <si>
    <t xml:space="preserve">Carbohydrate</t>
  </si>
  <si>
    <t xml:space="preserve">Fat</t>
  </si>
  <si>
    <t xml:space="preserve">Fiber</t>
  </si>
  <si>
    <t xml:space="preserve">Total sugars</t>
  </si>
  <si>
    <t xml:space="preserve">Calcium</t>
  </si>
  <si>
    <t xml:space="preserve">mg</t>
  </si>
  <si>
    <t xml:space="preserve">Iron</t>
  </si>
  <si>
    <t xml:space="preserve">Potassium</t>
  </si>
  <si>
    <t xml:space="preserve">Sodium</t>
  </si>
  <si>
    <t xml:space="preserve">Vitamin C</t>
  </si>
  <si>
    <t xml:space="preserve">c  — cost, $ per 100 g edible</t>
  </si>
  <si>
    <t xml:space="preserve">cᵀ (row vector)</t>
  </si>
  <si>
    <t xml:space="preserve">u  — cap, 100 g units / day</t>
  </si>
  <si>
    <t xml:space="preserve">u = 0 when no price</t>
  </si>
  <si>
    <t xml:space="preserve">3. DIET VECTORS x  (column vectors, 100 g units per day)</t>
  </si>
  <si>
    <t xml:space="preserve">x* = optimal solution from the Simplex method for the example targets (pasted values; re-solve after changing targets).  Typical day = a hand-built, non-optimized day for comparison (edit freely).</t>
  </si>
  <si>
    <t xml:space="preserve">j</t>
  </si>
  <si>
    <t xml:space="preserve">x*  optimized</t>
  </si>
  <si>
    <t xml:space="preserve">u  (cap)</t>
  </si>
  <si>
    <t xml:space="preserve">grams</t>
  </si>
  <si>
    <t xml:space="preserve">servings</t>
  </si>
  <si>
    <t xml:space="preserve">cost ($)</t>
  </si>
  <si>
    <t xml:space="preserve">at cap?</t>
  </si>
  <si>
    <t xml:space="preserve">x  typical day</t>
  </si>
  <si>
    <t xml:space="preserve">Total cost per day   cᵀx</t>
  </si>
  <si>
    <t xml:space="preserve">optimized →</t>
  </si>
  <si>
    <t xml:space="preserve">typical →</t>
  </si>
  <si>
    <t xml:space="preserve">Total cost per week   7·cᵀx</t>
  </si>
  <si>
    <t xml:space="preserve">Targets missed</t>
  </si>
  <si>
    <t xml:space="preserve">4. WHY x* IS OPTIMAL — at a Simplex corner the tight constraints form a square linear system  B·x_B = r</t>
  </si>
  <si>
    <t xml:space="preserve">In x*, 4 foods are free (0 &lt; x &lt; u), 3 sit at their caps (x = u), and exactly 4 nutrient constraints are tight. Moving the capped foods to the right-hand side leaves 4 equations in 4 unknowns: B·x_B = r, with r = b_B − N·u_N.  Since det(B) ≠ 0, x_B = B⁻¹·r is unique — and it reproduces the Simplex answer.  (Valid for the example targets; re-derive the tight set if targets change.)</t>
  </si>
  <si>
    <t xml:space="preserve">Tight constraint</t>
  </si>
  <si>
    <t xml:space="preserve">B: White rice (dry)</t>
  </si>
  <si>
    <t xml:space="preserve">B: Spaghetti / macaroni (dry)</t>
  </si>
  <si>
    <t xml:space="preserve">B: Chicken legs (bone-in)</t>
  </si>
  <si>
    <t xml:space="preserve">B: Navel oranges</t>
  </si>
  <si>
    <t xml:space="preserve">N: All-purpose flour</t>
  </si>
  <si>
    <t xml:space="preserve">N: Dried pinto beans</t>
  </si>
  <si>
    <t xml:space="preserve">N: Whole milk</t>
  </si>
  <si>
    <t xml:space="preserve">b_B</t>
  </si>
  <si>
    <t xml:space="preserve">r = b_B − N·u_N</t>
  </si>
  <si>
    <t xml:space="preserve">x_B = B⁻¹·r</t>
  </si>
  <si>
    <t xml:space="preserve">x* (Simplex)</t>
  </si>
  <si>
    <t xml:space="preserve">difference</t>
  </si>
  <si>
    <t xml:space="preserve">Capped food</t>
  </si>
  <si>
    <t xml:space="preserve">u_N</t>
  </si>
  <si>
    <t xml:space="preserve">Calories ≥ min</t>
  </si>
  <si>
    <t xml:space="preserve">Fat ≥ min</t>
  </si>
  <si>
    <t xml:space="preserve">Fiber ≥ min</t>
  </si>
  <si>
    <t xml:space="preserve">Vitamin C ≥ min</t>
  </si>
  <si>
    <t xml:space="preserve">B⁻¹  (MINVERSE)</t>
  </si>
  <si>
    <t xml:space="preserve">det(B)  (MDETERM)</t>
  </si>
  <si>
    <t xml:space="preserve">Check:</t>
  </si>
  <si>
    <t xml:space="preserve">5. SHADOW PRICES  yᵀ = c_Bᵀ·B⁻¹  — the extra $/day caused by raising each tight target by one unit</t>
  </si>
  <si>
    <t xml:space="preserve">Row vector</t>
  </si>
  <si>
    <t xml:space="preserve">c_Bᵀ  (cost of free foods, $/100 g)</t>
  </si>
  <si>
    <t xml:space="preserve">yᵀ = c_Bᵀ·B⁻¹  ($ per unit)</t>
  </si>
  <si>
    <t xml:space="preserve">Same, in friendlier units</t>
  </si>
  <si>
    <t xml:space="preserve">Fat and fiber are the expensive constraints: they are what pushes the cheapest diet toward chicken legs and oranges instead of more rice.</t>
  </si>
  <si>
    <t xml:space="preserve">6. OPTIMALITY CERTIFICATE   d = c − yᵀ·A_B   (reduced cost of every food)</t>
  </si>
  <si>
    <t xml:space="preserve">A_B  = tight rows of A</t>
  </si>
  <si>
    <t xml:space="preserve">d = c − yᵀ·A_B   ($ per 100 g)</t>
  </si>
  <si>
    <t xml:space="preserve">Condition (x = 0 → d ≥ 0;  at cap → d ≤ 0;  free → d = 0)</t>
  </si>
  <si>
    <t xml:space="preserve">Is x* provably optimal?</t>
  </si>
  <si>
    <t xml:space="preserve">How this workbook maps to the project</t>
  </si>
  <si>
    <t xml:space="preserve">Food Data = the raw data. Matrix Model = the linear algebra: nutrient matrix A, cost vector c, target vectors b_min / b_max, diet vector x, and the products A·x and cᵀx (MMULT).</t>
  </si>
  <si>
    <t xml:space="preserve">Section 4 proves the answer with a square linear system (MINVERSE, MDETERM); sections 5–6 give shadow prices and the optimality certificate.</t>
  </si>
  <si>
    <t xml:space="preserve">The website optimizer (diet-optimizer.js) uses exactly this A, c, b and solves it with a two-phase Simplex written as Gauss-Jordan row operations.</t>
  </si>
  <si>
    <t xml:space="preserve">Re-solving inside Excel (Solver add-in, Data → Solver)</t>
  </si>
  <si>
    <t xml:space="preserve">Set Objective: 'Matrix Model'!G76   To: Min   By Changing Variable Cells: 'Matrix Model'!C40:C75</t>
  </si>
  <si>
    <t xml:space="preserve">Constraints: F23:F33 &gt;= D23:D33;  F23:F33 &lt;= E23:E33;  C40:C75 &lt;= D40:D75.   Tick 'Make Unconstrained Variables Non-Negative'.   Solving Method: Simplex LP.</t>
  </si>
  <si>
    <t xml:space="preserve">Google Sheets: install the free "Solver" add-on, or paste x from the website. Sections 4–6 only apply to the example targets until you re-derive the tight constraints.</t>
  </si>
  <si>
    <t xml:space="preserve">Assumptions to state in the presentation</t>
  </si>
  <si>
    <t xml:space="preserve">1. Prices are national averages (BLS U.S. city average), not Tampa store prices. Regional prices differ; a store-specific price list can replace column E of Food Data.</t>
  </si>
  <si>
    <t xml:space="preserve">2. Nutrients are per 100 g of the food as bought and edible (raw meat, dry rice/pasta/beans). Cooking mostly changes water weight; small cooking losses (e.g., vitamin C, fat dripping from meat) are ignored.</t>
  </si>
  <si>
    <t xml:space="preserve">3. Prices are converted to $ per 100 g EDIBLE portion with USDA refuse percentages (bone in chicken, peel on bananas/oranges, shells on eggs). Without this, bone-in chicken looks ~30% cheaper than it is.</t>
  </si>
  <si>
    <t xml:space="preserve">4. BLS item → USDA food matches are judgment calls where BLS is generic: "Ground beef, 100% beef" = 80/20, "lean and extra lean" = 90/10, "Beans, dried, any type" = pinto.</t>
  </si>
  <si>
    <t xml:space="preserve">5. "Max servings / day" caps are team assumptions to keep the diet realistic. Without caps, a pure min-cost LP eats implausible amounts of the cheapest foods (Stigler, 1945; Dantzig, 1990).</t>
  </si>
  <si>
    <t xml:space="preserve">6. BLS discontinued average prices for peanut butter (Dec 2017), apples (Oct 2017), broccoli (Mar 2020), carrots (Mar 2014) and butter (Apr 2012), and never priced oats or canned tuna. Those rows need a dated local price before they enter the model.</t>
  </si>
  <si>
    <t xml:space="preserve">7. With only BLS-priced foods, a vegan plan is infeasible: no priced vegan food supplies enough fat or calcium (no oil, peanut butter, tofu, or fortified soy milk). Add priced foods to fix this.</t>
  </si>
  <si>
    <t xml:space="preserve">8. USDA SR28 is from 2015; FoodData Central's "SR Legacy" (2018) carries the same NDB numbers and is where these foods can be looked up online.</t>
  </si>
  <si>
    <t xml:space="preserve">References (APA 7)</t>
  </si>
  <si>
    <t xml:space="preserve">U.S. Bureau of Labor Statistics. (2026). Average retail food and energy prices, U.S. and Midwest region [Data table]. Retrieved October 26, 2026, from https://www.bls.gov/regions/mid-atlantic/data/averageretailfoodandenergyprices_usandmidwest_table.htm</t>
  </si>
  <si>
    <t xml:space="preserve">U.S. Department of Agriculture, Agricultural Research Service, Nutrient Data Laboratory. (2015). USDA National Nutrient Database for Standard Reference, Release 28 [Data set]. http://www.ars.usda.gov/nea/bhnrc/ndl</t>
  </si>
  <si>
    <t xml:space="preserve">U.S. Department of Agriculture, Agricultural Research Service. (2019). FoodData Central: SR Legacy [Data set]. https://fdc.nal.usda.gov/</t>
  </si>
  <si>
    <t xml:space="preserve">U.S. Bureau of Labor Statistics. (2019). Average price: Peanut butter, creamy, all sizes (cost per pound/453.6 grams) in U.S. city average [APU0000716141; discontinued]. Federal Reserve Bank of St. Louis. https://fred.stlouisfed.org/series/APU0000716141</t>
  </si>
  <si>
    <t xml:space="preserve">Institute of Medicine. (2005). Dietary reference intakes for energy, carbohydrate, fiber, fat, fatty acids, cholesterol, protein, and amino acids. The National Academies Press. https://doi.org/10.17226/10490</t>
  </si>
  <si>
    <t xml:space="preserve">National Academies of Sciences, Engineering, and Medicine. (2019). Dietary reference intakes for sodium and potassium. The National Academies Press. https://doi.org/10.17226/25353</t>
  </si>
  <si>
    <t xml:space="preserve">Dantzig, G. B. (1990). The diet problem. Interfaces, 20(4), 43–47. https://doi.org/10.1287/inte.20.4.43</t>
  </si>
  <si>
    <t xml:space="preserve">Stigler, G. J. (1945). The cost of subsistence. Journal of Farm Economics, 27(2), 303–314. https://doi.org/10.2307/1231810</t>
  </si>
  <si>
    <t xml:space="preserve">Color legend</t>
  </si>
  <si>
    <t xml:space="preserve">Blue text = input data you can edit.  Black = formula.  Green = link to another sheet.  Yellow fill = price still needed.  Grey fill = matrix-product results.</t>
  </si>
</sst>
</file>

<file path=xl/styles.xml><?xml version="1.0" encoding="utf-8"?>
<styleSheet xmlns="http://schemas.openxmlformats.org/spreadsheetml/2006/main">
  <numFmts count="18">
    <numFmt numFmtId="164" formatCode="General"/>
    <numFmt numFmtId="165" formatCode="\$0.000"/>
    <numFmt numFmtId="166" formatCode="#,##0.0"/>
    <numFmt numFmtId="167" formatCode="0%"/>
    <numFmt numFmtId="168" formatCode="0.0"/>
    <numFmt numFmtId="169" formatCode="\$0.00"/>
    <numFmt numFmtId="170" formatCode="0.00"/>
    <numFmt numFmtId="171" formatCode="#,##0"/>
    <numFmt numFmtId="172" formatCode="0"/>
    <numFmt numFmtId="173" formatCode="#,##0.0;\-#,##0.0;&quot;none&quot;"/>
    <numFmt numFmtId="174" formatCode="[&gt;=999999]&quot;none&quot;;#,##0.0"/>
    <numFmt numFmtId="175" formatCode="0.000"/>
    <numFmt numFmtId="176" formatCode="0.0000"/>
    <numFmt numFmtId="177" formatCode="#,##0.000"/>
    <numFmt numFmtId="178" formatCode="0.000000"/>
    <numFmt numFmtId="179" formatCode="0.0E+00"/>
    <numFmt numFmtId="180" formatCode="\$0.0000"/>
    <numFmt numFmtId="181" formatCode="\$0.00000"/>
  </numFmts>
  <fonts count="14">
    <font>
      <sz val="11"/>
      <color theme="1"/>
      <name val="Calibri"/>
      <family val="2"/>
      <charset val="1"/>
    </font>
    <font>
      <sz val="10"/>
      <name val="Arial"/>
      <family val="0"/>
    </font>
    <font>
      <sz val="10"/>
      <name val="Arial"/>
      <family val="0"/>
    </font>
    <font>
      <sz val="10"/>
      <name val="Arial"/>
      <family val="0"/>
    </font>
    <font>
      <b val="true"/>
      <sz val="14"/>
      <color rgb="FF000000"/>
      <name val="Arial"/>
      <family val="0"/>
      <charset val="1"/>
    </font>
    <font>
      <i val="true"/>
      <sz val="10"/>
      <color rgb="FF000000"/>
      <name val="Arial"/>
      <family val="0"/>
      <charset val="1"/>
    </font>
    <font>
      <b val="true"/>
      <sz val="10"/>
      <color rgb="FFFFFFFF"/>
      <name val="Arial"/>
      <family val="0"/>
      <charset val="1"/>
    </font>
    <font>
      <sz val="10"/>
      <color rgb="FF000000"/>
      <name val="Arial"/>
      <family val="0"/>
      <charset val="1"/>
    </font>
    <font>
      <b val="true"/>
      <sz val="10"/>
      <color rgb="FF000000"/>
      <name val="Arial"/>
      <family val="0"/>
      <charset val="1"/>
    </font>
    <font>
      <sz val="10"/>
      <color rgb="FF0000FF"/>
      <name val="Arial"/>
      <family val="0"/>
      <charset val="1"/>
    </font>
    <font>
      <sz val="10"/>
      <name val="Arial"/>
      <family val="2"/>
    </font>
    <font>
      <b val="true"/>
      <sz val="11"/>
      <color rgb="FF000000"/>
      <name val="Arial"/>
      <family val="0"/>
      <charset val="1"/>
    </font>
    <font>
      <b val="true"/>
      <sz val="10"/>
      <color rgb="FF008000"/>
      <name val="Arial"/>
      <family val="0"/>
      <charset val="1"/>
    </font>
    <font>
      <sz val="10"/>
      <color rgb="FF008000"/>
      <name val="Arial"/>
      <family val="0"/>
      <charset val="1"/>
    </font>
  </fonts>
  <fills count="6">
    <fill>
      <patternFill patternType="none"/>
    </fill>
    <fill>
      <patternFill patternType="gray125"/>
    </fill>
    <fill>
      <patternFill patternType="solid">
        <fgColor rgb="FF1F3864"/>
        <bgColor rgb="FF333333"/>
      </patternFill>
    </fill>
    <fill>
      <patternFill patternType="solid">
        <fgColor rgb="FFFFFF00"/>
        <bgColor rgb="FFFFFF00"/>
      </patternFill>
    </fill>
    <fill>
      <patternFill patternType="solid">
        <fgColor rgb="FFD9E1F2"/>
        <bgColor rgb="FFF2F2F2"/>
      </patternFill>
    </fill>
    <fill>
      <patternFill patternType="solid">
        <fgColor rgb="FFF2F2F2"/>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5" fontId="9" fillId="0" borderId="1" xfId="0" applyFont="true" applyBorder="true" applyAlignment="false" applyProtection="false">
      <alignment horizontal="general" vertical="bottom" textRotation="0" wrapText="false" indent="0" shrinkToFit="false"/>
      <protection locked="true" hidden="false"/>
    </xf>
    <xf numFmtId="166" fontId="9" fillId="0" borderId="1" xfId="0" applyFont="true" applyBorder="true" applyAlignment="false" applyProtection="false">
      <alignment horizontal="general" vertical="bottom" textRotation="0" wrapText="false" indent="0" shrinkToFit="false"/>
      <protection locked="true" hidden="false"/>
    </xf>
    <xf numFmtId="167" fontId="9"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8" fontId="9" fillId="0" borderId="1" xfId="0" applyFont="true" applyBorder="true" applyAlignment="false" applyProtection="false">
      <alignment horizontal="general" vertical="bottom" textRotation="0" wrapText="false" indent="0" shrinkToFit="false"/>
      <protection locked="true" hidden="false"/>
    </xf>
    <xf numFmtId="169" fontId="7"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70" fontId="9" fillId="0" borderId="1" xfId="0" applyFont="true" applyBorder="true" applyAlignment="false" applyProtection="false">
      <alignment horizontal="general" vertical="bottom"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71" fontId="7" fillId="0" borderId="1" xfId="0" applyFont="true" applyBorder="true" applyAlignment="false" applyProtection="false">
      <alignment horizontal="general" vertical="bottom" textRotation="0" wrapText="false" indent="0" shrinkToFit="false"/>
      <protection locked="true" hidden="false"/>
    </xf>
    <xf numFmtId="165" fontId="9" fillId="3"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71" fontId="9"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72" fontId="9" fillId="0" borderId="1" xfId="0" applyFont="true" applyBorder="true" applyAlignment="false" applyProtection="false">
      <alignment horizontal="general" vertical="bottom" textRotation="0" wrapText="false" indent="0" shrinkToFit="false"/>
      <protection locked="true" hidden="false"/>
    </xf>
    <xf numFmtId="164" fontId="12" fillId="4" borderId="1" xfId="0" applyFont="true" applyBorder="true" applyAlignment="true" applyProtection="false">
      <alignment horizontal="center" vertical="center" textRotation="0" wrapText="true" indent="0" shrinkToFit="false"/>
      <protection locked="true" hidden="false"/>
    </xf>
    <xf numFmtId="173" fontId="7" fillId="0" borderId="1" xfId="0" applyFont="true" applyBorder="true" applyAlignment="false" applyProtection="false">
      <alignment horizontal="general" vertical="bottom" textRotation="0" wrapText="false" indent="0" shrinkToFit="false"/>
      <protection locked="true" hidden="false"/>
    </xf>
    <xf numFmtId="174" fontId="7" fillId="0" borderId="1" xfId="0" applyFont="true" applyBorder="true" applyAlignment="false" applyProtection="false">
      <alignment horizontal="general" vertical="bottom" textRotation="0" wrapText="false" indent="0" shrinkToFit="false"/>
      <protection locked="true" hidden="false"/>
    </xf>
    <xf numFmtId="166" fontId="8" fillId="5"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6" fontId="7" fillId="5" borderId="1" xfId="0" applyFont="true" applyBorder="true" applyAlignment="false" applyProtection="false">
      <alignment horizontal="general" vertical="bottom" textRotation="0" wrapText="false" indent="0" shrinkToFit="false"/>
      <protection locked="true" hidden="false"/>
    </xf>
    <xf numFmtId="170" fontId="13" fillId="0" borderId="1" xfId="0" applyFont="true" applyBorder="true" applyAlignment="false" applyProtection="false">
      <alignment horizontal="general" vertical="bottom" textRotation="0" wrapText="false" indent="0" shrinkToFit="false"/>
      <protection locked="true" hidden="false"/>
    </xf>
    <xf numFmtId="164" fontId="8" fillId="4" borderId="1" xfId="0" applyFont="true" applyBorder="true" applyAlignment="false" applyProtection="false">
      <alignment horizontal="general" vertical="bottom" textRotation="0" wrapText="false" indent="0" shrinkToFit="false"/>
      <protection locked="true" hidden="false"/>
    </xf>
    <xf numFmtId="165" fontId="13" fillId="4" borderId="1" xfId="0" applyFont="true" applyBorder="true" applyAlignment="false" applyProtection="false">
      <alignment horizontal="general" vertical="bottom" textRotation="0" wrapText="false" indent="0" shrinkToFit="false"/>
      <protection locked="true" hidden="false"/>
    </xf>
    <xf numFmtId="175" fontId="13" fillId="4" borderId="1" xfId="0" applyFont="true" applyBorder="true" applyAlignment="false" applyProtection="false">
      <alignment horizontal="general" vertical="bottom" textRotation="0" wrapText="false" indent="0" shrinkToFit="false"/>
      <protection locked="true" hidden="false"/>
    </xf>
    <xf numFmtId="164" fontId="13" fillId="0" borderId="1" xfId="0" applyFont="true" applyBorder="true" applyAlignment="false" applyProtection="false">
      <alignment horizontal="general" vertical="bottom" textRotation="0" wrapText="false" indent="0" shrinkToFit="false"/>
      <protection locked="true" hidden="false"/>
    </xf>
    <xf numFmtId="176" fontId="9" fillId="5" borderId="1" xfId="0" applyFont="true" applyBorder="true" applyAlignment="false" applyProtection="false">
      <alignment horizontal="general" vertical="bottom" textRotation="0" wrapText="false" indent="0" shrinkToFit="false"/>
      <protection locked="true" hidden="false"/>
    </xf>
    <xf numFmtId="175" fontId="7" fillId="0" borderId="1" xfId="0" applyFont="true" applyBorder="true" applyAlignment="false" applyProtection="false">
      <alignment horizontal="general" vertical="bottom" textRotation="0" wrapText="false" indent="0" shrinkToFit="false"/>
      <protection locked="true" hidden="false"/>
    </xf>
    <xf numFmtId="172" fontId="7" fillId="0" borderId="1" xfId="0" applyFont="true" applyBorder="true" applyAlignment="false" applyProtection="false">
      <alignment horizontal="general" vertical="bottom" textRotation="0" wrapText="false" indent="0" shrinkToFit="false"/>
      <protection locked="true" hidden="false"/>
    </xf>
    <xf numFmtId="170" fontId="7" fillId="0" borderId="1" xfId="0" applyFont="true" applyBorder="true" applyAlignment="false" applyProtection="false">
      <alignment horizontal="general" vertical="bottom" textRotation="0" wrapText="false" indent="0" shrinkToFit="false"/>
      <protection locked="true" hidden="false"/>
    </xf>
    <xf numFmtId="175" fontId="9" fillId="0" borderId="1" xfId="0" applyFont="true" applyBorder="true" applyAlignment="false" applyProtection="false">
      <alignment horizontal="general" vertical="bottom" textRotation="0" wrapText="false" indent="0" shrinkToFit="false"/>
      <protection locked="true" hidden="false"/>
    </xf>
    <xf numFmtId="169" fontId="8" fillId="4" borderId="1" xfId="0" applyFont="true" applyBorder="true" applyAlignment="false" applyProtection="false">
      <alignment horizontal="general" vertical="bottom" textRotation="0" wrapText="false" indent="0" shrinkToFit="false"/>
      <protection locked="true" hidden="false"/>
    </xf>
    <xf numFmtId="177" fontId="7" fillId="0" borderId="1" xfId="0" applyFont="true" applyBorder="true" applyAlignment="false" applyProtection="false">
      <alignment horizontal="general" vertical="bottom" textRotation="0" wrapText="false" indent="0" shrinkToFit="false"/>
      <protection locked="true" hidden="false"/>
    </xf>
    <xf numFmtId="177" fontId="7" fillId="5" borderId="1" xfId="0" applyFont="true" applyBorder="true" applyAlignment="false" applyProtection="false">
      <alignment horizontal="general" vertical="bottom" textRotation="0" wrapText="false" indent="0" shrinkToFit="false"/>
      <protection locked="true" hidden="false"/>
    </xf>
    <xf numFmtId="178" fontId="8" fillId="5" borderId="1" xfId="0" applyFont="true" applyBorder="true" applyAlignment="false" applyProtection="false">
      <alignment horizontal="general" vertical="bottom" textRotation="0" wrapText="false" indent="0" shrinkToFit="false"/>
      <protection locked="true" hidden="false"/>
    </xf>
    <xf numFmtId="178" fontId="7" fillId="0" borderId="1" xfId="0" applyFont="true" applyBorder="true" applyAlignment="false" applyProtection="false">
      <alignment horizontal="general" vertical="bottom" textRotation="0" wrapText="false" indent="0" shrinkToFit="false"/>
      <protection locked="true" hidden="false"/>
    </xf>
    <xf numFmtId="179" fontId="7" fillId="0" borderId="1" xfId="0" applyFont="true" applyBorder="true" applyAlignment="false" applyProtection="false">
      <alignment horizontal="general" vertical="bottom" textRotation="0" wrapText="false" indent="0" shrinkToFit="false"/>
      <protection locked="true" hidden="false"/>
    </xf>
    <xf numFmtId="178" fontId="7" fillId="5" borderId="1" xfId="0" applyFont="true" applyBorder="true" applyAlignment="false" applyProtection="false">
      <alignment horizontal="general" vertical="bottom" textRotation="0" wrapText="false" indent="0" shrinkToFit="false"/>
      <protection locked="true" hidden="false"/>
    </xf>
    <xf numFmtId="180" fontId="7" fillId="0" borderId="1" xfId="0" applyFont="true" applyBorder="true" applyAlignment="false" applyProtection="false">
      <alignment horizontal="general" vertical="bottom" textRotation="0" wrapText="false" indent="0" shrinkToFit="false"/>
      <protection locked="true" hidden="false"/>
    </xf>
    <xf numFmtId="181" fontId="8" fillId="5"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76" fontId="8" fillId="5" borderId="1"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4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24"/>
    <col collapsed="false" customWidth="true" hidden="false" outlineLevel="0" max="3" min="3" style="0" width="13"/>
    <col collapsed="false" customWidth="true" hidden="false" outlineLevel="0" max="4" min="4" style="0" width="30"/>
    <col collapsed="false" customWidth="true" hidden="false" outlineLevel="0" max="5" min="5" style="0" width="9"/>
    <col collapsed="false" customWidth="true" hidden="false" outlineLevel="0" max="6" min="6" style="0" width="12"/>
    <col collapsed="false" customWidth="true" hidden="false" outlineLevel="0" max="7" min="7" style="0" width="11"/>
    <col collapsed="false" customWidth="true" hidden="false" outlineLevel="0" max="8" min="8" style="0" width="8"/>
    <col collapsed="false" customWidth="true" hidden="false" outlineLevel="0" max="9" min="9" style="0" width="10"/>
    <col collapsed="false" customWidth="true" hidden="false" outlineLevel="0" max="10" min="10" style="0" width="11"/>
    <col collapsed="false" customWidth="true" hidden="false" outlineLevel="0" max="11" min="11" style="0" width="8"/>
    <col collapsed="false" customWidth="true" hidden="false" outlineLevel="0" max="12" min="12" style="0" width="22"/>
    <col collapsed="false" customWidth="true" hidden="false" outlineLevel="0" max="13" min="13" style="0" width="10"/>
    <col collapsed="false" customWidth="true" hidden="false" outlineLevel="0" max="26" min="14" style="0" width="9"/>
    <col collapsed="false" customWidth="true" hidden="false" outlineLevel="0" max="27" min="27" style="0" width="10"/>
    <col collapsed="false" customWidth="true" hidden="false" outlineLevel="0" max="28" min="28" style="0" width="9"/>
    <col collapsed="false" customWidth="true" hidden="false" outlineLevel="0" max="29" min="29" style="0" width="48"/>
    <col collapsed="false" customWidth="true" hidden="false" outlineLevel="0" max="30" min="30" style="0" width="26"/>
    <col collapsed="false" customWidth="true" hidden="false" outlineLevel="0" max="31" min="31" style="0" width="46"/>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t="s">
        <v>2</v>
      </c>
    </row>
    <row r="5" customFormat="false" ht="54" hidden="false" customHeight="true" outlineLevel="0" collapsed="false">
      <c r="A5" s="3" t="s">
        <v>3</v>
      </c>
      <c r="B5" s="3" t="s">
        <v>4</v>
      </c>
      <c r="C5" s="3" t="s">
        <v>5</v>
      </c>
      <c r="D5" s="3" t="s">
        <v>6</v>
      </c>
      <c r="E5" s="3" t="s">
        <v>7</v>
      </c>
      <c r="F5" s="3" t="s">
        <v>8</v>
      </c>
      <c r="G5" s="3" t="s">
        <v>9</v>
      </c>
      <c r="H5" s="3" t="s">
        <v>10</v>
      </c>
      <c r="I5" s="3" t="s">
        <v>11</v>
      </c>
      <c r="J5" s="3" t="s">
        <v>12</v>
      </c>
      <c r="K5" s="3" t="s">
        <v>13</v>
      </c>
      <c r="L5" s="3" t="s">
        <v>14</v>
      </c>
      <c r="M5" s="3" t="s">
        <v>15</v>
      </c>
      <c r="N5" s="3" t="s">
        <v>16</v>
      </c>
      <c r="O5" s="3" t="s">
        <v>17</v>
      </c>
      <c r="P5" s="3" t="s">
        <v>18</v>
      </c>
      <c r="Q5" s="3" t="s">
        <v>19</v>
      </c>
      <c r="R5" s="3" t="s">
        <v>20</v>
      </c>
      <c r="S5" s="3" t="s">
        <v>21</v>
      </c>
      <c r="T5" s="3" t="s">
        <v>22</v>
      </c>
      <c r="U5" s="3" t="s">
        <v>23</v>
      </c>
      <c r="V5" s="3" t="s">
        <v>24</v>
      </c>
      <c r="W5" s="3" t="s">
        <v>25</v>
      </c>
      <c r="X5" s="3" t="s">
        <v>26</v>
      </c>
      <c r="Y5" s="3" t="s">
        <v>27</v>
      </c>
      <c r="Z5" s="3" t="s">
        <v>28</v>
      </c>
      <c r="AA5" s="3" t="s">
        <v>29</v>
      </c>
      <c r="AB5" s="3" t="s">
        <v>30</v>
      </c>
      <c r="AC5" s="3" t="s">
        <v>31</v>
      </c>
      <c r="AD5" s="3" t="s">
        <v>32</v>
      </c>
      <c r="AE5" s="3" t="s">
        <v>33</v>
      </c>
    </row>
    <row r="6" customFormat="false" ht="15" hidden="false" customHeight="false" outlineLevel="0" collapsed="false">
      <c r="A6" s="4" t="n">
        <v>1</v>
      </c>
      <c r="B6" s="5" t="s">
        <v>34</v>
      </c>
      <c r="C6" s="4" t="s">
        <v>35</v>
      </c>
      <c r="D6" s="4" t="s">
        <v>36</v>
      </c>
      <c r="E6" s="6" t="n">
        <v>1.118</v>
      </c>
      <c r="F6" s="4" t="s">
        <v>37</v>
      </c>
      <c r="G6" s="7" t="n">
        <v>453.6</v>
      </c>
      <c r="H6" s="8" t="n">
        <v>1</v>
      </c>
      <c r="I6" s="9" t="n">
        <f aca="false">G6*H6</f>
        <v>453.6</v>
      </c>
      <c r="J6" s="10" t="n">
        <f aca="false">IF(E6="","",E6/I6*100)</f>
        <v>0.24647266313933</v>
      </c>
      <c r="K6" s="11" t="n">
        <v>46</v>
      </c>
      <c r="L6" s="4" t="s">
        <v>38</v>
      </c>
      <c r="M6" s="12" t="n">
        <f aca="false">IF(J6="","",J6*K6/100)</f>
        <v>0.113377425044092</v>
      </c>
      <c r="N6" s="13" t="n">
        <v>4</v>
      </c>
      <c r="O6" s="14" t="n">
        <v>365</v>
      </c>
      <c r="P6" s="14" t="n">
        <v>7.13</v>
      </c>
      <c r="Q6" s="14" t="n">
        <v>79.95</v>
      </c>
      <c r="R6" s="14" t="n">
        <v>0.66</v>
      </c>
      <c r="S6" s="14" t="n">
        <v>1.3</v>
      </c>
      <c r="T6" s="14" t="n">
        <v>0.12</v>
      </c>
      <c r="U6" s="14" t="n">
        <v>28</v>
      </c>
      <c r="V6" s="14" t="n">
        <v>4.31</v>
      </c>
      <c r="W6" s="14" t="n">
        <v>115</v>
      </c>
      <c r="X6" s="14" t="n">
        <v>5</v>
      </c>
      <c r="Y6" s="14" t="n">
        <v>0</v>
      </c>
      <c r="Z6" s="15" t="n">
        <f aca="false">IF(J6="","",P6/J6)</f>
        <v>28.9281574239714</v>
      </c>
      <c r="AA6" s="16" t="n">
        <f aca="false">IF(J6="","",O6/J6)</f>
        <v>1480.89445438283</v>
      </c>
      <c r="AB6" s="4" t="s">
        <v>39</v>
      </c>
      <c r="AC6" s="4" t="s">
        <v>40</v>
      </c>
      <c r="AD6" s="4" t="s">
        <v>41</v>
      </c>
      <c r="AE6" s="4"/>
    </row>
    <row r="7" customFormat="false" ht="15" hidden="false" customHeight="false" outlineLevel="0" collapsed="false">
      <c r="A7" s="4" t="n">
        <v>2</v>
      </c>
      <c r="B7" s="5" t="s">
        <v>42</v>
      </c>
      <c r="C7" s="4" t="s">
        <v>35</v>
      </c>
      <c r="D7" s="4" t="s">
        <v>43</v>
      </c>
      <c r="E7" s="6" t="n">
        <v>1.375</v>
      </c>
      <c r="F7" s="4" t="s">
        <v>37</v>
      </c>
      <c r="G7" s="7" t="n">
        <v>453.6</v>
      </c>
      <c r="H7" s="8" t="n">
        <v>1</v>
      </c>
      <c r="I7" s="9" t="n">
        <f aca="false">G7*H7</f>
        <v>453.6</v>
      </c>
      <c r="J7" s="10" t="n">
        <f aca="false">IF(E7="","",E7/I7*100)</f>
        <v>0.303130511463845</v>
      </c>
      <c r="K7" s="11" t="n">
        <v>57</v>
      </c>
      <c r="L7" s="4" t="s">
        <v>44</v>
      </c>
      <c r="M7" s="12" t="n">
        <f aca="false">IF(J7="","",J7*K7/100)</f>
        <v>0.172784391534392</v>
      </c>
      <c r="N7" s="13" t="n">
        <v>3</v>
      </c>
      <c r="O7" s="14" t="n">
        <v>371</v>
      </c>
      <c r="P7" s="14" t="n">
        <v>13.04</v>
      </c>
      <c r="Q7" s="14" t="n">
        <v>74.67</v>
      </c>
      <c r="R7" s="14" t="n">
        <v>1.51</v>
      </c>
      <c r="S7" s="14" t="n">
        <v>3.2</v>
      </c>
      <c r="T7" s="14" t="n">
        <v>2.67</v>
      </c>
      <c r="U7" s="14" t="n">
        <v>21</v>
      </c>
      <c r="V7" s="14" t="n">
        <v>3.3</v>
      </c>
      <c r="W7" s="14" t="n">
        <v>223</v>
      </c>
      <c r="X7" s="14" t="n">
        <v>6</v>
      </c>
      <c r="Y7" s="14" t="n">
        <v>0</v>
      </c>
      <c r="Z7" s="15" t="n">
        <f aca="false">IF(J7="","",P7/J7)</f>
        <v>43.0177745454545</v>
      </c>
      <c r="AA7" s="16" t="n">
        <f aca="false">IF(J7="","",O7/J7)</f>
        <v>1223.89527272727</v>
      </c>
      <c r="AB7" s="4" t="s">
        <v>45</v>
      </c>
      <c r="AC7" s="4" t="s">
        <v>46</v>
      </c>
      <c r="AD7" s="4" t="s">
        <v>41</v>
      </c>
      <c r="AE7" s="4"/>
    </row>
    <row r="8" customFormat="false" ht="15" hidden="false" customHeight="false" outlineLevel="0" collapsed="false">
      <c r="A8" s="4" t="n">
        <v>3</v>
      </c>
      <c r="B8" s="5" t="s">
        <v>47</v>
      </c>
      <c r="C8" s="4" t="s">
        <v>35</v>
      </c>
      <c r="D8" s="4" t="s">
        <v>48</v>
      </c>
      <c r="E8" s="6" t="n">
        <v>1.83</v>
      </c>
      <c r="F8" s="4" t="s">
        <v>37</v>
      </c>
      <c r="G8" s="7" t="n">
        <v>453.6</v>
      </c>
      <c r="H8" s="8" t="n">
        <v>1</v>
      </c>
      <c r="I8" s="9" t="n">
        <f aca="false">G8*H8</f>
        <v>453.6</v>
      </c>
      <c r="J8" s="10" t="n">
        <f aca="false">IF(E8="","",E8/I8*100)</f>
        <v>0.403439153439153</v>
      </c>
      <c r="K8" s="11" t="n">
        <v>29</v>
      </c>
      <c r="L8" s="4" t="s">
        <v>49</v>
      </c>
      <c r="M8" s="12" t="n">
        <f aca="false">IF(J8="","",J8*K8/100)</f>
        <v>0.116997354497354</v>
      </c>
      <c r="N8" s="13" t="n">
        <v>6</v>
      </c>
      <c r="O8" s="14" t="n">
        <v>266</v>
      </c>
      <c r="P8" s="14" t="n">
        <v>8.85</v>
      </c>
      <c r="Q8" s="14" t="n">
        <v>49.42</v>
      </c>
      <c r="R8" s="14" t="n">
        <v>3.33</v>
      </c>
      <c r="S8" s="14" t="n">
        <v>2.7</v>
      </c>
      <c r="T8" s="14" t="n">
        <v>5.67</v>
      </c>
      <c r="U8" s="14" t="n">
        <v>144</v>
      </c>
      <c r="V8" s="14" t="n">
        <v>3.61</v>
      </c>
      <c r="W8" s="14" t="n">
        <v>126</v>
      </c>
      <c r="X8" s="14" t="n">
        <v>490</v>
      </c>
      <c r="Y8" s="14" t="n">
        <v>0</v>
      </c>
      <c r="Z8" s="15" t="n">
        <f aca="false">IF(J8="","",P8/J8)</f>
        <v>21.936393442623</v>
      </c>
      <c r="AA8" s="16" t="n">
        <f aca="false">IF(J8="","",O8/J8)</f>
        <v>659.331147540984</v>
      </c>
      <c r="AB8" s="4" t="s">
        <v>50</v>
      </c>
      <c r="AC8" s="4" t="s">
        <v>51</v>
      </c>
      <c r="AD8" s="4" t="s">
        <v>41</v>
      </c>
      <c r="AE8" s="4"/>
    </row>
    <row r="9" customFormat="false" ht="15" hidden="false" customHeight="false" outlineLevel="0" collapsed="false">
      <c r="A9" s="4" t="n">
        <v>4</v>
      </c>
      <c r="B9" s="5" t="s">
        <v>52</v>
      </c>
      <c r="C9" s="4" t="s">
        <v>35</v>
      </c>
      <c r="D9" s="4" t="s">
        <v>53</v>
      </c>
      <c r="E9" s="6" t="n">
        <v>0.545</v>
      </c>
      <c r="F9" s="4" t="s">
        <v>37</v>
      </c>
      <c r="G9" s="7" t="n">
        <v>453.6</v>
      </c>
      <c r="H9" s="8" t="n">
        <v>1</v>
      </c>
      <c r="I9" s="9" t="n">
        <f aca="false">G9*H9</f>
        <v>453.6</v>
      </c>
      <c r="J9" s="10" t="n">
        <f aca="false">IF(E9="","",E9/I9*100)</f>
        <v>0.120149911816578</v>
      </c>
      <c r="K9" s="11" t="n">
        <v>31</v>
      </c>
      <c r="L9" s="4" t="s">
        <v>54</v>
      </c>
      <c r="M9" s="12" t="n">
        <f aca="false">IF(J9="","",J9*K9/100)</f>
        <v>0.0372464726631393</v>
      </c>
      <c r="N9" s="13" t="n">
        <v>3</v>
      </c>
      <c r="O9" s="14" t="n">
        <v>364</v>
      </c>
      <c r="P9" s="14" t="n">
        <v>10.33</v>
      </c>
      <c r="Q9" s="14" t="n">
        <v>76.31</v>
      </c>
      <c r="R9" s="14" t="n">
        <v>0.98</v>
      </c>
      <c r="S9" s="14" t="n">
        <v>2.7</v>
      </c>
      <c r="T9" s="14" t="n">
        <v>0.27</v>
      </c>
      <c r="U9" s="14" t="n">
        <v>15</v>
      </c>
      <c r="V9" s="14" t="n">
        <v>4.64</v>
      </c>
      <c r="W9" s="14" t="n">
        <v>107</v>
      </c>
      <c r="X9" s="14" t="n">
        <v>2</v>
      </c>
      <c r="Y9" s="14" t="n">
        <v>0</v>
      </c>
      <c r="Z9" s="15" t="n">
        <f aca="false">IF(J9="","",P9/J9)</f>
        <v>85.9759266055046</v>
      </c>
      <c r="AA9" s="16" t="n">
        <f aca="false">IF(J9="","",O9/J9)</f>
        <v>3029.54862385321</v>
      </c>
      <c r="AB9" s="4" t="s">
        <v>55</v>
      </c>
      <c r="AC9" s="4" t="s">
        <v>56</v>
      </c>
      <c r="AD9" s="4" t="s">
        <v>41</v>
      </c>
      <c r="AE9" s="4" t="s">
        <v>57</v>
      </c>
    </row>
    <row r="10" customFormat="false" ht="15" hidden="false" customHeight="false" outlineLevel="0" collapsed="false">
      <c r="A10" s="4" t="n">
        <v>5</v>
      </c>
      <c r="B10" s="5" t="s">
        <v>58</v>
      </c>
      <c r="C10" s="4" t="s">
        <v>59</v>
      </c>
      <c r="D10" s="4" t="s">
        <v>60</v>
      </c>
      <c r="E10" s="6" t="n">
        <v>1.669</v>
      </c>
      <c r="F10" s="4" t="s">
        <v>37</v>
      </c>
      <c r="G10" s="7" t="n">
        <v>453.6</v>
      </c>
      <c r="H10" s="8" t="n">
        <v>1</v>
      </c>
      <c r="I10" s="9" t="n">
        <f aca="false">G10*H10</f>
        <v>453.6</v>
      </c>
      <c r="J10" s="10" t="n">
        <f aca="false">IF(E10="","",E10/I10*100)</f>
        <v>0.36794532627866</v>
      </c>
      <c r="K10" s="11" t="n">
        <v>48</v>
      </c>
      <c r="L10" s="4" t="s">
        <v>38</v>
      </c>
      <c r="M10" s="12" t="n">
        <f aca="false">IF(J10="","",J10*K10/100)</f>
        <v>0.176613756613757</v>
      </c>
      <c r="N10" s="13" t="n">
        <v>4</v>
      </c>
      <c r="O10" s="14" t="n">
        <v>347</v>
      </c>
      <c r="P10" s="14" t="n">
        <v>21.42</v>
      </c>
      <c r="Q10" s="14" t="n">
        <v>62.55</v>
      </c>
      <c r="R10" s="14" t="n">
        <v>1.23</v>
      </c>
      <c r="S10" s="14" t="n">
        <v>15.5</v>
      </c>
      <c r="T10" s="14" t="n">
        <v>2.11</v>
      </c>
      <c r="U10" s="14" t="n">
        <v>113</v>
      </c>
      <c r="V10" s="14" t="n">
        <v>5.07</v>
      </c>
      <c r="W10" s="14" t="n">
        <v>1393</v>
      </c>
      <c r="X10" s="14" t="n">
        <v>12</v>
      </c>
      <c r="Y10" s="14" t="n">
        <v>6.3</v>
      </c>
      <c r="Z10" s="15" t="n">
        <f aca="false">IF(J10="","",P10/J10)</f>
        <v>58.2151707609347</v>
      </c>
      <c r="AA10" s="16" t="n">
        <f aca="false">IF(J10="","",O10/J10)</f>
        <v>943.074895146795</v>
      </c>
      <c r="AB10" s="4" t="s">
        <v>61</v>
      </c>
      <c r="AC10" s="4" t="s">
        <v>62</v>
      </c>
      <c r="AD10" s="4" t="s">
        <v>41</v>
      </c>
      <c r="AE10" s="4" t="s">
        <v>63</v>
      </c>
    </row>
    <row r="11" customFormat="false" ht="15" hidden="false" customHeight="false" outlineLevel="0" collapsed="false">
      <c r="A11" s="4" t="n">
        <v>6</v>
      </c>
      <c r="B11" s="5" t="s">
        <v>64</v>
      </c>
      <c r="C11" s="4" t="s">
        <v>65</v>
      </c>
      <c r="D11" s="4" t="s">
        <v>66</v>
      </c>
      <c r="E11" s="6" t="n">
        <v>6.792</v>
      </c>
      <c r="F11" s="4" t="s">
        <v>37</v>
      </c>
      <c r="G11" s="7" t="n">
        <v>453.6</v>
      </c>
      <c r="H11" s="8" t="n">
        <v>1</v>
      </c>
      <c r="I11" s="9" t="n">
        <f aca="false">G11*H11</f>
        <v>453.6</v>
      </c>
      <c r="J11" s="10" t="n">
        <f aca="false">IF(E11="","",E11/I11*100)</f>
        <v>1.4973544973545</v>
      </c>
      <c r="K11" s="11" t="n">
        <v>113</v>
      </c>
      <c r="L11" s="4" t="s">
        <v>67</v>
      </c>
      <c r="M11" s="12" t="n">
        <f aca="false">IF(J11="","",J11*K11/100)</f>
        <v>1.69201058201058</v>
      </c>
      <c r="N11" s="13" t="n">
        <v>2</v>
      </c>
      <c r="O11" s="14" t="n">
        <v>254</v>
      </c>
      <c r="P11" s="14" t="n">
        <v>17.17</v>
      </c>
      <c r="Q11" s="14" t="n">
        <v>0</v>
      </c>
      <c r="R11" s="14" t="n">
        <v>20</v>
      </c>
      <c r="S11" s="14" t="n">
        <v>0</v>
      </c>
      <c r="T11" s="14" t="n">
        <v>0</v>
      </c>
      <c r="U11" s="14" t="n">
        <v>18</v>
      </c>
      <c r="V11" s="14" t="n">
        <v>1.94</v>
      </c>
      <c r="W11" s="14" t="n">
        <v>270</v>
      </c>
      <c r="X11" s="14" t="n">
        <v>66</v>
      </c>
      <c r="Y11" s="14" t="n">
        <v>0</v>
      </c>
      <c r="Z11" s="15" t="n">
        <f aca="false">IF(J11="","",P11/J11)</f>
        <v>11.466890459364</v>
      </c>
      <c r="AA11" s="16" t="n">
        <f aca="false">IF(J11="","",O11/J11)</f>
        <v>169.632508833922</v>
      </c>
      <c r="AB11" s="4" t="s">
        <v>68</v>
      </c>
      <c r="AC11" s="4" t="s">
        <v>69</v>
      </c>
      <c r="AD11" s="4" t="s">
        <v>41</v>
      </c>
      <c r="AE11" s="4" t="s">
        <v>70</v>
      </c>
    </row>
    <row r="12" customFormat="false" ht="15" hidden="false" customHeight="false" outlineLevel="0" collapsed="false">
      <c r="A12" s="4" t="n">
        <v>7</v>
      </c>
      <c r="B12" s="5" t="s">
        <v>71</v>
      </c>
      <c r="C12" s="4" t="s">
        <v>65</v>
      </c>
      <c r="D12" s="4" t="s">
        <v>72</v>
      </c>
      <c r="E12" s="6" t="n">
        <v>8.461</v>
      </c>
      <c r="F12" s="4" t="s">
        <v>37</v>
      </c>
      <c r="G12" s="7" t="n">
        <v>453.6</v>
      </c>
      <c r="H12" s="8" t="n">
        <v>1</v>
      </c>
      <c r="I12" s="9" t="n">
        <f aca="false">G12*H12</f>
        <v>453.6</v>
      </c>
      <c r="J12" s="10" t="n">
        <f aca="false">IF(E12="","",E12/I12*100)</f>
        <v>1.86529982363316</v>
      </c>
      <c r="K12" s="11" t="n">
        <v>113</v>
      </c>
      <c r="L12" s="4" t="s">
        <v>67</v>
      </c>
      <c r="M12" s="12" t="n">
        <f aca="false">IF(J12="","",J12*K12/100)</f>
        <v>2.10778880070547</v>
      </c>
      <c r="N12" s="13" t="n">
        <v>2</v>
      </c>
      <c r="O12" s="14" t="n">
        <v>176</v>
      </c>
      <c r="P12" s="14" t="n">
        <v>20</v>
      </c>
      <c r="Q12" s="14" t="n">
        <v>0</v>
      </c>
      <c r="R12" s="14" t="n">
        <v>10</v>
      </c>
      <c r="S12" s="14" t="n">
        <v>0</v>
      </c>
      <c r="T12" s="14" t="n">
        <v>0</v>
      </c>
      <c r="U12" s="14" t="n">
        <v>12</v>
      </c>
      <c r="V12" s="14" t="n">
        <v>2.24</v>
      </c>
      <c r="W12" s="14" t="n">
        <v>321</v>
      </c>
      <c r="X12" s="14" t="n">
        <v>66</v>
      </c>
      <c r="Y12" s="14" t="n">
        <v>0</v>
      </c>
      <c r="Z12" s="15" t="n">
        <f aca="false">IF(J12="","",P12/J12)</f>
        <v>10.7221368632549</v>
      </c>
      <c r="AA12" s="16" t="n">
        <f aca="false">IF(J12="","",O12/J12)</f>
        <v>94.3548043966434</v>
      </c>
      <c r="AB12" s="4" t="s">
        <v>73</v>
      </c>
      <c r="AC12" s="4" t="s">
        <v>74</v>
      </c>
      <c r="AD12" s="4" t="s">
        <v>41</v>
      </c>
      <c r="AE12" s="4" t="s">
        <v>75</v>
      </c>
    </row>
    <row r="13" customFormat="false" ht="15" hidden="false" customHeight="false" outlineLevel="0" collapsed="false">
      <c r="A13" s="4" t="n">
        <v>8</v>
      </c>
      <c r="B13" s="5" t="s">
        <v>76</v>
      </c>
      <c r="C13" s="4" t="s">
        <v>65</v>
      </c>
      <c r="D13" s="4" t="s">
        <v>77</v>
      </c>
      <c r="E13" s="6" t="n">
        <v>14.106</v>
      </c>
      <c r="F13" s="4" t="s">
        <v>37</v>
      </c>
      <c r="G13" s="7" t="n">
        <v>453.6</v>
      </c>
      <c r="H13" s="8" t="n">
        <v>0.97</v>
      </c>
      <c r="I13" s="9" t="n">
        <f aca="false">G13*H13</f>
        <v>439.992</v>
      </c>
      <c r="J13" s="10" t="n">
        <f aca="false">IF(E13="","",E13/I13*100)</f>
        <v>3.20596738122511</v>
      </c>
      <c r="K13" s="11" t="n">
        <v>113</v>
      </c>
      <c r="L13" s="4" t="s">
        <v>67</v>
      </c>
      <c r="M13" s="12" t="n">
        <f aca="false">IF(J13="","",J13*K13/100)</f>
        <v>3.62274314078438</v>
      </c>
      <c r="N13" s="13" t="n">
        <v>2</v>
      </c>
      <c r="O13" s="14" t="n">
        <v>214</v>
      </c>
      <c r="P13" s="14" t="n">
        <v>19.92</v>
      </c>
      <c r="Q13" s="14" t="n">
        <v>0</v>
      </c>
      <c r="R13" s="14" t="n">
        <v>14.28</v>
      </c>
      <c r="S13" s="14" t="n">
        <v>0</v>
      </c>
      <c r="T13" s="14" t="n">
        <v>0</v>
      </c>
      <c r="U13" s="14" t="n">
        <v>25</v>
      </c>
      <c r="V13" s="14" t="n">
        <v>1.46</v>
      </c>
      <c r="W13" s="14" t="n">
        <v>309</v>
      </c>
      <c r="X13" s="14" t="n">
        <v>51</v>
      </c>
      <c r="Y13" s="14" t="n">
        <v>0</v>
      </c>
      <c r="Z13" s="15" t="n">
        <f aca="false">IF(J13="","",P13/J13)</f>
        <v>6.21341318587835</v>
      </c>
      <c r="AA13" s="16" t="n">
        <f aca="false">IF(J13="","",O13/J13)</f>
        <v>66.7505231816248</v>
      </c>
      <c r="AB13" s="4" t="s">
        <v>78</v>
      </c>
      <c r="AC13" s="4" t="s">
        <v>79</v>
      </c>
      <c r="AD13" s="4" t="s">
        <v>80</v>
      </c>
      <c r="AE13" s="4"/>
    </row>
    <row r="14" customFormat="false" ht="15" hidden="false" customHeight="false" outlineLevel="0" collapsed="false">
      <c r="A14" s="4" t="n">
        <v>9</v>
      </c>
      <c r="B14" s="5" t="s">
        <v>81</v>
      </c>
      <c r="C14" s="4" t="s">
        <v>65</v>
      </c>
      <c r="D14" s="4" t="s">
        <v>82</v>
      </c>
      <c r="E14" s="6" t="n">
        <v>6.756</v>
      </c>
      <c r="F14" s="4" t="s">
        <v>37</v>
      </c>
      <c r="G14" s="7" t="n">
        <v>453.6</v>
      </c>
      <c r="H14" s="8" t="n">
        <v>1</v>
      </c>
      <c r="I14" s="9" t="n">
        <f aca="false">G14*H14</f>
        <v>453.6</v>
      </c>
      <c r="J14" s="10" t="n">
        <f aca="false">IF(E14="","",E14/I14*100)</f>
        <v>1.48941798941799</v>
      </c>
      <c r="K14" s="11" t="n">
        <v>28</v>
      </c>
      <c r="L14" s="4" t="s">
        <v>83</v>
      </c>
      <c r="M14" s="12" t="n">
        <f aca="false">IF(J14="","",J14*K14/100)</f>
        <v>0.417037037037037</v>
      </c>
      <c r="N14" s="13" t="n">
        <v>3</v>
      </c>
      <c r="O14" s="14" t="n">
        <v>417</v>
      </c>
      <c r="P14" s="14" t="n">
        <v>12.62</v>
      </c>
      <c r="Q14" s="14" t="n">
        <v>1.28</v>
      </c>
      <c r="R14" s="14" t="n">
        <v>39.69</v>
      </c>
      <c r="S14" s="14" t="n">
        <v>0</v>
      </c>
      <c r="T14" s="14" t="n">
        <v>1</v>
      </c>
      <c r="U14" s="14" t="n">
        <v>5</v>
      </c>
      <c r="V14" s="14" t="n">
        <v>0.41</v>
      </c>
      <c r="W14" s="14" t="n">
        <v>198</v>
      </c>
      <c r="X14" s="14" t="n">
        <v>662</v>
      </c>
      <c r="Y14" s="14" t="n">
        <v>0</v>
      </c>
      <c r="Z14" s="15" t="n">
        <f aca="false">IF(J14="","",P14/J14)</f>
        <v>8.47310834813499</v>
      </c>
      <c r="AA14" s="16" t="n">
        <f aca="false">IF(J14="","",O14/J14)</f>
        <v>279.97513321492</v>
      </c>
      <c r="AB14" s="4" t="s">
        <v>84</v>
      </c>
      <c r="AC14" s="4" t="s">
        <v>85</v>
      </c>
      <c r="AD14" s="4" t="s">
        <v>41</v>
      </c>
      <c r="AE14" s="4"/>
    </row>
    <row r="15" customFormat="false" ht="15" hidden="false" customHeight="false" outlineLevel="0" collapsed="false">
      <c r="A15" s="4" t="n">
        <v>10</v>
      </c>
      <c r="B15" s="5" t="s">
        <v>86</v>
      </c>
      <c r="C15" s="4" t="s">
        <v>65</v>
      </c>
      <c r="D15" s="4" t="s">
        <v>87</v>
      </c>
      <c r="E15" s="6" t="n">
        <v>4.55</v>
      </c>
      <c r="F15" s="4" t="s">
        <v>37</v>
      </c>
      <c r="G15" s="7" t="n">
        <v>453.6</v>
      </c>
      <c r="H15" s="8" t="n">
        <v>1</v>
      </c>
      <c r="I15" s="9" t="n">
        <f aca="false">G15*H15</f>
        <v>453.6</v>
      </c>
      <c r="J15" s="10" t="n">
        <f aca="false">IF(E15="","",E15/I15*100)</f>
        <v>1.00308641975309</v>
      </c>
      <c r="K15" s="11" t="n">
        <v>113</v>
      </c>
      <c r="L15" s="4" t="s">
        <v>67</v>
      </c>
      <c r="M15" s="12" t="n">
        <f aca="false">IF(J15="","",J15*K15/100)</f>
        <v>1.13348765432099</v>
      </c>
      <c r="N15" s="13" t="n">
        <v>2</v>
      </c>
      <c r="O15" s="14" t="n">
        <v>201</v>
      </c>
      <c r="P15" s="14" t="n">
        <v>21.14</v>
      </c>
      <c r="Q15" s="14" t="n">
        <v>0</v>
      </c>
      <c r="R15" s="14" t="n">
        <v>12.96</v>
      </c>
      <c r="S15" s="14" t="n">
        <v>0</v>
      </c>
      <c r="T15" s="14" t="n">
        <v>0</v>
      </c>
      <c r="U15" s="14" t="n">
        <v>9</v>
      </c>
      <c r="V15" s="14" t="n">
        <v>0.48</v>
      </c>
      <c r="W15" s="14" t="n">
        <v>345</v>
      </c>
      <c r="X15" s="14" t="n">
        <v>82</v>
      </c>
      <c r="Y15" s="14" t="n">
        <v>0</v>
      </c>
      <c r="Z15" s="15" t="n">
        <f aca="false">IF(J15="","",P15/J15)</f>
        <v>21.0749538461538</v>
      </c>
      <c r="AA15" s="16" t="n">
        <f aca="false">IF(J15="","",O15/J15)</f>
        <v>200.381538461538</v>
      </c>
      <c r="AB15" s="4" t="s">
        <v>88</v>
      </c>
      <c r="AC15" s="4" t="s">
        <v>89</v>
      </c>
      <c r="AD15" s="4" t="s">
        <v>41</v>
      </c>
      <c r="AE15" s="4"/>
    </row>
    <row r="16" customFormat="false" ht="15" hidden="false" customHeight="false" outlineLevel="0" collapsed="false">
      <c r="A16" s="4" t="n">
        <v>11</v>
      </c>
      <c r="B16" s="5" t="s">
        <v>90</v>
      </c>
      <c r="C16" s="4" t="s">
        <v>65</v>
      </c>
      <c r="D16" s="4" t="s">
        <v>91</v>
      </c>
      <c r="E16" s="6" t="n">
        <v>5.45</v>
      </c>
      <c r="F16" s="4" t="s">
        <v>37</v>
      </c>
      <c r="G16" s="7" t="n">
        <v>453.6</v>
      </c>
      <c r="H16" s="8" t="n">
        <v>1</v>
      </c>
      <c r="I16" s="9" t="n">
        <f aca="false">G16*H16</f>
        <v>453.6</v>
      </c>
      <c r="J16" s="10" t="n">
        <f aca="false">IF(E16="","",E16/I16*100)</f>
        <v>1.20149911816578</v>
      </c>
      <c r="K16" s="11" t="n">
        <v>56</v>
      </c>
      <c r="L16" s="4" t="s">
        <v>92</v>
      </c>
      <c r="M16" s="12" t="n">
        <f aca="false">IF(J16="","",J16*K16/100)</f>
        <v>0.67283950617284</v>
      </c>
      <c r="N16" s="13" t="n">
        <v>2</v>
      </c>
      <c r="O16" s="14" t="n">
        <v>163</v>
      </c>
      <c r="P16" s="14" t="n">
        <v>16.6</v>
      </c>
      <c r="Q16" s="14" t="n">
        <v>3.83</v>
      </c>
      <c r="R16" s="14" t="n">
        <v>8.6</v>
      </c>
      <c r="S16" s="14" t="n">
        <v>1.3</v>
      </c>
      <c r="T16" s="14" t="n">
        <v>0</v>
      </c>
      <c r="U16" s="14" t="n">
        <v>24</v>
      </c>
      <c r="V16" s="14" t="n">
        <v>1.02</v>
      </c>
      <c r="W16" s="14" t="n">
        <v>287</v>
      </c>
      <c r="X16" s="14" t="n">
        <v>1143</v>
      </c>
      <c r="Y16" s="14" t="n">
        <v>4</v>
      </c>
      <c r="Z16" s="15" t="n">
        <f aca="false">IF(J16="","",P16/J16)</f>
        <v>13.8160733944954</v>
      </c>
      <c r="AA16" s="16" t="n">
        <f aca="false">IF(J16="","",O16/J16)</f>
        <v>135.663853211009</v>
      </c>
      <c r="AB16" s="4" t="s">
        <v>93</v>
      </c>
      <c r="AC16" s="4" t="s">
        <v>94</v>
      </c>
      <c r="AD16" s="4" t="s">
        <v>41</v>
      </c>
      <c r="AE16" s="4" t="s">
        <v>95</v>
      </c>
    </row>
    <row r="17" customFormat="false" ht="15" hidden="false" customHeight="false" outlineLevel="0" collapsed="false">
      <c r="A17" s="4" t="n">
        <v>12</v>
      </c>
      <c r="B17" s="5" t="s">
        <v>96</v>
      </c>
      <c r="C17" s="4" t="s">
        <v>97</v>
      </c>
      <c r="D17" s="4" t="s">
        <v>98</v>
      </c>
      <c r="E17" s="6" t="n">
        <v>2.064</v>
      </c>
      <c r="F17" s="4" t="s">
        <v>37</v>
      </c>
      <c r="G17" s="7" t="n">
        <v>453.6</v>
      </c>
      <c r="H17" s="8" t="n">
        <v>0.68</v>
      </c>
      <c r="I17" s="9" t="n">
        <f aca="false">G17*H17</f>
        <v>308.448</v>
      </c>
      <c r="J17" s="10" t="n">
        <f aca="false">IF(E17="","",E17/I17*100)</f>
        <v>0.669156551509493</v>
      </c>
      <c r="K17" s="11" t="n">
        <v>113</v>
      </c>
      <c r="L17" s="4" t="s">
        <v>99</v>
      </c>
      <c r="M17" s="12" t="n">
        <f aca="false">IF(J17="","",J17*K17/100)</f>
        <v>0.756146903205727</v>
      </c>
      <c r="N17" s="13" t="n">
        <v>2</v>
      </c>
      <c r="O17" s="14" t="n">
        <v>215</v>
      </c>
      <c r="P17" s="14" t="n">
        <v>18.6</v>
      </c>
      <c r="Q17" s="14" t="n">
        <v>0</v>
      </c>
      <c r="R17" s="14" t="n">
        <v>15.06</v>
      </c>
      <c r="S17" s="14" t="n">
        <v>0</v>
      </c>
      <c r="T17" s="14" t="n">
        <v>0</v>
      </c>
      <c r="U17" s="14" t="n">
        <v>11</v>
      </c>
      <c r="V17" s="14" t="n">
        <v>0.9</v>
      </c>
      <c r="W17" s="14" t="n">
        <v>189</v>
      </c>
      <c r="X17" s="14" t="n">
        <v>70</v>
      </c>
      <c r="Y17" s="14" t="n">
        <v>1.6</v>
      </c>
      <c r="Z17" s="15" t="n">
        <f aca="false">IF(J17="","",P17/J17)</f>
        <v>27.7961860465116</v>
      </c>
      <c r="AA17" s="16" t="n">
        <f aca="false">IF(J17="","",O17/J17)</f>
        <v>321.3</v>
      </c>
      <c r="AB17" s="4" t="s">
        <v>100</v>
      </c>
      <c r="AC17" s="4" t="s">
        <v>101</v>
      </c>
      <c r="AD17" s="4" t="s">
        <v>102</v>
      </c>
      <c r="AE17" s="4" t="s">
        <v>103</v>
      </c>
    </row>
    <row r="18" customFormat="false" ht="15" hidden="false" customHeight="false" outlineLevel="0" collapsed="false">
      <c r="A18" s="4" t="n">
        <v>13</v>
      </c>
      <c r="B18" s="5" t="s">
        <v>104</v>
      </c>
      <c r="C18" s="4" t="s">
        <v>97</v>
      </c>
      <c r="D18" s="4" t="s">
        <v>105</v>
      </c>
      <c r="E18" s="6" t="n">
        <v>4.203</v>
      </c>
      <c r="F18" s="4" t="s">
        <v>37</v>
      </c>
      <c r="G18" s="7" t="n">
        <v>453.6</v>
      </c>
      <c r="H18" s="8" t="n">
        <v>1</v>
      </c>
      <c r="I18" s="9" t="n">
        <f aca="false">G18*H18</f>
        <v>453.6</v>
      </c>
      <c r="J18" s="10" t="n">
        <f aca="false">IF(E18="","",E18/I18*100)</f>
        <v>0.926587301587302</v>
      </c>
      <c r="K18" s="11" t="n">
        <v>113</v>
      </c>
      <c r="L18" s="4" t="s">
        <v>67</v>
      </c>
      <c r="M18" s="12" t="n">
        <f aca="false">IF(J18="","",J18*K18/100)</f>
        <v>1.04704365079365</v>
      </c>
      <c r="N18" s="13" t="n">
        <v>3</v>
      </c>
      <c r="O18" s="14" t="n">
        <v>120</v>
      </c>
      <c r="P18" s="14" t="n">
        <v>22.5</v>
      </c>
      <c r="Q18" s="14" t="n">
        <v>0</v>
      </c>
      <c r="R18" s="14" t="n">
        <v>2.62</v>
      </c>
      <c r="S18" s="14" t="n">
        <v>0</v>
      </c>
      <c r="T18" s="14" t="n">
        <v>0</v>
      </c>
      <c r="U18" s="14" t="n">
        <v>5</v>
      </c>
      <c r="V18" s="14" t="n">
        <v>0.37</v>
      </c>
      <c r="W18" s="14" t="n">
        <v>334</v>
      </c>
      <c r="X18" s="14" t="n">
        <v>45</v>
      </c>
      <c r="Y18" s="14" t="n">
        <v>0</v>
      </c>
      <c r="Z18" s="15" t="n">
        <f aca="false">IF(J18="","",P18/J18)</f>
        <v>24.2826552462527</v>
      </c>
      <c r="AA18" s="16" t="n">
        <f aca="false">IF(J18="","",O18/J18)</f>
        <v>129.507494646681</v>
      </c>
      <c r="AB18" s="4" t="s">
        <v>106</v>
      </c>
      <c r="AC18" s="4" t="s">
        <v>107</v>
      </c>
      <c r="AD18" s="4" t="s">
        <v>41</v>
      </c>
      <c r="AE18" s="4"/>
    </row>
    <row r="19" customFormat="false" ht="15" hidden="false" customHeight="false" outlineLevel="0" collapsed="false">
      <c r="A19" s="4" t="n">
        <v>14</v>
      </c>
      <c r="B19" s="5" t="s">
        <v>108</v>
      </c>
      <c r="C19" s="4" t="s">
        <v>97</v>
      </c>
      <c r="D19" s="4" t="s">
        <v>109</v>
      </c>
      <c r="E19" s="6" t="n">
        <v>1.739</v>
      </c>
      <c r="F19" s="4" t="s">
        <v>37</v>
      </c>
      <c r="G19" s="7" t="n">
        <v>453.6</v>
      </c>
      <c r="H19" s="8" t="n">
        <v>0.73</v>
      </c>
      <c r="I19" s="9" t="n">
        <f aca="false">G19*H19</f>
        <v>331.128</v>
      </c>
      <c r="J19" s="10" t="n">
        <f aca="false">IF(E19="","",E19/I19*100)</f>
        <v>0.52517455485492</v>
      </c>
      <c r="K19" s="11" t="n">
        <v>113</v>
      </c>
      <c r="L19" s="4" t="s">
        <v>99</v>
      </c>
      <c r="M19" s="12" t="n">
        <f aca="false">IF(J19="","",J19*K19/100)</f>
        <v>0.59344724698606</v>
      </c>
      <c r="N19" s="13" t="n">
        <v>2</v>
      </c>
      <c r="O19" s="14" t="n">
        <v>214</v>
      </c>
      <c r="P19" s="14" t="n">
        <v>16.37</v>
      </c>
      <c r="Q19" s="14" t="n">
        <v>0.17</v>
      </c>
      <c r="R19" s="14" t="n">
        <v>15.95</v>
      </c>
      <c r="S19" s="14" t="n">
        <v>0</v>
      </c>
      <c r="T19" s="14" t="n">
        <v>0</v>
      </c>
      <c r="U19" s="14" t="n">
        <v>9</v>
      </c>
      <c r="V19" s="14" t="n">
        <v>0.69</v>
      </c>
      <c r="W19" s="14" t="n">
        <v>203</v>
      </c>
      <c r="X19" s="14" t="n">
        <v>84</v>
      </c>
      <c r="Y19" s="14" t="n">
        <v>0.2</v>
      </c>
      <c r="Z19" s="15" t="n">
        <f aca="false">IF(J19="","",P19/J19)</f>
        <v>31.1705886141461</v>
      </c>
      <c r="AA19" s="16" t="n">
        <f aca="false">IF(J19="","",O19/J19)</f>
        <v>407.483565267395</v>
      </c>
      <c r="AB19" s="4" t="s">
        <v>110</v>
      </c>
      <c r="AC19" s="4" t="s">
        <v>111</v>
      </c>
      <c r="AD19" s="4" t="s">
        <v>112</v>
      </c>
      <c r="AE19" s="4" t="s">
        <v>103</v>
      </c>
    </row>
    <row r="20" customFormat="false" ht="15" hidden="false" customHeight="false" outlineLevel="0" collapsed="false">
      <c r="A20" s="4" t="n">
        <v>15</v>
      </c>
      <c r="B20" s="5" t="s">
        <v>113</v>
      </c>
      <c r="C20" s="4" t="s">
        <v>114</v>
      </c>
      <c r="D20" s="4" t="s">
        <v>115</v>
      </c>
      <c r="E20" s="6" t="n">
        <v>2.272</v>
      </c>
      <c r="F20" s="4" t="s">
        <v>116</v>
      </c>
      <c r="G20" s="7" t="n">
        <f aca="false">12*50/0.88</f>
        <v>681.818181818182</v>
      </c>
      <c r="H20" s="8" t="n">
        <v>0.88</v>
      </c>
      <c r="I20" s="9" t="n">
        <f aca="false">G20*H20</f>
        <v>600</v>
      </c>
      <c r="J20" s="10" t="n">
        <f aca="false">IF(E20="","",E20/I20*100)</f>
        <v>0.378666666666667</v>
      </c>
      <c r="K20" s="11" t="n">
        <v>50</v>
      </c>
      <c r="L20" s="4" t="s">
        <v>117</v>
      </c>
      <c r="M20" s="12" t="n">
        <f aca="false">IF(J20="","",J20*K20/100)</f>
        <v>0.189333333333333</v>
      </c>
      <c r="N20" s="13" t="n">
        <v>4</v>
      </c>
      <c r="O20" s="14" t="n">
        <v>143</v>
      </c>
      <c r="P20" s="14" t="n">
        <v>12.56</v>
      </c>
      <c r="Q20" s="14" t="n">
        <v>0.72</v>
      </c>
      <c r="R20" s="14" t="n">
        <v>9.51</v>
      </c>
      <c r="S20" s="14" t="n">
        <v>0</v>
      </c>
      <c r="T20" s="14" t="n">
        <v>0.37</v>
      </c>
      <c r="U20" s="14" t="n">
        <v>56</v>
      </c>
      <c r="V20" s="14" t="n">
        <v>1.75</v>
      </c>
      <c r="W20" s="14" t="n">
        <v>138</v>
      </c>
      <c r="X20" s="14" t="n">
        <v>142</v>
      </c>
      <c r="Y20" s="14" t="n">
        <v>0</v>
      </c>
      <c r="Z20" s="15" t="n">
        <f aca="false">IF(J20="","",P20/J20)</f>
        <v>33.1690140845071</v>
      </c>
      <c r="AA20" s="16" t="n">
        <f aca="false">IF(J20="","",O20/J20)</f>
        <v>377.640845070423</v>
      </c>
      <c r="AB20" s="4" t="s">
        <v>118</v>
      </c>
      <c r="AC20" s="4" t="s">
        <v>119</v>
      </c>
      <c r="AD20" s="4" t="s">
        <v>120</v>
      </c>
      <c r="AE20" s="4" t="s">
        <v>121</v>
      </c>
    </row>
    <row r="21" customFormat="false" ht="15" hidden="false" customHeight="false" outlineLevel="0" collapsed="false">
      <c r="A21" s="4" t="n">
        <v>16</v>
      </c>
      <c r="B21" s="5" t="s">
        <v>122</v>
      </c>
      <c r="C21" s="4" t="s">
        <v>114</v>
      </c>
      <c r="D21" s="4" t="s">
        <v>123</v>
      </c>
      <c r="E21" s="6" t="n">
        <v>4.106</v>
      </c>
      <c r="F21" s="4" t="s">
        <v>124</v>
      </c>
      <c r="G21" s="7" t="n">
        <f aca="false">16*244</f>
        <v>3904</v>
      </c>
      <c r="H21" s="8" t="n">
        <v>1</v>
      </c>
      <c r="I21" s="9" t="n">
        <f aca="false">G21*H21</f>
        <v>3904</v>
      </c>
      <c r="J21" s="10" t="n">
        <f aca="false">IF(E21="","",E21/I21*100)</f>
        <v>0.105174180327869</v>
      </c>
      <c r="K21" s="11" t="n">
        <v>244</v>
      </c>
      <c r="L21" s="4" t="s">
        <v>125</v>
      </c>
      <c r="M21" s="12" t="n">
        <f aca="false">IF(J21="","",J21*K21/100)</f>
        <v>0.256625</v>
      </c>
      <c r="N21" s="13" t="n">
        <v>4</v>
      </c>
      <c r="O21" s="14" t="n">
        <v>61</v>
      </c>
      <c r="P21" s="14" t="n">
        <v>3.15</v>
      </c>
      <c r="Q21" s="14" t="n">
        <v>4.8</v>
      </c>
      <c r="R21" s="14" t="n">
        <v>3.25</v>
      </c>
      <c r="S21" s="14" t="n">
        <v>0</v>
      </c>
      <c r="T21" s="14" t="n">
        <v>5.05</v>
      </c>
      <c r="U21" s="14" t="n">
        <v>113</v>
      </c>
      <c r="V21" s="14" t="n">
        <v>0.03</v>
      </c>
      <c r="W21" s="14" t="n">
        <v>132</v>
      </c>
      <c r="X21" s="14" t="n">
        <v>43</v>
      </c>
      <c r="Y21" s="14" t="n">
        <v>0</v>
      </c>
      <c r="Z21" s="15" t="n">
        <f aca="false">IF(J21="","",P21/J21)</f>
        <v>29.9503166098393</v>
      </c>
      <c r="AA21" s="16" t="n">
        <f aca="false">IF(J21="","",O21/J21)</f>
        <v>579.990258158792</v>
      </c>
      <c r="AB21" s="4" t="s">
        <v>126</v>
      </c>
      <c r="AC21" s="4" t="s">
        <v>127</v>
      </c>
      <c r="AD21" s="4" t="s">
        <v>41</v>
      </c>
      <c r="AE21" s="4" t="s">
        <v>128</v>
      </c>
    </row>
    <row r="22" customFormat="false" ht="15" hidden="false" customHeight="false" outlineLevel="0" collapsed="false">
      <c r="A22" s="4" t="n">
        <v>17</v>
      </c>
      <c r="B22" s="5" t="s">
        <v>129</v>
      </c>
      <c r="C22" s="4" t="s">
        <v>114</v>
      </c>
      <c r="D22" s="4" t="s">
        <v>130</v>
      </c>
      <c r="E22" s="6" t="n">
        <v>6.133</v>
      </c>
      <c r="F22" s="4" t="s">
        <v>37</v>
      </c>
      <c r="G22" s="7" t="n">
        <v>453.6</v>
      </c>
      <c r="H22" s="8" t="n">
        <v>1</v>
      </c>
      <c r="I22" s="9" t="n">
        <f aca="false">G22*H22</f>
        <v>453.6</v>
      </c>
      <c r="J22" s="10" t="n">
        <f aca="false">IF(E22="","",E22/I22*100)</f>
        <v>1.35207231040564</v>
      </c>
      <c r="K22" s="11" t="n">
        <v>28</v>
      </c>
      <c r="L22" s="4" t="s">
        <v>131</v>
      </c>
      <c r="M22" s="12" t="n">
        <f aca="false">IF(J22="","",J22*K22/100)</f>
        <v>0.37858024691358</v>
      </c>
      <c r="N22" s="13" t="n">
        <v>3</v>
      </c>
      <c r="O22" s="14" t="n">
        <v>404</v>
      </c>
      <c r="P22" s="14" t="n">
        <v>22.87</v>
      </c>
      <c r="Q22" s="14" t="n">
        <v>3.09</v>
      </c>
      <c r="R22" s="14" t="n">
        <v>33.31</v>
      </c>
      <c r="S22" s="14" t="n">
        <v>0</v>
      </c>
      <c r="T22" s="14" t="n">
        <v>0.48</v>
      </c>
      <c r="U22" s="14" t="n">
        <v>710</v>
      </c>
      <c r="V22" s="14" t="n">
        <v>0.14</v>
      </c>
      <c r="W22" s="14" t="n">
        <v>76</v>
      </c>
      <c r="X22" s="14" t="n">
        <v>653</v>
      </c>
      <c r="Y22" s="14" t="n">
        <v>0</v>
      </c>
      <c r="Z22" s="15" t="n">
        <f aca="false">IF(J22="","",P22/J22)</f>
        <v>16.9147758030328</v>
      </c>
      <c r="AA22" s="16" t="n">
        <f aca="false">IF(J22="","",O22/J22)</f>
        <v>298.800586988423</v>
      </c>
      <c r="AB22" s="4" t="s">
        <v>132</v>
      </c>
      <c r="AC22" s="4" t="s">
        <v>133</v>
      </c>
      <c r="AD22" s="4" t="s">
        <v>41</v>
      </c>
      <c r="AE22" s="4"/>
    </row>
    <row r="23" customFormat="false" ht="15" hidden="false" customHeight="false" outlineLevel="0" collapsed="false">
      <c r="A23" s="4" t="n">
        <v>18</v>
      </c>
      <c r="B23" s="5" t="s">
        <v>134</v>
      </c>
      <c r="C23" s="4" t="s">
        <v>114</v>
      </c>
      <c r="D23" s="4" t="s">
        <v>135</v>
      </c>
      <c r="E23" s="6" t="n">
        <v>4.737</v>
      </c>
      <c r="F23" s="4" t="s">
        <v>37</v>
      </c>
      <c r="G23" s="7" t="n">
        <v>453.6</v>
      </c>
      <c r="H23" s="8" t="n">
        <v>1</v>
      </c>
      <c r="I23" s="9" t="n">
        <f aca="false">G23*H23</f>
        <v>453.6</v>
      </c>
      <c r="J23" s="10" t="n">
        <f aca="false">IF(E23="","",E23/I23*100)</f>
        <v>1.04431216931217</v>
      </c>
      <c r="K23" s="11" t="n">
        <v>28</v>
      </c>
      <c r="L23" s="4" t="s">
        <v>49</v>
      </c>
      <c r="M23" s="12" t="n">
        <f aca="false">IF(J23="","",J23*K23/100)</f>
        <v>0.292407407407407</v>
      </c>
      <c r="N23" s="13" t="n">
        <v>3</v>
      </c>
      <c r="O23" s="14" t="n">
        <v>366</v>
      </c>
      <c r="P23" s="14" t="n">
        <v>18.13</v>
      </c>
      <c r="Q23" s="14" t="n">
        <v>4.78</v>
      </c>
      <c r="R23" s="14" t="n">
        <v>30.71</v>
      </c>
      <c r="S23" s="14" t="n">
        <v>0</v>
      </c>
      <c r="T23" s="14" t="n">
        <v>2.26</v>
      </c>
      <c r="U23" s="14" t="n">
        <v>1045</v>
      </c>
      <c r="V23" s="14" t="n">
        <v>0.63</v>
      </c>
      <c r="W23" s="14" t="n">
        <v>132</v>
      </c>
      <c r="X23" s="14" t="n">
        <v>1671</v>
      </c>
      <c r="Y23" s="14" t="n">
        <v>0</v>
      </c>
      <c r="Z23" s="15" t="n">
        <f aca="false">IF(J23="","",P23/J23)</f>
        <v>17.3607093096897</v>
      </c>
      <c r="AA23" s="16" t="n">
        <f aca="false">IF(J23="","",O23/J23)</f>
        <v>350.469917669411</v>
      </c>
      <c r="AB23" s="4" t="s">
        <v>136</v>
      </c>
      <c r="AC23" s="4" t="s">
        <v>137</v>
      </c>
      <c r="AD23" s="4" t="s">
        <v>41</v>
      </c>
      <c r="AE23" s="4"/>
    </row>
    <row r="24" customFormat="false" ht="15" hidden="false" customHeight="false" outlineLevel="0" collapsed="false">
      <c r="A24" s="4" t="n">
        <v>19</v>
      </c>
      <c r="B24" s="5" t="s">
        <v>138</v>
      </c>
      <c r="C24" s="4" t="s">
        <v>139</v>
      </c>
      <c r="D24" s="4" t="s">
        <v>140</v>
      </c>
      <c r="E24" s="6" t="n">
        <v>5.931</v>
      </c>
      <c r="F24" s="4" t="s">
        <v>141</v>
      </c>
      <c r="G24" s="7" t="n">
        <f aca="false">8*132</f>
        <v>1056</v>
      </c>
      <c r="H24" s="8" t="n">
        <v>1</v>
      </c>
      <c r="I24" s="9" t="n">
        <f aca="false">G24*H24</f>
        <v>1056</v>
      </c>
      <c r="J24" s="10" t="n">
        <f aca="false">IF(E24="","",E24/I24*100)</f>
        <v>0.561647727272727</v>
      </c>
      <c r="K24" s="11" t="n">
        <v>66</v>
      </c>
      <c r="L24" s="4" t="s">
        <v>142</v>
      </c>
      <c r="M24" s="12" t="n">
        <f aca="false">IF(J24="","",J24*K24/100)</f>
        <v>0.3706875</v>
      </c>
      <c r="N24" s="13" t="n">
        <v>2</v>
      </c>
      <c r="O24" s="14" t="n">
        <v>207</v>
      </c>
      <c r="P24" s="14" t="n">
        <v>3.5</v>
      </c>
      <c r="Q24" s="14" t="n">
        <v>23.6</v>
      </c>
      <c r="R24" s="14" t="n">
        <v>11</v>
      </c>
      <c r="S24" s="14" t="n">
        <v>0.7</v>
      </c>
      <c r="T24" s="14" t="n">
        <v>21.22</v>
      </c>
      <c r="U24" s="14" t="n">
        <v>128</v>
      </c>
      <c r="V24" s="14" t="n">
        <v>0.09</v>
      </c>
      <c r="W24" s="14" t="n">
        <v>199</v>
      </c>
      <c r="X24" s="14" t="n">
        <v>80</v>
      </c>
      <c r="Y24" s="14" t="n">
        <v>0.6</v>
      </c>
      <c r="Z24" s="15" t="n">
        <f aca="false">IF(J24="","",P24/J24)</f>
        <v>6.2316641375822</v>
      </c>
      <c r="AA24" s="16" t="n">
        <f aca="false">IF(J24="","",O24/J24)</f>
        <v>368.55842185129</v>
      </c>
      <c r="AB24" s="4" t="s">
        <v>143</v>
      </c>
      <c r="AC24" s="4" t="s">
        <v>144</v>
      </c>
      <c r="AD24" s="4" t="s">
        <v>41</v>
      </c>
      <c r="AE24" s="4" t="s">
        <v>145</v>
      </c>
    </row>
    <row r="25" customFormat="false" ht="15" hidden="false" customHeight="false" outlineLevel="0" collapsed="false">
      <c r="A25" s="4" t="n">
        <v>20</v>
      </c>
      <c r="B25" s="5" t="s">
        <v>146</v>
      </c>
      <c r="C25" s="4" t="s">
        <v>147</v>
      </c>
      <c r="D25" s="4" t="s">
        <v>146</v>
      </c>
      <c r="E25" s="6" t="n">
        <v>0.656</v>
      </c>
      <c r="F25" s="4" t="s">
        <v>37</v>
      </c>
      <c r="G25" s="7" t="n">
        <v>453.6</v>
      </c>
      <c r="H25" s="8" t="n">
        <v>0.64</v>
      </c>
      <c r="I25" s="9" t="n">
        <f aca="false">G25*H25</f>
        <v>290.304</v>
      </c>
      <c r="J25" s="10" t="n">
        <f aca="false">IF(E25="","",E25/I25*100)</f>
        <v>0.225970017636684</v>
      </c>
      <c r="K25" s="11" t="n">
        <v>118</v>
      </c>
      <c r="L25" s="4" t="s">
        <v>148</v>
      </c>
      <c r="M25" s="12" t="n">
        <f aca="false">IF(J25="","",J25*K25/100)</f>
        <v>0.266644620811288</v>
      </c>
      <c r="N25" s="13" t="n">
        <v>3</v>
      </c>
      <c r="O25" s="14" t="n">
        <v>89</v>
      </c>
      <c r="P25" s="14" t="n">
        <v>1.09</v>
      </c>
      <c r="Q25" s="14" t="n">
        <v>22.84</v>
      </c>
      <c r="R25" s="14" t="n">
        <v>0.33</v>
      </c>
      <c r="S25" s="14" t="n">
        <v>2.6</v>
      </c>
      <c r="T25" s="14" t="n">
        <v>12.23</v>
      </c>
      <c r="U25" s="14" t="n">
        <v>5</v>
      </c>
      <c r="V25" s="14" t="n">
        <v>0.26</v>
      </c>
      <c r="W25" s="14" t="n">
        <v>358</v>
      </c>
      <c r="X25" s="14" t="n">
        <v>1</v>
      </c>
      <c r="Y25" s="14" t="n">
        <v>8.7</v>
      </c>
      <c r="Z25" s="15" t="n">
        <f aca="false">IF(J25="","",P25/J25)</f>
        <v>4.82364878048781</v>
      </c>
      <c r="AA25" s="16" t="n">
        <f aca="false">IF(J25="","",O25/J25)</f>
        <v>393.85756097561</v>
      </c>
      <c r="AB25" s="4" t="s">
        <v>149</v>
      </c>
      <c r="AC25" s="4" t="s">
        <v>150</v>
      </c>
      <c r="AD25" s="4" t="s">
        <v>151</v>
      </c>
      <c r="AE25" s="4" t="s">
        <v>152</v>
      </c>
    </row>
    <row r="26" customFormat="false" ht="15" hidden="false" customHeight="false" outlineLevel="0" collapsed="false">
      <c r="A26" s="4" t="n">
        <v>21</v>
      </c>
      <c r="B26" s="5" t="s">
        <v>153</v>
      </c>
      <c r="C26" s="4" t="s">
        <v>147</v>
      </c>
      <c r="D26" s="4" t="s">
        <v>154</v>
      </c>
      <c r="E26" s="6" t="n">
        <v>1.723</v>
      </c>
      <c r="F26" s="4" t="s">
        <v>37</v>
      </c>
      <c r="G26" s="7" t="n">
        <v>453.6</v>
      </c>
      <c r="H26" s="8" t="n">
        <v>0.68</v>
      </c>
      <c r="I26" s="9" t="n">
        <f aca="false">G26*H26</f>
        <v>308.448</v>
      </c>
      <c r="J26" s="10" t="n">
        <f aca="false">IF(E26="","",E26/I26*100)</f>
        <v>0.558603070857973</v>
      </c>
      <c r="K26" s="11" t="n">
        <v>140</v>
      </c>
      <c r="L26" s="4" t="s">
        <v>155</v>
      </c>
      <c r="M26" s="12" t="n">
        <f aca="false">IF(J26="","",J26*K26/100)</f>
        <v>0.782044299201162</v>
      </c>
      <c r="N26" s="13" t="n">
        <v>3</v>
      </c>
      <c r="O26" s="14" t="n">
        <v>49</v>
      </c>
      <c r="P26" s="14" t="n">
        <v>0.91</v>
      </c>
      <c r="Q26" s="14" t="n">
        <v>12.54</v>
      </c>
      <c r="R26" s="14" t="n">
        <v>0.15</v>
      </c>
      <c r="S26" s="14" t="n">
        <v>2.2</v>
      </c>
      <c r="T26" s="14" t="n">
        <v>8.5</v>
      </c>
      <c r="U26" s="14" t="n">
        <v>43</v>
      </c>
      <c r="V26" s="14" t="n">
        <v>0.13</v>
      </c>
      <c r="W26" s="14" t="n">
        <v>166</v>
      </c>
      <c r="X26" s="14" t="n">
        <v>1</v>
      </c>
      <c r="Y26" s="14" t="n">
        <v>59.1</v>
      </c>
      <c r="Z26" s="15" t="n">
        <f aca="false">IF(J26="","",P26/J26)</f>
        <v>1.6290637260592</v>
      </c>
      <c r="AA26" s="16" t="n">
        <f aca="false">IF(J26="","",O26/J26)</f>
        <v>87.7188160185723</v>
      </c>
      <c r="AB26" s="4" t="s">
        <v>156</v>
      </c>
      <c r="AC26" s="4" t="s">
        <v>157</v>
      </c>
      <c r="AD26" s="4" t="s">
        <v>158</v>
      </c>
      <c r="AE26" s="4" t="s">
        <v>152</v>
      </c>
    </row>
    <row r="27" customFormat="false" ht="15" hidden="false" customHeight="false" outlineLevel="0" collapsed="false">
      <c r="A27" s="4" t="n">
        <v>22</v>
      </c>
      <c r="B27" s="5" t="s">
        <v>159</v>
      </c>
      <c r="C27" s="4" t="s">
        <v>147</v>
      </c>
      <c r="D27" s="4" t="s">
        <v>160</v>
      </c>
      <c r="E27" s="6" t="n">
        <v>2.84</v>
      </c>
      <c r="F27" s="4" t="s">
        <v>161</v>
      </c>
      <c r="G27" s="7" t="n">
        <v>340.2</v>
      </c>
      <c r="H27" s="8" t="n">
        <v>0.94</v>
      </c>
      <c r="I27" s="9" t="n">
        <f aca="false">G27*H27</f>
        <v>319.788</v>
      </c>
      <c r="J27" s="10" t="n">
        <f aca="false">IF(E27="","",E27/I27*100)</f>
        <v>0.888088358537531</v>
      </c>
      <c r="K27" s="11" t="n">
        <v>152</v>
      </c>
      <c r="L27" s="4" t="s">
        <v>162</v>
      </c>
      <c r="M27" s="12" t="n">
        <f aca="false">IF(J27="","",J27*K27/100)</f>
        <v>1.34989430497705</v>
      </c>
      <c r="N27" s="13" t="n">
        <v>2</v>
      </c>
      <c r="O27" s="14" t="n">
        <v>32</v>
      </c>
      <c r="P27" s="14" t="n">
        <v>0.67</v>
      </c>
      <c r="Q27" s="14" t="n">
        <v>7.68</v>
      </c>
      <c r="R27" s="14" t="n">
        <v>0.3</v>
      </c>
      <c r="S27" s="14" t="n">
        <v>2</v>
      </c>
      <c r="T27" s="14" t="n">
        <v>4.89</v>
      </c>
      <c r="U27" s="14" t="n">
        <v>16</v>
      </c>
      <c r="V27" s="14" t="n">
        <v>0.41</v>
      </c>
      <c r="W27" s="14" t="n">
        <v>153</v>
      </c>
      <c r="X27" s="14" t="n">
        <v>1</v>
      </c>
      <c r="Y27" s="14" t="n">
        <v>58.8</v>
      </c>
      <c r="Z27" s="15" t="n">
        <f aca="false">IF(J27="","",P27/J27)</f>
        <v>0.754429436619718</v>
      </c>
      <c r="AA27" s="16" t="n">
        <f aca="false">IF(J27="","",O27/J27)</f>
        <v>36.0324507042254</v>
      </c>
      <c r="AB27" s="4" t="s">
        <v>163</v>
      </c>
      <c r="AC27" s="4" t="s">
        <v>164</v>
      </c>
      <c r="AD27" s="4" t="s">
        <v>165</v>
      </c>
      <c r="AE27" s="4"/>
    </row>
    <row r="28" customFormat="false" ht="15" hidden="false" customHeight="false" outlineLevel="0" collapsed="false">
      <c r="A28" s="4" t="n">
        <v>23</v>
      </c>
      <c r="B28" s="5" t="s">
        <v>166</v>
      </c>
      <c r="C28" s="4" t="s">
        <v>167</v>
      </c>
      <c r="D28" s="4" t="s">
        <v>168</v>
      </c>
      <c r="E28" s="6" t="n">
        <v>0.989</v>
      </c>
      <c r="F28" s="4" t="s">
        <v>37</v>
      </c>
      <c r="G28" s="7" t="n">
        <v>453.6</v>
      </c>
      <c r="H28" s="8" t="n">
        <v>0.75</v>
      </c>
      <c r="I28" s="9" t="n">
        <f aca="false">G28*H28</f>
        <v>340.2</v>
      </c>
      <c r="J28" s="10" t="n">
        <f aca="false">IF(E28="","",E28/I28*100)</f>
        <v>0.290711346266902</v>
      </c>
      <c r="K28" s="11" t="n">
        <v>150</v>
      </c>
      <c r="L28" s="4" t="s">
        <v>169</v>
      </c>
      <c r="M28" s="12" t="n">
        <f aca="false">IF(J28="","",J28*K28/100)</f>
        <v>0.436067019400353</v>
      </c>
      <c r="N28" s="13" t="n">
        <v>3</v>
      </c>
      <c r="O28" s="14" t="n">
        <v>77</v>
      </c>
      <c r="P28" s="14" t="n">
        <v>2.05</v>
      </c>
      <c r="Q28" s="14" t="n">
        <v>17.49</v>
      </c>
      <c r="R28" s="14" t="n">
        <v>0.09</v>
      </c>
      <c r="S28" s="14" t="n">
        <v>2.1</v>
      </c>
      <c r="T28" s="14" t="n">
        <v>0.82</v>
      </c>
      <c r="U28" s="14" t="n">
        <v>12</v>
      </c>
      <c r="V28" s="14" t="n">
        <v>0.81</v>
      </c>
      <c r="W28" s="14" t="n">
        <v>425</v>
      </c>
      <c r="X28" s="14" t="n">
        <v>6</v>
      </c>
      <c r="Y28" s="14" t="n">
        <v>19.7</v>
      </c>
      <c r="Z28" s="15" t="n">
        <f aca="false">IF(J28="","",P28/J28)</f>
        <v>7.05166835187058</v>
      </c>
      <c r="AA28" s="16" t="n">
        <f aca="false">IF(J28="","",O28/J28)</f>
        <v>264.8675429727</v>
      </c>
      <c r="AB28" s="4" t="s">
        <v>170</v>
      </c>
      <c r="AC28" s="4" t="s">
        <v>171</v>
      </c>
      <c r="AD28" s="4" t="s">
        <v>172</v>
      </c>
      <c r="AE28" s="4" t="s">
        <v>173</v>
      </c>
    </row>
    <row r="29" customFormat="false" ht="15" hidden="false" customHeight="false" outlineLevel="0" collapsed="false">
      <c r="A29" s="4" t="n">
        <v>24</v>
      </c>
      <c r="B29" s="5" t="s">
        <v>174</v>
      </c>
      <c r="C29" s="4" t="s">
        <v>167</v>
      </c>
      <c r="D29" s="4" t="s">
        <v>175</v>
      </c>
      <c r="E29" s="6" t="n">
        <v>1.636</v>
      </c>
      <c r="F29" s="4" t="s">
        <v>37</v>
      </c>
      <c r="G29" s="7" t="n">
        <v>453.6</v>
      </c>
      <c r="H29" s="8" t="n">
        <v>0.95</v>
      </c>
      <c r="I29" s="9" t="n">
        <f aca="false">G29*H29</f>
        <v>430.92</v>
      </c>
      <c r="J29" s="10" t="n">
        <f aca="false">IF(E29="","",E29/I29*100)</f>
        <v>0.379652835793187</v>
      </c>
      <c r="K29" s="11" t="n">
        <v>72</v>
      </c>
      <c r="L29" s="4" t="s">
        <v>176</v>
      </c>
      <c r="M29" s="12" t="n">
        <f aca="false">IF(J29="","",J29*K29/100)</f>
        <v>0.273350041771094</v>
      </c>
      <c r="N29" s="13" t="n">
        <v>4</v>
      </c>
      <c r="O29" s="14" t="n">
        <v>14</v>
      </c>
      <c r="P29" s="14" t="n">
        <v>0.9</v>
      </c>
      <c r="Q29" s="14" t="n">
        <v>2.97</v>
      </c>
      <c r="R29" s="14" t="n">
        <v>0.14</v>
      </c>
      <c r="S29" s="14" t="n">
        <v>1.2</v>
      </c>
      <c r="T29" s="14" t="n">
        <v>1.97</v>
      </c>
      <c r="U29" s="14" t="n">
        <v>18</v>
      </c>
      <c r="V29" s="14" t="n">
        <v>0.41</v>
      </c>
      <c r="W29" s="14" t="n">
        <v>141</v>
      </c>
      <c r="X29" s="14" t="n">
        <v>10</v>
      </c>
      <c r="Y29" s="14" t="n">
        <v>2.8</v>
      </c>
      <c r="Z29" s="15" t="n">
        <f aca="false">IF(J29="","",P29/J29)</f>
        <v>2.37058679706602</v>
      </c>
      <c r="AA29" s="16" t="n">
        <f aca="false">IF(J29="","",O29/J29)</f>
        <v>36.8757946210269</v>
      </c>
      <c r="AB29" s="4" t="s">
        <v>177</v>
      </c>
      <c r="AC29" s="4" t="s">
        <v>178</v>
      </c>
      <c r="AD29" s="4" t="s">
        <v>179</v>
      </c>
      <c r="AE29" s="4"/>
    </row>
    <row r="30" customFormat="false" ht="15" hidden="false" customHeight="false" outlineLevel="0" collapsed="false">
      <c r="A30" s="4" t="n">
        <v>25</v>
      </c>
      <c r="B30" s="5" t="s">
        <v>180</v>
      </c>
      <c r="C30" s="4" t="s">
        <v>167</v>
      </c>
      <c r="D30" s="4" t="s">
        <v>181</v>
      </c>
      <c r="E30" s="6" t="n">
        <v>3.312</v>
      </c>
      <c r="F30" s="4" t="s">
        <v>37</v>
      </c>
      <c r="G30" s="7" t="n">
        <v>453.6</v>
      </c>
      <c r="H30" s="8" t="n">
        <v>0.94</v>
      </c>
      <c r="I30" s="9" t="n">
        <f aca="false">G30*H30</f>
        <v>426.384</v>
      </c>
      <c r="J30" s="10" t="n">
        <f aca="false">IF(E30="","",E30/I30*100)</f>
        <v>0.776764606551841</v>
      </c>
      <c r="K30" s="11" t="n">
        <v>47</v>
      </c>
      <c r="L30" s="4" t="s">
        <v>176</v>
      </c>
      <c r="M30" s="12" t="n">
        <f aca="false">IF(J30="","",J30*K30/100)</f>
        <v>0.365079365079365</v>
      </c>
      <c r="N30" s="13" t="n">
        <v>4</v>
      </c>
      <c r="O30" s="14" t="n">
        <v>17</v>
      </c>
      <c r="P30" s="14" t="n">
        <v>1.23</v>
      </c>
      <c r="Q30" s="14" t="n">
        <v>3.29</v>
      </c>
      <c r="R30" s="14" t="n">
        <v>0.3</v>
      </c>
      <c r="S30" s="14" t="n">
        <v>2.1</v>
      </c>
      <c r="T30" s="14" t="n">
        <v>1.19</v>
      </c>
      <c r="U30" s="14" t="n">
        <v>33</v>
      </c>
      <c r="V30" s="14" t="n">
        <v>0.97</v>
      </c>
      <c r="W30" s="14" t="n">
        <v>247</v>
      </c>
      <c r="X30" s="14" t="n">
        <v>8</v>
      </c>
      <c r="Y30" s="14" t="n">
        <v>4</v>
      </c>
      <c r="Z30" s="15" t="n">
        <f aca="false">IF(J30="","",P30/J30)</f>
        <v>1.58349130434783</v>
      </c>
      <c r="AA30" s="16" t="n">
        <f aca="false">IF(J30="","",O30/J30)</f>
        <v>21.885652173913</v>
      </c>
      <c r="AB30" s="4" t="s">
        <v>182</v>
      </c>
      <c r="AC30" s="4" t="s">
        <v>183</v>
      </c>
      <c r="AD30" s="4" t="s">
        <v>184</v>
      </c>
      <c r="AE30" s="4"/>
    </row>
    <row r="31" customFormat="false" ht="15" hidden="false" customHeight="false" outlineLevel="0" collapsed="false">
      <c r="A31" s="4" t="n">
        <v>26</v>
      </c>
      <c r="B31" s="5" t="s">
        <v>185</v>
      </c>
      <c r="C31" s="4" t="s">
        <v>167</v>
      </c>
      <c r="D31" s="4" t="s">
        <v>186</v>
      </c>
      <c r="E31" s="6" t="n">
        <v>1.992</v>
      </c>
      <c r="F31" s="4" t="s">
        <v>37</v>
      </c>
      <c r="G31" s="7" t="n">
        <v>453.6</v>
      </c>
      <c r="H31" s="8" t="n">
        <v>0.91</v>
      </c>
      <c r="I31" s="9" t="n">
        <f aca="false">G31*H31</f>
        <v>412.776</v>
      </c>
      <c r="J31" s="10" t="n">
        <f aca="false">IF(E31="","",E31/I31*100)</f>
        <v>0.482586196871911</v>
      </c>
      <c r="K31" s="11" t="n">
        <v>180</v>
      </c>
      <c r="L31" s="4" t="s">
        <v>187</v>
      </c>
      <c r="M31" s="12" t="n">
        <f aca="false">IF(J31="","",J31*K31/100)</f>
        <v>0.86865515436944</v>
      </c>
      <c r="N31" s="13" t="n">
        <v>2</v>
      </c>
      <c r="O31" s="14" t="n">
        <v>18</v>
      </c>
      <c r="P31" s="14" t="n">
        <v>0.88</v>
      </c>
      <c r="Q31" s="14" t="n">
        <v>3.89</v>
      </c>
      <c r="R31" s="14" t="n">
        <v>0.2</v>
      </c>
      <c r="S31" s="14" t="n">
        <v>1.2</v>
      </c>
      <c r="T31" s="14" t="n">
        <v>2.63</v>
      </c>
      <c r="U31" s="14" t="n">
        <v>10</v>
      </c>
      <c r="V31" s="14" t="n">
        <v>0.27</v>
      </c>
      <c r="W31" s="14" t="n">
        <v>237</v>
      </c>
      <c r="X31" s="14" t="n">
        <v>5</v>
      </c>
      <c r="Y31" s="14" t="n">
        <v>13.7</v>
      </c>
      <c r="Z31" s="15" t="n">
        <f aca="false">IF(J31="","",P31/J31)</f>
        <v>1.82350843373494</v>
      </c>
      <c r="AA31" s="16" t="n">
        <f aca="false">IF(J31="","",O31/J31)</f>
        <v>37.2990361445783</v>
      </c>
      <c r="AB31" s="4" t="s">
        <v>188</v>
      </c>
      <c r="AC31" s="4" t="s">
        <v>189</v>
      </c>
      <c r="AD31" s="4" t="s">
        <v>190</v>
      </c>
      <c r="AE31" s="4"/>
    </row>
    <row r="32" customFormat="false" ht="15" hidden="false" customHeight="false" outlineLevel="0" collapsed="false">
      <c r="A32" s="4" t="n">
        <v>27</v>
      </c>
      <c r="B32" s="5" t="s">
        <v>191</v>
      </c>
      <c r="C32" s="4" t="s">
        <v>139</v>
      </c>
      <c r="D32" s="4" t="s">
        <v>192</v>
      </c>
      <c r="E32" s="6" t="n">
        <v>1.019</v>
      </c>
      <c r="F32" s="4" t="s">
        <v>37</v>
      </c>
      <c r="G32" s="7" t="n">
        <v>453.6</v>
      </c>
      <c r="H32" s="8" t="n">
        <v>1</v>
      </c>
      <c r="I32" s="9" t="n">
        <f aca="false">G32*H32</f>
        <v>453.6</v>
      </c>
      <c r="J32" s="10" t="n">
        <f aca="false">IF(E32="","",E32/I32*100)</f>
        <v>0.224647266313933</v>
      </c>
      <c r="K32" s="11" t="n">
        <v>4.2</v>
      </c>
      <c r="L32" s="4" t="s">
        <v>193</v>
      </c>
      <c r="M32" s="12" t="n">
        <f aca="false">IF(J32="","",J32*K32/100)</f>
        <v>0.00943518518518519</v>
      </c>
      <c r="N32" s="13" t="n">
        <v>6</v>
      </c>
      <c r="O32" s="14" t="n">
        <v>387</v>
      </c>
      <c r="P32" s="14" t="n">
        <v>0</v>
      </c>
      <c r="Q32" s="14" t="n">
        <v>99.98</v>
      </c>
      <c r="R32" s="14" t="n">
        <v>0</v>
      </c>
      <c r="S32" s="14" t="n">
        <v>0</v>
      </c>
      <c r="T32" s="14" t="n">
        <v>99.8</v>
      </c>
      <c r="U32" s="14" t="n">
        <v>1</v>
      </c>
      <c r="V32" s="14" t="n">
        <v>0.05</v>
      </c>
      <c r="W32" s="14" t="n">
        <v>2</v>
      </c>
      <c r="X32" s="14" t="n">
        <v>1</v>
      </c>
      <c r="Y32" s="14" t="n">
        <v>0</v>
      </c>
      <c r="Z32" s="15" t="n">
        <f aca="false">IF(J32="","",P32/J32)</f>
        <v>0</v>
      </c>
      <c r="AA32" s="16" t="n">
        <f aca="false">IF(J32="","",O32/J32)</f>
        <v>1722.70068694799</v>
      </c>
      <c r="AB32" s="4" t="s">
        <v>194</v>
      </c>
      <c r="AC32" s="4" t="s">
        <v>195</v>
      </c>
      <c r="AD32" s="4" t="s">
        <v>41</v>
      </c>
      <c r="AE32" s="4"/>
    </row>
    <row r="33" customFormat="false" ht="15" hidden="false" customHeight="false" outlineLevel="0" collapsed="false">
      <c r="A33" s="4" t="n">
        <v>28</v>
      </c>
      <c r="B33" s="5" t="s">
        <v>196</v>
      </c>
      <c r="C33" s="4" t="s">
        <v>139</v>
      </c>
      <c r="D33" s="4" t="s">
        <v>197</v>
      </c>
      <c r="E33" s="6" t="n">
        <v>5.152</v>
      </c>
      <c r="F33" s="4" t="s">
        <v>37</v>
      </c>
      <c r="G33" s="7" t="n">
        <v>453.6</v>
      </c>
      <c r="H33" s="8" t="n">
        <v>1</v>
      </c>
      <c r="I33" s="9" t="n">
        <f aca="false">G33*H33</f>
        <v>453.6</v>
      </c>
      <c r="J33" s="10" t="n">
        <f aca="false">IF(E33="","",E33/I33*100)</f>
        <v>1.1358024691358</v>
      </c>
      <c r="K33" s="11" t="n">
        <v>25.8</v>
      </c>
      <c r="L33" s="4" t="s">
        <v>198</v>
      </c>
      <c r="M33" s="12" t="n">
        <f aca="false">IF(J33="","",J33*K33/100)</f>
        <v>0.293037037037037</v>
      </c>
      <c r="N33" s="13" t="n">
        <v>2</v>
      </c>
      <c r="O33" s="14" t="n">
        <v>492</v>
      </c>
      <c r="P33" s="14" t="n">
        <v>5.1</v>
      </c>
      <c r="Q33" s="14" t="n">
        <v>65.36</v>
      </c>
      <c r="R33" s="14" t="n">
        <v>24.72</v>
      </c>
      <c r="S33" s="14" t="n">
        <v>2</v>
      </c>
      <c r="T33" s="14" t="n">
        <v>32.9</v>
      </c>
      <c r="U33" s="14" t="n">
        <v>21</v>
      </c>
      <c r="V33" s="14" t="n">
        <v>5.58</v>
      </c>
      <c r="W33" s="14" t="n">
        <v>171</v>
      </c>
      <c r="X33" s="14" t="n">
        <v>311</v>
      </c>
      <c r="Y33" s="14" t="n">
        <v>0</v>
      </c>
      <c r="Z33" s="15" t="n">
        <f aca="false">IF(J33="","",P33/J33)</f>
        <v>4.49021739130435</v>
      </c>
      <c r="AA33" s="16" t="n">
        <f aca="false">IF(J33="","",O33/J33)</f>
        <v>433.173913043478</v>
      </c>
      <c r="AB33" s="4" t="s">
        <v>199</v>
      </c>
      <c r="AC33" s="4" t="s">
        <v>200</v>
      </c>
      <c r="AD33" s="4" t="s">
        <v>41</v>
      </c>
      <c r="AE33" s="4"/>
    </row>
    <row r="34" customFormat="false" ht="15" hidden="false" customHeight="false" outlineLevel="0" collapsed="false">
      <c r="A34" s="4" t="n">
        <v>29</v>
      </c>
      <c r="B34" s="5" t="s">
        <v>201</v>
      </c>
      <c r="C34" s="4" t="s">
        <v>139</v>
      </c>
      <c r="D34" s="4" t="s">
        <v>201</v>
      </c>
      <c r="E34" s="6" t="n">
        <v>6.668</v>
      </c>
      <c r="F34" s="4" t="s">
        <v>202</v>
      </c>
      <c r="G34" s="7" t="n">
        <v>453.6</v>
      </c>
      <c r="H34" s="8" t="n">
        <v>1</v>
      </c>
      <c r="I34" s="9" t="n">
        <f aca="false">G34*H34</f>
        <v>453.6</v>
      </c>
      <c r="J34" s="10" t="n">
        <f aca="false">IF(E34="","",E34/I34*100)</f>
        <v>1.4700176366843</v>
      </c>
      <c r="K34" s="11" t="n">
        <v>28</v>
      </c>
      <c r="L34" s="4" t="s">
        <v>131</v>
      </c>
      <c r="M34" s="12" t="n">
        <f aca="false">IF(J34="","",J34*K34/100)</f>
        <v>0.411604938271605</v>
      </c>
      <c r="N34" s="13" t="n">
        <v>2</v>
      </c>
      <c r="O34" s="14" t="n">
        <v>532</v>
      </c>
      <c r="P34" s="14" t="n">
        <v>6.39</v>
      </c>
      <c r="Q34" s="14" t="n">
        <v>53.83</v>
      </c>
      <c r="R34" s="14" t="n">
        <v>33.98</v>
      </c>
      <c r="S34" s="14" t="n">
        <v>3.1</v>
      </c>
      <c r="T34" s="14" t="n">
        <v>0.33</v>
      </c>
      <c r="U34" s="14" t="n">
        <v>21</v>
      </c>
      <c r="V34" s="14" t="n">
        <v>1.28</v>
      </c>
      <c r="W34" s="14" t="n">
        <v>1196</v>
      </c>
      <c r="X34" s="14" t="n">
        <v>527</v>
      </c>
      <c r="Y34" s="14" t="n">
        <v>21.6</v>
      </c>
      <c r="Z34" s="15" t="n">
        <f aca="false">IF(J34="","",P34/J34)</f>
        <v>4.34688662267546</v>
      </c>
      <c r="AA34" s="16" t="n">
        <f aca="false">IF(J34="","",O34/J34)</f>
        <v>361.900419916017</v>
      </c>
      <c r="AB34" s="4" t="s">
        <v>203</v>
      </c>
      <c r="AC34" s="4" t="s">
        <v>204</v>
      </c>
      <c r="AD34" s="4" t="s">
        <v>41</v>
      </c>
      <c r="AE34" s="4"/>
    </row>
    <row r="35" customFormat="false" ht="15" hidden="false" customHeight="false" outlineLevel="0" collapsed="false">
      <c r="A35" s="4" t="n">
        <v>30</v>
      </c>
      <c r="B35" s="5" t="s">
        <v>205</v>
      </c>
      <c r="C35" s="4" t="s">
        <v>59</v>
      </c>
      <c r="D35" s="4" t="s">
        <v>206</v>
      </c>
      <c r="E35" s="17"/>
      <c r="F35" s="4" t="s">
        <v>37</v>
      </c>
      <c r="G35" s="7" t="n">
        <v>453.6</v>
      </c>
      <c r="H35" s="8" t="n">
        <v>1</v>
      </c>
      <c r="I35" s="9" t="n">
        <f aca="false">G35*H35</f>
        <v>453.6</v>
      </c>
      <c r="J35" s="10" t="str">
        <f aca="false">IF(E35="","",E35/I35*100)</f>
        <v/>
      </c>
      <c r="K35" s="11" t="n">
        <v>32</v>
      </c>
      <c r="L35" s="4" t="s">
        <v>207</v>
      </c>
      <c r="M35" s="12" t="str">
        <f aca="false">IF(J35="","",J35*K35/100)</f>
        <v/>
      </c>
      <c r="N35" s="13" t="n">
        <v>2</v>
      </c>
      <c r="O35" s="14" t="n">
        <v>598</v>
      </c>
      <c r="P35" s="14" t="n">
        <v>22.21</v>
      </c>
      <c r="Q35" s="14" t="n">
        <v>22.31</v>
      </c>
      <c r="R35" s="14" t="n">
        <v>51.36</v>
      </c>
      <c r="S35" s="14" t="n">
        <v>5</v>
      </c>
      <c r="T35" s="14" t="n">
        <v>10.49</v>
      </c>
      <c r="U35" s="14" t="n">
        <v>49</v>
      </c>
      <c r="V35" s="14" t="n">
        <v>1.74</v>
      </c>
      <c r="W35" s="14" t="n">
        <v>558</v>
      </c>
      <c r="X35" s="14" t="n">
        <v>426</v>
      </c>
      <c r="Y35" s="14" t="n">
        <v>0</v>
      </c>
      <c r="Z35" s="15" t="str">
        <f aca="false">IF(J35="","",P35/J35)</f>
        <v/>
      </c>
      <c r="AA35" s="16" t="str">
        <f aca="false">IF(J35="","",O35/J35)</f>
        <v/>
      </c>
      <c r="AB35" s="4" t="s">
        <v>208</v>
      </c>
      <c r="AC35" s="4" t="s">
        <v>209</v>
      </c>
      <c r="AD35" s="4" t="s">
        <v>41</v>
      </c>
      <c r="AE35" s="4" t="s">
        <v>210</v>
      </c>
    </row>
    <row r="36" customFormat="false" ht="15" hidden="false" customHeight="false" outlineLevel="0" collapsed="false">
      <c r="A36" s="4" t="n">
        <v>31</v>
      </c>
      <c r="B36" s="5" t="s">
        <v>211</v>
      </c>
      <c r="C36" s="4" t="s">
        <v>35</v>
      </c>
      <c r="D36" s="4" t="s">
        <v>212</v>
      </c>
      <c r="E36" s="17"/>
      <c r="F36" s="4" t="s">
        <v>37</v>
      </c>
      <c r="G36" s="7" t="n">
        <v>453.6</v>
      </c>
      <c r="H36" s="8" t="n">
        <v>1</v>
      </c>
      <c r="I36" s="9" t="n">
        <f aca="false">G36*H36</f>
        <v>453.6</v>
      </c>
      <c r="J36" s="10" t="str">
        <f aca="false">IF(E36="","",E36/I36*100)</f>
        <v/>
      </c>
      <c r="K36" s="11" t="n">
        <v>40.5</v>
      </c>
      <c r="L36" s="4" t="s">
        <v>213</v>
      </c>
      <c r="M36" s="12" t="str">
        <f aca="false">IF(J36="","",J36*K36/100)</f>
        <v/>
      </c>
      <c r="N36" s="13" t="n">
        <v>3</v>
      </c>
      <c r="O36" s="14" t="n">
        <v>379</v>
      </c>
      <c r="P36" s="14" t="n">
        <v>13.15</v>
      </c>
      <c r="Q36" s="14" t="n">
        <v>67.7</v>
      </c>
      <c r="R36" s="14" t="n">
        <v>6.52</v>
      </c>
      <c r="S36" s="14" t="n">
        <v>10.1</v>
      </c>
      <c r="T36" s="14" t="n">
        <v>0.99</v>
      </c>
      <c r="U36" s="14" t="n">
        <v>52</v>
      </c>
      <c r="V36" s="14" t="n">
        <v>4.25</v>
      </c>
      <c r="W36" s="14" t="n">
        <v>362</v>
      </c>
      <c r="X36" s="14" t="n">
        <v>6</v>
      </c>
      <c r="Y36" s="14" t="n">
        <v>0</v>
      </c>
      <c r="Z36" s="15" t="str">
        <f aca="false">IF(J36="","",P36/J36)</f>
        <v/>
      </c>
      <c r="AA36" s="16" t="str">
        <f aca="false">IF(J36="","",O36/J36)</f>
        <v/>
      </c>
      <c r="AB36" s="4" t="s">
        <v>214</v>
      </c>
      <c r="AC36" s="4" t="s">
        <v>215</v>
      </c>
      <c r="AD36" s="4" t="s">
        <v>41</v>
      </c>
      <c r="AE36" s="4" t="s">
        <v>210</v>
      </c>
    </row>
    <row r="37" customFormat="false" ht="15" hidden="false" customHeight="false" outlineLevel="0" collapsed="false">
      <c r="A37" s="4" t="n">
        <v>32</v>
      </c>
      <c r="B37" s="5" t="s">
        <v>216</v>
      </c>
      <c r="C37" s="4" t="s">
        <v>167</v>
      </c>
      <c r="D37" s="4" t="s">
        <v>217</v>
      </c>
      <c r="E37" s="17"/>
      <c r="F37" s="4" t="s">
        <v>37</v>
      </c>
      <c r="G37" s="7" t="n">
        <v>453.6</v>
      </c>
      <c r="H37" s="8" t="n">
        <v>0.61</v>
      </c>
      <c r="I37" s="9" t="n">
        <f aca="false">G37*H37</f>
        <v>276.696</v>
      </c>
      <c r="J37" s="10" t="str">
        <f aca="false">IF(E37="","",E37/I37*100)</f>
        <v/>
      </c>
      <c r="K37" s="11" t="n">
        <v>91</v>
      </c>
      <c r="L37" s="4" t="s">
        <v>187</v>
      </c>
      <c r="M37" s="12" t="str">
        <f aca="false">IF(J37="","",J37*K37/100)</f>
        <v/>
      </c>
      <c r="N37" s="13" t="n">
        <v>3</v>
      </c>
      <c r="O37" s="14" t="n">
        <v>34</v>
      </c>
      <c r="P37" s="14" t="n">
        <v>2.82</v>
      </c>
      <c r="Q37" s="14" t="n">
        <v>6.64</v>
      </c>
      <c r="R37" s="14" t="n">
        <v>0.37</v>
      </c>
      <c r="S37" s="14" t="n">
        <v>2.6</v>
      </c>
      <c r="T37" s="14" t="n">
        <v>1.7</v>
      </c>
      <c r="U37" s="14" t="n">
        <v>47</v>
      </c>
      <c r="V37" s="14" t="n">
        <v>0.73</v>
      </c>
      <c r="W37" s="14" t="n">
        <v>316</v>
      </c>
      <c r="X37" s="14" t="n">
        <v>33</v>
      </c>
      <c r="Y37" s="14" t="n">
        <v>89.2</v>
      </c>
      <c r="Z37" s="15" t="str">
        <f aca="false">IF(J37="","",P37/J37)</f>
        <v/>
      </c>
      <c r="AA37" s="16" t="str">
        <f aca="false">IF(J37="","",O37/J37)</f>
        <v/>
      </c>
      <c r="AB37" s="4" t="s">
        <v>218</v>
      </c>
      <c r="AC37" s="4" t="s">
        <v>219</v>
      </c>
      <c r="AD37" s="4" t="s">
        <v>220</v>
      </c>
      <c r="AE37" s="4" t="s">
        <v>210</v>
      </c>
    </row>
    <row r="38" customFormat="false" ht="15" hidden="false" customHeight="false" outlineLevel="0" collapsed="false">
      <c r="A38" s="4" t="n">
        <v>33</v>
      </c>
      <c r="B38" s="5" t="s">
        <v>221</v>
      </c>
      <c r="C38" s="4" t="s">
        <v>167</v>
      </c>
      <c r="D38" s="4" t="s">
        <v>222</v>
      </c>
      <c r="E38" s="17"/>
      <c r="F38" s="4" t="s">
        <v>37</v>
      </c>
      <c r="G38" s="7" t="n">
        <v>453.6</v>
      </c>
      <c r="H38" s="8" t="n">
        <v>0.89</v>
      </c>
      <c r="I38" s="9" t="n">
        <f aca="false">G38*H38</f>
        <v>403.704</v>
      </c>
      <c r="J38" s="10" t="str">
        <f aca="false">IF(E38="","",E38/I38*100)</f>
        <v/>
      </c>
      <c r="K38" s="11" t="n">
        <v>128</v>
      </c>
      <c r="L38" s="4" t="s">
        <v>187</v>
      </c>
      <c r="M38" s="12" t="str">
        <f aca="false">IF(J38="","",J38*K38/100)</f>
        <v/>
      </c>
      <c r="N38" s="13" t="n">
        <v>2</v>
      </c>
      <c r="O38" s="14" t="n">
        <v>41</v>
      </c>
      <c r="P38" s="14" t="n">
        <v>0.93</v>
      </c>
      <c r="Q38" s="14" t="n">
        <v>9.58</v>
      </c>
      <c r="R38" s="14" t="n">
        <v>0.24</v>
      </c>
      <c r="S38" s="14" t="n">
        <v>2.8</v>
      </c>
      <c r="T38" s="14" t="n">
        <v>4.74</v>
      </c>
      <c r="U38" s="14" t="n">
        <v>33</v>
      </c>
      <c r="V38" s="14" t="n">
        <v>0.3</v>
      </c>
      <c r="W38" s="14" t="n">
        <v>320</v>
      </c>
      <c r="X38" s="14" t="n">
        <v>69</v>
      </c>
      <c r="Y38" s="14" t="n">
        <v>5.9</v>
      </c>
      <c r="Z38" s="15" t="str">
        <f aca="false">IF(J38="","",P38/J38)</f>
        <v/>
      </c>
      <c r="AA38" s="16" t="str">
        <f aca="false">IF(J38="","",O38/J38)</f>
        <v/>
      </c>
      <c r="AB38" s="4" t="s">
        <v>223</v>
      </c>
      <c r="AC38" s="4" t="s">
        <v>224</v>
      </c>
      <c r="AD38" s="4" t="s">
        <v>225</v>
      </c>
      <c r="AE38" s="4" t="s">
        <v>210</v>
      </c>
    </row>
    <row r="39" customFormat="false" ht="15" hidden="false" customHeight="false" outlineLevel="0" collapsed="false">
      <c r="A39" s="4" t="n">
        <v>34</v>
      </c>
      <c r="B39" s="5" t="s">
        <v>226</v>
      </c>
      <c r="C39" s="4" t="s">
        <v>147</v>
      </c>
      <c r="D39" s="4" t="s">
        <v>227</v>
      </c>
      <c r="E39" s="17"/>
      <c r="F39" s="4" t="s">
        <v>37</v>
      </c>
      <c r="G39" s="7" t="n">
        <v>453.6</v>
      </c>
      <c r="H39" s="8" t="n">
        <v>0.9</v>
      </c>
      <c r="I39" s="9" t="n">
        <f aca="false">G39*H39</f>
        <v>408.24</v>
      </c>
      <c r="J39" s="10" t="str">
        <f aca="false">IF(E39="","",E39/I39*100)</f>
        <v/>
      </c>
      <c r="K39" s="11" t="n">
        <v>125</v>
      </c>
      <c r="L39" s="4" t="s">
        <v>187</v>
      </c>
      <c r="M39" s="12" t="str">
        <f aca="false">IF(J39="","",J39*K39/100)</f>
        <v/>
      </c>
      <c r="N39" s="13" t="n">
        <v>3</v>
      </c>
      <c r="O39" s="14" t="n">
        <v>52</v>
      </c>
      <c r="P39" s="14" t="n">
        <v>0.26</v>
      </c>
      <c r="Q39" s="14" t="n">
        <v>13.81</v>
      </c>
      <c r="R39" s="14" t="n">
        <v>0.17</v>
      </c>
      <c r="S39" s="14" t="n">
        <v>2.4</v>
      </c>
      <c r="T39" s="14" t="n">
        <v>10.39</v>
      </c>
      <c r="U39" s="14" t="n">
        <v>6</v>
      </c>
      <c r="V39" s="14" t="n">
        <v>0.12</v>
      </c>
      <c r="W39" s="14" t="n">
        <v>107</v>
      </c>
      <c r="X39" s="14" t="n">
        <v>1</v>
      </c>
      <c r="Y39" s="14" t="n">
        <v>4.6</v>
      </c>
      <c r="Z39" s="15" t="str">
        <f aca="false">IF(J39="","",P39/J39)</f>
        <v/>
      </c>
      <c r="AA39" s="16" t="str">
        <f aca="false">IF(J39="","",O39/J39)</f>
        <v/>
      </c>
      <c r="AB39" s="4" t="s">
        <v>228</v>
      </c>
      <c r="AC39" s="4" t="s">
        <v>229</v>
      </c>
      <c r="AD39" s="4" t="s">
        <v>230</v>
      </c>
      <c r="AE39" s="4" t="s">
        <v>210</v>
      </c>
    </row>
    <row r="40" customFormat="false" ht="15" hidden="false" customHeight="false" outlineLevel="0" collapsed="false">
      <c r="A40" s="4" t="n">
        <v>35</v>
      </c>
      <c r="B40" s="5" t="s">
        <v>231</v>
      </c>
      <c r="C40" s="4" t="s">
        <v>232</v>
      </c>
      <c r="D40" s="4" t="s">
        <v>212</v>
      </c>
      <c r="E40" s="17"/>
      <c r="F40" s="4" t="s">
        <v>233</v>
      </c>
      <c r="G40" s="7" t="n">
        <v>453.6</v>
      </c>
      <c r="H40" s="8" t="n">
        <v>1</v>
      </c>
      <c r="I40" s="9" t="n">
        <f aca="false">G40*H40</f>
        <v>453.6</v>
      </c>
      <c r="J40" s="10" t="str">
        <f aca="false">IF(E40="","",E40/I40*100)</f>
        <v/>
      </c>
      <c r="K40" s="11" t="n">
        <v>85</v>
      </c>
      <c r="L40" s="4" t="s">
        <v>234</v>
      </c>
      <c r="M40" s="12" t="str">
        <f aca="false">IF(J40="","",J40*K40/100)</f>
        <v/>
      </c>
      <c r="N40" s="13" t="n">
        <v>2</v>
      </c>
      <c r="O40" s="14" t="n">
        <v>86</v>
      </c>
      <c r="P40" s="14" t="n">
        <v>19.44</v>
      </c>
      <c r="Q40" s="14" t="n">
        <v>0</v>
      </c>
      <c r="R40" s="14" t="n">
        <v>0.96</v>
      </c>
      <c r="S40" s="14" t="n">
        <v>0</v>
      </c>
      <c r="T40" s="14" t="n">
        <v>0</v>
      </c>
      <c r="U40" s="14" t="n">
        <v>17</v>
      </c>
      <c r="V40" s="14" t="n">
        <v>1.63</v>
      </c>
      <c r="W40" s="14" t="n">
        <v>179</v>
      </c>
      <c r="X40" s="14" t="n">
        <v>247</v>
      </c>
      <c r="Y40" s="14" t="n">
        <v>0</v>
      </c>
      <c r="Z40" s="15" t="str">
        <f aca="false">IF(J40="","",P40/J40)</f>
        <v/>
      </c>
      <c r="AA40" s="16" t="str">
        <f aca="false">IF(J40="","",O40/J40)</f>
        <v/>
      </c>
      <c r="AB40" s="4" t="s">
        <v>235</v>
      </c>
      <c r="AC40" s="4" t="s">
        <v>236</v>
      </c>
      <c r="AD40" s="4" t="s">
        <v>41</v>
      </c>
      <c r="AE40" s="4" t="s">
        <v>237</v>
      </c>
    </row>
    <row r="41" customFormat="false" ht="15" hidden="false" customHeight="false" outlineLevel="0" collapsed="false">
      <c r="A41" s="4" t="n">
        <v>36</v>
      </c>
      <c r="B41" s="5" t="s">
        <v>238</v>
      </c>
      <c r="C41" s="4" t="s">
        <v>114</v>
      </c>
      <c r="D41" s="4" t="s">
        <v>239</v>
      </c>
      <c r="E41" s="17"/>
      <c r="F41" s="4" t="s">
        <v>37</v>
      </c>
      <c r="G41" s="7" t="n">
        <v>453.6</v>
      </c>
      <c r="H41" s="8" t="n">
        <v>1</v>
      </c>
      <c r="I41" s="9" t="n">
        <f aca="false">G41*H41</f>
        <v>453.6</v>
      </c>
      <c r="J41" s="10" t="str">
        <f aca="false">IF(E41="","",E41/I41*100)</f>
        <v/>
      </c>
      <c r="K41" s="11" t="n">
        <v>14.2</v>
      </c>
      <c r="L41" s="4" t="s">
        <v>240</v>
      </c>
      <c r="M41" s="12" t="str">
        <f aca="false">IF(J41="","",J41*K41/100)</f>
        <v/>
      </c>
      <c r="N41" s="13" t="n">
        <v>2</v>
      </c>
      <c r="O41" s="14" t="n">
        <v>717</v>
      </c>
      <c r="P41" s="14" t="n">
        <v>0.85</v>
      </c>
      <c r="Q41" s="14" t="n">
        <v>0.06</v>
      </c>
      <c r="R41" s="14" t="n">
        <v>81.11</v>
      </c>
      <c r="S41" s="14" t="n">
        <v>0</v>
      </c>
      <c r="T41" s="14" t="n">
        <v>0.06</v>
      </c>
      <c r="U41" s="14" t="n">
        <v>24</v>
      </c>
      <c r="V41" s="14" t="n">
        <v>0.02</v>
      </c>
      <c r="W41" s="14" t="n">
        <v>24</v>
      </c>
      <c r="X41" s="14" t="n">
        <v>643</v>
      </c>
      <c r="Y41" s="14" t="n">
        <v>0</v>
      </c>
      <c r="Z41" s="15" t="str">
        <f aca="false">IF(J41="","",P41/J41)</f>
        <v/>
      </c>
      <c r="AA41" s="16" t="str">
        <f aca="false">IF(J41="","",O41/J41)</f>
        <v/>
      </c>
      <c r="AB41" s="4" t="s">
        <v>241</v>
      </c>
      <c r="AC41" s="4" t="s">
        <v>242</v>
      </c>
      <c r="AD41" s="4" t="s">
        <v>41</v>
      </c>
      <c r="AE41" s="4" t="s">
        <v>210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T1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22" topLeftCell="C23" activePane="bottomRight" state="frozen"/>
      <selection pane="topLeft" activeCell="A1" activeCellId="0" sqref="A1"/>
      <selection pane="topRight" activeCell="C1" activeCellId="0" sqref="C1"/>
      <selection pane="bottomLeft" activeCell="A23" activeCellId="0" sqref="A23"/>
      <selection pane="bottomRigh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30"/>
    <col collapsed="false" customWidth="true" hidden="false" outlineLevel="0" max="10" min="3" style="0" width="14"/>
    <col collapsed="false" customWidth="true" hidden="false" outlineLevel="0" max="46" min="11" style="0" width="13"/>
  </cols>
  <sheetData>
    <row r="1" customFormat="false" ht="17.35" hidden="false" customHeight="false" outlineLevel="0" collapsed="false">
      <c r="A1" s="1" t="s">
        <v>243</v>
      </c>
    </row>
    <row r="2" customFormat="false" ht="15" hidden="false" customHeight="false" outlineLevel="0" collapsed="false">
      <c r="A2" s="18" t="s">
        <v>244</v>
      </c>
    </row>
    <row r="3" customFormat="false" ht="15" hidden="false" customHeight="false" outlineLevel="0" collapsed="false">
      <c r="A3" s="2" t="s">
        <v>245</v>
      </c>
    </row>
    <row r="5" customFormat="false" ht="15" hidden="false" customHeight="false" outlineLevel="0" collapsed="false">
      <c r="A5" s="19" t="s">
        <v>246</v>
      </c>
    </row>
    <row r="6" customFormat="false" ht="15" hidden="false" customHeight="false" outlineLevel="0" collapsed="false">
      <c r="A6" s="3" t="s">
        <v>247</v>
      </c>
      <c r="B6" s="3" t="s">
        <v>248</v>
      </c>
      <c r="C6" s="3" t="s">
        <v>249</v>
      </c>
      <c r="D6" s="3" t="s">
        <v>250</v>
      </c>
    </row>
    <row r="7" customFormat="false" ht="15" hidden="false" customHeight="false" outlineLevel="0" collapsed="false">
      <c r="A7" s="4" t="s">
        <v>251</v>
      </c>
      <c r="B7" s="20" t="n">
        <v>2600</v>
      </c>
      <c r="C7" s="20"/>
      <c r="D7" s="21" t="s">
        <v>252</v>
      </c>
    </row>
    <row r="8" customFormat="false" ht="15" hidden="false" customHeight="false" outlineLevel="0" collapsed="false">
      <c r="A8" s="4" t="s">
        <v>253</v>
      </c>
      <c r="B8" s="8" t="n">
        <v>0.05</v>
      </c>
      <c r="C8" s="8"/>
      <c r="D8" s="21" t="s">
        <v>254</v>
      </c>
    </row>
    <row r="9" customFormat="false" ht="15" hidden="false" customHeight="false" outlineLevel="0" collapsed="false">
      <c r="A9" s="4" t="s">
        <v>255</v>
      </c>
      <c r="B9" s="8" t="n">
        <v>0.1</v>
      </c>
      <c r="C9" s="8" t="n">
        <v>0.35</v>
      </c>
      <c r="D9" s="21" t="s">
        <v>256</v>
      </c>
    </row>
    <row r="10" customFormat="false" ht="15" hidden="false" customHeight="false" outlineLevel="0" collapsed="false">
      <c r="A10" s="4" t="s">
        <v>257</v>
      </c>
      <c r="B10" s="8" t="n">
        <v>0.45</v>
      </c>
      <c r="C10" s="8" t="n">
        <v>0.65</v>
      </c>
      <c r="D10" s="21" t="s">
        <v>256</v>
      </c>
    </row>
    <row r="11" customFormat="false" ht="15" hidden="false" customHeight="false" outlineLevel="0" collapsed="false">
      <c r="A11" s="4" t="s">
        <v>258</v>
      </c>
      <c r="B11" s="8" t="n">
        <v>0.2</v>
      </c>
      <c r="C11" s="8" t="n">
        <v>0.35</v>
      </c>
      <c r="D11" s="21" t="s">
        <v>256</v>
      </c>
    </row>
    <row r="12" customFormat="false" ht="15" hidden="false" customHeight="false" outlineLevel="0" collapsed="false">
      <c r="A12" s="4" t="s">
        <v>21</v>
      </c>
      <c r="B12" s="22" t="n">
        <v>38</v>
      </c>
      <c r="C12" s="22"/>
      <c r="D12" s="21" t="s">
        <v>259</v>
      </c>
    </row>
    <row r="13" customFormat="false" ht="15" hidden="false" customHeight="false" outlineLevel="0" collapsed="false">
      <c r="A13" s="4" t="s">
        <v>23</v>
      </c>
      <c r="B13" s="20" t="n">
        <v>1000</v>
      </c>
      <c r="C13" s="20"/>
      <c r="D13" s="21" t="s">
        <v>260</v>
      </c>
    </row>
    <row r="14" customFormat="false" ht="15" hidden="false" customHeight="false" outlineLevel="0" collapsed="false">
      <c r="A14" s="4" t="s">
        <v>24</v>
      </c>
      <c r="B14" s="22" t="n">
        <v>8</v>
      </c>
      <c r="C14" s="22"/>
      <c r="D14" s="21" t="s">
        <v>261</v>
      </c>
    </row>
    <row r="15" customFormat="false" ht="15" hidden="false" customHeight="false" outlineLevel="0" collapsed="false">
      <c r="A15" s="4" t="s">
        <v>25</v>
      </c>
      <c r="B15" s="20" t="n">
        <v>3400</v>
      </c>
      <c r="C15" s="20"/>
      <c r="D15" s="21" t="s">
        <v>262</v>
      </c>
    </row>
    <row r="16" customFormat="false" ht="15" hidden="false" customHeight="false" outlineLevel="0" collapsed="false">
      <c r="A16" s="4" t="s">
        <v>27</v>
      </c>
      <c r="B16" s="22" t="n">
        <v>90</v>
      </c>
      <c r="C16" s="22"/>
      <c r="D16" s="21" t="s">
        <v>263</v>
      </c>
    </row>
    <row r="17" customFormat="false" ht="15" hidden="false" customHeight="false" outlineLevel="0" collapsed="false">
      <c r="A17" s="4" t="s">
        <v>26</v>
      </c>
      <c r="B17" s="20"/>
      <c r="C17" s="20" t="n">
        <v>2300</v>
      </c>
      <c r="D17" s="21" t="s">
        <v>264</v>
      </c>
    </row>
    <row r="18" customFormat="false" ht="15" hidden="false" customHeight="false" outlineLevel="0" collapsed="false">
      <c r="A18" s="4" t="s">
        <v>22</v>
      </c>
      <c r="B18" s="22"/>
      <c r="C18" s="22"/>
      <c r="D18" s="21" t="s">
        <v>265</v>
      </c>
    </row>
    <row r="19" customFormat="false" ht="15" hidden="false" customHeight="false" outlineLevel="0" collapsed="false">
      <c r="A19" s="2" t="s">
        <v>266</v>
      </c>
    </row>
    <row r="21" customFormat="false" ht="15" hidden="false" customHeight="false" outlineLevel="0" collapsed="false">
      <c r="A21" s="19" t="s">
        <v>267</v>
      </c>
    </row>
    <row r="22" customFormat="false" ht="66" hidden="false" customHeight="true" outlineLevel="0" collapsed="false">
      <c r="A22" s="3" t="s">
        <v>268</v>
      </c>
      <c r="B22" s="3" t="s">
        <v>269</v>
      </c>
      <c r="C22" s="3" t="s">
        <v>270</v>
      </c>
      <c r="D22" s="3" t="s">
        <v>271</v>
      </c>
      <c r="E22" s="3" t="s">
        <v>272</v>
      </c>
      <c r="F22" s="3" t="s">
        <v>273</v>
      </c>
      <c r="G22" s="3" t="s">
        <v>274</v>
      </c>
      <c r="H22" s="3" t="s">
        <v>275</v>
      </c>
      <c r="I22" s="3" t="s">
        <v>276</v>
      </c>
      <c r="K22" s="23" t="str">
        <f aca="false">'Food Data'!B6</f>
        <v>White rice (dry)</v>
      </c>
      <c r="L22" s="23" t="str">
        <f aca="false">'Food Data'!B7</f>
        <v>Spaghetti / macaroni (dry)</v>
      </c>
      <c r="M22" s="23" t="str">
        <f aca="false">'Food Data'!B8</f>
        <v>White bread</v>
      </c>
      <c r="N22" s="23" t="str">
        <f aca="false">'Food Data'!B9</f>
        <v>All-purpose flour</v>
      </c>
      <c r="O22" s="23" t="str">
        <f aca="false">'Food Data'!B10</f>
        <v>Dried pinto beans</v>
      </c>
      <c r="P22" s="23" t="str">
        <f aca="false">'Food Data'!B11</f>
        <v>Ground beef (regular)</v>
      </c>
      <c r="Q22" s="23" t="str">
        <f aca="false">'Food Data'!B12</f>
        <v>Ground beef (lean)</v>
      </c>
      <c r="R22" s="23" t="str">
        <f aca="false">'Food Data'!B13</f>
        <v>Sirloin steak</v>
      </c>
      <c r="S22" s="23" t="str">
        <f aca="false">'Food Data'!B14</f>
        <v>Bacon</v>
      </c>
      <c r="T22" s="23" t="str">
        <f aca="false">'Food Data'!B15</f>
        <v>Pork chops (boneless)</v>
      </c>
      <c r="U22" s="23" t="str">
        <f aca="false">'Food Data'!B16</f>
        <v>Ham (boneless)</v>
      </c>
      <c r="V22" s="23" t="str">
        <f aca="false">'Food Data'!B17</f>
        <v>Whole chicken</v>
      </c>
      <c r="W22" s="23" t="str">
        <f aca="false">'Food Data'!B18</f>
        <v>Chicken breast (boneless)</v>
      </c>
      <c r="X22" s="23" t="str">
        <f aca="false">'Food Data'!B19</f>
        <v>Chicken legs (bone-in)</v>
      </c>
      <c r="Y22" s="23" t="str">
        <f aca="false">'Food Data'!B20</f>
        <v>Eggs (large)</v>
      </c>
      <c r="Z22" s="23" t="str">
        <f aca="false">'Food Data'!B21</f>
        <v>Whole milk</v>
      </c>
      <c r="AA22" s="23" t="str">
        <f aca="false">'Food Data'!B22</f>
        <v>Cheddar cheese</v>
      </c>
      <c r="AB22" s="23" t="str">
        <f aca="false">'Food Data'!B23</f>
        <v>American cheese</v>
      </c>
      <c r="AC22" s="23" t="str">
        <f aca="false">'Food Data'!B24</f>
        <v>Vanilla ice cream</v>
      </c>
      <c r="AD22" s="23" t="str">
        <f aca="false">'Food Data'!B25</f>
        <v>Bananas</v>
      </c>
      <c r="AE22" s="23" t="str">
        <f aca="false">'Food Data'!B26</f>
        <v>Navel oranges</v>
      </c>
      <c r="AF22" s="23" t="str">
        <f aca="false">'Food Data'!B27</f>
        <v>Strawberries</v>
      </c>
      <c r="AG22" s="23" t="str">
        <f aca="false">'Food Data'!B28</f>
        <v>White potatoes</v>
      </c>
      <c r="AH22" s="23" t="str">
        <f aca="false">'Food Data'!B29</f>
        <v>Iceberg lettuce</v>
      </c>
      <c r="AI22" s="23" t="str">
        <f aca="false">'Food Data'!B30</f>
        <v>Romaine lettuce</v>
      </c>
      <c r="AJ22" s="23" t="str">
        <f aca="false">'Food Data'!B31</f>
        <v>Tomatoes</v>
      </c>
      <c r="AK22" s="23" t="str">
        <f aca="false">'Food Data'!B32</f>
        <v>White sugar</v>
      </c>
      <c r="AL22" s="23" t="str">
        <f aca="false">'Food Data'!B33</f>
        <v>Chocolate chip cookies</v>
      </c>
      <c r="AM22" s="23" t="str">
        <f aca="false">'Food Data'!B34</f>
        <v>Potato chips</v>
      </c>
      <c r="AN22" s="23" t="str">
        <f aca="false">'Food Data'!B35</f>
        <v>Peanut butter</v>
      </c>
      <c r="AO22" s="23" t="str">
        <f aca="false">'Food Data'!B36</f>
        <v>Rolled oats (dry)</v>
      </c>
      <c r="AP22" s="23" t="str">
        <f aca="false">'Food Data'!B37</f>
        <v>Broccoli</v>
      </c>
      <c r="AQ22" s="23" t="str">
        <f aca="false">'Food Data'!B38</f>
        <v>Carrots</v>
      </c>
      <c r="AR22" s="23" t="str">
        <f aca="false">'Food Data'!B39</f>
        <v>Apples</v>
      </c>
      <c r="AS22" s="23" t="str">
        <f aca="false">'Food Data'!B40</f>
        <v>Canned light tuna (drained)</v>
      </c>
      <c r="AT22" s="23" t="str">
        <f aca="false">'Food Data'!B41</f>
        <v>Butter (salted)</v>
      </c>
    </row>
    <row r="23" customFormat="false" ht="15" hidden="false" customHeight="false" outlineLevel="0" collapsed="false">
      <c r="A23" s="4" t="n">
        <v>1</v>
      </c>
      <c r="B23" s="5" t="s">
        <v>277</v>
      </c>
      <c r="C23" s="4" t="s">
        <v>278</v>
      </c>
      <c r="D23" s="24" t="n">
        <f aca="false">$B$7*(1-$B$8)</f>
        <v>2470</v>
      </c>
      <c r="E23" s="25" t="n">
        <f aca="false">$B$7*(1+$B$8)</f>
        <v>2730</v>
      </c>
      <c r="F23" s="26" t="n">
        <f aca="false" t="array" ref="F23:F33">MMULT(K23:AT33,C40:C75)</f>
        <v>2469.999734</v>
      </c>
      <c r="G23" s="27" t="str">
        <f aca="false">IF(F23&lt;D23-0.01,"BELOW MIN",IF(F23&gt;E23+0.01,"ABOVE MAX",IF(OR(ABS(F23-D23)&lt;0.01,ABS(F23-E23)&lt;0.01),"binding","ok")))</f>
        <v>binding</v>
      </c>
      <c r="H23" s="28" t="n">
        <f aca="false" t="array" ref="H23:H33">MMULT(K23:AT33,I40:I75)</f>
        <v>1714.216</v>
      </c>
      <c r="I23" s="27" t="str">
        <f aca="false">IF(H23&lt;D23-0.01,"BELOW MIN",IF(H23&gt;E23+0.01,"ABOVE MAX",IF(OR(ABS(H23-D23)&lt;0.01,ABS(H23-E23)&lt;0.01),"binding","ok")))</f>
        <v>BELOW MIN</v>
      </c>
      <c r="K23" s="29" t="n">
        <f aca="false">'Food Data'!O6</f>
        <v>365</v>
      </c>
      <c r="L23" s="29" t="n">
        <f aca="false">'Food Data'!O7</f>
        <v>371</v>
      </c>
      <c r="M23" s="29" t="n">
        <f aca="false">'Food Data'!O8</f>
        <v>266</v>
      </c>
      <c r="N23" s="29" t="n">
        <f aca="false">'Food Data'!O9</f>
        <v>364</v>
      </c>
      <c r="O23" s="29" t="n">
        <f aca="false">'Food Data'!O10</f>
        <v>347</v>
      </c>
      <c r="P23" s="29" t="n">
        <f aca="false">'Food Data'!O11</f>
        <v>254</v>
      </c>
      <c r="Q23" s="29" t="n">
        <f aca="false">'Food Data'!O12</f>
        <v>176</v>
      </c>
      <c r="R23" s="29" t="n">
        <f aca="false">'Food Data'!O13</f>
        <v>214</v>
      </c>
      <c r="S23" s="29" t="n">
        <f aca="false">'Food Data'!O14</f>
        <v>417</v>
      </c>
      <c r="T23" s="29" t="n">
        <f aca="false">'Food Data'!O15</f>
        <v>201</v>
      </c>
      <c r="U23" s="29" t="n">
        <f aca="false">'Food Data'!O16</f>
        <v>163</v>
      </c>
      <c r="V23" s="29" t="n">
        <f aca="false">'Food Data'!O17</f>
        <v>215</v>
      </c>
      <c r="W23" s="29" t="n">
        <f aca="false">'Food Data'!O18</f>
        <v>120</v>
      </c>
      <c r="X23" s="29" t="n">
        <f aca="false">'Food Data'!O19</f>
        <v>214</v>
      </c>
      <c r="Y23" s="29" t="n">
        <f aca="false">'Food Data'!O20</f>
        <v>143</v>
      </c>
      <c r="Z23" s="29" t="n">
        <f aca="false">'Food Data'!O21</f>
        <v>61</v>
      </c>
      <c r="AA23" s="29" t="n">
        <f aca="false">'Food Data'!O22</f>
        <v>404</v>
      </c>
      <c r="AB23" s="29" t="n">
        <f aca="false">'Food Data'!O23</f>
        <v>366</v>
      </c>
      <c r="AC23" s="29" t="n">
        <f aca="false">'Food Data'!O24</f>
        <v>207</v>
      </c>
      <c r="AD23" s="29" t="n">
        <f aca="false">'Food Data'!O25</f>
        <v>89</v>
      </c>
      <c r="AE23" s="29" t="n">
        <f aca="false">'Food Data'!O26</f>
        <v>49</v>
      </c>
      <c r="AF23" s="29" t="n">
        <f aca="false">'Food Data'!O27</f>
        <v>32</v>
      </c>
      <c r="AG23" s="29" t="n">
        <f aca="false">'Food Data'!O28</f>
        <v>77</v>
      </c>
      <c r="AH23" s="29" t="n">
        <f aca="false">'Food Data'!O29</f>
        <v>14</v>
      </c>
      <c r="AI23" s="29" t="n">
        <f aca="false">'Food Data'!O30</f>
        <v>17</v>
      </c>
      <c r="AJ23" s="29" t="n">
        <f aca="false">'Food Data'!O31</f>
        <v>18</v>
      </c>
      <c r="AK23" s="29" t="n">
        <f aca="false">'Food Data'!O32</f>
        <v>387</v>
      </c>
      <c r="AL23" s="29" t="n">
        <f aca="false">'Food Data'!O33</f>
        <v>492</v>
      </c>
      <c r="AM23" s="29" t="n">
        <f aca="false">'Food Data'!O34</f>
        <v>532</v>
      </c>
      <c r="AN23" s="29" t="n">
        <f aca="false">'Food Data'!O35</f>
        <v>598</v>
      </c>
      <c r="AO23" s="29" t="n">
        <f aca="false">'Food Data'!O36</f>
        <v>379</v>
      </c>
      <c r="AP23" s="29" t="n">
        <f aca="false">'Food Data'!O37</f>
        <v>34</v>
      </c>
      <c r="AQ23" s="29" t="n">
        <f aca="false">'Food Data'!O38</f>
        <v>41</v>
      </c>
      <c r="AR23" s="29" t="n">
        <f aca="false">'Food Data'!O39</f>
        <v>52</v>
      </c>
      <c r="AS23" s="29" t="n">
        <f aca="false">'Food Data'!O40</f>
        <v>86</v>
      </c>
      <c r="AT23" s="29" t="n">
        <f aca="false">'Food Data'!O41</f>
        <v>717</v>
      </c>
    </row>
    <row r="24" customFormat="false" ht="15" hidden="false" customHeight="false" outlineLevel="0" collapsed="false">
      <c r="A24" s="4" t="n">
        <v>2</v>
      </c>
      <c r="B24" s="5" t="s">
        <v>279</v>
      </c>
      <c r="C24" s="4" t="s">
        <v>280</v>
      </c>
      <c r="D24" s="24" t="n">
        <f aca="false">$B$7*$B$9/4</f>
        <v>65</v>
      </c>
      <c r="E24" s="25" t="n">
        <f aca="false">$B$7*$C$9/4</f>
        <v>227.5</v>
      </c>
      <c r="F24" s="26" t="n">
        <v>117.64681691</v>
      </c>
      <c r="G24" s="27" t="str">
        <f aca="false">IF(F24&lt;D24-0.01,"BELOW MIN",IF(F24&gt;E24+0.01,"ABOVE MAX",IF(OR(ABS(F24-D24)&lt;0.01,ABS(F24-E24)&lt;0.01),"binding","ok")))</f>
        <v>ok</v>
      </c>
      <c r="H24" s="28" t="n">
        <v>87.6733</v>
      </c>
      <c r="I24" s="27" t="str">
        <f aca="false">IF(H24&lt;D24-0.01,"BELOW MIN",IF(H24&gt;E24+0.01,"ABOVE MAX",IF(OR(ABS(H24-D24)&lt;0.01,ABS(H24-E24)&lt;0.01),"binding","ok")))</f>
        <v>ok</v>
      </c>
      <c r="K24" s="29" t="n">
        <f aca="false">'Food Data'!P6</f>
        <v>7.13</v>
      </c>
      <c r="L24" s="29" t="n">
        <f aca="false">'Food Data'!P7</f>
        <v>13.04</v>
      </c>
      <c r="M24" s="29" t="n">
        <f aca="false">'Food Data'!P8</f>
        <v>8.85</v>
      </c>
      <c r="N24" s="29" t="n">
        <f aca="false">'Food Data'!P9</f>
        <v>10.33</v>
      </c>
      <c r="O24" s="29" t="n">
        <f aca="false">'Food Data'!P10</f>
        <v>21.42</v>
      </c>
      <c r="P24" s="29" t="n">
        <f aca="false">'Food Data'!P11</f>
        <v>17.17</v>
      </c>
      <c r="Q24" s="29" t="n">
        <f aca="false">'Food Data'!P12</f>
        <v>20</v>
      </c>
      <c r="R24" s="29" t="n">
        <f aca="false">'Food Data'!P13</f>
        <v>19.92</v>
      </c>
      <c r="S24" s="29" t="n">
        <f aca="false">'Food Data'!P14</f>
        <v>12.62</v>
      </c>
      <c r="T24" s="29" t="n">
        <f aca="false">'Food Data'!P15</f>
        <v>21.14</v>
      </c>
      <c r="U24" s="29" t="n">
        <f aca="false">'Food Data'!P16</f>
        <v>16.6</v>
      </c>
      <c r="V24" s="29" t="n">
        <f aca="false">'Food Data'!P17</f>
        <v>18.6</v>
      </c>
      <c r="W24" s="29" t="n">
        <f aca="false">'Food Data'!P18</f>
        <v>22.5</v>
      </c>
      <c r="X24" s="29" t="n">
        <f aca="false">'Food Data'!P19</f>
        <v>16.37</v>
      </c>
      <c r="Y24" s="29" t="n">
        <f aca="false">'Food Data'!P20</f>
        <v>12.56</v>
      </c>
      <c r="Z24" s="29" t="n">
        <f aca="false">'Food Data'!P21</f>
        <v>3.15</v>
      </c>
      <c r="AA24" s="29" t="n">
        <f aca="false">'Food Data'!P22</f>
        <v>22.87</v>
      </c>
      <c r="AB24" s="29" t="n">
        <f aca="false">'Food Data'!P23</f>
        <v>18.13</v>
      </c>
      <c r="AC24" s="29" t="n">
        <f aca="false">'Food Data'!P24</f>
        <v>3.5</v>
      </c>
      <c r="AD24" s="29" t="n">
        <f aca="false">'Food Data'!P25</f>
        <v>1.09</v>
      </c>
      <c r="AE24" s="29" t="n">
        <f aca="false">'Food Data'!P26</f>
        <v>0.91</v>
      </c>
      <c r="AF24" s="29" t="n">
        <f aca="false">'Food Data'!P27</f>
        <v>0.67</v>
      </c>
      <c r="AG24" s="29" t="n">
        <f aca="false">'Food Data'!P28</f>
        <v>2.05</v>
      </c>
      <c r="AH24" s="29" t="n">
        <f aca="false">'Food Data'!P29</f>
        <v>0.9</v>
      </c>
      <c r="AI24" s="29" t="n">
        <f aca="false">'Food Data'!P30</f>
        <v>1.23</v>
      </c>
      <c r="AJ24" s="29" t="n">
        <f aca="false">'Food Data'!P31</f>
        <v>0.88</v>
      </c>
      <c r="AK24" s="29" t="n">
        <f aca="false">'Food Data'!P32</f>
        <v>0</v>
      </c>
      <c r="AL24" s="29" t="n">
        <f aca="false">'Food Data'!P33</f>
        <v>5.1</v>
      </c>
      <c r="AM24" s="29" t="n">
        <f aca="false">'Food Data'!P34</f>
        <v>6.39</v>
      </c>
      <c r="AN24" s="29" t="n">
        <f aca="false">'Food Data'!P35</f>
        <v>22.21</v>
      </c>
      <c r="AO24" s="29" t="n">
        <f aca="false">'Food Data'!P36</f>
        <v>13.15</v>
      </c>
      <c r="AP24" s="29" t="n">
        <f aca="false">'Food Data'!P37</f>
        <v>2.82</v>
      </c>
      <c r="AQ24" s="29" t="n">
        <f aca="false">'Food Data'!P38</f>
        <v>0.93</v>
      </c>
      <c r="AR24" s="29" t="n">
        <f aca="false">'Food Data'!P39</f>
        <v>0.26</v>
      </c>
      <c r="AS24" s="29" t="n">
        <f aca="false">'Food Data'!P40</f>
        <v>19.44</v>
      </c>
      <c r="AT24" s="29" t="n">
        <f aca="false">'Food Data'!P41</f>
        <v>0.85</v>
      </c>
    </row>
    <row r="25" customFormat="false" ht="15" hidden="false" customHeight="false" outlineLevel="0" collapsed="false">
      <c r="A25" s="4" t="n">
        <v>3</v>
      </c>
      <c r="B25" s="5" t="s">
        <v>281</v>
      </c>
      <c r="C25" s="4" t="s">
        <v>280</v>
      </c>
      <c r="D25" s="24" t="n">
        <f aca="false">$B$7*$B$10/4</f>
        <v>292.5</v>
      </c>
      <c r="E25" s="25" t="n">
        <f aca="false">$B$7*$C$10/4</f>
        <v>422.5</v>
      </c>
      <c r="F25" s="26" t="n">
        <v>365.27714735</v>
      </c>
      <c r="G25" s="27" t="str">
        <f aca="false">IF(F25&lt;D25-0.01,"BELOW MIN",IF(F25&gt;E25+0.01,"ABOVE MAX",IF(OR(ABS(F25-D25)&lt;0.01,ABS(F25-E25)&lt;0.01),"binding","ok")))</f>
        <v>ok</v>
      </c>
      <c r="H25" s="28" t="n">
        <v>180.51388</v>
      </c>
      <c r="I25" s="27" t="str">
        <f aca="false">IF(H25&lt;D25-0.01,"BELOW MIN",IF(H25&gt;E25+0.01,"ABOVE MAX",IF(OR(ABS(H25-D25)&lt;0.01,ABS(H25-E25)&lt;0.01),"binding","ok")))</f>
        <v>BELOW MIN</v>
      </c>
      <c r="K25" s="29" t="n">
        <f aca="false">'Food Data'!Q6</f>
        <v>79.95</v>
      </c>
      <c r="L25" s="29" t="n">
        <f aca="false">'Food Data'!Q7</f>
        <v>74.67</v>
      </c>
      <c r="M25" s="29" t="n">
        <f aca="false">'Food Data'!Q8</f>
        <v>49.42</v>
      </c>
      <c r="N25" s="29" t="n">
        <f aca="false">'Food Data'!Q9</f>
        <v>76.31</v>
      </c>
      <c r="O25" s="29" t="n">
        <f aca="false">'Food Data'!Q10</f>
        <v>62.55</v>
      </c>
      <c r="P25" s="29" t="n">
        <f aca="false">'Food Data'!Q11</f>
        <v>0</v>
      </c>
      <c r="Q25" s="29" t="n">
        <f aca="false">'Food Data'!Q12</f>
        <v>0</v>
      </c>
      <c r="R25" s="29" t="n">
        <f aca="false">'Food Data'!Q13</f>
        <v>0</v>
      </c>
      <c r="S25" s="29" t="n">
        <f aca="false">'Food Data'!Q14</f>
        <v>1.28</v>
      </c>
      <c r="T25" s="29" t="n">
        <f aca="false">'Food Data'!Q15</f>
        <v>0</v>
      </c>
      <c r="U25" s="29" t="n">
        <f aca="false">'Food Data'!Q16</f>
        <v>3.83</v>
      </c>
      <c r="V25" s="29" t="n">
        <f aca="false">'Food Data'!Q17</f>
        <v>0</v>
      </c>
      <c r="W25" s="29" t="n">
        <f aca="false">'Food Data'!Q18</f>
        <v>0</v>
      </c>
      <c r="X25" s="29" t="n">
        <f aca="false">'Food Data'!Q19</f>
        <v>0.17</v>
      </c>
      <c r="Y25" s="29" t="n">
        <f aca="false">'Food Data'!Q20</f>
        <v>0.72</v>
      </c>
      <c r="Z25" s="29" t="n">
        <f aca="false">'Food Data'!Q21</f>
        <v>4.8</v>
      </c>
      <c r="AA25" s="29" t="n">
        <f aca="false">'Food Data'!Q22</f>
        <v>3.09</v>
      </c>
      <c r="AB25" s="29" t="n">
        <f aca="false">'Food Data'!Q23</f>
        <v>4.78</v>
      </c>
      <c r="AC25" s="29" t="n">
        <f aca="false">'Food Data'!Q24</f>
        <v>23.6</v>
      </c>
      <c r="AD25" s="29" t="n">
        <f aca="false">'Food Data'!Q25</f>
        <v>22.84</v>
      </c>
      <c r="AE25" s="29" t="n">
        <f aca="false">'Food Data'!Q26</f>
        <v>12.54</v>
      </c>
      <c r="AF25" s="29" t="n">
        <f aca="false">'Food Data'!Q27</f>
        <v>7.68</v>
      </c>
      <c r="AG25" s="29" t="n">
        <f aca="false">'Food Data'!Q28</f>
        <v>17.49</v>
      </c>
      <c r="AH25" s="29" t="n">
        <f aca="false">'Food Data'!Q29</f>
        <v>2.97</v>
      </c>
      <c r="AI25" s="29" t="n">
        <f aca="false">'Food Data'!Q30</f>
        <v>3.29</v>
      </c>
      <c r="AJ25" s="29" t="n">
        <f aca="false">'Food Data'!Q31</f>
        <v>3.89</v>
      </c>
      <c r="AK25" s="29" t="n">
        <f aca="false">'Food Data'!Q32</f>
        <v>99.98</v>
      </c>
      <c r="AL25" s="29" t="n">
        <f aca="false">'Food Data'!Q33</f>
        <v>65.36</v>
      </c>
      <c r="AM25" s="29" t="n">
        <f aca="false">'Food Data'!Q34</f>
        <v>53.83</v>
      </c>
      <c r="AN25" s="29" t="n">
        <f aca="false">'Food Data'!Q35</f>
        <v>22.31</v>
      </c>
      <c r="AO25" s="29" t="n">
        <f aca="false">'Food Data'!Q36</f>
        <v>67.7</v>
      </c>
      <c r="AP25" s="29" t="n">
        <f aca="false">'Food Data'!Q37</f>
        <v>6.64</v>
      </c>
      <c r="AQ25" s="29" t="n">
        <f aca="false">'Food Data'!Q38</f>
        <v>9.58</v>
      </c>
      <c r="AR25" s="29" t="n">
        <f aca="false">'Food Data'!Q39</f>
        <v>13.81</v>
      </c>
      <c r="AS25" s="29" t="n">
        <f aca="false">'Food Data'!Q40</f>
        <v>0</v>
      </c>
      <c r="AT25" s="29" t="n">
        <f aca="false">'Food Data'!Q41</f>
        <v>0.06</v>
      </c>
    </row>
    <row r="26" customFormat="false" ht="15" hidden="false" customHeight="false" outlineLevel="0" collapsed="false">
      <c r="A26" s="4" t="n">
        <v>4</v>
      </c>
      <c r="B26" s="5" t="s">
        <v>282</v>
      </c>
      <c r="C26" s="4" t="s">
        <v>280</v>
      </c>
      <c r="D26" s="24" t="n">
        <f aca="false">$B$7*$B$11/9</f>
        <v>57.7777777777778</v>
      </c>
      <c r="E26" s="25" t="n">
        <f aca="false">$B$7*$C$11/9</f>
        <v>101.111111111111</v>
      </c>
      <c r="F26" s="26" t="n">
        <v>57.77777136</v>
      </c>
      <c r="G26" s="27" t="str">
        <f aca="false">IF(F26&lt;D26-0.01,"BELOW MIN",IF(F26&gt;E26+0.01,"ABOVE MAX",IF(OR(ABS(F26-D26)&lt;0.01,ABS(F26-E26)&lt;0.01),"binding","ok")))</f>
        <v>binding</v>
      </c>
      <c r="H26" s="28" t="n">
        <v>70.70036</v>
      </c>
      <c r="I26" s="27" t="str">
        <f aca="false">IF(H26&lt;D26-0.01,"BELOW MIN",IF(H26&gt;E26+0.01,"ABOVE MAX",IF(OR(ABS(H26-D26)&lt;0.01,ABS(H26-E26)&lt;0.01),"binding","ok")))</f>
        <v>ok</v>
      </c>
      <c r="K26" s="29" t="n">
        <f aca="false">'Food Data'!R6</f>
        <v>0.66</v>
      </c>
      <c r="L26" s="29" t="n">
        <f aca="false">'Food Data'!R7</f>
        <v>1.51</v>
      </c>
      <c r="M26" s="29" t="n">
        <f aca="false">'Food Data'!R8</f>
        <v>3.33</v>
      </c>
      <c r="N26" s="29" t="n">
        <f aca="false">'Food Data'!R9</f>
        <v>0.98</v>
      </c>
      <c r="O26" s="29" t="n">
        <f aca="false">'Food Data'!R10</f>
        <v>1.23</v>
      </c>
      <c r="P26" s="29" t="n">
        <f aca="false">'Food Data'!R11</f>
        <v>20</v>
      </c>
      <c r="Q26" s="29" t="n">
        <f aca="false">'Food Data'!R12</f>
        <v>10</v>
      </c>
      <c r="R26" s="29" t="n">
        <f aca="false">'Food Data'!R13</f>
        <v>14.28</v>
      </c>
      <c r="S26" s="29" t="n">
        <f aca="false">'Food Data'!R14</f>
        <v>39.69</v>
      </c>
      <c r="T26" s="29" t="n">
        <f aca="false">'Food Data'!R15</f>
        <v>12.96</v>
      </c>
      <c r="U26" s="29" t="n">
        <f aca="false">'Food Data'!R16</f>
        <v>8.6</v>
      </c>
      <c r="V26" s="29" t="n">
        <f aca="false">'Food Data'!R17</f>
        <v>15.06</v>
      </c>
      <c r="W26" s="29" t="n">
        <f aca="false">'Food Data'!R18</f>
        <v>2.62</v>
      </c>
      <c r="X26" s="29" t="n">
        <f aca="false">'Food Data'!R19</f>
        <v>15.95</v>
      </c>
      <c r="Y26" s="29" t="n">
        <f aca="false">'Food Data'!R20</f>
        <v>9.51</v>
      </c>
      <c r="Z26" s="29" t="n">
        <f aca="false">'Food Data'!R21</f>
        <v>3.25</v>
      </c>
      <c r="AA26" s="29" t="n">
        <f aca="false">'Food Data'!R22</f>
        <v>33.31</v>
      </c>
      <c r="AB26" s="29" t="n">
        <f aca="false">'Food Data'!R23</f>
        <v>30.71</v>
      </c>
      <c r="AC26" s="29" t="n">
        <f aca="false">'Food Data'!R24</f>
        <v>11</v>
      </c>
      <c r="AD26" s="29" t="n">
        <f aca="false">'Food Data'!R25</f>
        <v>0.33</v>
      </c>
      <c r="AE26" s="29" t="n">
        <f aca="false">'Food Data'!R26</f>
        <v>0.15</v>
      </c>
      <c r="AF26" s="29" t="n">
        <f aca="false">'Food Data'!R27</f>
        <v>0.3</v>
      </c>
      <c r="AG26" s="29" t="n">
        <f aca="false">'Food Data'!R28</f>
        <v>0.09</v>
      </c>
      <c r="AH26" s="29" t="n">
        <f aca="false">'Food Data'!R29</f>
        <v>0.14</v>
      </c>
      <c r="AI26" s="29" t="n">
        <f aca="false">'Food Data'!R30</f>
        <v>0.3</v>
      </c>
      <c r="AJ26" s="29" t="n">
        <f aca="false">'Food Data'!R31</f>
        <v>0.2</v>
      </c>
      <c r="AK26" s="29" t="n">
        <f aca="false">'Food Data'!R32</f>
        <v>0</v>
      </c>
      <c r="AL26" s="29" t="n">
        <f aca="false">'Food Data'!R33</f>
        <v>24.72</v>
      </c>
      <c r="AM26" s="29" t="n">
        <f aca="false">'Food Data'!R34</f>
        <v>33.98</v>
      </c>
      <c r="AN26" s="29" t="n">
        <f aca="false">'Food Data'!R35</f>
        <v>51.36</v>
      </c>
      <c r="AO26" s="29" t="n">
        <f aca="false">'Food Data'!R36</f>
        <v>6.52</v>
      </c>
      <c r="AP26" s="29" t="n">
        <f aca="false">'Food Data'!R37</f>
        <v>0.37</v>
      </c>
      <c r="AQ26" s="29" t="n">
        <f aca="false">'Food Data'!R38</f>
        <v>0.24</v>
      </c>
      <c r="AR26" s="29" t="n">
        <f aca="false">'Food Data'!R39</f>
        <v>0.17</v>
      </c>
      <c r="AS26" s="29" t="n">
        <f aca="false">'Food Data'!R40</f>
        <v>0.96</v>
      </c>
      <c r="AT26" s="29" t="n">
        <f aca="false">'Food Data'!R41</f>
        <v>81.11</v>
      </c>
    </row>
    <row r="27" customFormat="false" ht="15" hidden="false" customHeight="false" outlineLevel="0" collapsed="false">
      <c r="A27" s="4" t="n">
        <v>5</v>
      </c>
      <c r="B27" s="5" t="s">
        <v>283</v>
      </c>
      <c r="C27" s="4" t="s">
        <v>280</v>
      </c>
      <c r="D27" s="24" t="n">
        <f aca="false">$B$12</f>
        <v>38</v>
      </c>
      <c r="E27" s="25" t="n">
        <v>1000000</v>
      </c>
      <c r="F27" s="26" t="n">
        <v>37.9999986</v>
      </c>
      <c r="G27" s="27" t="str">
        <f aca="false">IF(F27&lt;D27-0.01,"BELOW MIN",IF(F27&gt;E27+0.01,"ABOVE MAX",IF(OR(ABS(F27-D27)&lt;0.01,ABS(F27-E27)&lt;0.01),"binding","ok")))</f>
        <v>binding</v>
      </c>
      <c r="H27" s="28" t="n">
        <v>9.158</v>
      </c>
      <c r="I27" s="27" t="str">
        <f aca="false">IF(H27&lt;D27-0.01,"BELOW MIN",IF(H27&gt;E27+0.01,"ABOVE MAX",IF(OR(ABS(H27-D27)&lt;0.01,ABS(H27-E27)&lt;0.01),"binding","ok")))</f>
        <v>BELOW MIN</v>
      </c>
      <c r="K27" s="29" t="n">
        <f aca="false">'Food Data'!S6</f>
        <v>1.3</v>
      </c>
      <c r="L27" s="29" t="n">
        <f aca="false">'Food Data'!S7</f>
        <v>3.2</v>
      </c>
      <c r="M27" s="29" t="n">
        <f aca="false">'Food Data'!S8</f>
        <v>2.7</v>
      </c>
      <c r="N27" s="29" t="n">
        <f aca="false">'Food Data'!S9</f>
        <v>2.7</v>
      </c>
      <c r="O27" s="29" t="n">
        <f aca="false">'Food Data'!S10</f>
        <v>15.5</v>
      </c>
      <c r="P27" s="29" t="n">
        <f aca="false">'Food Data'!S11</f>
        <v>0</v>
      </c>
      <c r="Q27" s="29" t="n">
        <f aca="false">'Food Data'!S12</f>
        <v>0</v>
      </c>
      <c r="R27" s="29" t="n">
        <f aca="false">'Food Data'!S13</f>
        <v>0</v>
      </c>
      <c r="S27" s="29" t="n">
        <f aca="false">'Food Data'!S14</f>
        <v>0</v>
      </c>
      <c r="T27" s="29" t="n">
        <f aca="false">'Food Data'!S15</f>
        <v>0</v>
      </c>
      <c r="U27" s="29" t="n">
        <f aca="false">'Food Data'!S16</f>
        <v>1.3</v>
      </c>
      <c r="V27" s="29" t="n">
        <f aca="false">'Food Data'!S17</f>
        <v>0</v>
      </c>
      <c r="W27" s="29" t="n">
        <f aca="false">'Food Data'!S18</f>
        <v>0</v>
      </c>
      <c r="X27" s="29" t="n">
        <f aca="false">'Food Data'!S19</f>
        <v>0</v>
      </c>
      <c r="Y27" s="29" t="n">
        <f aca="false">'Food Data'!S20</f>
        <v>0</v>
      </c>
      <c r="Z27" s="29" t="n">
        <f aca="false">'Food Data'!S21</f>
        <v>0</v>
      </c>
      <c r="AA27" s="29" t="n">
        <f aca="false">'Food Data'!S22</f>
        <v>0</v>
      </c>
      <c r="AB27" s="29" t="n">
        <f aca="false">'Food Data'!S23</f>
        <v>0</v>
      </c>
      <c r="AC27" s="29" t="n">
        <f aca="false">'Food Data'!S24</f>
        <v>0.7</v>
      </c>
      <c r="AD27" s="29" t="n">
        <f aca="false">'Food Data'!S25</f>
        <v>2.6</v>
      </c>
      <c r="AE27" s="29" t="n">
        <f aca="false">'Food Data'!S26</f>
        <v>2.2</v>
      </c>
      <c r="AF27" s="29" t="n">
        <f aca="false">'Food Data'!S27</f>
        <v>2</v>
      </c>
      <c r="AG27" s="29" t="n">
        <f aca="false">'Food Data'!S28</f>
        <v>2.1</v>
      </c>
      <c r="AH27" s="29" t="n">
        <f aca="false">'Food Data'!S29</f>
        <v>1.2</v>
      </c>
      <c r="AI27" s="29" t="n">
        <f aca="false">'Food Data'!S30</f>
        <v>2.1</v>
      </c>
      <c r="AJ27" s="29" t="n">
        <f aca="false">'Food Data'!S31</f>
        <v>1.2</v>
      </c>
      <c r="AK27" s="29" t="n">
        <f aca="false">'Food Data'!S32</f>
        <v>0</v>
      </c>
      <c r="AL27" s="29" t="n">
        <f aca="false">'Food Data'!S33</f>
        <v>2</v>
      </c>
      <c r="AM27" s="29" t="n">
        <f aca="false">'Food Data'!S34</f>
        <v>3.1</v>
      </c>
      <c r="AN27" s="29" t="n">
        <f aca="false">'Food Data'!S35</f>
        <v>5</v>
      </c>
      <c r="AO27" s="29" t="n">
        <f aca="false">'Food Data'!S36</f>
        <v>10.1</v>
      </c>
      <c r="AP27" s="29" t="n">
        <f aca="false">'Food Data'!S37</f>
        <v>2.6</v>
      </c>
      <c r="AQ27" s="29" t="n">
        <f aca="false">'Food Data'!S38</f>
        <v>2.8</v>
      </c>
      <c r="AR27" s="29" t="n">
        <f aca="false">'Food Data'!S39</f>
        <v>2.4</v>
      </c>
      <c r="AS27" s="29" t="n">
        <f aca="false">'Food Data'!S40</f>
        <v>0</v>
      </c>
      <c r="AT27" s="29" t="n">
        <f aca="false">'Food Data'!S41</f>
        <v>0</v>
      </c>
    </row>
    <row r="28" customFormat="false" ht="15" hidden="false" customHeight="false" outlineLevel="0" collapsed="false">
      <c r="A28" s="4" t="n">
        <v>6</v>
      </c>
      <c r="B28" s="5" t="s">
        <v>284</v>
      </c>
      <c r="C28" s="4" t="s">
        <v>280</v>
      </c>
      <c r="D28" s="24" t="n">
        <v>0</v>
      </c>
      <c r="E28" s="25" t="n">
        <f aca="false">IF($C$18="",1000000,$C$18)</f>
        <v>1000000</v>
      </c>
      <c r="F28" s="26" t="n">
        <v>66.26155027</v>
      </c>
      <c r="G28" s="27" t="str">
        <f aca="false">IF(F28&lt;D28-0.01,"BELOW MIN",IF(F28&gt;E28+0.01,"ABOVE MAX",IF(OR(ABS(F28-D28)&lt;0.01,ABS(F28-E28)&lt;0.01),"binding","ok")))</f>
        <v>ok</v>
      </c>
      <c r="H28" s="28" t="n">
        <v>43.5212</v>
      </c>
      <c r="I28" s="27" t="str">
        <f aca="false">IF(H28&lt;D28-0.01,"BELOW MIN",IF(H28&gt;E28+0.01,"ABOVE MAX",IF(OR(ABS(H28-D28)&lt;0.01,ABS(H28-E28)&lt;0.01),"binding","ok")))</f>
        <v>ok</v>
      </c>
      <c r="K28" s="29" t="n">
        <f aca="false">'Food Data'!T6</f>
        <v>0.12</v>
      </c>
      <c r="L28" s="29" t="n">
        <f aca="false">'Food Data'!T7</f>
        <v>2.67</v>
      </c>
      <c r="M28" s="29" t="n">
        <f aca="false">'Food Data'!T8</f>
        <v>5.67</v>
      </c>
      <c r="N28" s="29" t="n">
        <f aca="false">'Food Data'!T9</f>
        <v>0.27</v>
      </c>
      <c r="O28" s="29" t="n">
        <f aca="false">'Food Data'!T10</f>
        <v>2.11</v>
      </c>
      <c r="P28" s="29" t="n">
        <f aca="false">'Food Data'!T11</f>
        <v>0</v>
      </c>
      <c r="Q28" s="29" t="n">
        <f aca="false">'Food Data'!T12</f>
        <v>0</v>
      </c>
      <c r="R28" s="29" t="n">
        <f aca="false">'Food Data'!T13</f>
        <v>0</v>
      </c>
      <c r="S28" s="29" t="n">
        <f aca="false">'Food Data'!T14</f>
        <v>1</v>
      </c>
      <c r="T28" s="29" t="n">
        <f aca="false">'Food Data'!T15</f>
        <v>0</v>
      </c>
      <c r="U28" s="29" t="n">
        <f aca="false">'Food Data'!T16</f>
        <v>0</v>
      </c>
      <c r="V28" s="29" t="n">
        <f aca="false">'Food Data'!T17</f>
        <v>0</v>
      </c>
      <c r="W28" s="29" t="n">
        <f aca="false">'Food Data'!T18</f>
        <v>0</v>
      </c>
      <c r="X28" s="29" t="n">
        <f aca="false">'Food Data'!T19</f>
        <v>0</v>
      </c>
      <c r="Y28" s="29" t="n">
        <f aca="false">'Food Data'!T20</f>
        <v>0.37</v>
      </c>
      <c r="Z28" s="29" t="n">
        <f aca="false">'Food Data'!T21</f>
        <v>5.05</v>
      </c>
      <c r="AA28" s="29" t="n">
        <f aca="false">'Food Data'!T22</f>
        <v>0.48</v>
      </c>
      <c r="AB28" s="29" t="n">
        <f aca="false">'Food Data'!T23</f>
        <v>2.26</v>
      </c>
      <c r="AC28" s="29" t="n">
        <f aca="false">'Food Data'!T24</f>
        <v>21.22</v>
      </c>
      <c r="AD28" s="29" t="n">
        <f aca="false">'Food Data'!T25</f>
        <v>12.23</v>
      </c>
      <c r="AE28" s="29" t="n">
        <f aca="false">'Food Data'!T26</f>
        <v>8.5</v>
      </c>
      <c r="AF28" s="29" t="n">
        <f aca="false">'Food Data'!T27</f>
        <v>4.89</v>
      </c>
      <c r="AG28" s="29" t="n">
        <f aca="false">'Food Data'!T28</f>
        <v>0.82</v>
      </c>
      <c r="AH28" s="29" t="n">
        <f aca="false">'Food Data'!T29</f>
        <v>1.97</v>
      </c>
      <c r="AI28" s="29" t="n">
        <f aca="false">'Food Data'!T30</f>
        <v>1.19</v>
      </c>
      <c r="AJ28" s="29" t="n">
        <f aca="false">'Food Data'!T31</f>
        <v>2.63</v>
      </c>
      <c r="AK28" s="29" t="n">
        <f aca="false">'Food Data'!T32</f>
        <v>99.8</v>
      </c>
      <c r="AL28" s="29" t="n">
        <f aca="false">'Food Data'!T33</f>
        <v>32.9</v>
      </c>
      <c r="AM28" s="29" t="n">
        <f aca="false">'Food Data'!T34</f>
        <v>0.33</v>
      </c>
      <c r="AN28" s="29" t="n">
        <f aca="false">'Food Data'!T35</f>
        <v>10.49</v>
      </c>
      <c r="AO28" s="29" t="n">
        <f aca="false">'Food Data'!T36</f>
        <v>0.99</v>
      </c>
      <c r="AP28" s="29" t="n">
        <f aca="false">'Food Data'!T37</f>
        <v>1.7</v>
      </c>
      <c r="AQ28" s="29" t="n">
        <f aca="false">'Food Data'!T38</f>
        <v>4.74</v>
      </c>
      <c r="AR28" s="29" t="n">
        <f aca="false">'Food Data'!T39</f>
        <v>10.39</v>
      </c>
      <c r="AS28" s="29" t="n">
        <f aca="false">'Food Data'!T40</f>
        <v>0</v>
      </c>
      <c r="AT28" s="29" t="n">
        <f aca="false">'Food Data'!T41</f>
        <v>0.06</v>
      </c>
    </row>
    <row r="29" customFormat="false" ht="15" hidden="false" customHeight="false" outlineLevel="0" collapsed="false">
      <c r="A29" s="4" t="n">
        <v>7</v>
      </c>
      <c r="B29" s="5" t="s">
        <v>285</v>
      </c>
      <c r="C29" s="4" t="s">
        <v>286</v>
      </c>
      <c r="D29" s="24" t="n">
        <f aca="false">$B$13</f>
        <v>1000</v>
      </c>
      <c r="E29" s="25" t="n">
        <v>1000000</v>
      </c>
      <c r="F29" s="26" t="n">
        <v>1438.30487</v>
      </c>
      <c r="G29" s="27" t="str">
        <f aca="false">IF(F29&lt;D29-0.01,"BELOW MIN",IF(F29&gt;E29+0.01,"ABOVE MAX",IF(OR(ABS(F29-D29)&lt;0.01,ABS(F29-E29)&lt;0.01),"binding","ok")))</f>
        <v>ok</v>
      </c>
      <c r="H29" s="28" t="n">
        <v>798.748</v>
      </c>
      <c r="I29" s="27" t="str">
        <f aca="false">IF(H29&lt;D29-0.01,"BELOW MIN",IF(H29&gt;E29+0.01,"ABOVE MAX",IF(OR(ABS(H29-D29)&lt;0.01,ABS(H29-E29)&lt;0.01),"binding","ok")))</f>
        <v>BELOW MIN</v>
      </c>
      <c r="K29" s="29" t="n">
        <f aca="false">'Food Data'!U6</f>
        <v>28</v>
      </c>
      <c r="L29" s="29" t="n">
        <f aca="false">'Food Data'!U7</f>
        <v>21</v>
      </c>
      <c r="M29" s="29" t="n">
        <f aca="false">'Food Data'!U8</f>
        <v>144</v>
      </c>
      <c r="N29" s="29" t="n">
        <f aca="false">'Food Data'!U9</f>
        <v>15</v>
      </c>
      <c r="O29" s="29" t="n">
        <f aca="false">'Food Data'!U10</f>
        <v>113</v>
      </c>
      <c r="P29" s="29" t="n">
        <f aca="false">'Food Data'!U11</f>
        <v>18</v>
      </c>
      <c r="Q29" s="29" t="n">
        <f aca="false">'Food Data'!U12</f>
        <v>12</v>
      </c>
      <c r="R29" s="29" t="n">
        <f aca="false">'Food Data'!U13</f>
        <v>25</v>
      </c>
      <c r="S29" s="29" t="n">
        <f aca="false">'Food Data'!U14</f>
        <v>5</v>
      </c>
      <c r="T29" s="29" t="n">
        <f aca="false">'Food Data'!U15</f>
        <v>9</v>
      </c>
      <c r="U29" s="29" t="n">
        <f aca="false">'Food Data'!U16</f>
        <v>24</v>
      </c>
      <c r="V29" s="29" t="n">
        <f aca="false">'Food Data'!U17</f>
        <v>11</v>
      </c>
      <c r="W29" s="29" t="n">
        <f aca="false">'Food Data'!U18</f>
        <v>5</v>
      </c>
      <c r="X29" s="29" t="n">
        <f aca="false">'Food Data'!U19</f>
        <v>9</v>
      </c>
      <c r="Y29" s="29" t="n">
        <f aca="false">'Food Data'!U20</f>
        <v>56</v>
      </c>
      <c r="Z29" s="29" t="n">
        <f aca="false">'Food Data'!U21</f>
        <v>113</v>
      </c>
      <c r="AA29" s="29" t="n">
        <f aca="false">'Food Data'!U22</f>
        <v>710</v>
      </c>
      <c r="AB29" s="29" t="n">
        <f aca="false">'Food Data'!U23</f>
        <v>1045</v>
      </c>
      <c r="AC29" s="29" t="n">
        <f aca="false">'Food Data'!U24</f>
        <v>128</v>
      </c>
      <c r="AD29" s="29" t="n">
        <f aca="false">'Food Data'!U25</f>
        <v>5</v>
      </c>
      <c r="AE29" s="29" t="n">
        <f aca="false">'Food Data'!U26</f>
        <v>43</v>
      </c>
      <c r="AF29" s="29" t="n">
        <f aca="false">'Food Data'!U27</f>
        <v>16</v>
      </c>
      <c r="AG29" s="29" t="n">
        <f aca="false">'Food Data'!U28</f>
        <v>12</v>
      </c>
      <c r="AH29" s="29" t="n">
        <f aca="false">'Food Data'!U29</f>
        <v>18</v>
      </c>
      <c r="AI29" s="29" t="n">
        <f aca="false">'Food Data'!U30</f>
        <v>33</v>
      </c>
      <c r="AJ29" s="29" t="n">
        <f aca="false">'Food Data'!U31</f>
        <v>10</v>
      </c>
      <c r="AK29" s="29" t="n">
        <f aca="false">'Food Data'!U32</f>
        <v>1</v>
      </c>
      <c r="AL29" s="29" t="n">
        <f aca="false">'Food Data'!U33</f>
        <v>21</v>
      </c>
      <c r="AM29" s="29" t="n">
        <f aca="false">'Food Data'!U34</f>
        <v>21</v>
      </c>
      <c r="AN29" s="29" t="n">
        <f aca="false">'Food Data'!U35</f>
        <v>49</v>
      </c>
      <c r="AO29" s="29" t="n">
        <f aca="false">'Food Data'!U36</f>
        <v>52</v>
      </c>
      <c r="AP29" s="29" t="n">
        <f aca="false">'Food Data'!U37</f>
        <v>47</v>
      </c>
      <c r="AQ29" s="29" t="n">
        <f aca="false">'Food Data'!U38</f>
        <v>33</v>
      </c>
      <c r="AR29" s="29" t="n">
        <f aca="false">'Food Data'!U39</f>
        <v>6</v>
      </c>
      <c r="AS29" s="29" t="n">
        <f aca="false">'Food Data'!U40</f>
        <v>17</v>
      </c>
      <c r="AT29" s="29" t="n">
        <f aca="false">'Food Data'!U41</f>
        <v>24</v>
      </c>
    </row>
    <row r="30" customFormat="false" ht="15" hidden="false" customHeight="false" outlineLevel="0" collapsed="false">
      <c r="A30" s="4" t="n">
        <v>8</v>
      </c>
      <c r="B30" s="5" t="s">
        <v>287</v>
      </c>
      <c r="C30" s="4" t="s">
        <v>286</v>
      </c>
      <c r="D30" s="24" t="n">
        <f aca="false">$B$14</f>
        <v>8</v>
      </c>
      <c r="E30" s="25" t="n">
        <v>1000000</v>
      </c>
      <c r="F30" s="26" t="n">
        <v>21.01671051</v>
      </c>
      <c r="G30" s="27" t="str">
        <f aca="false">IF(F30&lt;D30-0.01,"BELOW MIN",IF(F30&gt;E30+0.01,"ABOVE MAX",IF(OR(ABS(F30-D30)&lt;0.01,ABS(F30-E30)&lt;0.01),"binding","ok")))</f>
        <v>ok</v>
      </c>
      <c r="H30" s="28" t="n">
        <v>13.31194</v>
      </c>
      <c r="I30" s="27" t="str">
        <f aca="false">IF(H30&lt;D30-0.01,"BELOW MIN",IF(H30&gt;E30+0.01,"ABOVE MAX",IF(OR(ABS(H30-D30)&lt;0.01,ABS(H30-E30)&lt;0.01),"binding","ok")))</f>
        <v>ok</v>
      </c>
      <c r="K30" s="29" t="n">
        <f aca="false">'Food Data'!V6</f>
        <v>4.31</v>
      </c>
      <c r="L30" s="29" t="n">
        <f aca="false">'Food Data'!V7</f>
        <v>3.3</v>
      </c>
      <c r="M30" s="29" t="n">
        <f aca="false">'Food Data'!V8</f>
        <v>3.61</v>
      </c>
      <c r="N30" s="29" t="n">
        <f aca="false">'Food Data'!V9</f>
        <v>4.64</v>
      </c>
      <c r="O30" s="29" t="n">
        <f aca="false">'Food Data'!V10</f>
        <v>5.07</v>
      </c>
      <c r="P30" s="29" t="n">
        <f aca="false">'Food Data'!V11</f>
        <v>1.94</v>
      </c>
      <c r="Q30" s="29" t="n">
        <f aca="false">'Food Data'!V12</f>
        <v>2.24</v>
      </c>
      <c r="R30" s="29" t="n">
        <f aca="false">'Food Data'!V13</f>
        <v>1.46</v>
      </c>
      <c r="S30" s="29" t="n">
        <f aca="false">'Food Data'!V14</f>
        <v>0.41</v>
      </c>
      <c r="T30" s="29" t="n">
        <f aca="false">'Food Data'!V15</f>
        <v>0.48</v>
      </c>
      <c r="U30" s="29" t="n">
        <f aca="false">'Food Data'!V16</f>
        <v>1.02</v>
      </c>
      <c r="V30" s="29" t="n">
        <f aca="false">'Food Data'!V17</f>
        <v>0.9</v>
      </c>
      <c r="W30" s="29" t="n">
        <f aca="false">'Food Data'!V18</f>
        <v>0.37</v>
      </c>
      <c r="X30" s="29" t="n">
        <f aca="false">'Food Data'!V19</f>
        <v>0.69</v>
      </c>
      <c r="Y30" s="29" t="n">
        <f aca="false">'Food Data'!V20</f>
        <v>1.75</v>
      </c>
      <c r="Z30" s="29" t="n">
        <f aca="false">'Food Data'!V21</f>
        <v>0.03</v>
      </c>
      <c r="AA30" s="29" t="n">
        <f aca="false">'Food Data'!V22</f>
        <v>0.14</v>
      </c>
      <c r="AB30" s="29" t="n">
        <f aca="false">'Food Data'!V23</f>
        <v>0.63</v>
      </c>
      <c r="AC30" s="29" t="n">
        <f aca="false">'Food Data'!V24</f>
        <v>0.09</v>
      </c>
      <c r="AD30" s="29" t="n">
        <f aca="false">'Food Data'!V25</f>
        <v>0.26</v>
      </c>
      <c r="AE30" s="29" t="n">
        <f aca="false">'Food Data'!V26</f>
        <v>0.13</v>
      </c>
      <c r="AF30" s="29" t="n">
        <f aca="false">'Food Data'!V27</f>
        <v>0.41</v>
      </c>
      <c r="AG30" s="29" t="n">
        <f aca="false">'Food Data'!V28</f>
        <v>0.81</v>
      </c>
      <c r="AH30" s="29" t="n">
        <f aca="false">'Food Data'!V29</f>
        <v>0.41</v>
      </c>
      <c r="AI30" s="29" t="n">
        <f aca="false">'Food Data'!V30</f>
        <v>0.97</v>
      </c>
      <c r="AJ30" s="29" t="n">
        <f aca="false">'Food Data'!V31</f>
        <v>0.27</v>
      </c>
      <c r="AK30" s="29" t="n">
        <f aca="false">'Food Data'!V32</f>
        <v>0.05</v>
      </c>
      <c r="AL30" s="29" t="n">
        <f aca="false">'Food Data'!V33</f>
        <v>5.58</v>
      </c>
      <c r="AM30" s="29" t="n">
        <f aca="false">'Food Data'!V34</f>
        <v>1.28</v>
      </c>
      <c r="AN30" s="29" t="n">
        <f aca="false">'Food Data'!V35</f>
        <v>1.74</v>
      </c>
      <c r="AO30" s="29" t="n">
        <f aca="false">'Food Data'!V36</f>
        <v>4.25</v>
      </c>
      <c r="AP30" s="29" t="n">
        <f aca="false">'Food Data'!V37</f>
        <v>0.73</v>
      </c>
      <c r="AQ30" s="29" t="n">
        <f aca="false">'Food Data'!V38</f>
        <v>0.3</v>
      </c>
      <c r="AR30" s="29" t="n">
        <f aca="false">'Food Data'!V39</f>
        <v>0.12</v>
      </c>
      <c r="AS30" s="29" t="n">
        <f aca="false">'Food Data'!V40</f>
        <v>1.63</v>
      </c>
      <c r="AT30" s="29" t="n">
        <f aca="false">'Food Data'!V41</f>
        <v>0.02</v>
      </c>
    </row>
    <row r="31" customFormat="false" ht="15" hidden="false" customHeight="false" outlineLevel="0" collapsed="false">
      <c r="A31" s="4" t="n">
        <v>9</v>
      </c>
      <c r="B31" s="5" t="s">
        <v>288</v>
      </c>
      <c r="C31" s="4" t="s">
        <v>286</v>
      </c>
      <c r="D31" s="24" t="n">
        <f aca="false">$B$15</f>
        <v>3400</v>
      </c>
      <c r="E31" s="25" t="n">
        <v>1000000</v>
      </c>
      <c r="F31" s="26" t="n">
        <v>4770.047795</v>
      </c>
      <c r="G31" s="27" t="str">
        <f aca="false">IF(F31&lt;D31-0.01,"BELOW MIN",IF(F31&gt;E31+0.01,"ABOVE MAX",IF(OR(ABS(F31-D31)&lt;0.01,ABS(F31-E31)&lt;0.01),"binding","ok")))</f>
        <v>ok</v>
      </c>
      <c r="H31" s="28" t="n">
        <v>2474.698</v>
      </c>
      <c r="I31" s="27" t="str">
        <f aca="false">IF(H31&lt;D31-0.01,"BELOW MIN",IF(H31&gt;E31+0.01,"ABOVE MAX",IF(OR(ABS(H31-D31)&lt;0.01,ABS(H31-E31)&lt;0.01),"binding","ok")))</f>
        <v>BELOW MIN</v>
      </c>
      <c r="K31" s="29" t="n">
        <f aca="false">'Food Data'!W6</f>
        <v>115</v>
      </c>
      <c r="L31" s="29" t="n">
        <f aca="false">'Food Data'!W7</f>
        <v>223</v>
      </c>
      <c r="M31" s="29" t="n">
        <f aca="false">'Food Data'!W8</f>
        <v>126</v>
      </c>
      <c r="N31" s="29" t="n">
        <f aca="false">'Food Data'!W9</f>
        <v>107</v>
      </c>
      <c r="O31" s="29" t="n">
        <f aca="false">'Food Data'!W10</f>
        <v>1393</v>
      </c>
      <c r="P31" s="29" t="n">
        <f aca="false">'Food Data'!W11</f>
        <v>270</v>
      </c>
      <c r="Q31" s="29" t="n">
        <f aca="false">'Food Data'!W12</f>
        <v>321</v>
      </c>
      <c r="R31" s="29" t="n">
        <f aca="false">'Food Data'!W13</f>
        <v>309</v>
      </c>
      <c r="S31" s="29" t="n">
        <f aca="false">'Food Data'!W14</f>
        <v>198</v>
      </c>
      <c r="T31" s="29" t="n">
        <f aca="false">'Food Data'!W15</f>
        <v>345</v>
      </c>
      <c r="U31" s="29" t="n">
        <f aca="false">'Food Data'!W16</f>
        <v>287</v>
      </c>
      <c r="V31" s="29" t="n">
        <f aca="false">'Food Data'!W17</f>
        <v>189</v>
      </c>
      <c r="W31" s="29" t="n">
        <f aca="false">'Food Data'!W18</f>
        <v>334</v>
      </c>
      <c r="X31" s="29" t="n">
        <f aca="false">'Food Data'!W19</f>
        <v>203</v>
      </c>
      <c r="Y31" s="29" t="n">
        <f aca="false">'Food Data'!W20</f>
        <v>138</v>
      </c>
      <c r="Z31" s="29" t="n">
        <f aca="false">'Food Data'!W21</f>
        <v>132</v>
      </c>
      <c r="AA31" s="29" t="n">
        <f aca="false">'Food Data'!W22</f>
        <v>76</v>
      </c>
      <c r="AB31" s="29" t="n">
        <f aca="false">'Food Data'!W23</f>
        <v>132</v>
      </c>
      <c r="AC31" s="29" t="n">
        <f aca="false">'Food Data'!W24</f>
        <v>199</v>
      </c>
      <c r="AD31" s="29" t="n">
        <f aca="false">'Food Data'!W25</f>
        <v>358</v>
      </c>
      <c r="AE31" s="29" t="n">
        <f aca="false">'Food Data'!W26</f>
        <v>166</v>
      </c>
      <c r="AF31" s="29" t="n">
        <f aca="false">'Food Data'!W27</f>
        <v>153</v>
      </c>
      <c r="AG31" s="29" t="n">
        <f aca="false">'Food Data'!W28</f>
        <v>425</v>
      </c>
      <c r="AH31" s="29" t="n">
        <f aca="false">'Food Data'!W29</f>
        <v>141</v>
      </c>
      <c r="AI31" s="29" t="n">
        <f aca="false">'Food Data'!W30</f>
        <v>247</v>
      </c>
      <c r="AJ31" s="29" t="n">
        <f aca="false">'Food Data'!W31</f>
        <v>237</v>
      </c>
      <c r="AK31" s="29" t="n">
        <f aca="false">'Food Data'!W32</f>
        <v>2</v>
      </c>
      <c r="AL31" s="29" t="n">
        <f aca="false">'Food Data'!W33</f>
        <v>171</v>
      </c>
      <c r="AM31" s="29" t="n">
        <f aca="false">'Food Data'!W34</f>
        <v>1196</v>
      </c>
      <c r="AN31" s="29" t="n">
        <f aca="false">'Food Data'!W35</f>
        <v>558</v>
      </c>
      <c r="AO31" s="29" t="n">
        <f aca="false">'Food Data'!W36</f>
        <v>362</v>
      </c>
      <c r="AP31" s="29" t="n">
        <f aca="false">'Food Data'!W37</f>
        <v>316</v>
      </c>
      <c r="AQ31" s="29" t="n">
        <f aca="false">'Food Data'!W38</f>
        <v>320</v>
      </c>
      <c r="AR31" s="29" t="n">
        <f aca="false">'Food Data'!W39</f>
        <v>107</v>
      </c>
      <c r="AS31" s="29" t="n">
        <f aca="false">'Food Data'!W40</f>
        <v>179</v>
      </c>
      <c r="AT31" s="29" t="n">
        <f aca="false">'Food Data'!W41</f>
        <v>24</v>
      </c>
    </row>
    <row r="32" customFormat="false" ht="15" hidden="false" customHeight="false" outlineLevel="0" collapsed="false">
      <c r="A32" s="4" t="n">
        <v>10</v>
      </c>
      <c r="B32" s="5" t="s">
        <v>289</v>
      </c>
      <c r="C32" s="4" t="s">
        <v>286</v>
      </c>
      <c r="D32" s="24" t="n">
        <v>0</v>
      </c>
      <c r="E32" s="25" t="n">
        <f aca="false">$C$17</f>
        <v>2300</v>
      </c>
      <c r="F32" s="26" t="n">
        <v>565.193575</v>
      </c>
      <c r="G32" s="27" t="str">
        <f aca="false">IF(F32&lt;D32-0.01,"BELOW MIN",IF(F32&gt;E32+0.01,"ABOVE MAX",IF(OR(ABS(F32-D32)&lt;0.01,ABS(F32-E32)&lt;0.01),"binding","ok")))</f>
        <v>ok</v>
      </c>
      <c r="H32" s="28" t="n">
        <v>1369.708</v>
      </c>
      <c r="I32" s="27" t="str">
        <f aca="false">IF(H32&lt;D32-0.01,"BELOW MIN",IF(H32&gt;E32+0.01,"ABOVE MAX",IF(OR(ABS(H32-D32)&lt;0.01,ABS(H32-E32)&lt;0.01),"binding","ok")))</f>
        <v>ok</v>
      </c>
      <c r="K32" s="29" t="n">
        <f aca="false">'Food Data'!X6</f>
        <v>5</v>
      </c>
      <c r="L32" s="29" t="n">
        <f aca="false">'Food Data'!X7</f>
        <v>6</v>
      </c>
      <c r="M32" s="29" t="n">
        <f aca="false">'Food Data'!X8</f>
        <v>490</v>
      </c>
      <c r="N32" s="29" t="n">
        <f aca="false">'Food Data'!X9</f>
        <v>2</v>
      </c>
      <c r="O32" s="29" t="n">
        <f aca="false">'Food Data'!X10</f>
        <v>12</v>
      </c>
      <c r="P32" s="29" t="n">
        <f aca="false">'Food Data'!X11</f>
        <v>66</v>
      </c>
      <c r="Q32" s="29" t="n">
        <f aca="false">'Food Data'!X12</f>
        <v>66</v>
      </c>
      <c r="R32" s="29" t="n">
        <f aca="false">'Food Data'!X13</f>
        <v>51</v>
      </c>
      <c r="S32" s="29" t="n">
        <f aca="false">'Food Data'!X14</f>
        <v>662</v>
      </c>
      <c r="T32" s="29" t="n">
        <f aca="false">'Food Data'!X15</f>
        <v>82</v>
      </c>
      <c r="U32" s="29" t="n">
        <f aca="false">'Food Data'!X16</f>
        <v>1143</v>
      </c>
      <c r="V32" s="29" t="n">
        <f aca="false">'Food Data'!X17</f>
        <v>70</v>
      </c>
      <c r="W32" s="29" t="n">
        <f aca="false">'Food Data'!X18</f>
        <v>45</v>
      </c>
      <c r="X32" s="29" t="n">
        <f aca="false">'Food Data'!X19</f>
        <v>84</v>
      </c>
      <c r="Y32" s="29" t="n">
        <f aca="false">'Food Data'!X20</f>
        <v>142</v>
      </c>
      <c r="Z32" s="29" t="n">
        <f aca="false">'Food Data'!X21</f>
        <v>43</v>
      </c>
      <c r="AA32" s="29" t="n">
        <f aca="false">'Food Data'!X22</f>
        <v>653</v>
      </c>
      <c r="AB32" s="29" t="n">
        <f aca="false">'Food Data'!X23</f>
        <v>1671</v>
      </c>
      <c r="AC32" s="29" t="n">
        <f aca="false">'Food Data'!X24</f>
        <v>80</v>
      </c>
      <c r="AD32" s="29" t="n">
        <f aca="false">'Food Data'!X25</f>
        <v>1</v>
      </c>
      <c r="AE32" s="29" t="n">
        <f aca="false">'Food Data'!X26</f>
        <v>1</v>
      </c>
      <c r="AF32" s="29" t="n">
        <f aca="false">'Food Data'!X27</f>
        <v>1</v>
      </c>
      <c r="AG32" s="29" t="n">
        <f aca="false">'Food Data'!X28</f>
        <v>6</v>
      </c>
      <c r="AH32" s="29" t="n">
        <f aca="false">'Food Data'!X29</f>
        <v>10</v>
      </c>
      <c r="AI32" s="29" t="n">
        <f aca="false">'Food Data'!X30</f>
        <v>8</v>
      </c>
      <c r="AJ32" s="29" t="n">
        <f aca="false">'Food Data'!X31</f>
        <v>5</v>
      </c>
      <c r="AK32" s="29" t="n">
        <f aca="false">'Food Data'!X32</f>
        <v>1</v>
      </c>
      <c r="AL32" s="29" t="n">
        <f aca="false">'Food Data'!X33</f>
        <v>311</v>
      </c>
      <c r="AM32" s="29" t="n">
        <f aca="false">'Food Data'!X34</f>
        <v>527</v>
      </c>
      <c r="AN32" s="29" t="n">
        <f aca="false">'Food Data'!X35</f>
        <v>426</v>
      </c>
      <c r="AO32" s="29" t="n">
        <f aca="false">'Food Data'!X36</f>
        <v>6</v>
      </c>
      <c r="AP32" s="29" t="n">
        <f aca="false">'Food Data'!X37</f>
        <v>33</v>
      </c>
      <c r="AQ32" s="29" t="n">
        <f aca="false">'Food Data'!X38</f>
        <v>69</v>
      </c>
      <c r="AR32" s="29" t="n">
        <f aca="false">'Food Data'!X39</f>
        <v>1</v>
      </c>
      <c r="AS32" s="29" t="n">
        <f aca="false">'Food Data'!X40</f>
        <v>247</v>
      </c>
      <c r="AT32" s="29" t="n">
        <f aca="false">'Food Data'!X41</f>
        <v>643</v>
      </c>
    </row>
    <row r="33" customFormat="false" ht="15" hidden="false" customHeight="false" outlineLevel="0" collapsed="false">
      <c r="A33" s="4" t="n">
        <v>11</v>
      </c>
      <c r="B33" s="5" t="s">
        <v>290</v>
      </c>
      <c r="C33" s="4" t="s">
        <v>286</v>
      </c>
      <c r="D33" s="24" t="n">
        <f aca="false">$B$16</f>
        <v>90</v>
      </c>
      <c r="E33" s="25" t="n">
        <v>1000000</v>
      </c>
      <c r="F33" s="26" t="n">
        <v>89.9999855</v>
      </c>
      <c r="G33" s="27" t="str">
        <f aca="false">IF(F33&lt;D33-0.01,"BELOW MIN",IF(F33&gt;E33+0.01,"ABOVE MAX",IF(OR(ABS(F33-D33)&lt;0.01,ABS(F33-E33)&lt;0.01),"binding","ok")))</f>
        <v>binding</v>
      </c>
      <c r="H33" s="28" t="n">
        <v>30.66</v>
      </c>
      <c r="I33" s="27" t="str">
        <f aca="false">IF(H33&lt;D33-0.01,"BELOW MIN",IF(H33&gt;E33+0.01,"ABOVE MAX",IF(OR(ABS(H33-D33)&lt;0.01,ABS(H33-E33)&lt;0.01),"binding","ok")))</f>
        <v>BELOW MIN</v>
      </c>
      <c r="K33" s="29" t="n">
        <f aca="false">'Food Data'!Y6</f>
        <v>0</v>
      </c>
      <c r="L33" s="29" t="n">
        <f aca="false">'Food Data'!Y7</f>
        <v>0</v>
      </c>
      <c r="M33" s="29" t="n">
        <f aca="false">'Food Data'!Y8</f>
        <v>0</v>
      </c>
      <c r="N33" s="29" t="n">
        <f aca="false">'Food Data'!Y9</f>
        <v>0</v>
      </c>
      <c r="O33" s="29" t="n">
        <f aca="false">'Food Data'!Y10</f>
        <v>6.3</v>
      </c>
      <c r="P33" s="29" t="n">
        <f aca="false">'Food Data'!Y11</f>
        <v>0</v>
      </c>
      <c r="Q33" s="29" t="n">
        <f aca="false">'Food Data'!Y12</f>
        <v>0</v>
      </c>
      <c r="R33" s="29" t="n">
        <f aca="false">'Food Data'!Y13</f>
        <v>0</v>
      </c>
      <c r="S33" s="29" t="n">
        <f aca="false">'Food Data'!Y14</f>
        <v>0</v>
      </c>
      <c r="T33" s="29" t="n">
        <f aca="false">'Food Data'!Y15</f>
        <v>0</v>
      </c>
      <c r="U33" s="29" t="n">
        <f aca="false">'Food Data'!Y16</f>
        <v>4</v>
      </c>
      <c r="V33" s="29" t="n">
        <f aca="false">'Food Data'!Y17</f>
        <v>1.6</v>
      </c>
      <c r="W33" s="29" t="n">
        <f aca="false">'Food Data'!Y18</f>
        <v>0</v>
      </c>
      <c r="X33" s="29" t="n">
        <f aca="false">'Food Data'!Y19</f>
        <v>0.2</v>
      </c>
      <c r="Y33" s="29" t="n">
        <f aca="false">'Food Data'!Y20</f>
        <v>0</v>
      </c>
      <c r="Z33" s="29" t="n">
        <f aca="false">'Food Data'!Y21</f>
        <v>0</v>
      </c>
      <c r="AA33" s="29" t="n">
        <f aca="false">'Food Data'!Y22</f>
        <v>0</v>
      </c>
      <c r="AB33" s="29" t="n">
        <f aca="false">'Food Data'!Y23</f>
        <v>0</v>
      </c>
      <c r="AC33" s="29" t="n">
        <f aca="false">'Food Data'!Y24</f>
        <v>0.6</v>
      </c>
      <c r="AD33" s="29" t="n">
        <f aca="false">'Food Data'!Y25</f>
        <v>8.7</v>
      </c>
      <c r="AE33" s="29" t="n">
        <f aca="false">'Food Data'!Y26</f>
        <v>59.1</v>
      </c>
      <c r="AF33" s="29" t="n">
        <f aca="false">'Food Data'!Y27</f>
        <v>58.8</v>
      </c>
      <c r="AG33" s="29" t="n">
        <f aca="false">'Food Data'!Y28</f>
        <v>19.7</v>
      </c>
      <c r="AH33" s="29" t="n">
        <f aca="false">'Food Data'!Y29</f>
        <v>2.8</v>
      </c>
      <c r="AI33" s="29" t="n">
        <f aca="false">'Food Data'!Y30</f>
        <v>4</v>
      </c>
      <c r="AJ33" s="29" t="n">
        <f aca="false">'Food Data'!Y31</f>
        <v>13.7</v>
      </c>
      <c r="AK33" s="29" t="n">
        <f aca="false">'Food Data'!Y32</f>
        <v>0</v>
      </c>
      <c r="AL33" s="29" t="n">
        <f aca="false">'Food Data'!Y33</f>
        <v>0</v>
      </c>
      <c r="AM33" s="29" t="n">
        <f aca="false">'Food Data'!Y34</f>
        <v>21.6</v>
      </c>
      <c r="AN33" s="29" t="n">
        <f aca="false">'Food Data'!Y35</f>
        <v>0</v>
      </c>
      <c r="AO33" s="29" t="n">
        <f aca="false">'Food Data'!Y36</f>
        <v>0</v>
      </c>
      <c r="AP33" s="29" t="n">
        <f aca="false">'Food Data'!Y37</f>
        <v>89.2</v>
      </c>
      <c r="AQ33" s="29" t="n">
        <f aca="false">'Food Data'!Y38</f>
        <v>5.9</v>
      </c>
      <c r="AR33" s="29" t="n">
        <f aca="false">'Food Data'!Y39</f>
        <v>4.6</v>
      </c>
      <c r="AS33" s="29" t="n">
        <f aca="false">'Food Data'!Y40</f>
        <v>0</v>
      </c>
      <c r="AT33" s="29" t="n">
        <f aca="false">'Food Data'!Y41</f>
        <v>0</v>
      </c>
    </row>
    <row r="34" customFormat="false" ht="15" hidden="false" customHeight="false" outlineLevel="0" collapsed="false">
      <c r="B34" s="30" t="s">
        <v>291</v>
      </c>
      <c r="C34" s="2" t="s">
        <v>292</v>
      </c>
      <c r="K34" s="31" t="n">
        <f aca="false">IF('Food Data'!J6="",0,'Food Data'!J6)</f>
        <v>0.24647266313933</v>
      </c>
      <c r="L34" s="31" t="n">
        <f aca="false">IF('Food Data'!J7="",0,'Food Data'!J7)</f>
        <v>0.303130511463845</v>
      </c>
      <c r="M34" s="31" t="n">
        <f aca="false">IF('Food Data'!J8="",0,'Food Data'!J8)</f>
        <v>0.403439153439153</v>
      </c>
      <c r="N34" s="31" t="n">
        <f aca="false">IF('Food Data'!J9="",0,'Food Data'!J9)</f>
        <v>0.120149911816578</v>
      </c>
      <c r="O34" s="31" t="n">
        <f aca="false">IF('Food Data'!J10="",0,'Food Data'!J10)</f>
        <v>0.36794532627866</v>
      </c>
      <c r="P34" s="31" t="n">
        <f aca="false">IF('Food Data'!J11="",0,'Food Data'!J11)</f>
        <v>1.4973544973545</v>
      </c>
      <c r="Q34" s="31" t="n">
        <f aca="false">IF('Food Data'!J12="",0,'Food Data'!J12)</f>
        <v>1.86529982363316</v>
      </c>
      <c r="R34" s="31" t="n">
        <f aca="false">IF('Food Data'!J13="",0,'Food Data'!J13)</f>
        <v>3.20596738122511</v>
      </c>
      <c r="S34" s="31" t="n">
        <f aca="false">IF('Food Data'!J14="",0,'Food Data'!J14)</f>
        <v>1.48941798941799</v>
      </c>
      <c r="T34" s="31" t="n">
        <f aca="false">IF('Food Data'!J15="",0,'Food Data'!J15)</f>
        <v>1.00308641975309</v>
      </c>
      <c r="U34" s="31" t="n">
        <f aca="false">IF('Food Data'!J16="",0,'Food Data'!J16)</f>
        <v>1.20149911816578</v>
      </c>
      <c r="V34" s="31" t="n">
        <f aca="false">IF('Food Data'!J17="",0,'Food Data'!J17)</f>
        <v>0.669156551509493</v>
      </c>
      <c r="W34" s="31" t="n">
        <f aca="false">IF('Food Data'!J18="",0,'Food Data'!J18)</f>
        <v>0.926587301587302</v>
      </c>
      <c r="X34" s="31" t="n">
        <f aca="false">IF('Food Data'!J19="",0,'Food Data'!J19)</f>
        <v>0.52517455485492</v>
      </c>
      <c r="Y34" s="31" t="n">
        <f aca="false">IF('Food Data'!J20="",0,'Food Data'!J20)</f>
        <v>0.378666666666667</v>
      </c>
      <c r="Z34" s="31" t="n">
        <f aca="false">IF('Food Data'!J21="",0,'Food Data'!J21)</f>
        <v>0.105174180327869</v>
      </c>
      <c r="AA34" s="31" t="n">
        <f aca="false">IF('Food Data'!J22="",0,'Food Data'!J22)</f>
        <v>1.35207231040564</v>
      </c>
      <c r="AB34" s="31" t="n">
        <f aca="false">IF('Food Data'!J23="",0,'Food Data'!J23)</f>
        <v>1.04431216931217</v>
      </c>
      <c r="AC34" s="31" t="n">
        <f aca="false">IF('Food Data'!J24="",0,'Food Data'!J24)</f>
        <v>0.561647727272727</v>
      </c>
      <c r="AD34" s="31" t="n">
        <f aca="false">IF('Food Data'!J25="",0,'Food Data'!J25)</f>
        <v>0.225970017636684</v>
      </c>
      <c r="AE34" s="31" t="n">
        <f aca="false">IF('Food Data'!J26="",0,'Food Data'!J26)</f>
        <v>0.558603070857973</v>
      </c>
      <c r="AF34" s="31" t="n">
        <f aca="false">IF('Food Data'!J27="",0,'Food Data'!J27)</f>
        <v>0.888088358537531</v>
      </c>
      <c r="AG34" s="31" t="n">
        <f aca="false">IF('Food Data'!J28="",0,'Food Data'!J28)</f>
        <v>0.290711346266902</v>
      </c>
      <c r="AH34" s="31" t="n">
        <f aca="false">IF('Food Data'!J29="",0,'Food Data'!J29)</f>
        <v>0.379652835793187</v>
      </c>
      <c r="AI34" s="31" t="n">
        <f aca="false">IF('Food Data'!J30="",0,'Food Data'!J30)</f>
        <v>0.776764606551841</v>
      </c>
      <c r="AJ34" s="31" t="n">
        <f aca="false">IF('Food Data'!J31="",0,'Food Data'!J31)</f>
        <v>0.482586196871911</v>
      </c>
      <c r="AK34" s="31" t="n">
        <f aca="false">IF('Food Data'!J32="",0,'Food Data'!J32)</f>
        <v>0.224647266313933</v>
      </c>
      <c r="AL34" s="31" t="n">
        <f aca="false">IF('Food Data'!J33="",0,'Food Data'!J33)</f>
        <v>1.1358024691358</v>
      </c>
      <c r="AM34" s="31" t="n">
        <f aca="false">IF('Food Data'!J34="",0,'Food Data'!J34)</f>
        <v>1.4700176366843</v>
      </c>
      <c r="AN34" s="31" t="n">
        <f aca="false">IF('Food Data'!J35="",0,'Food Data'!J35)</f>
        <v>0</v>
      </c>
      <c r="AO34" s="31" t="n">
        <f aca="false">IF('Food Data'!J36="",0,'Food Data'!J36)</f>
        <v>0</v>
      </c>
      <c r="AP34" s="31" t="n">
        <f aca="false">IF('Food Data'!J37="",0,'Food Data'!J37)</f>
        <v>0</v>
      </c>
      <c r="AQ34" s="31" t="n">
        <f aca="false">IF('Food Data'!J38="",0,'Food Data'!J38)</f>
        <v>0</v>
      </c>
      <c r="AR34" s="31" t="n">
        <f aca="false">IF('Food Data'!J39="",0,'Food Data'!J39)</f>
        <v>0</v>
      </c>
      <c r="AS34" s="31" t="n">
        <f aca="false">IF('Food Data'!J40="",0,'Food Data'!J40)</f>
        <v>0</v>
      </c>
      <c r="AT34" s="31" t="n">
        <f aca="false">IF('Food Data'!J41="",0,'Food Data'!J41)</f>
        <v>0</v>
      </c>
    </row>
    <row r="35" customFormat="false" ht="15" hidden="false" customHeight="false" outlineLevel="0" collapsed="false">
      <c r="B35" s="30" t="s">
        <v>293</v>
      </c>
      <c r="C35" s="2" t="s">
        <v>294</v>
      </c>
      <c r="K35" s="32" t="n">
        <f aca="false">IF('Food Data'!E6="",0,'Food Data'!K6*'Food Data'!N6/100)</f>
        <v>1.84</v>
      </c>
      <c r="L35" s="32" t="n">
        <f aca="false">IF('Food Data'!E7="",0,'Food Data'!K7*'Food Data'!N7/100)</f>
        <v>1.71</v>
      </c>
      <c r="M35" s="32" t="n">
        <f aca="false">IF('Food Data'!E8="",0,'Food Data'!K8*'Food Data'!N8/100)</f>
        <v>1.74</v>
      </c>
      <c r="N35" s="32" t="n">
        <f aca="false">IF('Food Data'!E9="",0,'Food Data'!K9*'Food Data'!N9/100)</f>
        <v>0.93</v>
      </c>
      <c r="O35" s="32" t="n">
        <f aca="false">IF('Food Data'!E10="",0,'Food Data'!K10*'Food Data'!N10/100)</f>
        <v>1.92</v>
      </c>
      <c r="P35" s="32" t="n">
        <f aca="false">IF('Food Data'!E11="",0,'Food Data'!K11*'Food Data'!N11/100)</f>
        <v>2.26</v>
      </c>
      <c r="Q35" s="32" t="n">
        <f aca="false">IF('Food Data'!E12="",0,'Food Data'!K12*'Food Data'!N12/100)</f>
        <v>2.26</v>
      </c>
      <c r="R35" s="32" t="n">
        <f aca="false">IF('Food Data'!E13="",0,'Food Data'!K13*'Food Data'!N13/100)</f>
        <v>2.26</v>
      </c>
      <c r="S35" s="32" t="n">
        <f aca="false">IF('Food Data'!E14="",0,'Food Data'!K14*'Food Data'!N14/100)</f>
        <v>0.84</v>
      </c>
      <c r="T35" s="32" t="n">
        <f aca="false">IF('Food Data'!E15="",0,'Food Data'!K15*'Food Data'!N15/100)</f>
        <v>2.26</v>
      </c>
      <c r="U35" s="32" t="n">
        <f aca="false">IF('Food Data'!E16="",0,'Food Data'!K16*'Food Data'!N16/100)</f>
        <v>1.12</v>
      </c>
      <c r="V35" s="32" t="n">
        <f aca="false">IF('Food Data'!E17="",0,'Food Data'!K17*'Food Data'!N17/100)</f>
        <v>2.26</v>
      </c>
      <c r="W35" s="32" t="n">
        <f aca="false">IF('Food Data'!E18="",0,'Food Data'!K18*'Food Data'!N18/100)</f>
        <v>3.39</v>
      </c>
      <c r="X35" s="32" t="n">
        <f aca="false">IF('Food Data'!E19="",0,'Food Data'!K19*'Food Data'!N19/100)</f>
        <v>2.26</v>
      </c>
      <c r="Y35" s="32" t="n">
        <f aca="false">IF('Food Data'!E20="",0,'Food Data'!K20*'Food Data'!N20/100)</f>
        <v>2</v>
      </c>
      <c r="Z35" s="32" t="n">
        <f aca="false">IF('Food Data'!E21="",0,'Food Data'!K21*'Food Data'!N21/100)</f>
        <v>9.76</v>
      </c>
      <c r="AA35" s="32" t="n">
        <f aca="false">IF('Food Data'!E22="",0,'Food Data'!K22*'Food Data'!N22/100)</f>
        <v>0.84</v>
      </c>
      <c r="AB35" s="32" t="n">
        <f aca="false">IF('Food Data'!E23="",0,'Food Data'!K23*'Food Data'!N23/100)</f>
        <v>0.84</v>
      </c>
      <c r="AC35" s="32" t="n">
        <f aca="false">IF('Food Data'!E24="",0,'Food Data'!K24*'Food Data'!N24/100)</f>
        <v>1.32</v>
      </c>
      <c r="AD35" s="32" t="n">
        <f aca="false">IF('Food Data'!E25="",0,'Food Data'!K25*'Food Data'!N25/100)</f>
        <v>3.54</v>
      </c>
      <c r="AE35" s="32" t="n">
        <f aca="false">IF('Food Data'!E26="",0,'Food Data'!K26*'Food Data'!N26/100)</f>
        <v>4.2</v>
      </c>
      <c r="AF35" s="32" t="n">
        <f aca="false">IF('Food Data'!E27="",0,'Food Data'!K27*'Food Data'!N27/100)</f>
        <v>3.04</v>
      </c>
      <c r="AG35" s="32" t="n">
        <f aca="false">IF('Food Data'!E28="",0,'Food Data'!K28*'Food Data'!N28/100)</f>
        <v>4.5</v>
      </c>
      <c r="AH35" s="32" t="n">
        <f aca="false">IF('Food Data'!E29="",0,'Food Data'!K29*'Food Data'!N29/100)</f>
        <v>2.88</v>
      </c>
      <c r="AI35" s="32" t="n">
        <f aca="false">IF('Food Data'!E30="",0,'Food Data'!K30*'Food Data'!N30/100)</f>
        <v>1.88</v>
      </c>
      <c r="AJ35" s="32" t="n">
        <f aca="false">IF('Food Data'!E31="",0,'Food Data'!K31*'Food Data'!N31/100)</f>
        <v>3.6</v>
      </c>
      <c r="AK35" s="32" t="n">
        <f aca="false">IF('Food Data'!E32="",0,'Food Data'!K32*'Food Data'!N32/100)</f>
        <v>0.252</v>
      </c>
      <c r="AL35" s="32" t="n">
        <f aca="false">IF('Food Data'!E33="",0,'Food Data'!K33*'Food Data'!N33/100)</f>
        <v>0.516</v>
      </c>
      <c r="AM35" s="32" t="n">
        <f aca="false">IF('Food Data'!E34="",0,'Food Data'!K34*'Food Data'!N34/100)</f>
        <v>0.56</v>
      </c>
      <c r="AN35" s="32" t="n">
        <f aca="false">IF('Food Data'!E35="",0,'Food Data'!K35*'Food Data'!N35/100)</f>
        <v>0</v>
      </c>
      <c r="AO35" s="32" t="n">
        <f aca="false">IF('Food Data'!E36="",0,'Food Data'!K36*'Food Data'!N36/100)</f>
        <v>0</v>
      </c>
      <c r="AP35" s="32" t="n">
        <f aca="false">IF('Food Data'!E37="",0,'Food Data'!K37*'Food Data'!N37/100)</f>
        <v>0</v>
      </c>
      <c r="AQ35" s="32" t="n">
        <f aca="false">IF('Food Data'!E38="",0,'Food Data'!K38*'Food Data'!N38/100)</f>
        <v>0</v>
      </c>
      <c r="AR35" s="32" t="n">
        <f aca="false">IF('Food Data'!E39="",0,'Food Data'!K39*'Food Data'!N39/100)</f>
        <v>0</v>
      </c>
      <c r="AS35" s="32" t="n">
        <f aca="false">IF('Food Data'!E40="",0,'Food Data'!K40*'Food Data'!N40/100)</f>
        <v>0</v>
      </c>
      <c r="AT35" s="32" t="n">
        <f aca="false">IF('Food Data'!E41="",0,'Food Data'!K41*'Food Data'!N41/100)</f>
        <v>0</v>
      </c>
    </row>
    <row r="37" customFormat="false" ht="15" hidden="false" customHeight="false" outlineLevel="0" collapsed="false">
      <c r="A37" s="19" t="s">
        <v>295</v>
      </c>
    </row>
    <row r="38" customFormat="false" ht="15" hidden="false" customHeight="false" outlineLevel="0" collapsed="false">
      <c r="A38" s="2" t="s">
        <v>296</v>
      </c>
    </row>
    <row r="39" customFormat="false" ht="15" hidden="false" customHeight="false" outlineLevel="0" collapsed="false">
      <c r="A39" s="3" t="s">
        <v>297</v>
      </c>
      <c r="B39" s="3" t="s">
        <v>4</v>
      </c>
      <c r="C39" s="3" t="s">
        <v>298</v>
      </c>
      <c r="D39" s="3" t="s">
        <v>299</v>
      </c>
      <c r="E39" s="3" t="s">
        <v>300</v>
      </c>
      <c r="F39" s="3" t="s">
        <v>301</v>
      </c>
      <c r="G39" s="3" t="s">
        <v>302</v>
      </c>
      <c r="H39" s="3" t="s">
        <v>303</v>
      </c>
      <c r="I39" s="3" t="s">
        <v>304</v>
      </c>
      <c r="J39" s="3" t="s">
        <v>300</v>
      </c>
      <c r="K39" s="3" t="s">
        <v>302</v>
      </c>
    </row>
    <row r="40" customFormat="false" ht="15" hidden="false" customHeight="false" outlineLevel="0" collapsed="false">
      <c r="A40" s="4" t="n">
        <v>1</v>
      </c>
      <c r="B40" s="33" t="str">
        <f aca="false">'Food Data'!B6</f>
        <v>White rice (dry)</v>
      </c>
      <c r="C40" s="34" t="n">
        <v>0.895308</v>
      </c>
      <c r="D40" s="35" t="n">
        <f aca="false">INDEX($K$35:$AT$35,1,A40)</f>
        <v>1.84</v>
      </c>
      <c r="E40" s="36" t="n">
        <f aca="false">C40*100</f>
        <v>89.5308</v>
      </c>
      <c r="F40" s="37" t="n">
        <f aca="false">E40/'Food Data'!K6</f>
        <v>1.94632173913043</v>
      </c>
      <c r="G40" s="12" t="n">
        <f aca="false">C40*INDEX($K$34:$AT$34,1,A40)</f>
        <v>0.220668947089947</v>
      </c>
      <c r="H40" s="27" t="str">
        <f aca="false">IF(AND(D40&gt;0,ABS(C40-D40)&lt;0.0001),"at cap","")</f>
        <v/>
      </c>
      <c r="I40" s="38" t="n">
        <v>0.92</v>
      </c>
      <c r="J40" s="36" t="n">
        <f aca="false">I40*100</f>
        <v>92</v>
      </c>
      <c r="K40" s="12" t="n">
        <f aca="false">I40*INDEX($K$34:$AT$34,1,A40)</f>
        <v>0.226754850088183</v>
      </c>
    </row>
    <row r="41" customFormat="false" ht="15" hidden="false" customHeight="false" outlineLevel="0" collapsed="false">
      <c r="A41" s="4" t="n">
        <v>2</v>
      </c>
      <c r="B41" s="33" t="str">
        <f aca="false">'Food Data'!B7</f>
        <v>Spaghetti / macaroni (dry)</v>
      </c>
      <c r="C41" s="34" t="n">
        <v>0.523443</v>
      </c>
      <c r="D41" s="35" t="n">
        <f aca="false">INDEX($K$35:$AT$35,1,A41)</f>
        <v>1.71</v>
      </c>
      <c r="E41" s="36" t="n">
        <f aca="false">C41*100</f>
        <v>52.3443</v>
      </c>
      <c r="F41" s="37" t="n">
        <f aca="false">E41/'Food Data'!K7</f>
        <v>0.918321052631579</v>
      </c>
      <c r="G41" s="12" t="n">
        <f aca="false">C41*INDEX($K$34:$AT$34,1,A41)</f>
        <v>0.158671544312169</v>
      </c>
      <c r="H41" s="27" t="str">
        <f aca="false">IF(AND(D41&gt;0,ABS(C41-D41)&lt;0.0001),"at cap","")</f>
        <v/>
      </c>
      <c r="I41" s="38" t="n">
        <v>0</v>
      </c>
      <c r="J41" s="36" t="n">
        <f aca="false">I41*100</f>
        <v>0</v>
      </c>
      <c r="K41" s="12" t="n">
        <f aca="false">I41*INDEX($K$34:$AT$34,1,A41)</f>
        <v>0</v>
      </c>
    </row>
    <row r="42" customFormat="false" ht="15" hidden="false" customHeight="false" outlineLevel="0" collapsed="false">
      <c r="A42" s="4" t="n">
        <v>3</v>
      </c>
      <c r="B42" s="33" t="str">
        <f aca="false">'Food Data'!B8</f>
        <v>White bread</v>
      </c>
      <c r="C42" s="34" t="n">
        <v>0</v>
      </c>
      <c r="D42" s="35" t="n">
        <f aca="false">INDEX($K$35:$AT$35,1,A42)</f>
        <v>1.74</v>
      </c>
      <c r="E42" s="36" t="n">
        <f aca="false">C42*100</f>
        <v>0</v>
      </c>
      <c r="F42" s="37" t="n">
        <f aca="false">E42/'Food Data'!K8</f>
        <v>0</v>
      </c>
      <c r="G42" s="12" t="n">
        <f aca="false">C42*INDEX($K$34:$AT$34,1,A42)</f>
        <v>0</v>
      </c>
      <c r="H42" s="27" t="str">
        <f aca="false">IF(AND(D42&gt;0,ABS(C42-D42)&lt;0.0001),"at cap","")</f>
        <v/>
      </c>
      <c r="I42" s="38" t="n">
        <v>0.58</v>
      </c>
      <c r="J42" s="36" t="n">
        <f aca="false">I42*100</f>
        <v>58</v>
      </c>
      <c r="K42" s="12" t="n">
        <f aca="false">I42*INDEX($K$34:$AT$34,1,A42)</f>
        <v>0.233994708994709</v>
      </c>
    </row>
    <row r="43" customFormat="false" ht="15" hidden="false" customHeight="false" outlineLevel="0" collapsed="false">
      <c r="A43" s="4" t="n">
        <v>4</v>
      </c>
      <c r="B43" s="33" t="str">
        <f aca="false">'Food Data'!B9</f>
        <v>All-purpose flour</v>
      </c>
      <c r="C43" s="34" t="n">
        <v>0.93</v>
      </c>
      <c r="D43" s="35" t="n">
        <f aca="false">INDEX($K$35:$AT$35,1,A43)</f>
        <v>0.93</v>
      </c>
      <c r="E43" s="36" t="n">
        <f aca="false">C43*100</f>
        <v>93</v>
      </c>
      <c r="F43" s="37" t="n">
        <f aca="false">E43/'Food Data'!K9</f>
        <v>3</v>
      </c>
      <c r="G43" s="12" t="n">
        <f aca="false">C43*INDEX($K$34:$AT$34,1,A43)</f>
        <v>0.111739417989418</v>
      </c>
      <c r="H43" s="27" t="str">
        <f aca="false">IF(AND(D43&gt;0,ABS(C43-D43)&lt;0.0001),"at cap","")</f>
        <v>at cap</v>
      </c>
      <c r="I43" s="38" t="n">
        <v>0</v>
      </c>
      <c r="J43" s="36" t="n">
        <f aca="false">I43*100</f>
        <v>0</v>
      </c>
      <c r="K43" s="12" t="n">
        <f aca="false">I43*INDEX($K$34:$AT$34,1,A43)</f>
        <v>0</v>
      </c>
    </row>
    <row r="44" customFormat="false" ht="15" hidden="false" customHeight="false" outlineLevel="0" collapsed="false">
      <c r="A44" s="4" t="n">
        <v>5</v>
      </c>
      <c r="B44" s="33" t="str">
        <f aca="false">'Food Data'!B10</f>
        <v>Dried pinto beans</v>
      </c>
      <c r="C44" s="34" t="n">
        <v>1.92</v>
      </c>
      <c r="D44" s="35" t="n">
        <f aca="false">INDEX($K$35:$AT$35,1,A44)</f>
        <v>1.92</v>
      </c>
      <c r="E44" s="36" t="n">
        <f aca="false">C44*100</f>
        <v>192</v>
      </c>
      <c r="F44" s="37" t="n">
        <f aca="false">E44/'Food Data'!K10</f>
        <v>4</v>
      </c>
      <c r="G44" s="12" t="n">
        <f aca="false">C44*INDEX($K$34:$AT$34,1,A44)</f>
        <v>0.706455026455026</v>
      </c>
      <c r="H44" s="27" t="str">
        <f aca="false">IF(AND(D44&gt;0,ABS(C44-D44)&lt;0.0001),"at cap","")</f>
        <v>at cap</v>
      </c>
      <c r="I44" s="38" t="n">
        <v>0</v>
      </c>
      <c r="J44" s="36" t="n">
        <f aca="false">I44*100</f>
        <v>0</v>
      </c>
      <c r="K44" s="12" t="n">
        <f aca="false">I44*INDEX($K$34:$AT$34,1,A44)</f>
        <v>0</v>
      </c>
    </row>
    <row r="45" customFormat="false" ht="15" hidden="false" customHeight="false" outlineLevel="0" collapsed="false">
      <c r="A45" s="4" t="n">
        <v>6</v>
      </c>
      <c r="B45" s="33" t="str">
        <f aca="false">'Food Data'!B11</f>
        <v>Ground beef (regular)</v>
      </c>
      <c r="C45" s="34" t="n">
        <v>0</v>
      </c>
      <c r="D45" s="35" t="n">
        <f aca="false">INDEX($K$35:$AT$35,1,A45)</f>
        <v>2.26</v>
      </c>
      <c r="E45" s="36" t="n">
        <f aca="false">C45*100</f>
        <v>0</v>
      </c>
      <c r="F45" s="37" t="n">
        <f aca="false">E45/'Food Data'!K11</f>
        <v>0</v>
      </c>
      <c r="G45" s="12" t="n">
        <f aca="false">C45*INDEX($K$34:$AT$34,1,A45)</f>
        <v>0</v>
      </c>
      <c r="H45" s="27" t="str">
        <f aca="false">IF(AND(D45&gt;0,ABS(C45-D45)&lt;0.0001),"at cap","")</f>
        <v/>
      </c>
      <c r="I45" s="38" t="n">
        <v>1.13</v>
      </c>
      <c r="J45" s="36" t="n">
        <f aca="false">I45*100</f>
        <v>113</v>
      </c>
      <c r="K45" s="12" t="n">
        <f aca="false">I45*INDEX($K$34:$AT$34,1,A45)</f>
        <v>1.69201058201058</v>
      </c>
    </row>
    <row r="46" customFormat="false" ht="15" hidden="false" customHeight="false" outlineLevel="0" collapsed="false">
      <c r="A46" s="4" t="n">
        <v>7</v>
      </c>
      <c r="B46" s="33" t="str">
        <f aca="false">'Food Data'!B12</f>
        <v>Ground beef (lean)</v>
      </c>
      <c r="C46" s="34" t="n">
        <v>0</v>
      </c>
      <c r="D46" s="35" t="n">
        <f aca="false">INDEX($K$35:$AT$35,1,A46)</f>
        <v>2.26</v>
      </c>
      <c r="E46" s="36" t="n">
        <f aca="false">C46*100</f>
        <v>0</v>
      </c>
      <c r="F46" s="37" t="n">
        <f aca="false">E46/'Food Data'!K12</f>
        <v>0</v>
      </c>
      <c r="G46" s="12" t="n">
        <f aca="false">C46*INDEX($K$34:$AT$34,1,A46)</f>
        <v>0</v>
      </c>
      <c r="H46" s="27" t="str">
        <f aca="false">IF(AND(D46&gt;0,ABS(C46-D46)&lt;0.0001),"at cap","")</f>
        <v/>
      </c>
      <c r="I46" s="38" t="n">
        <v>0</v>
      </c>
      <c r="J46" s="36" t="n">
        <f aca="false">I46*100</f>
        <v>0</v>
      </c>
      <c r="K46" s="12" t="n">
        <f aca="false">I46*INDEX($K$34:$AT$34,1,A46)</f>
        <v>0</v>
      </c>
    </row>
    <row r="47" customFormat="false" ht="15" hidden="false" customHeight="false" outlineLevel="0" collapsed="false">
      <c r="A47" s="4" t="n">
        <v>8</v>
      </c>
      <c r="B47" s="33" t="str">
        <f aca="false">'Food Data'!B13</f>
        <v>Sirloin steak</v>
      </c>
      <c r="C47" s="34" t="n">
        <v>0</v>
      </c>
      <c r="D47" s="35" t="n">
        <f aca="false">INDEX($K$35:$AT$35,1,A47)</f>
        <v>2.26</v>
      </c>
      <c r="E47" s="36" t="n">
        <f aca="false">C47*100</f>
        <v>0</v>
      </c>
      <c r="F47" s="37" t="n">
        <f aca="false">E47/'Food Data'!K13</f>
        <v>0</v>
      </c>
      <c r="G47" s="12" t="n">
        <f aca="false">C47*INDEX($K$34:$AT$34,1,A47)</f>
        <v>0</v>
      </c>
      <c r="H47" s="27" t="str">
        <f aca="false">IF(AND(D47&gt;0,ABS(C47-D47)&lt;0.0001),"at cap","")</f>
        <v/>
      </c>
      <c r="I47" s="38" t="n">
        <v>0</v>
      </c>
      <c r="J47" s="36" t="n">
        <f aca="false">I47*100</f>
        <v>0</v>
      </c>
      <c r="K47" s="12" t="n">
        <f aca="false">I47*INDEX($K$34:$AT$34,1,A47)</f>
        <v>0</v>
      </c>
    </row>
    <row r="48" customFormat="false" ht="15" hidden="false" customHeight="false" outlineLevel="0" collapsed="false">
      <c r="A48" s="4" t="n">
        <v>9</v>
      </c>
      <c r="B48" s="33" t="str">
        <f aca="false">'Food Data'!B14</f>
        <v>Bacon</v>
      </c>
      <c r="C48" s="34" t="n">
        <v>0</v>
      </c>
      <c r="D48" s="35" t="n">
        <f aca="false">INDEX($K$35:$AT$35,1,A48)</f>
        <v>0.84</v>
      </c>
      <c r="E48" s="36" t="n">
        <f aca="false">C48*100</f>
        <v>0</v>
      </c>
      <c r="F48" s="37" t="n">
        <f aca="false">E48/'Food Data'!K14</f>
        <v>0</v>
      </c>
      <c r="G48" s="12" t="n">
        <f aca="false">C48*INDEX($K$34:$AT$34,1,A48)</f>
        <v>0</v>
      </c>
      <c r="H48" s="27" t="str">
        <f aca="false">IF(AND(D48&gt;0,ABS(C48-D48)&lt;0.0001),"at cap","")</f>
        <v/>
      </c>
      <c r="I48" s="38" t="n">
        <v>0</v>
      </c>
      <c r="J48" s="36" t="n">
        <f aca="false">I48*100</f>
        <v>0</v>
      </c>
      <c r="K48" s="12" t="n">
        <f aca="false">I48*INDEX($K$34:$AT$34,1,A48)</f>
        <v>0</v>
      </c>
    </row>
    <row r="49" customFormat="false" ht="15" hidden="false" customHeight="false" outlineLevel="0" collapsed="false">
      <c r="A49" s="4" t="n">
        <v>10</v>
      </c>
      <c r="B49" s="33" t="str">
        <f aca="false">'Food Data'!B15</f>
        <v>Pork chops (boneless)</v>
      </c>
      <c r="C49" s="34" t="n">
        <v>0</v>
      </c>
      <c r="D49" s="35" t="n">
        <f aca="false">INDEX($K$35:$AT$35,1,A49)</f>
        <v>2.26</v>
      </c>
      <c r="E49" s="36" t="n">
        <f aca="false">C49*100</f>
        <v>0</v>
      </c>
      <c r="F49" s="37" t="n">
        <f aca="false">E49/'Food Data'!K15</f>
        <v>0</v>
      </c>
      <c r="G49" s="12" t="n">
        <f aca="false">C49*INDEX($K$34:$AT$34,1,A49)</f>
        <v>0</v>
      </c>
      <c r="H49" s="27" t="str">
        <f aca="false">IF(AND(D49&gt;0,ABS(C49-D49)&lt;0.0001),"at cap","")</f>
        <v/>
      </c>
      <c r="I49" s="38" t="n">
        <v>0</v>
      </c>
      <c r="J49" s="36" t="n">
        <f aca="false">I49*100</f>
        <v>0</v>
      </c>
      <c r="K49" s="12" t="n">
        <f aca="false">I49*INDEX($K$34:$AT$34,1,A49)</f>
        <v>0</v>
      </c>
    </row>
    <row r="50" customFormat="false" ht="15" hidden="false" customHeight="false" outlineLevel="0" collapsed="false">
      <c r="A50" s="4" t="n">
        <v>11</v>
      </c>
      <c r="B50" s="33" t="str">
        <f aca="false">'Food Data'!B16</f>
        <v>Ham (boneless)</v>
      </c>
      <c r="C50" s="34" t="n">
        <v>0</v>
      </c>
      <c r="D50" s="35" t="n">
        <f aca="false">INDEX($K$35:$AT$35,1,A50)</f>
        <v>1.12</v>
      </c>
      <c r="E50" s="36" t="n">
        <f aca="false">C50*100</f>
        <v>0</v>
      </c>
      <c r="F50" s="37" t="n">
        <f aca="false">E50/'Food Data'!K16</f>
        <v>0</v>
      </c>
      <c r="G50" s="12" t="n">
        <f aca="false">C50*INDEX($K$34:$AT$34,1,A50)</f>
        <v>0</v>
      </c>
      <c r="H50" s="27" t="str">
        <f aca="false">IF(AND(D50&gt;0,ABS(C50-D50)&lt;0.0001),"at cap","")</f>
        <v/>
      </c>
      <c r="I50" s="38" t="n">
        <v>0</v>
      </c>
      <c r="J50" s="36" t="n">
        <f aca="false">I50*100</f>
        <v>0</v>
      </c>
      <c r="K50" s="12" t="n">
        <f aca="false">I50*INDEX($K$34:$AT$34,1,A50)</f>
        <v>0</v>
      </c>
    </row>
    <row r="51" customFormat="false" ht="15" hidden="false" customHeight="false" outlineLevel="0" collapsed="false">
      <c r="A51" s="4" t="n">
        <v>12</v>
      </c>
      <c r="B51" s="33" t="str">
        <f aca="false">'Food Data'!B17</f>
        <v>Whole chicken</v>
      </c>
      <c r="C51" s="34" t="n">
        <v>0</v>
      </c>
      <c r="D51" s="35" t="n">
        <f aca="false">INDEX($K$35:$AT$35,1,A51)</f>
        <v>2.26</v>
      </c>
      <c r="E51" s="36" t="n">
        <f aca="false">C51*100</f>
        <v>0</v>
      </c>
      <c r="F51" s="37" t="n">
        <f aca="false">E51/'Food Data'!K17</f>
        <v>0</v>
      </c>
      <c r="G51" s="12" t="n">
        <f aca="false">C51*INDEX($K$34:$AT$34,1,A51)</f>
        <v>0</v>
      </c>
      <c r="H51" s="27" t="str">
        <f aca="false">IF(AND(D51&gt;0,ABS(C51-D51)&lt;0.0001),"at cap","")</f>
        <v/>
      </c>
      <c r="I51" s="38" t="n">
        <v>0</v>
      </c>
      <c r="J51" s="36" t="n">
        <f aca="false">I51*100</f>
        <v>0</v>
      </c>
      <c r="K51" s="12" t="n">
        <f aca="false">I51*INDEX($K$34:$AT$34,1,A51)</f>
        <v>0</v>
      </c>
    </row>
    <row r="52" customFormat="false" ht="15" hidden="false" customHeight="false" outlineLevel="0" collapsed="false">
      <c r="A52" s="4" t="n">
        <v>13</v>
      </c>
      <c r="B52" s="33" t="str">
        <f aca="false">'Food Data'!B18</f>
        <v>Chicken breast (boneless)</v>
      </c>
      <c r="C52" s="34" t="n">
        <v>0</v>
      </c>
      <c r="D52" s="35" t="n">
        <f aca="false">INDEX($K$35:$AT$35,1,A52)</f>
        <v>3.39</v>
      </c>
      <c r="E52" s="36" t="n">
        <f aca="false">C52*100</f>
        <v>0</v>
      </c>
      <c r="F52" s="37" t="n">
        <f aca="false">E52/'Food Data'!K18</f>
        <v>0</v>
      </c>
      <c r="G52" s="12" t="n">
        <f aca="false">C52*INDEX($K$34:$AT$34,1,A52)</f>
        <v>0</v>
      </c>
      <c r="H52" s="27" t="str">
        <f aca="false">IF(AND(D52&gt;0,ABS(C52-D52)&lt;0.0001),"at cap","")</f>
        <v/>
      </c>
      <c r="I52" s="38" t="n">
        <v>1.13</v>
      </c>
      <c r="J52" s="36" t="n">
        <f aca="false">I52*100</f>
        <v>113</v>
      </c>
      <c r="K52" s="12" t="n">
        <f aca="false">I52*INDEX($K$34:$AT$34,1,A52)</f>
        <v>1.04704365079365</v>
      </c>
    </row>
    <row r="53" customFormat="false" ht="15" hidden="false" customHeight="false" outlineLevel="0" collapsed="false">
      <c r="A53" s="4" t="n">
        <v>14</v>
      </c>
      <c r="B53" s="33" t="str">
        <f aca="false">'Food Data'!B19</f>
        <v>Chicken legs (bone-in)</v>
      </c>
      <c r="C53" s="34" t="n">
        <v>1.329556</v>
      </c>
      <c r="D53" s="35" t="n">
        <f aca="false">INDEX($K$35:$AT$35,1,A53)</f>
        <v>2.26</v>
      </c>
      <c r="E53" s="36" t="n">
        <f aca="false">C53*100</f>
        <v>132.9556</v>
      </c>
      <c r="F53" s="37" t="n">
        <f aca="false">E53/'Food Data'!K19</f>
        <v>1.1765982300885</v>
      </c>
      <c r="G53" s="12" t="n">
        <f aca="false">C53*INDEX($K$34:$AT$34,1,A53)</f>
        <v>0.698248980454688</v>
      </c>
      <c r="H53" s="27" t="str">
        <f aca="false">IF(AND(D53&gt;0,ABS(C53-D53)&lt;0.0001),"at cap","")</f>
        <v/>
      </c>
      <c r="I53" s="38" t="n">
        <v>0</v>
      </c>
      <c r="J53" s="36" t="n">
        <f aca="false">I53*100</f>
        <v>0</v>
      </c>
      <c r="K53" s="12" t="n">
        <f aca="false">I53*INDEX($K$34:$AT$34,1,A53)</f>
        <v>0</v>
      </c>
    </row>
    <row r="54" customFormat="false" ht="15" hidden="false" customHeight="false" outlineLevel="0" collapsed="false">
      <c r="A54" s="4" t="n">
        <v>15</v>
      </c>
      <c r="B54" s="33" t="str">
        <f aca="false">'Food Data'!B20</f>
        <v>Eggs (large)</v>
      </c>
      <c r="C54" s="34" t="n">
        <v>0</v>
      </c>
      <c r="D54" s="35" t="n">
        <f aca="false">INDEX($K$35:$AT$35,1,A54)</f>
        <v>2</v>
      </c>
      <c r="E54" s="36" t="n">
        <f aca="false">C54*100</f>
        <v>0</v>
      </c>
      <c r="F54" s="37" t="n">
        <f aca="false">E54/'Food Data'!K20</f>
        <v>0</v>
      </c>
      <c r="G54" s="12" t="n">
        <f aca="false">C54*INDEX($K$34:$AT$34,1,A54)</f>
        <v>0</v>
      </c>
      <c r="H54" s="27" t="str">
        <f aca="false">IF(AND(D54&gt;0,ABS(C54-D54)&lt;0.0001),"at cap","")</f>
        <v/>
      </c>
      <c r="I54" s="38" t="n">
        <v>1</v>
      </c>
      <c r="J54" s="36" t="n">
        <f aca="false">I54*100</f>
        <v>100</v>
      </c>
      <c r="K54" s="12" t="n">
        <f aca="false">I54*INDEX($K$34:$AT$34,1,A54)</f>
        <v>0.378666666666667</v>
      </c>
    </row>
    <row r="55" customFormat="false" ht="15" hidden="false" customHeight="false" outlineLevel="0" collapsed="false">
      <c r="A55" s="4" t="n">
        <v>16</v>
      </c>
      <c r="B55" s="33" t="str">
        <f aca="false">'Food Data'!B21</f>
        <v>Whole milk</v>
      </c>
      <c r="C55" s="34" t="n">
        <v>9.76</v>
      </c>
      <c r="D55" s="35" t="n">
        <f aca="false">INDEX($K$35:$AT$35,1,A55)</f>
        <v>9.76</v>
      </c>
      <c r="E55" s="36" t="n">
        <f aca="false">C55*100</f>
        <v>976</v>
      </c>
      <c r="F55" s="37" t="n">
        <f aca="false">E55/'Food Data'!K21</f>
        <v>4</v>
      </c>
      <c r="G55" s="12" t="n">
        <f aca="false">C55*INDEX($K$34:$AT$34,1,A55)</f>
        <v>1.0265</v>
      </c>
      <c r="H55" s="27" t="str">
        <f aca="false">IF(AND(D55&gt;0,ABS(C55-D55)&lt;0.0001),"at cap","")</f>
        <v>at cap</v>
      </c>
      <c r="I55" s="38" t="n">
        <v>2.44</v>
      </c>
      <c r="J55" s="36" t="n">
        <f aca="false">I55*100</f>
        <v>244</v>
      </c>
      <c r="K55" s="12" t="n">
        <f aca="false">I55*INDEX($K$34:$AT$34,1,A55)</f>
        <v>0.256625</v>
      </c>
    </row>
    <row r="56" customFormat="false" ht="15" hidden="false" customHeight="false" outlineLevel="0" collapsed="false">
      <c r="A56" s="4" t="n">
        <v>17</v>
      </c>
      <c r="B56" s="33" t="str">
        <f aca="false">'Food Data'!B22</f>
        <v>Cheddar cheese</v>
      </c>
      <c r="C56" s="34" t="n">
        <v>0</v>
      </c>
      <c r="D56" s="35" t="n">
        <f aca="false">INDEX($K$35:$AT$35,1,A56)</f>
        <v>0.84</v>
      </c>
      <c r="E56" s="36" t="n">
        <f aca="false">C56*100</f>
        <v>0</v>
      </c>
      <c r="F56" s="37" t="n">
        <f aca="false">E56/'Food Data'!K22</f>
        <v>0</v>
      </c>
      <c r="G56" s="12" t="n">
        <f aca="false">C56*INDEX($K$34:$AT$34,1,A56)</f>
        <v>0</v>
      </c>
      <c r="H56" s="27" t="str">
        <f aca="false">IF(AND(D56&gt;0,ABS(C56-D56)&lt;0.0001),"at cap","")</f>
        <v/>
      </c>
      <c r="I56" s="38" t="n">
        <v>0</v>
      </c>
      <c r="J56" s="36" t="n">
        <f aca="false">I56*100</f>
        <v>0</v>
      </c>
      <c r="K56" s="12" t="n">
        <f aca="false">I56*INDEX($K$34:$AT$34,1,A56)</f>
        <v>0</v>
      </c>
    </row>
    <row r="57" customFormat="false" ht="15" hidden="false" customHeight="false" outlineLevel="0" collapsed="false">
      <c r="A57" s="4" t="n">
        <v>18</v>
      </c>
      <c r="B57" s="33" t="str">
        <f aca="false">'Food Data'!B23</f>
        <v>American cheese</v>
      </c>
      <c r="C57" s="34" t="n">
        <v>0</v>
      </c>
      <c r="D57" s="35" t="n">
        <f aca="false">INDEX($K$35:$AT$35,1,A57)</f>
        <v>0.84</v>
      </c>
      <c r="E57" s="36" t="n">
        <f aca="false">C57*100</f>
        <v>0</v>
      </c>
      <c r="F57" s="37" t="n">
        <f aca="false">E57/'Food Data'!K23</f>
        <v>0</v>
      </c>
      <c r="G57" s="12" t="n">
        <f aca="false">C57*INDEX($K$34:$AT$34,1,A57)</f>
        <v>0</v>
      </c>
      <c r="H57" s="27" t="str">
        <f aca="false">IF(AND(D57&gt;0,ABS(C57-D57)&lt;0.0001),"at cap","")</f>
        <v/>
      </c>
      <c r="I57" s="38" t="n">
        <v>0.28</v>
      </c>
      <c r="J57" s="36" t="n">
        <f aca="false">I57*100</f>
        <v>28</v>
      </c>
      <c r="K57" s="12" t="n">
        <f aca="false">I57*INDEX($K$34:$AT$34,1,A57)</f>
        <v>0.292407407407407</v>
      </c>
    </row>
    <row r="58" customFormat="false" ht="15" hidden="false" customHeight="false" outlineLevel="0" collapsed="false">
      <c r="A58" s="4" t="n">
        <v>19</v>
      </c>
      <c r="B58" s="33" t="str">
        <f aca="false">'Food Data'!B24</f>
        <v>Vanilla ice cream</v>
      </c>
      <c r="C58" s="34" t="n">
        <v>0</v>
      </c>
      <c r="D58" s="35" t="n">
        <f aca="false">INDEX($K$35:$AT$35,1,A58)</f>
        <v>1.32</v>
      </c>
      <c r="E58" s="36" t="n">
        <f aca="false">C58*100</f>
        <v>0</v>
      </c>
      <c r="F58" s="37" t="n">
        <f aca="false">E58/'Food Data'!K24</f>
        <v>0</v>
      </c>
      <c r="G58" s="12" t="n">
        <f aca="false">C58*INDEX($K$34:$AT$34,1,A58)</f>
        <v>0</v>
      </c>
      <c r="H58" s="27" t="str">
        <f aca="false">IF(AND(D58&gt;0,ABS(C58-D58)&lt;0.0001),"at cap","")</f>
        <v/>
      </c>
      <c r="I58" s="38" t="n">
        <v>0</v>
      </c>
      <c r="J58" s="36" t="n">
        <f aca="false">I58*100</f>
        <v>0</v>
      </c>
      <c r="K58" s="12" t="n">
        <f aca="false">I58*INDEX($K$34:$AT$34,1,A58)</f>
        <v>0</v>
      </c>
    </row>
    <row r="59" customFormat="false" ht="15" hidden="false" customHeight="false" outlineLevel="0" collapsed="false">
      <c r="A59" s="4" t="n">
        <v>20</v>
      </c>
      <c r="B59" s="33" t="str">
        <f aca="false">'Food Data'!B25</f>
        <v>Bananas</v>
      </c>
      <c r="C59" s="34" t="n">
        <v>0</v>
      </c>
      <c r="D59" s="35" t="n">
        <f aca="false">INDEX($K$35:$AT$35,1,A59)</f>
        <v>3.54</v>
      </c>
      <c r="E59" s="36" t="n">
        <f aca="false">C59*100</f>
        <v>0</v>
      </c>
      <c r="F59" s="37" t="n">
        <f aca="false">E59/'Food Data'!K25</f>
        <v>0</v>
      </c>
      <c r="G59" s="12" t="n">
        <f aca="false">C59*INDEX($K$34:$AT$34,1,A59)</f>
        <v>0</v>
      </c>
      <c r="H59" s="27" t="str">
        <f aca="false">IF(AND(D59&gt;0,ABS(C59-D59)&lt;0.0001),"at cap","")</f>
        <v/>
      </c>
      <c r="I59" s="38" t="n">
        <v>1.18</v>
      </c>
      <c r="J59" s="36" t="n">
        <f aca="false">I59*100</f>
        <v>118</v>
      </c>
      <c r="K59" s="12" t="n">
        <f aca="false">I59*INDEX($K$34:$AT$34,1,A59)</f>
        <v>0.266644620811287</v>
      </c>
    </row>
    <row r="60" customFormat="false" ht="15" hidden="false" customHeight="false" outlineLevel="0" collapsed="false">
      <c r="A60" s="4" t="n">
        <v>21</v>
      </c>
      <c r="B60" s="33" t="str">
        <f aca="false">'Food Data'!B26</f>
        <v>Navel oranges</v>
      </c>
      <c r="C60" s="34" t="n">
        <v>1.313673</v>
      </c>
      <c r="D60" s="35" t="n">
        <f aca="false">INDEX($K$35:$AT$35,1,A60)</f>
        <v>4.2</v>
      </c>
      <c r="E60" s="36" t="n">
        <f aca="false">C60*100</f>
        <v>131.3673</v>
      </c>
      <c r="F60" s="37" t="n">
        <f aca="false">E60/'Food Data'!K26</f>
        <v>0.938337857142857</v>
      </c>
      <c r="G60" s="12" t="n">
        <f aca="false">C60*INDEX($K$34:$AT$34,1,A60)</f>
        <v>0.733821771903206</v>
      </c>
      <c r="H60" s="27" t="str">
        <f aca="false">IF(AND(D60&gt;0,ABS(C60-D60)&lt;0.0001),"at cap","")</f>
        <v/>
      </c>
      <c r="I60" s="38" t="n">
        <v>0</v>
      </c>
      <c r="J60" s="36" t="n">
        <f aca="false">I60*100</f>
        <v>0</v>
      </c>
      <c r="K60" s="12" t="n">
        <f aca="false">I60*INDEX($K$34:$AT$34,1,A60)</f>
        <v>0</v>
      </c>
    </row>
    <row r="61" customFormat="false" ht="15" hidden="false" customHeight="false" outlineLevel="0" collapsed="false">
      <c r="A61" s="4" t="n">
        <v>22</v>
      </c>
      <c r="B61" s="33" t="str">
        <f aca="false">'Food Data'!B27</f>
        <v>Strawberries</v>
      </c>
      <c r="C61" s="34" t="n">
        <v>0</v>
      </c>
      <c r="D61" s="35" t="n">
        <f aca="false">INDEX($K$35:$AT$35,1,A61)</f>
        <v>3.04</v>
      </c>
      <c r="E61" s="36" t="n">
        <f aca="false">C61*100</f>
        <v>0</v>
      </c>
      <c r="F61" s="37" t="n">
        <f aca="false">E61/'Food Data'!K27</f>
        <v>0</v>
      </c>
      <c r="G61" s="12" t="n">
        <f aca="false">C61*INDEX($K$34:$AT$34,1,A61)</f>
        <v>0</v>
      </c>
      <c r="H61" s="27" t="str">
        <f aca="false">IF(AND(D61&gt;0,ABS(C61-D61)&lt;0.0001),"at cap","")</f>
        <v/>
      </c>
      <c r="I61" s="38" t="n">
        <v>0</v>
      </c>
      <c r="J61" s="36" t="n">
        <f aca="false">I61*100</f>
        <v>0</v>
      </c>
      <c r="K61" s="12" t="n">
        <f aca="false">I61*INDEX($K$34:$AT$34,1,A61)</f>
        <v>0</v>
      </c>
    </row>
    <row r="62" customFormat="false" ht="15" hidden="false" customHeight="false" outlineLevel="0" collapsed="false">
      <c r="A62" s="4" t="n">
        <v>23</v>
      </c>
      <c r="B62" s="33" t="str">
        <f aca="false">'Food Data'!B28</f>
        <v>White potatoes</v>
      </c>
      <c r="C62" s="34" t="n">
        <v>0</v>
      </c>
      <c r="D62" s="35" t="n">
        <f aca="false">INDEX($K$35:$AT$35,1,A62)</f>
        <v>4.5</v>
      </c>
      <c r="E62" s="36" t="n">
        <f aca="false">C62*100</f>
        <v>0</v>
      </c>
      <c r="F62" s="37" t="n">
        <f aca="false">E62/'Food Data'!K28</f>
        <v>0</v>
      </c>
      <c r="G62" s="12" t="n">
        <f aca="false">C62*INDEX($K$34:$AT$34,1,A62)</f>
        <v>0</v>
      </c>
      <c r="H62" s="27" t="str">
        <f aca="false">IF(AND(D62&gt;0,ABS(C62-D62)&lt;0.0001),"at cap","")</f>
        <v/>
      </c>
      <c r="I62" s="38" t="n">
        <v>0</v>
      </c>
      <c r="J62" s="36" t="n">
        <f aca="false">I62*100</f>
        <v>0</v>
      </c>
      <c r="K62" s="12" t="n">
        <f aca="false">I62*INDEX($K$34:$AT$34,1,A62)</f>
        <v>0</v>
      </c>
    </row>
    <row r="63" customFormat="false" ht="15" hidden="false" customHeight="false" outlineLevel="0" collapsed="false">
      <c r="A63" s="4" t="n">
        <v>24</v>
      </c>
      <c r="B63" s="33" t="str">
        <f aca="false">'Food Data'!B29</f>
        <v>Iceberg lettuce</v>
      </c>
      <c r="C63" s="34" t="n">
        <v>0</v>
      </c>
      <c r="D63" s="35" t="n">
        <f aca="false">INDEX($K$35:$AT$35,1,A63)</f>
        <v>2.88</v>
      </c>
      <c r="E63" s="36" t="n">
        <f aca="false">C63*100</f>
        <v>0</v>
      </c>
      <c r="F63" s="37" t="n">
        <f aca="false">E63/'Food Data'!K29</f>
        <v>0</v>
      </c>
      <c r="G63" s="12" t="n">
        <f aca="false">C63*INDEX($K$34:$AT$34,1,A63)</f>
        <v>0</v>
      </c>
      <c r="H63" s="27" t="str">
        <f aca="false">IF(AND(D63&gt;0,ABS(C63-D63)&lt;0.0001),"at cap","")</f>
        <v/>
      </c>
      <c r="I63" s="38" t="n">
        <v>0.72</v>
      </c>
      <c r="J63" s="36" t="n">
        <f aca="false">I63*100</f>
        <v>72</v>
      </c>
      <c r="K63" s="12" t="n">
        <f aca="false">I63*INDEX($K$34:$AT$34,1,A63)</f>
        <v>0.273350041771094</v>
      </c>
    </row>
    <row r="64" customFormat="false" ht="15" hidden="false" customHeight="false" outlineLevel="0" collapsed="false">
      <c r="A64" s="4" t="n">
        <v>25</v>
      </c>
      <c r="B64" s="33" t="str">
        <f aca="false">'Food Data'!B30</f>
        <v>Romaine lettuce</v>
      </c>
      <c r="C64" s="34" t="n">
        <v>0</v>
      </c>
      <c r="D64" s="35" t="n">
        <f aca="false">INDEX($K$35:$AT$35,1,A64)</f>
        <v>1.88</v>
      </c>
      <c r="E64" s="36" t="n">
        <f aca="false">C64*100</f>
        <v>0</v>
      </c>
      <c r="F64" s="37" t="n">
        <f aca="false">E64/'Food Data'!K30</f>
        <v>0</v>
      </c>
      <c r="G64" s="12" t="n">
        <f aca="false">C64*INDEX($K$34:$AT$34,1,A64)</f>
        <v>0</v>
      </c>
      <c r="H64" s="27" t="str">
        <f aca="false">IF(AND(D64&gt;0,ABS(C64-D64)&lt;0.0001),"at cap","")</f>
        <v/>
      </c>
      <c r="I64" s="38" t="n">
        <v>0</v>
      </c>
      <c r="J64" s="36" t="n">
        <f aca="false">I64*100</f>
        <v>0</v>
      </c>
      <c r="K64" s="12" t="n">
        <f aca="false">I64*INDEX($K$34:$AT$34,1,A64)</f>
        <v>0</v>
      </c>
    </row>
    <row r="65" customFormat="false" ht="15" hidden="false" customHeight="false" outlineLevel="0" collapsed="false">
      <c r="A65" s="4" t="n">
        <v>26</v>
      </c>
      <c r="B65" s="33" t="str">
        <f aca="false">'Food Data'!B31</f>
        <v>Tomatoes</v>
      </c>
      <c r="C65" s="34" t="n">
        <v>0</v>
      </c>
      <c r="D65" s="35" t="n">
        <f aca="false">INDEX($K$35:$AT$35,1,A65)</f>
        <v>3.6</v>
      </c>
      <c r="E65" s="36" t="n">
        <f aca="false">C65*100</f>
        <v>0</v>
      </c>
      <c r="F65" s="37" t="n">
        <f aca="false">E65/'Food Data'!K31</f>
        <v>0</v>
      </c>
      <c r="G65" s="12" t="n">
        <f aca="false">C65*INDEX($K$34:$AT$34,1,A65)</f>
        <v>0</v>
      </c>
      <c r="H65" s="27" t="str">
        <f aca="false">IF(AND(D65&gt;0,ABS(C65-D65)&lt;0.0001),"at cap","")</f>
        <v/>
      </c>
      <c r="I65" s="38" t="n">
        <v>0.9</v>
      </c>
      <c r="J65" s="36" t="n">
        <f aca="false">I65*100</f>
        <v>90</v>
      </c>
      <c r="K65" s="12" t="n">
        <f aca="false">I65*INDEX($K$34:$AT$34,1,A65)</f>
        <v>0.43432757718472</v>
      </c>
    </row>
    <row r="66" customFormat="false" ht="15" hidden="false" customHeight="false" outlineLevel="0" collapsed="false">
      <c r="A66" s="4" t="n">
        <v>27</v>
      </c>
      <c r="B66" s="33" t="str">
        <f aca="false">'Food Data'!B32</f>
        <v>White sugar</v>
      </c>
      <c r="C66" s="34" t="n">
        <v>0</v>
      </c>
      <c r="D66" s="35" t="n">
        <f aca="false">INDEX($K$35:$AT$35,1,A66)</f>
        <v>0.252</v>
      </c>
      <c r="E66" s="36" t="n">
        <f aca="false">C66*100</f>
        <v>0</v>
      </c>
      <c r="F66" s="37" t="n">
        <f aca="false">E66/'Food Data'!K32</f>
        <v>0</v>
      </c>
      <c r="G66" s="12" t="n">
        <f aca="false">C66*INDEX($K$34:$AT$34,1,A66)</f>
        <v>0</v>
      </c>
      <c r="H66" s="27" t="str">
        <f aca="false">IF(AND(D66&gt;0,ABS(C66-D66)&lt;0.0001),"at cap","")</f>
        <v/>
      </c>
      <c r="I66" s="38" t="n">
        <v>0</v>
      </c>
      <c r="J66" s="36" t="n">
        <f aca="false">I66*100</f>
        <v>0</v>
      </c>
      <c r="K66" s="12" t="n">
        <f aca="false">I66*INDEX($K$34:$AT$34,1,A66)</f>
        <v>0</v>
      </c>
    </row>
    <row r="67" customFormat="false" ht="15" hidden="false" customHeight="false" outlineLevel="0" collapsed="false">
      <c r="A67" s="4" t="n">
        <v>28</v>
      </c>
      <c r="B67" s="33" t="str">
        <f aca="false">'Food Data'!B33</f>
        <v>Chocolate chip cookies</v>
      </c>
      <c r="C67" s="34" t="n">
        <v>0</v>
      </c>
      <c r="D67" s="35" t="n">
        <f aca="false">INDEX($K$35:$AT$35,1,A67)</f>
        <v>0.516</v>
      </c>
      <c r="E67" s="36" t="n">
        <f aca="false">C67*100</f>
        <v>0</v>
      </c>
      <c r="F67" s="37" t="n">
        <f aca="false">E67/'Food Data'!K33</f>
        <v>0</v>
      </c>
      <c r="G67" s="12" t="n">
        <f aca="false">C67*INDEX($K$34:$AT$34,1,A67)</f>
        <v>0</v>
      </c>
      <c r="H67" s="27" t="str">
        <f aca="false">IF(AND(D67&gt;0,ABS(C67-D67)&lt;0.0001),"at cap","")</f>
        <v/>
      </c>
      <c r="I67" s="38" t="n">
        <v>0.258</v>
      </c>
      <c r="J67" s="36" t="n">
        <f aca="false">I67*100</f>
        <v>25.8</v>
      </c>
      <c r="K67" s="12" t="n">
        <f aca="false">I67*INDEX($K$34:$AT$34,1,A67)</f>
        <v>0.293037037037037</v>
      </c>
    </row>
    <row r="68" customFormat="false" ht="15" hidden="false" customHeight="false" outlineLevel="0" collapsed="false">
      <c r="A68" s="4" t="n">
        <v>29</v>
      </c>
      <c r="B68" s="33" t="str">
        <f aca="false">'Food Data'!B34</f>
        <v>Potato chips</v>
      </c>
      <c r="C68" s="34" t="n">
        <v>0</v>
      </c>
      <c r="D68" s="35" t="n">
        <f aca="false">INDEX($K$35:$AT$35,1,A68)</f>
        <v>0.56</v>
      </c>
      <c r="E68" s="36" t="n">
        <f aca="false">C68*100</f>
        <v>0</v>
      </c>
      <c r="F68" s="37" t="n">
        <f aca="false">E68/'Food Data'!K34</f>
        <v>0</v>
      </c>
      <c r="G68" s="12" t="n">
        <f aca="false">C68*INDEX($K$34:$AT$34,1,A68)</f>
        <v>0</v>
      </c>
      <c r="H68" s="27" t="str">
        <f aca="false">IF(AND(D68&gt;0,ABS(C68-D68)&lt;0.0001),"at cap","")</f>
        <v/>
      </c>
      <c r="I68" s="38" t="n">
        <v>0.28</v>
      </c>
      <c r="J68" s="36" t="n">
        <f aca="false">I68*100</f>
        <v>28</v>
      </c>
      <c r="K68" s="12" t="n">
        <f aca="false">I68*INDEX($K$34:$AT$34,1,A68)</f>
        <v>0.411604938271605</v>
      </c>
    </row>
    <row r="69" customFormat="false" ht="15" hidden="false" customHeight="false" outlineLevel="0" collapsed="false">
      <c r="A69" s="4" t="n">
        <v>30</v>
      </c>
      <c r="B69" s="33" t="str">
        <f aca="false">'Food Data'!B35</f>
        <v>Peanut butter</v>
      </c>
      <c r="C69" s="34" t="n">
        <v>0</v>
      </c>
      <c r="D69" s="35" t="n">
        <f aca="false">INDEX($K$35:$AT$35,1,A69)</f>
        <v>0</v>
      </c>
      <c r="E69" s="36" t="n">
        <f aca="false">C69*100</f>
        <v>0</v>
      </c>
      <c r="F69" s="37" t="n">
        <f aca="false">E69/'Food Data'!K35</f>
        <v>0</v>
      </c>
      <c r="G69" s="12" t="n">
        <f aca="false">C69*INDEX($K$34:$AT$34,1,A69)</f>
        <v>0</v>
      </c>
      <c r="H69" s="27" t="str">
        <f aca="false">IF(AND(D69&gt;0,ABS(C69-D69)&lt;0.0001),"at cap","")</f>
        <v/>
      </c>
      <c r="I69" s="38" t="n">
        <v>0</v>
      </c>
      <c r="J69" s="36" t="n">
        <f aca="false">I69*100</f>
        <v>0</v>
      </c>
      <c r="K69" s="12" t="n">
        <f aca="false">I69*INDEX($K$34:$AT$34,1,A69)</f>
        <v>0</v>
      </c>
    </row>
    <row r="70" customFormat="false" ht="15" hidden="false" customHeight="false" outlineLevel="0" collapsed="false">
      <c r="A70" s="4" t="n">
        <v>31</v>
      </c>
      <c r="B70" s="33" t="str">
        <f aca="false">'Food Data'!B36</f>
        <v>Rolled oats (dry)</v>
      </c>
      <c r="C70" s="34" t="n">
        <v>0</v>
      </c>
      <c r="D70" s="35" t="n">
        <f aca="false">INDEX($K$35:$AT$35,1,A70)</f>
        <v>0</v>
      </c>
      <c r="E70" s="36" t="n">
        <f aca="false">C70*100</f>
        <v>0</v>
      </c>
      <c r="F70" s="37" t="n">
        <f aca="false">E70/'Food Data'!K36</f>
        <v>0</v>
      </c>
      <c r="G70" s="12" t="n">
        <f aca="false">C70*INDEX($K$34:$AT$34,1,A70)</f>
        <v>0</v>
      </c>
      <c r="H70" s="27" t="str">
        <f aca="false">IF(AND(D70&gt;0,ABS(C70-D70)&lt;0.0001),"at cap","")</f>
        <v/>
      </c>
      <c r="I70" s="38" t="n">
        <v>0</v>
      </c>
      <c r="J70" s="36" t="n">
        <f aca="false">I70*100</f>
        <v>0</v>
      </c>
      <c r="K70" s="12" t="n">
        <f aca="false">I70*INDEX($K$34:$AT$34,1,A70)</f>
        <v>0</v>
      </c>
    </row>
    <row r="71" customFormat="false" ht="15" hidden="false" customHeight="false" outlineLevel="0" collapsed="false">
      <c r="A71" s="4" t="n">
        <v>32</v>
      </c>
      <c r="B71" s="33" t="str">
        <f aca="false">'Food Data'!B37</f>
        <v>Broccoli</v>
      </c>
      <c r="C71" s="34" t="n">
        <v>0</v>
      </c>
      <c r="D71" s="35" t="n">
        <f aca="false">INDEX($K$35:$AT$35,1,A71)</f>
        <v>0</v>
      </c>
      <c r="E71" s="36" t="n">
        <f aca="false">C71*100</f>
        <v>0</v>
      </c>
      <c r="F71" s="37" t="n">
        <f aca="false">E71/'Food Data'!K37</f>
        <v>0</v>
      </c>
      <c r="G71" s="12" t="n">
        <f aca="false">C71*INDEX($K$34:$AT$34,1,A71)</f>
        <v>0</v>
      </c>
      <c r="H71" s="27" t="str">
        <f aca="false">IF(AND(D71&gt;0,ABS(C71-D71)&lt;0.0001),"at cap","")</f>
        <v/>
      </c>
      <c r="I71" s="38" t="n">
        <v>0</v>
      </c>
      <c r="J71" s="36" t="n">
        <f aca="false">I71*100</f>
        <v>0</v>
      </c>
      <c r="K71" s="12" t="n">
        <f aca="false">I71*INDEX($K$34:$AT$34,1,A71)</f>
        <v>0</v>
      </c>
    </row>
    <row r="72" customFormat="false" ht="15" hidden="false" customHeight="false" outlineLevel="0" collapsed="false">
      <c r="A72" s="4" t="n">
        <v>33</v>
      </c>
      <c r="B72" s="33" t="str">
        <f aca="false">'Food Data'!B38</f>
        <v>Carrots</v>
      </c>
      <c r="C72" s="34" t="n">
        <v>0</v>
      </c>
      <c r="D72" s="35" t="n">
        <f aca="false">INDEX($K$35:$AT$35,1,A72)</f>
        <v>0</v>
      </c>
      <c r="E72" s="36" t="n">
        <f aca="false">C72*100</f>
        <v>0</v>
      </c>
      <c r="F72" s="37" t="n">
        <f aca="false">E72/'Food Data'!K38</f>
        <v>0</v>
      </c>
      <c r="G72" s="12" t="n">
        <f aca="false">C72*INDEX($K$34:$AT$34,1,A72)</f>
        <v>0</v>
      </c>
      <c r="H72" s="27" t="str">
        <f aca="false">IF(AND(D72&gt;0,ABS(C72-D72)&lt;0.0001),"at cap","")</f>
        <v/>
      </c>
      <c r="I72" s="38" t="n">
        <v>0</v>
      </c>
      <c r="J72" s="36" t="n">
        <f aca="false">I72*100</f>
        <v>0</v>
      </c>
      <c r="K72" s="12" t="n">
        <f aca="false">I72*INDEX($K$34:$AT$34,1,A72)</f>
        <v>0</v>
      </c>
    </row>
    <row r="73" customFormat="false" ht="15" hidden="false" customHeight="false" outlineLevel="0" collapsed="false">
      <c r="A73" s="4" t="n">
        <v>34</v>
      </c>
      <c r="B73" s="33" t="str">
        <f aca="false">'Food Data'!B39</f>
        <v>Apples</v>
      </c>
      <c r="C73" s="34" t="n">
        <v>0</v>
      </c>
      <c r="D73" s="35" t="n">
        <f aca="false">INDEX($K$35:$AT$35,1,A73)</f>
        <v>0</v>
      </c>
      <c r="E73" s="36" t="n">
        <f aca="false">C73*100</f>
        <v>0</v>
      </c>
      <c r="F73" s="37" t="n">
        <f aca="false">E73/'Food Data'!K39</f>
        <v>0</v>
      </c>
      <c r="G73" s="12" t="n">
        <f aca="false">C73*INDEX($K$34:$AT$34,1,A73)</f>
        <v>0</v>
      </c>
      <c r="H73" s="27" t="str">
        <f aca="false">IF(AND(D73&gt;0,ABS(C73-D73)&lt;0.0001),"at cap","")</f>
        <v/>
      </c>
      <c r="I73" s="38" t="n">
        <v>0</v>
      </c>
      <c r="J73" s="36" t="n">
        <f aca="false">I73*100</f>
        <v>0</v>
      </c>
      <c r="K73" s="12" t="n">
        <f aca="false">I73*INDEX($K$34:$AT$34,1,A73)</f>
        <v>0</v>
      </c>
    </row>
    <row r="74" customFormat="false" ht="15" hidden="false" customHeight="false" outlineLevel="0" collapsed="false">
      <c r="A74" s="4" t="n">
        <v>35</v>
      </c>
      <c r="B74" s="33" t="str">
        <f aca="false">'Food Data'!B40</f>
        <v>Canned light tuna (drained)</v>
      </c>
      <c r="C74" s="34" t="n">
        <v>0</v>
      </c>
      <c r="D74" s="35" t="n">
        <f aca="false">INDEX($K$35:$AT$35,1,A74)</f>
        <v>0</v>
      </c>
      <c r="E74" s="36" t="n">
        <f aca="false">C74*100</f>
        <v>0</v>
      </c>
      <c r="F74" s="37" t="n">
        <f aca="false">E74/'Food Data'!K40</f>
        <v>0</v>
      </c>
      <c r="G74" s="12" t="n">
        <f aca="false">C74*INDEX($K$34:$AT$34,1,A74)</f>
        <v>0</v>
      </c>
      <c r="H74" s="27" t="str">
        <f aca="false">IF(AND(D74&gt;0,ABS(C74-D74)&lt;0.0001),"at cap","")</f>
        <v/>
      </c>
      <c r="I74" s="38" t="n">
        <v>0</v>
      </c>
      <c r="J74" s="36" t="n">
        <f aca="false">I74*100</f>
        <v>0</v>
      </c>
      <c r="K74" s="12" t="n">
        <f aca="false">I74*INDEX($K$34:$AT$34,1,A74)</f>
        <v>0</v>
      </c>
    </row>
    <row r="75" customFormat="false" ht="15" hidden="false" customHeight="false" outlineLevel="0" collapsed="false">
      <c r="A75" s="4" t="n">
        <v>36</v>
      </c>
      <c r="B75" s="33" t="str">
        <f aca="false">'Food Data'!B41</f>
        <v>Butter (salted)</v>
      </c>
      <c r="C75" s="34" t="n">
        <v>0</v>
      </c>
      <c r="D75" s="35" t="n">
        <f aca="false">INDEX($K$35:$AT$35,1,A75)</f>
        <v>0</v>
      </c>
      <c r="E75" s="36" t="n">
        <f aca="false">C75*100</f>
        <v>0</v>
      </c>
      <c r="F75" s="37" t="n">
        <f aca="false">E75/'Food Data'!K41</f>
        <v>0</v>
      </c>
      <c r="G75" s="12" t="n">
        <f aca="false">C75*INDEX($K$34:$AT$34,1,A75)</f>
        <v>0</v>
      </c>
      <c r="H75" s="27" t="str">
        <f aca="false">IF(AND(D75&gt;0,ABS(C75-D75)&lt;0.0001),"at cap","")</f>
        <v/>
      </c>
      <c r="I75" s="38" t="n">
        <v>0</v>
      </c>
      <c r="J75" s="36" t="n">
        <f aca="false">I75*100</f>
        <v>0</v>
      </c>
      <c r="K75" s="12" t="n">
        <f aca="false">I75*INDEX($K$34:$AT$34,1,A75)</f>
        <v>0</v>
      </c>
    </row>
    <row r="76" customFormat="false" ht="15" hidden="false" customHeight="false" outlineLevel="0" collapsed="false">
      <c r="B76" s="30" t="s">
        <v>305</v>
      </c>
      <c r="C76" s="2" t="s">
        <v>306</v>
      </c>
      <c r="G76" s="39" t="n">
        <f aca="false" t="array" ref="G76:G76">MMULT(K34:AT34,C40:C75)</f>
        <v>3.65610568820446</v>
      </c>
      <c r="I76" s="2" t="s">
        <v>307</v>
      </c>
      <c r="K76" s="39" t="n">
        <f aca="false" t="array" ref="K76:K76">MMULT(K34:AT34,I40:I75)</f>
        <v>5.80646708103694</v>
      </c>
    </row>
    <row r="77" customFormat="false" ht="15" hidden="false" customHeight="false" outlineLevel="0" collapsed="false">
      <c r="B77" s="30" t="s">
        <v>308</v>
      </c>
      <c r="G77" s="39" t="n">
        <f aca="false">G76*7</f>
        <v>25.5927398174312</v>
      </c>
      <c r="K77" s="39" t="n">
        <f aca="false">K76*7</f>
        <v>40.6452695672586</v>
      </c>
    </row>
    <row r="78" customFormat="false" ht="15" hidden="false" customHeight="false" outlineLevel="0" collapsed="false">
      <c r="B78" s="30" t="s">
        <v>309</v>
      </c>
      <c r="G78" s="30" t="n">
        <f aca="false">COUNTIF(G23:G33,"BELOW MIN")+COUNTIF(G23:G33,"ABOVE MAX")</f>
        <v>0</v>
      </c>
      <c r="K78" s="30" t="n">
        <f aca="false">COUNTIF(I23:I33,"BELOW MIN")+COUNTIF(I23:I33,"ABOVE MAX")</f>
        <v>6</v>
      </c>
    </row>
    <row r="81" customFormat="false" ht="15" hidden="false" customHeight="false" outlineLevel="0" collapsed="false">
      <c r="A81" s="19" t="s">
        <v>310</v>
      </c>
    </row>
    <row r="82" customFormat="false" ht="15" hidden="false" customHeight="false" outlineLevel="0" collapsed="false">
      <c r="A82" s="2" t="s">
        <v>311</v>
      </c>
    </row>
    <row r="84" customFormat="false" ht="54" hidden="false" customHeight="true" outlineLevel="0" collapsed="false">
      <c r="B84" s="3" t="s">
        <v>312</v>
      </c>
      <c r="C84" s="3" t="s">
        <v>313</v>
      </c>
      <c r="D84" s="3" t="s">
        <v>314</v>
      </c>
      <c r="E84" s="3" t="s">
        <v>315</v>
      </c>
      <c r="F84" s="3" t="s">
        <v>316</v>
      </c>
      <c r="H84" s="3" t="s">
        <v>317</v>
      </c>
      <c r="I84" s="3" t="s">
        <v>318</v>
      </c>
      <c r="J84" s="3" t="s">
        <v>319</v>
      </c>
      <c r="L84" s="3" t="s">
        <v>320</v>
      </c>
      <c r="M84" s="3" t="s">
        <v>321</v>
      </c>
      <c r="O84" s="3" t="s">
        <v>322</v>
      </c>
      <c r="P84" s="3" t="s">
        <v>323</v>
      </c>
      <c r="Q84" s="3" t="s">
        <v>324</v>
      </c>
      <c r="S84" s="3" t="s">
        <v>325</v>
      </c>
      <c r="T84" s="3" t="s">
        <v>326</v>
      </c>
    </row>
    <row r="85" customFormat="false" ht="15" hidden="false" customHeight="false" outlineLevel="0" collapsed="false">
      <c r="B85" s="5" t="s">
        <v>327</v>
      </c>
      <c r="C85" s="35" t="n">
        <f aca="false">K23</f>
        <v>365</v>
      </c>
      <c r="D85" s="35" t="n">
        <f aca="false">L23</f>
        <v>371</v>
      </c>
      <c r="E85" s="35" t="n">
        <f aca="false">X23</f>
        <v>214</v>
      </c>
      <c r="F85" s="35" t="n">
        <f aca="false">AE23</f>
        <v>49</v>
      </c>
      <c r="H85" s="35" t="n">
        <f aca="false">N23</f>
        <v>364</v>
      </c>
      <c r="I85" s="35" t="n">
        <f aca="false">O23</f>
        <v>347</v>
      </c>
      <c r="J85" s="35" t="n">
        <f aca="false">Z23</f>
        <v>61</v>
      </c>
      <c r="L85" s="40" t="n">
        <f aca="false">D23</f>
        <v>2470</v>
      </c>
      <c r="M85" s="41" t="n">
        <f aca="false" t="array" ref="M85:M88">L85:L88-MMULT(H85:J88,T85:T87)</f>
        <v>869.88</v>
      </c>
      <c r="O85" s="42" t="n">
        <f aca="false" t="array" ref="O85:O88">MMULT(C91:F94,M85:M88)</f>
        <v>0.895308345564174</v>
      </c>
      <c r="P85" s="43" t="n">
        <f aca="false">C40</f>
        <v>0.895308</v>
      </c>
      <c r="Q85" s="44" t="n">
        <f aca="false">O85-P85</f>
        <v>3.45564173720447E-007</v>
      </c>
      <c r="S85" s="4" t="s">
        <v>52</v>
      </c>
      <c r="T85" s="35" t="n">
        <f aca="false">N35</f>
        <v>0.93</v>
      </c>
    </row>
    <row r="86" customFormat="false" ht="15" hidden="false" customHeight="false" outlineLevel="0" collapsed="false">
      <c r="B86" s="5" t="s">
        <v>328</v>
      </c>
      <c r="C86" s="35" t="n">
        <f aca="false">K26</f>
        <v>0.66</v>
      </c>
      <c r="D86" s="35" t="n">
        <f aca="false">L26</f>
        <v>1.51</v>
      </c>
      <c r="E86" s="35" t="n">
        <f aca="false">X26</f>
        <v>15.95</v>
      </c>
      <c r="F86" s="35" t="n">
        <f aca="false">AE26</f>
        <v>0.15</v>
      </c>
      <c r="H86" s="35" t="n">
        <f aca="false">N26</f>
        <v>0.98</v>
      </c>
      <c r="I86" s="35" t="n">
        <f aca="false">O26</f>
        <v>1.23</v>
      </c>
      <c r="J86" s="35" t="n">
        <f aca="false">Z26</f>
        <v>3.25</v>
      </c>
      <c r="L86" s="40" t="n">
        <f aca="false">D26</f>
        <v>57.7777777777778</v>
      </c>
      <c r="M86" s="41" t="n">
        <v>22.7847777777778</v>
      </c>
      <c r="O86" s="42" t="n">
        <v>0.523443129307628</v>
      </c>
      <c r="P86" s="43" t="n">
        <f aca="false">C41</f>
        <v>0.523443</v>
      </c>
      <c r="Q86" s="44" t="n">
        <f aca="false">O86-P86</f>
        <v>1.29307627938502E-007</v>
      </c>
      <c r="S86" s="4" t="s">
        <v>58</v>
      </c>
      <c r="T86" s="35" t="n">
        <f aca="false">O35</f>
        <v>1.92</v>
      </c>
    </row>
    <row r="87" customFormat="false" ht="15" hidden="false" customHeight="false" outlineLevel="0" collapsed="false">
      <c r="B87" s="5" t="s">
        <v>329</v>
      </c>
      <c r="C87" s="35" t="n">
        <f aca="false">K27</f>
        <v>1.3</v>
      </c>
      <c r="D87" s="35" t="n">
        <f aca="false">L27</f>
        <v>3.2</v>
      </c>
      <c r="E87" s="35" t="n">
        <f aca="false">X27</f>
        <v>0</v>
      </c>
      <c r="F87" s="35" t="n">
        <f aca="false">AE27</f>
        <v>2.2</v>
      </c>
      <c r="H87" s="35" t="n">
        <f aca="false">N27</f>
        <v>2.7</v>
      </c>
      <c r="I87" s="35" t="n">
        <f aca="false">O27</f>
        <v>15.5</v>
      </c>
      <c r="J87" s="35" t="n">
        <f aca="false">Z27</f>
        <v>0</v>
      </c>
      <c r="L87" s="40" t="n">
        <f aca="false">D27</f>
        <v>38</v>
      </c>
      <c r="M87" s="41" t="n">
        <v>5.729</v>
      </c>
      <c r="O87" s="42" t="n">
        <v>1.32955637353219</v>
      </c>
      <c r="P87" s="43" t="n">
        <f aca="false">C53</f>
        <v>1.329556</v>
      </c>
      <c r="Q87" s="44" t="n">
        <f aca="false">O87-P87</f>
        <v>3.73532193620463E-007</v>
      </c>
      <c r="S87" s="4" t="s">
        <v>122</v>
      </c>
      <c r="T87" s="35" t="n">
        <f aca="false">Z35</f>
        <v>9.76</v>
      </c>
    </row>
    <row r="88" customFormat="false" ht="15" hidden="false" customHeight="false" outlineLevel="0" collapsed="false">
      <c r="B88" s="5" t="s">
        <v>330</v>
      </c>
      <c r="C88" s="35" t="n">
        <f aca="false">K33</f>
        <v>0</v>
      </c>
      <c r="D88" s="35" t="n">
        <f aca="false">L33</f>
        <v>0</v>
      </c>
      <c r="E88" s="35" t="n">
        <f aca="false">X33</f>
        <v>0.2</v>
      </c>
      <c r="F88" s="35" t="n">
        <f aca="false">AE33</f>
        <v>59.1</v>
      </c>
      <c r="H88" s="35" t="n">
        <f aca="false">N33</f>
        <v>0</v>
      </c>
      <c r="I88" s="35" t="n">
        <f aca="false">O33</f>
        <v>6.3</v>
      </c>
      <c r="J88" s="35" t="n">
        <f aca="false">Z33</f>
        <v>0</v>
      </c>
      <c r="L88" s="40" t="n">
        <f aca="false">D33</f>
        <v>90</v>
      </c>
      <c r="M88" s="41" t="n">
        <v>77.904</v>
      </c>
      <c r="O88" s="42" t="n">
        <v>1.3136732440828</v>
      </c>
      <c r="P88" s="43" t="n">
        <f aca="false">C60</f>
        <v>1.313673</v>
      </c>
      <c r="Q88" s="44" t="n">
        <f aca="false">O88-P88</f>
        <v>2.44082801303946E-007</v>
      </c>
    </row>
    <row r="90" customFormat="false" ht="15" hidden="false" customHeight="false" outlineLevel="0" collapsed="false">
      <c r="B90" s="18" t="s">
        <v>331</v>
      </c>
      <c r="H90" s="18" t="s">
        <v>332</v>
      </c>
    </row>
    <row r="91" customFormat="false" ht="15" hidden="false" customHeight="false" outlineLevel="0" collapsed="false">
      <c r="B91" s="4" t="str">
        <f aca="false">B85</f>
        <v>Calories ≥ min</v>
      </c>
      <c r="C91" s="45" t="n">
        <f aca="false" t="array" ref="C91:F94">MINVERSE(C85:F88)</f>
        <v>0.00468045138664009</v>
      </c>
      <c r="D91" s="45" t="n">
        <v>-0.0629900390544444</v>
      </c>
      <c r="E91" s="45" t="n">
        <v>-0.51291640795977</v>
      </c>
      <c r="F91" s="45" t="n">
        <v>0.0153726308870439</v>
      </c>
      <c r="H91" s="26" t="n">
        <f aca="false">MDETERM(C85:F88)</f>
        <v>-644602.8707</v>
      </c>
      <c r="L91" s="18" t="s">
        <v>333</v>
      </c>
      <c r="M91" s="18" t="str">
        <f aca="false">IF(MAX(Q85:Q88)-MIN(Q85:Q88)&lt;0.000001,"x_B = B⁻¹r matches the Simplex x*","MISMATCH — re-derive tight set")</f>
        <v>x_B = B⁻¹r matches the Simplex x*</v>
      </c>
    </row>
    <row r="92" customFormat="false" ht="15" hidden="false" customHeight="false" outlineLevel="0" collapsed="false">
      <c r="B92" s="4" t="str">
        <f aca="false">B86</f>
        <v>Fat ≥ min</v>
      </c>
      <c r="C92" s="45" t="n">
        <v>-0.00190146515895744</v>
      </c>
      <c r="D92" s="45" t="n">
        <v>0.0257359697793229</v>
      </c>
      <c r="E92" s="45" t="n">
        <v>0.520806956127011</v>
      </c>
      <c r="F92" s="45" t="n">
        <v>-0.0178758698165382</v>
      </c>
      <c r="H92" s="2" t="str">
        <f aca="false">IF(ABS(H91)&gt;0.000001,"det ≠ 0 → B is invertible, unique solution","det = 0 → singular")</f>
        <v>det ≠ 0 → B is invertible, unique solution</v>
      </c>
    </row>
    <row r="93" customFormat="false" ht="15" hidden="false" customHeight="false" outlineLevel="0" collapsed="false">
      <c r="B93" s="4" t="str">
        <f aca="false">B87</f>
        <v>Fiber ≥ min</v>
      </c>
      <c r="C93" s="45" t="n">
        <v>-1.36609692576102E-005</v>
      </c>
      <c r="D93" s="45" t="n">
        <v>0.0628679638922371</v>
      </c>
      <c r="E93" s="45" t="n">
        <v>-0.0280820018383452</v>
      </c>
      <c r="F93" s="45" t="n">
        <v>0.000897116699731756</v>
      </c>
    </row>
    <row r="94" customFormat="false" ht="15" hidden="false" customHeight="false" outlineLevel="0" collapsed="false">
      <c r="B94" s="4" t="str">
        <f aca="false">B88</f>
        <v>Vitamin C ≥ min</v>
      </c>
      <c r="C94" s="45" t="n">
        <v>4.62300144081564E-008</v>
      </c>
      <c r="D94" s="45" t="n">
        <v>-0.000212751146843442</v>
      </c>
      <c r="E94" s="45" t="n">
        <v>9.50321551213036E-005</v>
      </c>
      <c r="F94" s="45" t="n">
        <v>0.0169174378453478</v>
      </c>
    </row>
    <row r="96" customFormat="false" ht="15" hidden="false" customHeight="false" outlineLevel="0" collapsed="false">
      <c r="A96" s="19" t="s">
        <v>334</v>
      </c>
    </row>
    <row r="97" customFormat="false" ht="23.85" hidden="false" customHeight="false" outlineLevel="0" collapsed="false">
      <c r="B97" s="3" t="s">
        <v>335</v>
      </c>
      <c r="C97" s="3" t="s">
        <v>327</v>
      </c>
      <c r="D97" s="3" t="s">
        <v>328</v>
      </c>
      <c r="E97" s="3" t="s">
        <v>329</v>
      </c>
      <c r="F97" s="3" t="s">
        <v>330</v>
      </c>
    </row>
    <row r="98" customFormat="false" ht="15" hidden="false" customHeight="false" outlineLevel="0" collapsed="false">
      <c r="B98" s="5" t="s">
        <v>336</v>
      </c>
      <c r="C98" s="46" t="n">
        <f aca="false">K34</f>
        <v>0.24647266313933</v>
      </c>
      <c r="D98" s="46" t="n">
        <f aca="false">L34</f>
        <v>0.303130511463845</v>
      </c>
      <c r="E98" s="46" t="n">
        <f aca="false">X34</f>
        <v>0.52517455485492</v>
      </c>
      <c r="F98" s="46" t="n">
        <f aca="false">AE34</f>
        <v>0.558603070857973</v>
      </c>
    </row>
    <row r="99" customFormat="false" ht="15" hidden="false" customHeight="false" outlineLevel="0" collapsed="false">
      <c r="B99" s="5" t="s">
        <v>337</v>
      </c>
      <c r="C99" s="47" t="n">
        <f aca="false" t="array" ref="C99:F99">MMULT(C98:F98,C91:F94)</f>
        <v>0.000570062642573164</v>
      </c>
      <c r="D99" s="47" t="n">
        <v>0.0251738465130104</v>
      </c>
      <c r="E99" s="47" t="n">
        <v>0.0167577383857985</v>
      </c>
      <c r="F99" s="47" t="n">
        <v>0.008291487308734</v>
      </c>
    </row>
    <row r="100" customFormat="false" ht="15" hidden="false" customHeight="false" outlineLevel="0" collapsed="false">
      <c r="B100" s="5" t="s">
        <v>338</v>
      </c>
      <c r="C100" s="4" t="str">
        <f aca="false">TEXT(C99*100,"$0.000")&amp;" per +100 kcal"</f>
        <v>$0.057 per +100 kcal</v>
      </c>
      <c r="D100" s="4" t="str">
        <f aca="false">TEXT(D99*10,"$0.000")&amp;" per +10 g fat"</f>
        <v>$0.252 per +10 g fat</v>
      </c>
      <c r="E100" s="4" t="str">
        <f aca="false">TEXT(E99*10,"$0.000")&amp;" per +10 g fiber"</f>
        <v>$0.168 per +10 g fiber</v>
      </c>
      <c r="F100" s="4" t="str">
        <f aca="false">TEXT(F99*10,"$0.000")&amp;" per +10 mg vit C"</f>
        <v>$0.083 per +10 mg vit C</v>
      </c>
    </row>
    <row r="101" customFormat="false" ht="15" hidden="false" customHeight="false" outlineLevel="0" collapsed="false">
      <c r="B101" s="2" t="s">
        <v>339</v>
      </c>
    </row>
    <row r="103" customFormat="false" ht="15" hidden="false" customHeight="false" outlineLevel="0" collapsed="false">
      <c r="A103" s="19" t="s">
        <v>340</v>
      </c>
      <c r="B103" s="48"/>
    </row>
    <row r="104" customFormat="false" ht="66" hidden="false" customHeight="true" outlineLevel="0" collapsed="false">
      <c r="B104" s="18" t="s">
        <v>341</v>
      </c>
      <c r="K104" s="23" t="str">
        <f aca="false">K22</f>
        <v>White rice (dry)</v>
      </c>
      <c r="L104" s="23" t="str">
        <f aca="false">L22</f>
        <v>Spaghetti / macaroni (dry)</v>
      </c>
      <c r="M104" s="23" t="str">
        <f aca="false">M22</f>
        <v>White bread</v>
      </c>
      <c r="N104" s="23" t="str">
        <f aca="false">N22</f>
        <v>All-purpose flour</v>
      </c>
      <c r="O104" s="23" t="str">
        <f aca="false">O22</f>
        <v>Dried pinto beans</v>
      </c>
      <c r="P104" s="23" t="str">
        <f aca="false">P22</f>
        <v>Ground beef (regular)</v>
      </c>
      <c r="Q104" s="23" t="str">
        <f aca="false">Q22</f>
        <v>Ground beef (lean)</v>
      </c>
      <c r="R104" s="23" t="str">
        <f aca="false">R22</f>
        <v>Sirloin steak</v>
      </c>
      <c r="S104" s="23" t="str">
        <f aca="false">S22</f>
        <v>Bacon</v>
      </c>
      <c r="T104" s="23" t="str">
        <f aca="false">T22</f>
        <v>Pork chops (boneless)</v>
      </c>
      <c r="U104" s="23" t="str">
        <f aca="false">U22</f>
        <v>Ham (boneless)</v>
      </c>
      <c r="V104" s="23" t="str">
        <f aca="false">V22</f>
        <v>Whole chicken</v>
      </c>
      <c r="W104" s="23" t="str">
        <f aca="false">W22</f>
        <v>Chicken breast (boneless)</v>
      </c>
      <c r="X104" s="23" t="str">
        <f aca="false">X22</f>
        <v>Chicken legs (bone-in)</v>
      </c>
      <c r="Y104" s="23" t="str">
        <f aca="false">Y22</f>
        <v>Eggs (large)</v>
      </c>
      <c r="Z104" s="23" t="str">
        <f aca="false">Z22</f>
        <v>Whole milk</v>
      </c>
      <c r="AA104" s="23" t="str">
        <f aca="false">AA22</f>
        <v>Cheddar cheese</v>
      </c>
      <c r="AB104" s="23" t="str">
        <f aca="false">AB22</f>
        <v>American cheese</v>
      </c>
      <c r="AC104" s="23" t="str">
        <f aca="false">AC22</f>
        <v>Vanilla ice cream</v>
      </c>
      <c r="AD104" s="23" t="str">
        <f aca="false">AD22</f>
        <v>Bananas</v>
      </c>
      <c r="AE104" s="23" t="str">
        <f aca="false">AE22</f>
        <v>Navel oranges</v>
      </c>
      <c r="AF104" s="23" t="str">
        <f aca="false">AF22</f>
        <v>Strawberries</v>
      </c>
      <c r="AG104" s="23" t="str">
        <f aca="false">AG22</f>
        <v>White potatoes</v>
      </c>
      <c r="AH104" s="23" t="str">
        <f aca="false">AH22</f>
        <v>Iceberg lettuce</v>
      </c>
      <c r="AI104" s="23" t="str">
        <f aca="false">AI22</f>
        <v>Romaine lettuce</v>
      </c>
      <c r="AJ104" s="23" t="str">
        <f aca="false">AJ22</f>
        <v>Tomatoes</v>
      </c>
      <c r="AK104" s="23" t="str">
        <f aca="false">AK22</f>
        <v>White sugar</v>
      </c>
      <c r="AL104" s="23" t="str">
        <f aca="false">AL22</f>
        <v>Chocolate chip cookies</v>
      </c>
      <c r="AM104" s="23" t="str">
        <f aca="false">AM22</f>
        <v>Potato chips</v>
      </c>
      <c r="AN104" s="23" t="str">
        <f aca="false">AN22</f>
        <v>Peanut butter</v>
      </c>
      <c r="AO104" s="23" t="str">
        <f aca="false">AO22</f>
        <v>Rolled oats (dry)</v>
      </c>
      <c r="AP104" s="23" t="str">
        <f aca="false">AP22</f>
        <v>Broccoli</v>
      </c>
      <c r="AQ104" s="23" t="str">
        <f aca="false">AQ22</f>
        <v>Carrots</v>
      </c>
      <c r="AR104" s="23" t="str">
        <f aca="false">AR22</f>
        <v>Apples</v>
      </c>
      <c r="AS104" s="23" t="str">
        <f aca="false">AS22</f>
        <v>Canned light tuna (drained)</v>
      </c>
      <c r="AT104" s="23" t="str">
        <f aca="false">AT22</f>
        <v>Butter (salted)</v>
      </c>
    </row>
    <row r="105" customFormat="false" ht="15" hidden="false" customHeight="false" outlineLevel="0" collapsed="false">
      <c r="B105" s="4" t="s">
        <v>327</v>
      </c>
      <c r="K105" s="37" t="n">
        <f aca="false">K23</f>
        <v>365</v>
      </c>
      <c r="L105" s="37" t="n">
        <f aca="false">L23</f>
        <v>371</v>
      </c>
      <c r="M105" s="37" t="n">
        <f aca="false">M23</f>
        <v>266</v>
      </c>
      <c r="N105" s="37" t="n">
        <f aca="false">N23</f>
        <v>364</v>
      </c>
      <c r="O105" s="37" t="n">
        <f aca="false">O23</f>
        <v>347</v>
      </c>
      <c r="P105" s="37" t="n">
        <f aca="false">P23</f>
        <v>254</v>
      </c>
      <c r="Q105" s="37" t="n">
        <f aca="false">Q23</f>
        <v>176</v>
      </c>
      <c r="R105" s="37" t="n">
        <f aca="false">R23</f>
        <v>214</v>
      </c>
      <c r="S105" s="37" t="n">
        <f aca="false">S23</f>
        <v>417</v>
      </c>
      <c r="T105" s="37" t="n">
        <f aca="false">T23</f>
        <v>201</v>
      </c>
      <c r="U105" s="37" t="n">
        <f aca="false">U23</f>
        <v>163</v>
      </c>
      <c r="V105" s="37" t="n">
        <f aca="false">V23</f>
        <v>215</v>
      </c>
      <c r="W105" s="37" t="n">
        <f aca="false">W23</f>
        <v>120</v>
      </c>
      <c r="X105" s="37" t="n">
        <f aca="false">X23</f>
        <v>214</v>
      </c>
      <c r="Y105" s="37" t="n">
        <f aca="false">Y23</f>
        <v>143</v>
      </c>
      <c r="Z105" s="37" t="n">
        <f aca="false">Z23</f>
        <v>61</v>
      </c>
      <c r="AA105" s="37" t="n">
        <f aca="false">AA23</f>
        <v>404</v>
      </c>
      <c r="AB105" s="37" t="n">
        <f aca="false">AB23</f>
        <v>366</v>
      </c>
      <c r="AC105" s="37" t="n">
        <f aca="false">AC23</f>
        <v>207</v>
      </c>
      <c r="AD105" s="37" t="n">
        <f aca="false">AD23</f>
        <v>89</v>
      </c>
      <c r="AE105" s="37" t="n">
        <f aca="false">AE23</f>
        <v>49</v>
      </c>
      <c r="AF105" s="37" t="n">
        <f aca="false">AF23</f>
        <v>32</v>
      </c>
      <c r="AG105" s="37" t="n">
        <f aca="false">AG23</f>
        <v>77</v>
      </c>
      <c r="AH105" s="37" t="n">
        <f aca="false">AH23</f>
        <v>14</v>
      </c>
      <c r="AI105" s="37" t="n">
        <f aca="false">AI23</f>
        <v>17</v>
      </c>
      <c r="AJ105" s="37" t="n">
        <f aca="false">AJ23</f>
        <v>18</v>
      </c>
      <c r="AK105" s="37" t="n">
        <f aca="false">AK23</f>
        <v>387</v>
      </c>
      <c r="AL105" s="37" t="n">
        <f aca="false">AL23</f>
        <v>492</v>
      </c>
      <c r="AM105" s="37" t="n">
        <f aca="false">AM23</f>
        <v>532</v>
      </c>
      <c r="AN105" s="37" t="n">
        <f aca="false">AN23</f>
        <v>598</v>
      </c>
      <c r="AO105" s="37" t="n">
        <f aca="false">AO23</f>
        <v>379</v>
      </c>
      <c r="AP105" s="37" t="n">
        <f aca="false">AP23</f>
        <v>34</v>
      </c>
      <c r="AQ105" s="37" t="n">
        <f aca="false">AQ23</f>
        <v>41</v>
      </c>
      <c r="AR105" s="37" t="n">
        <f aca="false">AR23</f>
        <v>52</v>
      </c>
      <c r="AS105" s="37" t="n">
        <f aca="false">AS23</f>
        <v>86</v>
      </c>
      <c r="AT105" s="37" t="n">
        <f aca="false">AT23</f>
        <v>717</v>
      </c>
    </row>
    <row r="106" customFormat="false" ht="15" hidden="false" customHeight="false" outlineLevel="0" collapsed="false">
      <c r="B106" s="4" t="s">
        <v>328</v>
      </c>
      <c r="K106" s="37" t="n">
        <f aca="false">K26</f>
        <v>0.66</v>
      </c>
      <c r="L106" s="37" t="n">
        <f aca="false">L26</f>
        <v>1.51</v>
      </c>
      <c r="M106" s="37" t="n">
        <f aca="false">M26</f>
        <v>3.33</v>
      </c>
      <c r="N106" s="37" t="n">
        <f aca="false">N26</f>
        <v>0.98</v>
      </c>
      <c r="O106" s="37" t="n">
        <f aca="false">O26</f>
        <v>1.23</v>
      </c>
      <c r="P106" s="37" t="n">
        <f aca="false">P26</f>
        <v>20</v>
      </c>
      <c r="Q106" s="37" t="n">
        <f aca="false">Q26</f>
        <v>10</v>
      </c>
      <c r="R106" s="37" t="n">
        <f aca="false">R26</f>
        <v>14.28</v>
      </c>
      <c r="S106" s="37" t="n">
        <f aca="false">S26</f>
        <v>39.69</v>
      </c>
      <c r="T106" s="37" t="n">
        <f aca="false">T26</f>
        <v>12.96</v>
      </c>
      <c r="U106" s="37" t="n">
        <f aca="false">U26</f>
        <v>8.6</v>
      </c>
      <c r="V106" s="37" t="n">
        <f aca="false">V26</f>
        <v>15.06</v>
      </c>
      <c r="W106" s="37" t="n">
        <f aca="false">W26</f>
        <v>2.62</v>
      </c>
      <c r="X106" s="37" t="n">
        <f aca="false">X26</f>
        <v>15.95</v>
      </c>
      <c r="Y106" s="37" t="n">
        <f aca="false">Y26</f>
        <v>9.51</v>
      </c>
      <c r="Z106" s="37" t="n">
        <f aca="false">Z26</f>
        <v>3.25</v>
      </c>
      <c r="AA106" s="37" t="n">
        <f aca="false">AA26</f>
        <v>33.31</v>
      </c>
      <c r="AB106" s="37" t="n">
        <f aca="false">AB26</f>
        <v>30.71</v>
      </c>
      <c r="AC106" s="37" t="n">
        <f aca="false">AC26</f>
        <v>11</v>
      </c>
      <c r="AD106" s="37" t="n">
        <f aca="false">AD26</f>
        <v>0.33</v>
      </c>
      <c r="AE106" s="37" t="n">
        <f aca="false">AE26</f>
        <v>0.15</v>
      </c>
      <c r="AF106" s="37" t="n">
        <f aca="false">AF26</f>
        <v>0.3</v>
      </c>
      <c r="AG106" s="37" t="n">
        <f aca="false">AG26</f>
        <v>0.09</v>
      </c>
      <c r="AH106" s="37" t="n">
        <f aca="false">AH26</f>
        <v>0.14</v>
      </c>
      <c r="AI106" s="37" t="n">
        <f aca="false">AI26</f>
        <v>0.3</v>
      </c>
      <c r="AJ106" s="37" t="n">
        <f aca="false">AJ26</f>
        <v>0.2</v>
      </c>
      <c r="AK106" s="37" t="n">
        <f aca="false">AK26</f>
        <v>0</v>
      </c>
      <c r="AL106" s="37" t="n">
        <f aca="false">AL26</f>
        <v>24.72</v>
      </c>
      <c r="AM106" s="37" t="n">
        <f aca="false">AM26</f>
        <v>33.98</v>
      </c>
      <c r="AN106" s="37" t="n">
        <f aca="false">AN26</f>
        <v>51.36</v>
      </c>
      <c r="AO106" s="37" t="n">
        <f aca="false">AO26</f>
        <v>6.52</v>
      </c>
      <c r="AP106" s="37" t="n">
        <f aca="false">AP26</f>
        <v>0.37</v>
      </c>
      <c r="AQ106" s="37" t="n">
        <f aca="false">AQ26</f>
        <v>0.24</v>
      </c>
      <c r="AR106" s="37" t="n">
        <f aca="false">AR26</f>
        <v>0.17</v>
      </c>
      <c r="AS106" s="37" t="n">
        <f aca="false">AS26</f>
        <v>0.96</v>
      </c>
      <c r="AT106" s="37" t="n">
        <f aca="false">AT26</f>
        <v>81.11</v>
      </c>
    </row>
    <row r="107" customFormat="false" ht="15" hidden="false" customHeight="false" outlineLevel="0" collapsed="false">
      <c r="B107" s="4" t="s">
        <v>329</v>
      </c>
      <c r="K107" s="37" t="n">
        <f aca="false">K27</f>
        <v>1.3</v>
      </c>
      <c r="L107" s="37" t="n">
        <f aca="false">L27</f>
        <v>3.2</v>
      </c>
      <c r="M107" s="37" t="n">
        <f aca="false">M27</f>
        <v>2.7</v>
      </c>
      <c r="N107" s="37" t="n">
        <f aca="false">N27</f>
        <v>2.7</v>
      </c>
      <c r="O107" s="37" t="n">
        <f aca="false">O27</f>
        <v>15.5</v>
      </c>
      <c r="P107" s="37" t="n">
        <f aca="false">P27</f>
        <v>0</v>
      </c>
      <c r="Q107" s="37" t="n">
        <f aca="false">Q27</f>
        <v>0</v>
      </c>
      <c r="R107" s="37" t="n">
        <f aca="false">R27</f>
        <v>0</v>
      </c>
      <c r="S107" s="37" t="n">
        <f aca="false">S27</f>
        <v>0</v>
      </c>
      <c r="T107" s="37" t="n">
        <f aca="false">T27</f>
        <v>0</v>
      </c>
      <c r="U107" s="37" t="n">
        <f aca="false">U27</f>
        <v>1.3</v>
      </c>
      <c r="V107" s="37" t="n">
        <f aca="false">V27</f>
        <v>0</v>
      </c>
      <c r="W107" s="37" t="n">
        <f aca="false">W27</f>
        <v>0</v>
      </c>
      <c r="X107" s="37" t="n">
        <f aca="false">X27</f>
        <v>0</v>
      </c>
      <c r="Y107" s="37" t="n">
        <f aca="false">Y27</f>
        <v>0</v>
      </c>
      <c r="Z107" s="37" t="n">
        <f aca="false">Z27</f>
        <v>0</v>
      </c>
      <c r="AA107" s="37" t="n">
        <f aca="false">AA27</f>
        <v>0</v>
      </c>
      <c r="AB107" s="37" t="n">
        <f aca="false">AB27</f>
        <v>0</v>
      </c>
      <c r="AC107" s="37" t="n">
        <f aca="false">AC27</f>
        <v>0.7</v>
      </c>
      <c r="AD107" s="37" t="n">
        <f aca="false">AD27</f>
        <v>2.6</v>
      </c>
      <c r="AE107" s="37" t="n">
        <f aca="false">AE27</f>
        <v>2.2</v>
      </c>
      <c r="AF107" s="37" t="n">
        <f aca="false">AF27</f>
        <v>2</v>
      </c>
      <c r="AG107" s="37" t="n">
        <f aca="false">AG27</f>
        <v>2.1</v>
      </c>
      <c r="AH107" s="37" t="n">
        <f aca="false">AH27</f>
        <v>1.2</v>
      </c>
      <c r="AI107" s="37" t="n">
        <f aca="false">AI27</f>
        <v>2.1</v>
      </c>
      <c r="AJ107" s="37" t="n">
        <f aca="false">AJ27</f>
        <v>1.2</v>
      </c>
      <c r="AK107" s="37" t="n">
        <f aca="false">AK27</f>
        <v>0</v>
      </c>
      <c r="AL107" s="37" t="n">
        <f aca="false">AL27</f>
        <v>2</v>
      </c>
      <c r="AM107" s="37" t="n">
        <f aca="false">AM27</f>
        <v>3.1</v>
      </c>
      <c r="AN107" s="37" t="n">
        <f aca="false">AN27</f>
        <v>5</v>
      </c>
      <c r="AO107" s="37" t="n">
        <f aca="false">AO27</f>
        <v>10.1</v>
      </c>
      <c r="AP107" s="37" t="n">
        <f aca="false">AP27</f>
        <v>2.6</v>
      </c>
      <c r="AQ107" s="37" t="n">
        <f aca="false">AQ27</f>
        <v>2.8</v>
      </c>
      <c r="AR107" s="37" t="n">
        <f aca="false">AR27</f>
        <v>2.4</v>
      </c>
      <c r="AS107" s="37" t="n">
        <f aca="false">AS27</f>
        <v>0</v>
      </c>
      <c r="AT107" s="37" t="n">
        <f aca="false">AT27</f>
        <v>0</v>
      </c>
    </row>
    <row r="108" customFormat="false" ht="15" hidden="false" customHeight="false" outlineLevel="0" collapsed="false">
      <c r="B108" s="4" t="s">
        <v>330</v>
      </c>
      <c r="K108" s="37" t="n">
        <f aca="false">K33</f>
        <v>0</v>
      </c>
      <c r="L108" s="37" t="n">
        <f aca="false">L33</f>
        <v>0</v>
      </c>
      <c r="M108" s="37" t="n">
        <f aca="false">M33</f>
        <v>0</v>
      </c>
      <c r="N108" s="37" t="n">
        <f aca="false">N33</f>
        <v>0</v>
      </c>
      <c r="O108" s="37" t="n">
        <f aca="false">O33</f>
        <v>6.3</v>
      </c>
      <c r="P108" s="37" t="n">
        <f aca="false">P33</f>
        <v>0</v>
      </c>
      <c r="Q108" s="37" t="n">
        <f aca="false">Q33</f>
        <v>0</v>
      </c>
      <c r="R108" s="37" t="n">
        <f aca="false">R33</f>
        <v>0</v>
      </c>
      <c r="S108" s="37" t="n">
        <f aca="false">S33</f>
        <v>0</v>
      </c>
      <c r="T108" s="37" t="n">
        <f aca="false">T33</f>
        <v>0</v>
      </c>
      <c r="U108" s="37" t="n">
        <f aca="false">U33</f>
        <v>4</v>
      </c>
      <c r="V108" s="37" t="n">
        <f aca="false">V33</f>
        <v>1.6</v>
      </c>
      <c r="W108" s="37" t="n">
        <f aca="false">W33</f>
        <v>0</v>
      </c>
      <c r="X108" s="37" t="n">
        <f aca="false">X33</f>
        <v>0.2</v>
      </c>
      <c r="Y108" s="37" t="n">
        <f aca="false">Y33</f>
        <v>0</v>
      </c>
      <c r="Z108" s="37" t="n">
        <f aca="false">Z33</f>
        <v>0</v>
      </c>
      <c r="AA108" s="37" t="n">
        <f aca="false">AA33</f>
        <v>0</v>
      </c>
      <c r="AB108" s="37" t="n">
        <f aca="false">AB33</f>
        <v>0</v>
      </c>
      <c r="AC108" s="37" t="n">
        <f aca="false">AC33</f>
        <v>0.6</v>
      </c>
      <c r="AD108" s="37" t="n">
        <f aca="false">AD33</f>
        <v>8.7</v>
      </c>
      <c r="AE108" s="37" t="n">
        <f aca="false">AE33</f>
        <v>59.1</v>
      </c>
      <c r="AF108" s="37" t="n">
        <f aca="false">AF33</f>
        <v>58.8</v>
      </c>
      <c r="AG108" s="37" t="n">
        <f aca="false">AG33</f>
        <v>19.7</v>
      </c>
      <c r="AH108" s="37" t="n">
        <f aca="false">AH33</f>
        <v>2.8</v>
      </c>
      <c r="AI108" s="37" t="n">
        <f aca="false">AI33</f>
        <v>4</v>
      </c>
      <c r="AJ108" s="37" t="n">
        <f aca="false">AJ33</f>
        <v>13.7</v>
      </c>
      <c r="AK108" s="37" t="n">
        <f aca="false">AK33</f>
        <v>0</v>
      </c>
      <c r="AL108" s="37" t="n">
        <f aca="false">AL33</f>
        <v>0</v>
      </c>
      <c r="AM108" s="37" t="n">
        <f aca="false">AM33</f>
        <v>21.6</v>
      </c>
      <c r="AN108" s="37" t="n">
        <f aca="false">AN33</f>
        <v>0</v>
      </c>
      <c r="AO108" s="37" t="n">
        <f aca="false">AO33</f>
        <v>0</v>
      </c>
      <c r="AP108" s="37" t="n">
        <f aca="false">AP33</f>
        <v>89.2</v>
      </c>
      <c r="AQ108" s="37" t="n">
        <f aca="false">AQ33</f>
        <v>5.9</v>
      </c>
      <c r="AR108" s="37" t="n">
        <f aca="false">AR33</f>
        <v>4.6</v>
      </c>
      <c r="AS108" s="37" t="n">
        <f aca="false">AS33</f>
        <v>0</v>
      </c>
      <c r="AT108" s="37" t="n">
        <f aca="false">AT33</f>
        <v>0</v>
      </c>
    </row>
    <row r="109" customFormat="false" ht="15" hidden="false" customHeight="false" outlineLevel="0" collapsed="false">
      <c r="B109" s="30" t="s">
        <v>342</v>
      </c>
      <c r="K109" s="49" t="n">
        <f aca="false" t="array" ref="K109:AT109">K34:AT34-MMULT(C99:F99,K105:AT108)</f>
        <v>0</v>
      </c>
      <c r="L109" s="49" t="n">
        <v>0</v>
      </c>
      <c r="M109" s="49" t="n">
        <v>0.122727687984711</v>
      </c>
      <c r="N109" s="49" t="n">
        <v>-0.15726915330446</v>
      </c>
      <c r="O109" s="49" t="n">
        <v>-0.172811556930132</v>
      </c>
      <c r="P109" s="49" t="n">
        <v>0.849081655880705</v>
      </c>
      <c r="Q109" s="49" t="n">
        <v>1.51323033341018</v>
      </c>
      <c r="R109" s="49" t="n">
        <v>2.72449144750867</v>
      </c>
      <c r="S109" s="49" t="n">
        <v>0.252551899363596</v>
      </c>
      <c r="T109" s="49" t="n">
        <v>0.562250777787265</v>
      </c>
      <c r="U109" s="49" t="n">
        <v>0.837132818277995</v>
      </c>
      <c r="V109" s="49" t="n">
        <v>0.154208575176351</v>
      </c>
      <c r="W109" s="49" t="n">
        <v>0.792224306614435</v>
      </c>
      <c r="X109" s="49" t="n">
        <v>0</v>
      </c>
      <c r="Y109" s="49" t="n">
        <v>0.0577444284399751</v>
      </c>
      <c r="Z109" s="49" t="n">
        <v>-0.011414642036378</v>
      </c>
      <c r="AA109" s="49" t="n">
        <v>0.283226175457708</v>
      </c>
      <c r="AB109" s="49" t="n">
        <v>0.0625804157158412</v>
      </c>
      <c r="AC109" s="49" t="n">
        <v>0.150027139361668</v>
      </c>
      <c r="AD109" s="49" t="n">
        <v>0.0512210137093173</v>
      </c>
      <c r="AE109" s="49" t="n">
        <v>0</v>
      </c>
      <c r="AF109" s="49" t="n">
        <v>0.341239269496131</v>
      </c>
      <c r="AG109" s="49" t="n">
        <v>0.0460173260103605</v>
      </c>
      <c r="AH109" s="49" t="n">
        <v>0.324822169757928</v>
      </c>
      <c r="AI109" s="49" t="n">
        <v>0.691164187829081</v>
      </c>
      <c r="AJ109" s="49" t="n">
        <v>0.333587637810378</v>
      </c>
      <c r="AK109" s="49" t="n">
        <v>0.00403302363811836</v>
      </c>
      <c r="AL109" s="49" t="n">
        <v>0.199518686416591</v>
      </c>
      <c r="AM109" s="49" t="n">
        <v>0.0802918914586563</v>
      </c>
      <c r="AN109" s="49" t="n">
        <v>-1.71761490909596</v>
      </c>
      <c r="AO109" s="49" t="n">
        <v>-0.549440378496622</v>
      </c>
      <c r="AP109" s="49" t="n">
        <v>-0.811867240799451</v>
      </c>
      <c r="AQ109" s="49" t="n">
        <v>-0.125255734110389</v>
      </c>
      <c r="AR109" s="49" t="n">
        <v>-0.112282225067109</v>
      </c>
      <c r="AS109" s="49" t="n">
        <v>-0.0731922799137821</v>
      </c>
      <c r="AT109" s="49" t="n">
        <v>-2.45058560539523</v>
      </c>
    </row>
    <row r="110" customFormat="false" ht="15" hidden="false" customHeight="false" outlineLevel="0" collapsed="false">
      <c r="B110" s="5" t="s">
        <v>343</v>
      </c>
      <c r="K110" s="27" t="str">
        <f aca="false">IF(K$35=0,"no price",IF(INDEX($C$40:$C$75,1)&lt;0.000001,IF(K109&gt;=-0.000001,"OK","FAIL"),IF(ABS(INDEX($C$40:$C$75,1)-K$35)&lt;0.000001,IF(K109&lt;=0.000001,"OK","FAIL"),IF(ABS(K109)&lt;0.000001,"OK","FAIL"))))</f>
        <v>OK</v>
      </c>
      <c r="L110" s="27" t="str">
        <f aca="false">IF(L$35=0,"no price",IF(INDEX($C$40:$C$75,2)&lt;0.000001,IF(L109&gt;=-0.000001,"OK","FAIL"),IF(ABS(INDEX($C$40:$C$75,2)-L$35)&lt;0.000001,IF(L109&lt;=0.000001,"OK","FAIL"),IF(ABS(L109)&lt;0.000001,"OK","FAIL"))))</f>
        <v>OK</v>
      </c>
      <c r="M110" s="27" t="str">
        <f aca="false">IF(M$35=0,"no price",IF(INDEX($C$40:$C$75,3)&lt;0.000001,IF(M109&gt;=-0.000001,"OK","FAIL"),IF(ABS(INDEX($C$40:$C$75,3)-M$35)&lt;0.000001,IF(M109&lt;=0.000001,"OK","FAIL"),IF(ABS(M109)&lt;0.000001,"OK","FAIL"))))</f>
        <v>OK</v>
      </c>
      <c r="N110" s="27" t="str">
        <f aca="false">IF(N$35=0,"no price",IF(INDEX($C$40:$C$75,4)&lt;0.000001,IF(N109&gt;=-0.000001,"OK","FAIL"),IF(ABS(INDEX($C$40:$C$75,4)-N$35)&lt;0.000001,IF(N109&lt;=0.000001,"OK","FAIL"),IF(ABS(N109)&lt;0.000001,"OK","FAIL"))))</f>
        <v>OK</v>
      </c>
      <c r="O110" s="27" t="str">
        <f aca="false">IF(O$35=0,"no price",IF(INDEX($C$40:$C$75,5)&lt;0.000001,IF(O109&gt;=-0.000001,"OK","FAIL"),IF(ABS(INDEX($C$40:$C$75,5)-O$35)&lt;0.000001,IF(O109&lt;=0.000001,"OK","FAIL"),IF(ABS(O109)&lt;0.000001,"OK","FAIL"))))</f>
        <v>OK</v>
      </c>
      <c r="P110" s="27" t="str">
        <f aca="false">IF(P$35=0,"no price",IF(INDEX($C$40:$C$75,6)&lt;0.000001,IF(P109&gt;=-0.000001,"OK","FAIL"),IF(ABS(INDEX($C$40:$C$75,6)-P$35)&lt;0.000001,IF(P109&lt;=0.000001,"OK","FAIL"),IF(ABS(P109)&lt;0.000001,"OK","FAIL"))))</f>
        <v>OK</v>
      </c>
      <c r="Q110" s="27" t="str">
        <f aca="false">IF(Q$35=0,"no price",IF(INDEX($C$40:$C$75,7)&lt;0.000001,IF(Q109&gt;=-0.000001,"OK","FAIL"),IF(ABS(INDEX($C$40:$C$75,7)-Q$35)&lt;0.000001,IF(Q109&lt;=0.000001,"OK","FAIL"),IF(ABS(Q109)&lt;0.000001,"OK","FAIL"))))</f>
        <v>OK</v>
      </c>
      <c r="R110" s="27" t="str">
        <f aca="false">IF(R$35=0,"no price",IF(INDEX($C$40:$C$75,8)&lt;0.000001,IF(R109&gt;=-0.000001,"OK","FAIL"),IF(ABS(INDEX($C$40:$C$75,8)-R$35)&lt;0.000001,IF(R109&lt;=0.000001,"OK","FAIL"),IF(ABS(R109)&lt;0.000001,"OK","FAIL"))))</f>
        <v>OK</v>
      </c>
      <c r="S110" s="27" t="str">
        <f aca="false">IF(S$35=0,"no price",IF(INDEX($C$40:$C$75,9)&lt;0.000001,IF(S109&gt;=-0.000001,"OK","FAIL"),IF(ABS(INDEX($C$40:$C$75,9)-S$35)&lt;0.000001,IF(S109&lt;=0.000001,"OK","FAIL"),IF(ABS(S109)&lt;0.000001,"OK","FAIL"))))</f>
        <v>OK</v>
      </c>
      <c r="T110" s="27" t="str">
        <f aca="false">IF(T$35=0,"no price",IF(INDEX($C$40:$C$75,10)&lt;0.000001,IF(T109&gt;=-0.000001,"OK","FAIL"),IF(ABS(INDEX($C$40:$C$75,10)-T$35)&lt;0.000001,IF(T109&lt;=0.000001,"OK","FAIL"),IF(ABS(T109)&lt;0.000001,"OK","FAIL"))))</f>
        <v>OK</v>
      </c>
      <c r="U110" s="27" t="str">
        <f aca="false">IF(U$35=0,"no price",IF(INDEX($C$40:$C$75,11)&lt;0.000001,IF(U109&gt;=-0.000001,"OK","FAIL"),IF(ABS(INDEX($C$40:$C$75,11)-U$35)&lt;0.000001,IF(U109&lt;=0.000001,"OK","FAIL"),IF(ABS(U109)&lt;0.000001,"OK","FAIL"))))</f>
        <v>OK</v>
      </c>
      <c r="V110" s="27" t="str">
        <f aca="false">IF(V$35=0,"no price",IF(INDEX($C$40:$C$75,12)&lt;0.000001,IF(V109&gt;=-0.000001,"OK","FAIL"),IF(ABS(INDEX($C$40:$C$75,12)-V$35)&lt;0.000001,IF(V109&lt;=0.000001,"OK","FAIL"),IF(ABS(V109)&lt;0.000001,"OK","FAIL"))))</f>
        <v>OK</v>
      </c>
      <c r="W110" s="27" t="str">
        <f aca="false">IF(W$35=0,"no price",IF(INDEX($C$40:$C$75,13)&lt;0.000001,IF(W109&gt;=-0.000001,"OK","FAIL"),IF(ABS(INDEX($C$40:$C$75,13)-W$35)&lt;0.000001,IF(W109&lt;=0.000001,"OK","FAIL"),IF(ABS(W109)&lt;0.000001,"OK","FAIL"))))</f>
        <v>OK</v>
      </c>
      <c r="X110" s="27" t="str">
        <f aca="false">IF(X$35=0,"no price",IF(INDEX($C$40:$C$75,14)&lt;0.000001,IF(X109&gt;=-0.000001,"OK","FAIL"),IF(ABS(INDEX($C$40:$C$75,14)-X$35)&lt;0.000001,IF(X109&lt;=0.000001,"OK","FAIL"),IF(ABS(X109)&lt;0.000001,"OK","FAIL"))))</f>
        <v>OK</v>
      </c>
      <c r="Y110" s="27" t="str">
        <f aca="false">IF(Y$35=0,"no price",IF(INDEX($C$40:$C$75,15)&lt;0.000001,IF(Y109&gt;=-0.000001,"OK","FAIL"),IF(ABS(INDEX($C$40:$C$75,15)-Y$35)&lt;0.000001,IF(Y109&lt;=0.000001,"OK","FAIL"),IF(ABS(Y109)&lt;0.000001,"OK","FAIL"))))</f>
        <v>OK</v>
      </c>
      <c r="Z110" s="27" t="str">
        <f aca="false">IF(Z$35=0,"no price",IF(INDEX($C$40:$C$75,16)&lt;0.000001,IF(Z109&gt;=-0.000001,"OK","FAIL"),IF(ABS(INDEX($C$40:$C$75,16)-Z$35)&lt;0.000001,IF(Z109&lt;=0.000001,"OK","FAIL"),IF(ABS(Z109)&lt;0.000001,"OK","FAIL"))))</f>
        <v>OK</v>
      </c>
      <c r="AA110" s="27" t="str">
        <f aca="false">IF(AA$35=0,"no price",IF(INDEX($C$40:$C$75,17)&lt;0.000001,IF(AA109&gt;=-0.000001,"OK","FAIL"),IF(ABS(INDEX($C$40:$C$75,17)-AA$35)&lt;0.000001,IF(AA109&lt;=0.000001,"OK","FAIL"),IF(ABS(AA109)&lt;0.000001,"OK","FAIL"))))</f>
        <v>OK</v>
      </c>
      <c r="AB110" s="27" t="str">
        <f aca="false">IF(AB$35=0,"no price",IF(INDEX($C$40:$C$75,18)&lt;0.000001,IF(AB109&gt;=-0.000001,"OK","FAIL"),IF(ABS(INDEX($C$40:$C$75,18)-AB$35)&lt;0.000001,IF(AB109&lt;=0.000001,"OK","FAIL"),IF(ABS(AB109)&lt;0.000001,"OK","FAIL"))))</f>
        <v>OK</v>
      </c>
      <c r="AC110" s="27" t="str">
        <f aca="false">IF(AC$35=0,"no price",IF(INDEX($C$40:$C$75,19)&lt;0.000001,IF(AC109&gt;=-0.000001,"OK","FAIL"),IF(ABS(INDEX($C$40:$C$75,19)-AC$35)&lt;0.000001,IF(AC109&lt;=0.000001,"OK","FAIL"),IF(ABS(AC109)&lt;0.000001,"OK","FAIL"))))</f>
        <v>OK</v>
      </c>
      <c r="AD110" s="27" t="str">
        <f aca="false">IF(AD$35=0,"no price",IF(INDEX($C$40:$C$75,20)&lt;0.000001,IF(AD109&gt;=-0.000001,"OK","FAIL"),IF(ABS(INDEX($C$40:$C$75,20)-AD$35)&lt;0.000001,IF(AD109&lt;=0.000001,"OK","FAIL"),IF(ABS(AD109)&lt;0.000001,"OK","FAIL"))))</f>
        <v>OK</v>
      </c>
      <c r="AE110" s="27" t="str">
        <f aca="false">IF(AE$35=0,"no price",IF(INDEX($C$40:$C$75,21)&lt;0.000001,IF(AE109&gt;=-0.000001,"OK","FAIL"),IF(ABS(INDEX($C$40:$C$75,21)-AE$35)&lt;0.000001,IF(AE109&lt;=0.000001,"OK","FAIL"),IF(ABS(AE109)&lt;0.000001,"OK","FAIL"))))</f>
        <v>OK</v>
      </c>
      <c r="AF110" s="27" t="str">
        <f aca="false">IF(AF$35=0,"no price",IF(INDEX($C$40:$C$75,22)&lt;0.000001,IF(AF109&gt;=-0.000001,"OK","FAIL"),IF(ABS(INDEX($C$40:$C$75,22)-AF$35)&lt;0.000001,IF(AF109&lt;=0.000001,"OK","FAIL"),IF(ABS(AF109)&lt;0.000001,"OK","FAIL"))))</f>
        <v>OK</v>
      </c>
      <c r="AG110" s="27" t="str">
        <f aca="false">IF(AG$35=0,"no price",IF(INDEX($C$40:$C$75,23)&lt;0.000001,IF(AG109&gt;=-0.000001,"OK","FAIL"),IF(ABS(INDEX($C$40:$C$75,23)-AG$35)&lt;0.000001,IF(AG109&lt;=0.000001,"OK","FAIL"),IF(ABS(AG109)&lt;0.000001,"OK","FAIL"))))</f>
        <v>OK</v>
      </c>
      <c r="AH110" s="27" t="str">
        <f aca="false">IF(AH$35=0,"no price",IF(INDEX($C$40:$C$75,24)&lt;0.000001,IF(AH109&gt;=-0.000001,"OK","FAIL"),IF(ABS(INDEX($C$40:$C$75,24)-AH$35)&lt;0.000001,IF(AH109&lt;=0.000001,"OK","FAIL"),IF(ABS(AH109)&lt;0.000001,"OK","FAIL"))))</f>
        <v>OK</v>
      </c>
      <c r="AI110" s="27" t="str">
        <f aca="false">IF(AI$35=0,"no price",IF(INDEX($C$40:$C$75,25)&lt;0.000001,IF(AI109&gt;=-0.000001,"OK","FAIL"),IF(ABS(INDEX($C$40:$C$75,25)-AI$35)&lt;0.000001,IF(AI109&lt;=0.000001,"OK","FAIL"),IF(ABS(AI109)&lt;0.000001,"OK","FAIL"))))</f>
        <v>OK</v>
      </c>
      <c r="AJ110" s="27" t="str">
        <f aca="false">IF(AJ$35=0,"no price",IF(INDEX($C$40:$C$75,26)&lt;0.000001,IF(AJ109&gt;=-0.000001,"OK","FAIL"),IF(ABS(INDEX($C$40:$C$75,26)-AJ$35)&lt;0.000001,IF(AJ109&lt;=0.000001,"OK","FAIL"),IF(ABS(AJ109)&lt;0.000001,"OK","FAIL"))))</f>
        <v>OK</v>
      </c>
      <c r="AK110" s="27" t="str">
        <f aca="false">IF(AK$35=0,"no price",IF(INDEX($C$40:$C$75,27)&lt;0.000001,IF(AK109&gt;=-0.000001,"OK","FAIL"),IF(ABS(INDEX($C$40:$C$75,27)-AK$35)&lt;0.000001,IF(AK109&lt;=0.000001,"OK","FAIL"),IF(ABS(AK109)&lt;0.000001,"OK","FAIL"))))</f>
        <v>OK</v>
      </c>
      <c r="AL110" s="27" t="str">
        <f aca="false">IF(AL$35=0,"no price",IF(INDEX($C$40:$C$75,28)&lt;0.000001,IF(AL109&gt;=-0.000001,"OK","FAIL"),IF(ABS(INDEX($C$40:$C$75,28)-AL$35)&lt;0.000001,IF(AL109&lt;=0.000001,"OK","FAIL"),IF(ABS(AL109)&lt;0.000001,"OK","FAIL"))))</f>
        <v>OK</v>
      </c>
      <c r="AM110" s="27" t="str">
        <f aca="false">IF(AM$35=0,"no price",IF(INDEX($C$40:$C$75,29)&lt;0.000001,IF(AM109&gt;=-0.000001,"OK","FAIL"),IF(ABS(INDEX($C$40:$C$75,29)-AM$35)&lt;0.000001,IF(AM109&lt;=0.000001,"OK","FAIL"),IF(ABS(AM109)&lt;0.000001,"OK","FAIL"))))</f>
        <v>OK</v>
      </c>
      <c r="AN110" s="27" t="str">
        <f aca="false">IF(AN$35=0,"no price",IF(INDEX($C$40:$C$75,30)&lt;0.000001,IF(AN109&gt;=-0.000001,"OK","FAIL"),IF(ABS(INDEX($C$40:$C$75,30)-AN$35)&lt;0.000001,IF(AN109&lt;=0.000001,"OK","FAIL"),IF(ABS(AN109)&lt;0.000001,"OK","FAIL"))))</f>
        <v>no price</v>
      </c>
      <c r="AO110" s="27" t="str">
        <f aca="false">IF(AO$35=0,"no price",IF(INDEX($C$40:$C$75,31)&lt;0.000001,IF(AO109&gt;=-0.000001,"OK","FAIL"),IF(ABS(INDEX($C$40:$C$75,31)-AO$35)&lt;0.000001,IF(AO109&lt;=0.000001,"OK","FAIL"),IF(ABS(AO109)&lt;0.000001,"OK","FAIL"))))</f>
        <v>no price</v>
      </c>
      <c r="AP110" s="27" t="str">
        <f aca="false">IF(AP$35=0,"no price",IF(INDEX($C$40:$C$75,32)&lt;0.000001,IF(AP109&gt;=-0.000001,"OK","FAIL"),IF(ABS(INDEX($C$40:$C$75,32)-AP$35)&lt;0.000001,IF(AP109&lt;=0.000001,"OK","FAIL"),IF(ABS(AP109)&lt;0.000001,"OK","FAIL"))))</f>
        <v>no price</v>
      </c>
      <c r="AQ110" s="27" t="str">
        <f aca="false">IF(AQ$35=0,"no price",IF(INDEX($C$40:$C$75,33)&lt;0.000001,IF(AQ109&gt;=-0.000001,"OK","FAIL"),IF(ABS(INDEX($C$40:$C$75,33)-AQ$35)&lt;0.000001,IF(AQ109&lt;=0.000001,"OK","FAIL"),IF(ABS(AQ109)&lt;0.000001,"OK","FAIL"))))</f>
        <v>no price</v>
      </c>
      <c r="AR110" s="27" t="str">
        <f aca="false">IF(AR$35=0,"no price",IF(INDEX($C$40:$C$75,34)&lt;0.000001,IF(AR109&gt;=-0.000001,"OK","FAIL"),IF(ABS(INDEX($C$40:$C$75,34)-AR$35)&lt;0.000001,IF(AR109&lt;=0.000001,"OK","FAIL"),IF(ABS(AR109)&lt;0.000001,"OK","FAIL"))))</f>
        <v>no price</v>
      </c>
      <c r="AS110" s="27" t="str">
        <f aca="false">IF(AS$35=0,"no price",IF(INDEX($C$40:$C$75,35)&lt;0.000001,IF(AS109&gt;=-0.000001,"OK","FAIL"),IF(ABS(INDEX($C$40:$C$75,35)-AS$35)&lt;0.000001,IF(AS109&lt;=0.000001,"OK","FAIL"),IF(ABS(AS109)&lt;0.000001,"OK","FAIL"))))</f>
        <v>no price</v>
      </c>
      <c r="AT110" s="27" t="str">
        <f aca="false">IF(AT$35=0,"no price",IF(INDEX($C$40:$C$75,36)&lt;0.000001,IF(AT109&gt;=-0.000001,"OK","FAIL"),IF(ABS(INDEX($C$40:$C$75,36)-AT$35)&lt;0.000001,IF(AT109&lt;=0.000001,"OK","FAIL"),IF(ABS(AT109)&lt;0.000001,"OK","FAIL"))))</f>
        <v>no price</v>
      </c>
    </row>
    <row r="111" customFormat="false" ht="15" hidden="false" customHeight="false" outlineLevel="0" collapsed="false">
      <c r="B111" s="30" t="s">
        <v>344</v>
      </c>
      <c r="C111" s="18" t="str">
        <f aca="false">IF(COUNTIF(K110:AT110,"FAIL")=0,"YES — no food can be added or swapped to lower the cost","NO — re-solve")</f>
        <v>YES — no food can be added or swapped to lower the cost</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0"/>
  </cols>
  <sheetData>
    <row r="1" customFormat="false" ht="15" hidden="false" customHeight="false" outlineLevel="0" collapsed="false">
      <c r="A1" s="50" t="s">
        <v>345</v>
      </c>
    </row>
    <row r="2" customFormat="false" ht="23.85" hidden="false" customHeight="false" outlineLevel="0" collapsed="false">
      <c r="A2" s="51" t="s">
        <v>346</v>
      </c>
    </row>
    <row r="3" customFormat="false" ht="15" hidden="false" customHeight="false" outlineLevel="0" collapsed="false">
      <c r="A3" s="51" t="s">
        <v>347</v>
      </c>
    </row>
    <row r="4" customFormat="false" ht="15" hidden="false" customHeight="false" outlineLevel="0" collapsed="false">
      <c r="A4" s="51" t="s">
        <v>348</v>
      </c>
    </row>
    <row r="5" customFormat="false" ht="15" hidden="false" customHeight="false" outlineLevel="0" collapsed="false">
      <c r="A5" s="51"/>
    </row>
    <row r="6" customFormat="false" ht="15" hidden="false" customHeight="false" outlineLevel="0" collapsed="false">
      <c r="A6" s="50" t="s">
        <v>349</v>
      </c>
    </row>
    <row r="7" customFormat="false" ht="15" hidden="false" customHeight="false" outlineLevel="0" collapsed="false">
      <c r="A7" s="51" t="s">
        <v>350</v>
      </c>
    </row>
    <row r="8" customFormat="false" ht="15" hidden="false" customHeight="false" outlineLevel="0" collapsed="false">
      <c r="A8" s="51" t="s">
        <v>351</v>
      </c>
    </row>
    <row r="9" customFormat="false" ht="15" hidden="false" customHeight="false" outlineLevel="0" collapsed="false">
      <c r="A9" s="51" t="s">
        <v>352</v>
      </c>
    </row>
    <row r="10" customFormat="false" ht="15" hidden="false" customHeight="false" outlineLevel="0" collapsed="false">
      <c r="A10" s="51"/>
    </row>
    <row r="11" customFormat="false" ht="15" hidden="false" customHeight="false" outlineLevel="0" collapsed="false">
      <c r="A11" s="50" t="s">
        <v>353</v>
      </c>
    </row>
    <row r="12" customFormat="false" ht="15" hidden="false" customHeight="false" outlineLevel="0" collapsed="false">
      <c r="A12" s="51" t="s">
        <v>354</v>
      </c>
    </row>
    <row r="13" customFormat="false" ht="23.85" hidden="false" customHeight="false" outlineLevel="0" collapsed="false">
      <c r="A13" s="51" t="s">
        <v>355</v>
      </c>
    </row>
    <row r="14" customFormat="false" ht="23.85" hidden="false" customHeight="false" outlineLevel="0" collapsed="false">
      <c r="A14" s="51" t="s">
        <v>356</v>
      </c>
    </row>
    <row r="15" customFormat="false" ht="23.85" hidden="false" customHeight="false" outlineLevel="0" collapsed="false">
      <c r="A15" s="51" t="s">
        <v>357</v>
      </c>
    </row>
    <row r="16" customFormat="false" ht="23.85" hidden="false" customHeight="false" outlineLevel="0" collapsed="false">
      <c r="A16" s="51" t="s">
        <v>358</v>
      </c>
    </row>
    <row r="17" customFormat="false" ht="23.85" hidden="false" customHeight="false" outlineLevel="0" collapsed="false">
      <c r="A17" s="51" t="s">
        <v>359</v>
      </c>
    </row>
    <row r="18" customFormat="false" ht="23.85" hidden="false" customHeight="false" outlineLevel="0" collapsed="false">
      <c r="A18" s="51" t="s">
        <v>360</v>
      </c>
    </row>
    <row r="19" customFormat="false" ht="15" hidden="false" customHeight="false" outlineLevel="0" collapsed="false">
      <c r="A19" s="51" t="s">
        <v>361</v>
      </c>
    </row>
    <row r="20" customFormat="false" ht="15" hidden="false" customHeight="false" outlineLevel="0" collapsed="false">
      <c r="A20" s="51"/>
    </row>
    <row r="21" customFormat="false" ht="15" hidden="false" customHeight="false" outlineLevel="0" collapsed="false">
      <c r="A21" s="50" t="s">
        <v>362</v>
      </c>
    </row>
    <row r="22" customFormat="false" ht="23.85" hidden="false" customHeight="false" outlineLevel="0" collapsed="false">
      <c r="A22" s="51" t="s">
        <v>363</v>
      </c>
    </row>
    <row r="23" customFormat="false" ht="23.85" hidden="false" customHeight="false" outlineLevel="0" collapsed="false">
      <c r="A23" s="51" t="s">
        <v>364</v>
      </c>
    </row>
    <row r="24" customFormat="false" ht="15" hidden="false" customHeight="false" outlineLevel="0" collapsed="false">
      <c r="A24" s="51" t="s">
        <v>365</v>
      </c>
    </row>
    <row r="25" customFormat="false" ht="23.85" hidden="false" customHeight="false" outlineLevel="0" collapsed="false">
      <c r="A25" s="51" t="s">
        <v>366</v>
      </c>
    </row>
    <row r="26" customFormat="false" ht="23.85" hidden="false" customHeight="false" outlineLevel="0" collapsed="false">
      <c r="A26" s="51" t="s">
        <v>367</v>
      </c>
    </row>
    <row r="27" customFormat="false" ht="23.85" hidden="false" customHeight="false" outlineLevel="0" collapsed="false">
      <c r="A27" s="51" t="s">
        <v>368</v>
      </c>
    </row>
    <row r="28" customFormat="false" ht="15" hidden="false" customHeight="false" outlineLevel="0" collapsed="false">
      <c r="A28" s="51" t="s">
        <v>369</v>
      </c>
    </row>
    <row r="29" customFormat="false" ht="15" hidden="false" customHeight="false" outlineLevel="0" collapsed="false">
      <c r="A29" s="51" t="s">
        <v>370</v>
      </c>
    </row>
    <row r="30" customFormat="false" ht="15" hidden="false" customHeight="false" outlineLevel="0" collapsed="false">
      <c r="A30" s="51"/>
    </row>
    <row r="31" customFormat="false" ht="15" hidden="false" customHeight="false" outlineLevel="0" collapsed="false">
      <c r="A31" s="50" t="s">
        <v>371</v>
      </c>
    </row>
    <row r="32" customFormat="false" ht="15" hidden="false" customHeight="false" outlineLevel="0" collapsed="false">
      <c r="A32" s="51" t="s">
        <v>372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2026-10-26T18:49:01Z</dcterms:created>
  <dc:creator>openpyxl</dc:creator>
  <dc:description/>
  <dc:language>en-US</dc:language>
  <cp:lastModifiedBy/>
  <dcterms:modified xsi:type="dcterms:W3CDTF">2026-10-26T18:49:01Z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